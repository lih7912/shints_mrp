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8"/>
  </bookViews>
  <sheets>
    <sheet sheetId="1" name="STS.INVOICE" state="visible" r:id="rId4"/>
    <sheet sheetId="2" name="P" state="visible" r:id="rId5"/>
    <sheet sheetId="3" name="C.INV" state="visible" r:id="rId6"/>
    <sheet sheetId="4" name="BVT.INV" state="visible" r:id="rId7"/>
    <sheet sheetId="5" name="D.INV" state="visible" r:id="rId8"/>
    <sheet sheetId="6" name="PAC" state="visible" r:id="rId9"/>
    <sheet sheetId="7" name="D.PAC" state="visible" r:id="rId10"/>
    <sheet sheetId="8" name="SHINTS" state="visible" r:id="rId11"/>
  </sheets>
  <calcPr calcId="171027"/>
</workbook>
</file>

<file path=xl/sharedStrings.xml><?xml version="1.0" encoding="utf-8"?>
<sst xmlns="http://schemas.openxmlformats.org/spreadsheetml/2006/main" count="635" uniqueCount="179">
  <si>
    <t>PROFORMA INVOICE FOR SHINTS</t>
  </si>
  <si>
    <t>No</t>
  </si>
  <si>
    <t>HS_No</t>
  </si>
  <si>
    <t>Matl Name</t>
  </si>
  <si>
    <t>Unit Price</t>
  </si>
  <si>
    <t>Q'ty</t>
  </si>
  <si>
    <t>Unit</t>
  </si>
  <si>
    <t>Amount</t>
  </si>
  <si>
    <t>Country</t>
  </si>
  <si>
    <t>Weight</t>
  </si>
  <si>
    <t>Width</t>
  </si>
  <si>
    <t>Composition</t>
  </si>
  <si>
    <t>5903.20-0000</t>
  </si>
  <si>
    <t>2040HLL3L Eco WR (Swazi Whisper)</t>
  </si>
  <si>
    <t>M</t>
  </si>
  <si>
    <t/>
  </si>
  <si>
    <t>kg</t>
  </si>
  <si>
    <t>0</t>
  </si>
  <si>
    <t>POLYESTER 100%</t>
  </si>
  <si>
    <t>75D/2 VISCOS (MARATHON)</t>
  </si>
  <si>
    <t>C</t>
  </si>
  <si>
    <t>Korea</t>
  </si>
  <si>
    <t>MOMMYLOOM SIZE LABEL</t>
  </si>
  <si>
    <t>PC</t>
  </si>
  <si>
    <t>GRAND TOTAL :</t>
  </si>
  <si>
    <t xml:space="preserve">DETAIL PACKING LIST FOR </t>
  </si>
  <si>
    <t>Supplier</t>
  </si>
  <si>
    <t>DESCRIPTION</t>
  </si>
  <si>
    <t>COLOR</t>
  </si>
  <si>
    <t>SPEC</t>
  </si>
  <si>
    <t>UNIT</t>
  </si>
  <si>
    <t>IN-Q'TY</t>
  </si>
  <si>
    <t>C/T Q'ty</t>
  </si>
  <si>
    <t>C/T No.</t>
  </si>
  <si>
    <t>Remark</t>
  </si>
  <si>
    <t>(MR)마라톤상사</t>
  </si>
  <si>
    <t>#1317</t>
  </si>
  <si>
    <t>5000M/C</t>
  </si>
  <si>
    <t>box-20260313</t>
  </si>
  <si>
    <t>IMPORT-K(BMC)</t>
  </si>
  <si>
    <t>12-1005TCX/19-3803TCX</t>
  </si>
  <si>
    <t>K (Japan), 15*46(23MM after folding) Herringbone tape with print</t>
  </si>
  <si>
    <t>box-20260312</t>
  </si>
  <si>
    <t>WK (Japan), 15*46(23MM after folding) Herringbone tape with print</t>
  </si>
  <si>
    <t>Q (Japan), 15*46(23MM after folding) Herringbone tape with print</t>
  </si>
  <si>
    <t>K(Japan), 45*40MM Herringbone tape with print</t>
  </si>
  <si>
    <t>WK(Japan), 45*40MM Herringbone tape with print</t>
  </si>
  <si>
    <t>Q(Japan), 45*40MM Herringbone tape with print</t>
  </si>
  <si>
    <t>IMPORT-K(MODOO INC)</t>
  </si>
  <si>
    <t>EUROPEAN OLIVE (BT24-0614 European Olive B)</t>
  </si>
  <si>
    <t>54" Face: 100% Ployester knit, Membrane: PU membrane 20K/20K, Backing: 100% PES Tricot</t>
  </si>
  <si>
    <t>OLIVE (FB22-4068 OLIVE A)</t>
  </si>
  <si>
    <t>TUSSOCK (FB22-4068 TUSSOCK C)</t>
  </si>
  <si>
    <t>TOTAL</t>
  </si>
  <si>
    <t>BALES</t>
  </si>
  <si>
    <t xml:space="preserve">COMMERCIAL INVOICE </t>
  </si>
  <si>
    <t>1) Shipper/ Exporter :</t>
  </si>
  <si>
    <t>8) No &amp; Date of Invoice</t>
  </si>
  <si>
    <t>Shin Textile Solutions Co., Ltd.</t>
  </si>
  <si>
    <t>801,E&amp;C Venture Dreamtower 2, 55, Digital-ro 33-gil,</t>
  </si>
  <si>
    <t>STB-A26-013</t>
  </si>
  <si>
    <t>Guro-gu, Seoul, Korea</t>
  </si>
  <si>
    <t>9) No &amp; Date L/C</t>
  </si>
  <si>
    <t>TEL :070-4659-3337 FAX :02-6330-2019</t>
  </si>
  <si>
    <t>2) Consignee :</t>
  </si>
  <si>
    <t xml:space="preserve"> </t>
  </si>
  <si>
    <t>SHINTS BVT CO.,LTD  VAT:0800006025</t>
  </si>
  <si>
    <t>10) L/C issuing bank</t>
  </si>
  <si>
    <t xml:space="preserve">PHU TAO RESIDENTIAL AREA, THACH KHOI WARD, </t>
  </si>
  <si>
    <t>HAI PHONG CITY, VIETNAM</t>
  </si>
  <si>
    <t>TEL :84-320-3861-727 FAX :84-320-3861-730</t>
  </si>
  <si>
    <t>11) Remarks:</t>
  </si>
  <si>
    <t>XNK-Thy Ha &lt;thyha@shintsbvt.com&gt;</t>
  </si>
  <si>
    <t>3) Notify party :</t>
  </si>
  <si>
    <t>THE SAME AS ABOVE</t>
  </si>
  <si>
    <t>4) Port of loading:</t>
  </si>
  <si>
    <t>5) Final Destination:</t>
  </si>
  <si>
    <t>INCHEON, KOREA</t>
  </si>
  <si>
    <t>HANOI, VIETNAM</t>
  </si>
  <si>
    <t>6) Carrier</t>
  </si>
  <si>
    <t xml:space="preserve">7) Sailing on/ or About </t>
  </si>
  <si>
    <t>12) Marks and Number of PKGS</t>
  </si>
  <si>
    <t>13) Description of Goods</t>
  </si>
  <si>
    <t>14) Quantity/Uint</t>
  </si>
  <si>
    <t>15) Unit/price</t>
  </si>
  <si>
    <t>16) Amount</t>
  </si>
  <si>
    <t>(CPT HANOI,VEITNAM)</t>
  </si>
  <si>
    <t>SHINTS BVT</t>
  </si>
  <si>
    <t>(IN DIA)</t>
  </si>
  <si>
    <t>MATERIALS FOR GARMENT</t>
  </si>
  <si>
    <t>STYLE NO.:</t>
  </si>
  <si>
    <t>ITEM  :</t>
  </si>
  <si>
    <t>Q'TY  :</t>
  </si>
  <si>
    <t>C/T NO. :</t>
  </si>
  <si>
    <t xml:space="preserve"> TEL NO.  : 070-4006-3700~14, (DIR. 070-4006-3727)</t>
  </si>
  <si>
    <t xml:space="preserve"> FAX NO.  : (02)6330-2019</t>
  </si>
  <si>
    <t>17).Signed by :</t>
  </si>
  <si>
    <t>PROFORMA INVOICE FOR BVT</t>
  </si>
  <si>
    <t>HS Name</t>
  </si>
  <si>
    <t>CH#3092-P2T</t>
  </si>
  <si>
    <t>PROFORMA INVOICE FOR PO26-0221CG</t>
  </si>
  <si>
    <t>No.</t>
  </si>
  <si>
    <t>ORDER No.</t>
  </si>
  <si>
    <t>STYLE</t>
  </si>
  <si>
    <t>QUANTITY</t>
  </si>
  <si>
    <t>DELIVERY</t>
  </si>
  <si>
    <t>CG26-D0002</t>
  </si>
  <si>
    <t>JAPAN MOMMYLOOM BED GUARD (KING)</t>
  </si>
  <si>
    <t>CG26-D0001</t>
  </si>
  <si>
    <t>JAPAN MOMMYLOOM BED GUARD (QUEEN)</t>
  </si>
  <si>
    <t>CG26-D0004</t>
  </si>
  <si>
    <t>JAPAN MOMMYLOOM BED GUARD (SINGLE)</t>
  </si>
  <si>
    <t>CG26-D0003</t>
  </si>
  <si>
    <t>JAPAN MOMMYLOOM BED GUARD (WIDE KING)</t>
  </si>
  <si>
    <t>CG26-D0010</t>
  </si>
  <si>
    <t>JAPAN MOMMYLOOM ROOF (KING)</t>
  </si>
  <si>
    <t>CG26-D0009</t>
  </si>
  <si>
    <t>JAPAN MOMMYLOOM ROOF (QUEEN)</t>
  </si>
  <si>
    <t>CG26-D0012</t>
  </si>
  <si>
    <t>JAPAN MOMMYLOOM ROOF (SINGLE)</t>
  </si>
  <si>
    <t>CG26-D0011</t>
  </si>
  <si>
    <t>JAPAN MOMMYLOOM ROOF (WIDE KING)</t>
  </si>
  <si>
    <t>HS No</t>
  </si>
  <si>
    <t>Hs Name</t>
  </si>
  <si>
    <t>PROFORMA INVOICE FOR PS26S0082SB</t>
  </si>
  <si>
    <t>SB26-S0009</t>
  </si>
  <si>
    <t>SAMPLE</t>
  </si>
  <si>
    <t>PROFORMA INVOICE FOR PO25-1613</t>
  </si>
  <si>
    <t>SZ25-C0086</t>
  </si>
  <si>
    <t>ABB 026 Buffalo Bag [2024]</t>
  </si>
  <si>
    <t>SZ25-C0087</t>
  </si>
  <si>
    <t>AGBV742 ALI GAITER</t>
  </si>
  <si>
    <t>SZ25-C0088</t>
  </si>
  <si>
    <t>JFAV 461 Yukon Anorak [2026 MAIN]</t>
  </si>
  <si>
    <t>SZ25-C0089</t>
  </si>
  <si>
    <t>JFSV447 WINDCHEETAH TOP</t>
  </si>
  <si>
    <t>SZ25-C0090</t>
  </si>
  <si>
    <t>PTHV 848 Ipotane Pants [2025 MAIN]</t>
  </si>
  <si>
    <t>SZ25-C0091</t>
  </si>
  <si>
    <t>RADNV761 KARONA ANORAK [2024 MAIN]</t>
  </si>
  <si>
    <t>SZ25-C0092</t>
  </si>
  <si>
    <t>RAWBV859 Torrent Bib Overpants [2024 MAIN]</t>
  </si>
  <si>
    <t>G.TOTAL</t>
  </si>
  <si>
    <t>PACKING LIST</t>
  </si>
  <si>
    <t>1) Shipper/ Exporter:</t>
  </si>
  <si>
    <t>9) Remarks:</t>
  </si>
  <si>
    <t>10) Marks and Number of PKGS</t>
  </si>
  <si>
    <t>11) Description of Goods</t>
  </si>
  <si>
    <t>12) Quantity</t>
  </si>
  <si>
    <t>13) Net</t>
  </si>
  <si>
    <t>14) Gross</t>
  </si>
  <si>
    <t>15) Measurement</t>
  </si>
  <si>
    <t>( CPT  HANOI, VIETNAM )</t>
  </si>
  <si>
    <t>TOTAL  :</t>
  </si>
  <si>
    <t xml:space="preserve"> TEL NO.  : (02)6330-2000~14, (DIR. 6330-2012)</t>
  </si>
  <si>
    <t>16).Signed by :</t>
  </si>
  <si>
    <t>DETAIL PACKING LIST FOR PO26-0221CG</t>
  </si>
  <si>
    <t>MATL CODE</t>
  </si>
  <si>
    <t>S26-10452</t>
  </si>
  <si>
    <t>S26-10455</t>
  </si>
  <si>
    <t>S26-10454</t>
  </si>
  <si>
    <t>S26-10460</t>
  </si>
  <si>
    <t>S26-10461</t>
  </si>
  <si>
    <t>S26-10458</t>
  </si>
  <si>
    <t>DETAIL PACKING LIST FOR PS26S0082SB</t>
  </si>
  <si>
    <t>S25-129658</t>
  </si>
  <si>
    <t>DETAIL PACKING LIST FOR PO25-1613</t>
  </si>
  <si>
    <t>M24-03739</t>
  </si>
  <si>
    <t>M23-02637</t>
  </si>
  <si>
    <t>M23-02638</t>
  </si>
  <si>
    <t>COMMERCIAL INVOICE</t>
  </si>
  <si>
    <t>FREIGHT CHARGE :</t>
  </si>
  <si>
    <t>INSURANCE CHARGE :</t>
  </si>
  <si>
    <t>제조자 미상</t>
  </si>
  <si>
    <t>C/T :</t>
  </si>
  <si>
    <t>CT</t>
  </si>
  <si>
    <t>NET :</t>
  </si>
  <si>
    <t>KGS</t>
  </si>
  <si>
    <t>GRS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</si>
</sst>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164" formatCode="#,##0_ "/>
    <numFmt numFmtId="165" formatCode="$#,##0.00_);[RED]&quot;($&quot;#,##0.00)"/>
    <numFmt numFmtId="166" formatCode="_-* #,##0.0_-;-* #,##0.0_-;_-* -_-;_-@_-"/>
    <numFmt numFmtId="167" formatCode="0.00_ "/>
    <numFmt numFmtId="168" formatCode="$#,##0.0000_);[RED]&quot;($&quot;#,##0.0000)"/>
    <numFmt numFmtId="169" formatCode="0.0_ "/>
    <numFmt numFmtId="170" formatCode="_-* #,##0_-;-* #,##0_-;_-* -_-;_-@_-"/>
    <numFmt numFmtId="171" formatCode="d-mmm-yy;@"/>
    <numFmt numFmtId="172" formatCode="DD-MMM-YY"/>
    <numFmt numFmtId="173" formatCode="_-* #,##0.00_-;-* #,##0.00_-;_-* -_-;_-@_-"/>
    <numFmt numFmtId="174" formatCode="dd-mmm-yy"/>
    <numFmt numFmtId="175" formatCode="&quot;US$&quot;#,##0.00"/>
    <numFmt numFmtId="176" formatCode="0.000&quot;CBM&quot;"/>
    <numFmt numFmtId="177" formatCode="$#,##0.00"/>
    <numFmt numFmtId="178" formatCode="&quot;US$&quot;#,##0.00_);[RED]&quot;(US$&quot;#,##0.00)"/>
    <numFmt numFmtId="179" formatCode="yyyy-mm-dd"/>
    <numFmt numFmtId="180" formatCode="#,###&quot; CARTON&quot;"/>
    <numFmt numFmtId="181" formatCode="#,###.00&quot;KGS&quot;"/>
    <numFmt numFmtId="182" formatCode="#,##0.00_ "/>
  </numFmts>
  <fonts count="18" x14ac:knownFonts="1">
    <font>
      <color theme="1"/>
      <family val="2"/>
      <scheme val="minor"/>
      <sz val="11"/>
      <name val="Calibri"/>
    </font>
    <font>
      <charset val="129"/>
      <family val="3"/>
      <sz val="10"/>
      <name val="돋움체"/>
    </font>
    <font>
      <b/>
      <u/>
      <charset val="129"/>
      <family val="3"/>
      <sz val="14"/>
      <name val="돋움"/>
    </font>
    <font>
      <charset val="129"/>
      <family val="3"/>
      <sz val="11"/>
      <name val="돋움"/>
    </font>
    <font>
      <b/>
      <charset val="129"/>
      <family val="3"/>
      <sz val="16"/>
      <name val="돋움체"/>
    </font>
    <font>
      <charset val="129"/>
      <family val="3"/>
      <sz val="16"/>
      <name val="돋움체"/>
    </font>
    <font>
      <sz val="10"/>
      <name val="돋움"/>
    </font>
    <font>
      <charset val="129"/>
      <family val="3"/>
      <sz val="10"/>
      <name val="돋움"/>
    </font>
    <font>
      <b/>
      <charset val="129"/>
      <family val="3"/>
      <sz val="10"/>
      <name val="돋움"/>
    </font>
    <font>
      <b/>
      <charset val="129"/>
      <family val="3"/>
      <sz val="10"/>
      <name val="돋움체"/>
    </font>
    <font>
      <b/>
      <charset val="129"/>
      <family val="3"/>
      <sz val="16"/>
      <name val="돋움"/>
    </font>
    <font>
      <b/>
      <charset val="129"/>
      <family val="3"/>
      <sz val="8"/>
      <name val="돋움체"/>
    </font>
    <font>
      <charset val="129"/>
      <family val="3"/>
      <sz val="9"/>
      <name val="돋움체"/>
    </font>
    <font>
      <b/>
      <charset val="129"/>
      <family val="3"/>
      <sz val="9"/>
      <name val="돋움체"/>
    </font>
    <font>
      <b/>
      <sz val="10"/>
      <name val="돋움"/>
    </font>
    <font>
      <charset val="129"/>
      <family val="3"/>
      <sz val="12"/>
      <name val="돋움체"/>
    </font>
    <font>
      <b/>
      <sz val="16"/>
      <name val="돋움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hair"/>
      <diagonal/>
    </border>
    <border>
      <left style="thin"/>
      <right style="thin"/>
      <top style="medium"/>
      <bottom style="medium"/>
      <diagonal/>
    </border>
    <border>
      <left/>
      <right style="thin"/>
      <top style="medium"/>
      <bottom style="medium"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double"/>
      <diagonal/>
    </border>
    <border>
      <left style="thick"/>
      <right style="thick"/>
      <top style="thick"/>
      <bottom style="thick"/>
      <diagonal/>
    </border>
  </borders>
  <cellStyleXfs count="1">
    <xf numFmtId="0" fontId="0" fillId="0" borderId="0"/>
  </cellStyleXfs>
  <cellXfs count="189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horizontal="center" vertical="bottom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bottom"/>
    </xf>
    <xf numFmtId="0" fontId="8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bottom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4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bottom"/>
    </xf>
    <xf numFmtId="0" fontId="7" fillId="0" borderId="2" xfId="0" applyFont="1" applyBorder="1" applyAlignment="1">
      <alignment vertical="bottom"/>
    </xf>
    <xf numFmtId="168" fontId="7" fillId="0" borderId="2" xfId="0" applyNumberFormat="1" applyFont="1" applyBorder="1" applyAlignment="1">
      <alignment vertical="bottom"/>
    </xf>
    <xf numFmtId="164" fontId="7" fillId="0" borderId="2" xfId="0" applyNumberFormat="1" applyFont="1" applyBorder="1" applyAlignment="1">
      <alignment vertical="bottom"/>
    </xf>
    <xf numFmtId="165" fontId="7" fillId="0" borderId="2" xfId="0" applyNumberFormat="1" applyFont="1" applyBorder="1" applyAlignment="1">
      <alignment horizontal="center" vertical="bottom"/>
    </xf>
    <xf numFmtId="165" fontId="7" fillId="0" borderId="2" xfId="0" applyNumberFormat="1" applyFont="1" applyBorder="1" applyAlignment="1">
      <alignment vertical="bottom"/>
    </xf>
    <xf numFmtId="166" fontId="7" fillId="0" borderId="2" xfId="0" applyNumberFormat="1" applyFont="1" applyBorder="1" applyAlignment="1">
      <alignment vertical="bottom"/>
    </xf>
    <xf numFmtId="167" fontId="7" fillId="0" borderId="2" xfId="0" applyNumberFormat="1" applyFont="1" applyBorder="1" applyAlignment="1">
      <alignment vertical="bottom"/>
    </xf>
    <xf numFmtId="169" fontId="1" fillId="0" borderId="0" xfId="0" applyNumberFormat="1" applyFont="1" applyAlignment="1">
      <alignment vertical="bottom"/>
    </xf>
    <xf numFmtId="0" fontId="6" fillId="0" borderId="0" xfId="0" applyFont="1" applyAlignment="1">
      <alignment vertical="bottom"/>
    </xf>
    <xf numFmtId="0" fontId="10" fillId="0" borderId="0" xfId="0" applyFont="1" applyAlignment="1">
      <alignment horizontal="center" vertical="bottom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vertical="bottom"/>
    </xf>
    <xf numFmtId="49" fontId="7" fillId="0" borderId="8" xfId="0" applyNumberFormat="1" applyFont="1" applyBorder="1" applyAlignment="1">
      <alignment vertical="bottom"/>
    </xf>
    <xf numFmtId="49" fontId="7" fillId="0" borderId="0" xfId="0" applyNumberFormat="1" applyFont="1" applyAlignment="1">
      <alignment vertical="bottom"/>
    </xf>
    <xf numFmtId="0" fontId="7" fillId="0" borderId="8" xfId="0" applyFont="1" applyBorder="1" applyAlignment="1">
      <alignment horizontal="center" vertical="bottom"/>
    </xf>
    <xf numFmtId="170" fontId="7" fillId="0" borderId="9" xfId="0" applyNumberFormat="1" applyFont="1" applyBorder="1" applyAlignment="1">
      <alignment horizontal="right" vertical="bottom"/>
    </xf>
    <xf numFmtId="170" fontId="7" fillId="0" borderId="10" xfId="0" applyNumberFormat="1" applyFont="1" applyBorder="1" applyAlignment="1">
      <alignment vertical="bottom"/>
    </xf>
    <xf numFmtId="0" fontId="7" fillId="0" borderId="10" xfId="0" applyFont="1" applyBorder="1" applyAlignment="1">
      <alignment vertical="bottom"/>
    </xf>
    <xf numFmtId="0" fontId="8" fillId="0" borderId="11" xfId="0" applyFont="1" applyBorder="1" applyAlignment="1">
      <alignment horizontal="center" vertical="bottom"/>
    </xf>
    <xf numFmtId="0" fontId="8" fillId="0" borderId="12" xfId="0" applyFont="1" applyBorder="1" applyAlignment="1">
      <alignment horizontal="center" vertical="bottom"/>
    </xf>
    <xf numFmtId="0" fontId="7" fillId="0" borderId="12" xfId="0" applyFont="1" applyBorder="1" applyAlignment="1">
      <alignment vertical="bottom"/>
    </xf>
    <xf numFmtId="170" fontId="7" fillId="0" borderId="12" xfId="0" applyNumberFormat="1" applyFont="1" applyBorder="1" applyAlignment="1">
      <alignment vertical="bottom"/>
    </xf>
    <xf numFmtId="170" fontId="8" fillId="0" borderId="12" xfId="0" applyNumberFormat="1" applyFont="1" applyBorder="1" applyAlignment="1">
      <alignment vertical="bottom"/>
    </xf>
    <xf numFmtId="0" fontId="4" fillId="0" borderId="1" xfId="0" applyFont="1" applyBorder="1" applyAlignment="1">
      <alignment horizontal="center" vertical="bottom"/>
    </xf>
    <xf numFmtId="0" fontId="11" fillId="0" borderId="13" xfId="0" applyFont="1" applyBorder="1" applyAlignment="1">
      <alignment vertical="bottom"/>
    </xf>
    <xf numFmtId="0" fontId="1" fillId="0" borderId="9" xfId="0" applyFont="1" applyBorder="1" applyAlignment="1">
      <alignment vertical="bottom"/>
    </xf>
    <xf numFmtId="0" fontId="11" fillId="0" borderId="14" xfId="0" applyFont="1" applyBorder="1" applyAlignment="1">
      <alignment vertical="bottom"/>
    </xf>
    <xf numFmtId="0" fontId="9" fillId="0" borderId="0" xfId="0" applyFont="1" applyAlignment="1">
      <alignment vertical="bottom"/>
    </xf>
    <xf numFmtId="171" fontId="1" fillId="0" borderId="0" xfId="0" applyNumberFormat="1" applyFont="1" applyAlignment="1">
      <alignment horizontal="left" vertical="bottom"/>
    </xf>
    <xf numFmtId="0" fontId="12" fillId="0" borderId="0" xfId="0" applyFont="1" applyAlignment="1">
      <alignment vertical="center"/>
    </xf>
    <xf numFmtId="172" fontId="1" fillId="0" borderId="1" xfId="0" applyNumberFormat="1" applyFont="1" applyBorder="1" applyAlignment="1">
      <alignment horizontal="right" vertical="bottom"/>
    </xf>
    <xf numFmtId="0" fontId="1" fillId="0" borderId="13" xfId="0" applyFont="1" applyBorder="1" applyAlignment="1">
      <alignment vertical="bottom"/>
    </xf>
    <xf numFmtId="173" fontId="9" fillId="0" borderId="0" xfId="0" applyNumberFormat="1" applyFont="1" applyAlignment="1">
      <alignment horizontal="center" vertical="bottom"/>
    </xf>
    <xf numFmtId="0" fontId="1" fillId="0" borderId="15" xfId="0" applyFont="1" applyBorder="1" applyAlignment="1">
      <alignment vertical="bottom"/>
    </xf>
    <xf numFmtId="174" fontId="1" fillId="0" borderId="0" xfId="0" applyNumberFormat="1" applyFont="1" applyAlignment="1">
      <alignment vertical="bottom"/>
    </xf>
    <xf numFmtId="173" fontId="1" fillId="0" borderId="0" xfId="0" applyNumberFormat="1" applyFont="1" applyAlignment="1">
      <alignment horizontal="center" vertical="bottom"/>
    </xf>
    <xf numFmtId="173" fontId="1" fillId="0" borderId="13" xfId="0" applyNumberFormat="1" applyFont="1" applyBorder="1" applyAlignment="1">
      <alignment horizontal="center" vertical="bottom"/>
    </xf>
    <xf numFmtId="0" fontId="1" fillId="0" borderId="1" xfId="0" applyFont="1" applyBorder="1" applyAlignment="1">
      <alignment vertical="bottom"/>
    </xf>
    <xf numFmtId="173" fontId="1" fillId="0" borderId="13" xfId="0" applyNumberFormat="1" applyFont="1" applyBorder="1" applyAlignment="1">
      <alignment horizontal="left" vertical="bottom"/>
    </xf>
    <xf numFmtId="0" fontId="11" fillId="0" borderId="1" xfId="0" applyFont="1" applyBorder="1" applyAlignment="1">
      <alignment vertical="bottom"/>
    </xf>
    <xf numFmtId="0" fontId="1" fillId="0" borderId="16" xfId="0" applyFont="1" applyBorder="1" applyAlignment="1">
      <alignment vertical="bottom"/>
    </xf>
    <xf numFmtId="173" fontId="1" fillId="0" borderId="0" xfId="0" applyNumberFormat="1" applyFont="1" applyAlignment="1">
      <alignment horizontal="left" vertical="bottom"/>
    </xf>
    <xf numFmtId="0" fontId="11" fillId="0" borderId="0" xfId="0" applyFont="1" applyAlignment="1">
      <alignment vertical="bottom"/>
    </xf>
    <xf numFmtId="0" fontId="9" fillId="0" borderId="0" xfId="0" applyFont="1" applyAlignment="1">
      <alignment horizontal="right" vertical="bottom"/>
    </xf>
    <xf numFmtId="175" fontId="9" fillId="0" borderId="0" xfId="0" applyNumberFormat="1" applyFont="1" applyAlignment="1">
      <alignment horizontal="left" vertical="bottom"/>
    </xf>
    <xf numFmtId="0" fontId="13" fillId="0" borderId="0" xfId="0" applyFont="1" applyAlignment="1">
      <alignment vertical="center"/>
    </xf>
    <xf numFmtId="0" fontId="11" fillId="0" borderId="15" xfId="0" applyFont="1" applyBorder="1" applyAlignment="1">
      <alignment vertical="bottom"/>
    </xf>
    <xf numFmtId="170" fontId="1" fillId="0" borderId="0" xfId="0" applyNumberFormat="1" applyFont="1" applyAlignment="1">
      <alignment vertical="bottom"/>
    </xf>
    <xf numFmtId="0" fontId="12" fillId="0" borderId="7" xfId="0" applyFont="1" applyBorder="1" applyAlignment="1">
      <alignment vertical="center"/>
    </xf>
    <xf numFmtId="0" fontId="1" fillId="0" borderId="16" xfId="0" applyFont="1" applyBorder="1" applyAlignment="1">
      <alignment horizontal="center" vertical="bottom"/>
    </xf>
    <xf numFmtId="0" fontId="12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bottom" wrapText="1"/>
    </xf>
    <xf numFmtId="171" fontId="1" fillId="0" borderId="17" xfId="0" applyNumberFormat="1" applyFont="1" applyBorder="1" applyAlignment="1">
      <alignment horizontal="center" vertical="bottom"/>
    </xf>
    <xf numFmtId="173" fontId="9" fillId="0" borderId="1" xfId="0" applyNumberFormat="1" applyFont="1" applyBorder="1" applyAlignment="1">
      <alignment horizontal="center" vertical="bottom"/>
    </xf>
    <xf numFmtId="0" fontId="11" fillId="0" borderId="15" xfId="0" applyFont="1" applyBorder="1" applyAlignment="1">
      <alignment horizontal="center" vertical="bottom"/>
    </xf>
    <xf numFmtId="0" fontId="11" fillId="0" borderId="18" xfId="0" applyFont="1" applyBorder="1" applyAlignment="1">
      <alignment horizontal="center" vertical="bottom"/>
    </xf>
    <xf numFmtId="0" fontId="11" fillId="0" borderId="9" xfId="0" applyFont="1" applyBorder="1" applyAlignment="1">
      <alignment horizontal="center" vertical="bottom"/>
    </xf>
    <xf numFmtId="0" fontId="11" fillId="0" borderId="0" xfId="0" applyFont="1" applyAlignment="1">
      <alignment horizontal="center" vertical="bottom"/>
    </xf>
    <xf numFmtId="0" fontId="9" fillId="0" borderId="0" xfId="0" applyFont="1" applyAlignment="1">
      <alignment horizontal="left" vertical="bottom"/>
    </xf>
    <xf numFmtId="17" fontId="12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center" vertical="bottom"/>
    </xf>
    <xf numFmtId="0" fontId="12" fillId="0" borderId="0" xfId="0" applyFont="1" applyAlignment="1">
      <alignment horizontal="center" vertical="center"/>
    </xf>
    <xf numFmtId="167" fontId="1" fillId="0" borderId="0" xfId="0" applyNumberFormat="1" applyFont="1" applyAlignment="1">
      <alignment vertical="bottom"/>
    </xf>
    <xf numFmtId="0" fontId="12" fillId="0" borderId="0" xfId="0" applyFont="1" applyAlignment="1">
      <alignment horizontal="left"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horizontal="center" vertical="bottom"/>
    </xf>
    <xf numFmtId="168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9" fillId="0" borderId="19" xfId="0" applyFont="1" applyBorder="1" applyAlignment="1">
      <alignment vertical="bottom"/>
    </xf>
    <xf numFmtId="0" fontId="9" fillId="0" borderId="19" xfId="0" applyFont="1" applyBorder="1" applyAlignment="1">
      <alignment horizontal="right" vertical="bottom"/>
    </xf>
    <xf numFmtId="165" fontId="9" fillId="0" borderId="19" xfId="0" applyNumberFormat="1" applyFont="1" applyBorder="1" applyAlignment="1">
      <alignment horizontal="left" vertical="bottom"/>
    </xf>
    <xf numFmtId="177" fontId="9" fillId="0" borderId="19" xfId="0" applyNumberFormat="1" applyFont="1" applyBorder="1" applyAlignment="1">
      <alignment vertical="bottom"/>
    </xf>
    <xf numFmtId="178" fontId="1" fillId="0" borderId="0" xfId="0" applyNumberFormat="1" applyFont="1" applyAlignment="1">
      <alignment vertical="bottom"/>
    </xf>
    <xf numFmtId="0" fontId="11" fillId="0" borderId="1" xfId="0" applyFont="1" applyBorder="1" applyAlignment="1">
      <alignment horizontal="right" vertical="bottom"/>
    </xf>
    <xf numFmtId="0" fontId="1" fillId="2" borderId="0" xfId="0" applyFont="1" applyFill="1" applyAlignment="1">
      <alignment vertical="bottom"/>
    </xf>
    <xf numFmtId="0" fontId="2" fillId="2" borderId="0" xfId="0" applyFont="1" applyFill="1" applyAlignment="1">
      <alignment horizontal="center" vertical="bottom"/>
    </xf>
    <xf numFmtId="0" fontId="3" fillId="2" borderId="0" xfId="0" applyFont="1" applyFill="1" applyAlignment="1">
      <alignment vertical="bottom"/>
    </xf>
    <xf numFmtId="0" fontId="4" fillId="2" borderId="0" xfId="0" applyFont="1" applyFill="1" applyAlignment="1">
      <alignment vertical="bottom"/>
    </xf>
    <xf numFmtId="0" fontId="5" fillId="2" borderId="0" xfId="0" applyFont="1" applyFill="1" applyAlignment="1">
      <alignment vertical="bottom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bottom"/>
    </xf>
    <xf numFmtId="0" fontId="8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bottom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4" fontId="7" fillId="2" borderId="0" xfId="0" applyNumberFormat="1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165" fontId="7" fillId="2" borderId="0" xfId="0" applyNumberFormat="1" applyFont="1" applyFill="1" applyAlignment="1">
      <alignment horizontal="center" vertical="center"/>
    </xf>
    <xf numFmtId="166" fontId="7" fillId="2" borderId="0" xfId="0" applyNumberFormat="1" applyFont="1" applyFill="1" applyAlignment="1">
      <alignment vertical="center"/>
    </xf>
    <xf numFmtId="167" fontId="7" fillId="2" borderId="0" xfId="0" applyNumberFormat="1" applyFont="1" applyFill="1" applyAlignment="1">
      <alignment vertical="center"/>
    </xf>
    <xf numFmtId="0" fontId="7" fillId="2" borderId="2" xfId="0" applyFont="1" applyFill="1" applyBorder="1" applyAlignment="1">
      <alignment horizontal="center" vertical="bottom"/>
    </xf>
    <xf numFmtId="0" fontId="7" fillId="2" borderId="2" xfId="0" applyFont="1" applyFill="1" applyBorder="1" applyAlignment="1">
      <alignment vertical="bottom"/>
    </xf>
    <xf numFmtId="168" fontId="7" fillId="2" borderId="2" xfId="0" applyNumberFormat="1" applyFont="1" applyFill="1" applyBorder="1" applyAlignment="1">
      <alignment vertical="bottom"/>
    </xf>
    <xf numFmtId="164" fontId="7" fillId="2" borderId="2" xfId="0" applyNumberFormat="1" applyFont="1" applyFill="1" applyBorder="1" applyAlignment="1">
      <alignment vertical="bottom"/>
    </xf>
    <xf numFmtId="165" fontId="7" fillId="2" borderId="2" xfId="0" applyNumberFormat="1" applyFont="1" applyFill="1" applyBorder="1" applyAlignment="1">
      <alignment horizontal="center" vertical="bottom"/>
    </xf>
    <xf numFmtId="165" fontId="7" fillId="2" borderId="2" xfId="0" applyNumberFormat="1" applyFont="1" applyFill="1" applyBorder="1" applyAlignment="1">
      <alignment vertical="bottom"/>
    </xf>
    <xf numFmtId="166" fontId="7" fillId="2" borderId="2" xfId="0" applyNumberFormat="1" applyFont="1" applyFill="1" applyBorder="1" applyAlignment="1">
      <alignment vertical="bottom"/>
    </xf>
    <xf numFmtId="167" fontId="7" fillId="2" borderId="2" xfId="0" applyNumberFormat="1" applyFont="1" applyFill="1" applyBorder="1" applyAlignment="1">
      <alignment vertical="bottom"/>
    </xf>
    <xf numFmtId="169" fontId="1" fillId="2" borderId="0" xfId="0" applyNumberFormat="1" applyFont="1" applyFill="1" applyAlignment="1">
      <alignment vertical="bottom"/>
    </xf>
    <xf numFmtId="0" fontId="7" fillId="0" borderId="0" xfId="0" applyFont="1" applyAlignment="1">
      <alignment horizontal="right" vertical="bottom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170" fontId="6" fillId="0" borderId="0" xfId="0" applyNumberFormat="1" applyFont="1" applyAlignment="1">
      <alignment horizontal="left"/>
    </xf>
    <xf numFmtId="3" fontId="6" fillId="0" borderId="0" xfId="0" applyNumberFormat="1" applyFont="1" applyAlignment="1">
      <alignment horizontal="right"/>
    </xf>
    <xf numFmtId="172" fontId="6" fillId="0" borderId="13" xfId="0" applyNumberFormat="1" applyFont="1" applyBorder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0" fontId="6" fillId="0" borderId="0" xfId="0" applyFont="1"/>
    <xf numFmtId="172" fontId="6" fillId="0" borderId="0" xfId="0" applyNumberFormat="1" applyFont="1" applyAlignment="1">
      <alignment horizontal="center" vertical="center"/>
    </xf>
    <xf numFmtId="0" fontId="14" fillId="0" borderId="5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19" xfId="0" applyFont="1" applyBorder="1" applyAlignment="1">
      <alignment vertical="bottom"/>
    </xf>
    <xf numFmtId="0" fontId="6" fillId="0" borderId="19" xfId="0" applyFont="1" applyBorder="1"/>
    <xf numFmtId="0" fontId="6" fillId="0" borderId="19" xfId="0" applyFont="1" applyBorder="1" applyAlignment="1">
      <alignment horizontal="right"/>
    </xf>
    <xf numFmtId="172" fontId="6" fillId="0" borderId="0" xfId="0" applyNumberFormat="1" applyFont="1" applyAlignment="1">
      <alignment vertical="bottom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1" fillId="0" borderId="7" xfId="0" applyFont="1" applyBorder="1" applyAlignment="1">
      <alignment vertical="bottom"/>
    </xf>
    <xf numFmtId="0" fontId="9" fillId="0" borderId="7" xfId="0" applyFont="1" applyBorder="1" applyAlignment="1">
      <alignment horizontal="left" vertical="bottom" indent="5"/>
    </xf>
    <xf numFmtId="0" fontId="9" fillId="0" borderId="0" xfId="0" applyFont="1" applyAlignment="1">
      <alignment horizontal="left" vertical="bottom" indent="4"/>
    </xf>
    <xf numFmtId="0" fontId="9" fillId="0" borderId="0" xfId="0" applyFont="1" applyAlignment="1">
      <alignment horizontal="center" vertical="bottom"/>
    </xf>
    <xf numFmtId="0" fontId="1" fillId="0" borderId="0" xfId="0" applyFont="1" applyAlignment="1">
      <alignment horizontal="center" vertical="bottom"/>
    </xf>
    <xf numFmtId="0" fontId="9" fillId="0" borderId="0" xfId="0" applyFont="1" applyAlignment="1">
      <alignment vertical="center"/>
    </xf>
    <xf numFmtId="0" fontId="1" fillId="0" borderId="17" xfId="0" applyFont="1" applyBorder="1" applyAlignment="1">
      <alignment horizontal="center" vertical="center"/>
    </xf>
    <xf numFmtId="171" fontId="1" fillId="0" borderId="0" xfId="0" applyNumberFormat="1" applyFont="1" applyAlignment="1">
      <alignment vertical="bottom"/>
    </xf>
    <xf numFmtId="0" fontId="9" fillId="0" borderId="1" xfId="0" applyFont="1" applyBorder="1" applyAlignment="1">
      <alignment horizontal="left" vertical="bottom" indent="5"/>
    </xf>
    <xf numFmtId="0" fontId="9" fillId="0" borderId="1" xfId="0" applyFont="1" applyBorder="1" applyAlignment="1">
      <alignment horizontal="center" vertical="bottom"/>
    </xf>
    <xf numFmtId="0" fontId="1" fillId="0" borderId="7" xfId="0" applyFont="1" applyBorder="1" applyAlignment="1">
      <alignment vertical="bottom"/>
    </xf>
    <xf numFmtId="0" fontId="1" fillId="0" borderId="9" xfId="0" applyFont="1" applyBorder="1" applyAlignment="1">
      <alignment horizontal="center" vertical="bottom"/>
    </xf>
    <xf numFmtId="180" fontId="1" fillId="0" borderId="0" xfId="0" applyNumberFormat="1" applyFont="1" applyAlignment="1">
      <alignment horizontal="center" vertical="bottom"/>
    </xf>
    <xf numFmtId="181" fontId="1" fillId="0" borderId="0" xfId="0" applyNumberFormat="1" applyFont="1" applyAlignment="1">
      <alignment horizontal="center" vertical="bottom" shrinkToFit="1"/>
    </xf>
    <xf numFmtId="181" fontId="1" fillId="0" borderId="0" xfId="0" applyNumberFormat="1" applyFont="1" applyAlignment="1">
      <alignment horizontal="center" vertical="bottom"/>
    </xf>
    <xf numFmtId="170" fontId="9" fillId="0" borderId="0" xfId="0" applyNumberFormat="1" applyFont="1" applyAlignment="1">
      <alignment vertical="bottom"/>
    </xf>
    <xf numFmtId="167" fontId="15" fillId="0" borderId="0" xfId="0" applyNumberFormat="1" applyFont="1" applyAlignment="1">
      <alignment vertical="bottom"/>
    </xf>
    <xf numFmtId="17" fontId="1" fillId="0" borderId="0" xfId="0" applyNumberFormat="1" applyFont="1" applyAlignment="1">
      <alignment horizontal="left" vertical="center"/>
    </xf>
    <xf numFmtId="173" fontId="1" fillId="0" borderId="0" xfId="0" applyNumberFormat="1" applyFont="1" applyAlignment="1">
      <alignment vertical="bottom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bottom"/>
    </xf>
    <xf numFmtId="0" fontId="1" fillId="0" borderId="0" xfId="0" applyFont="1" applyAlignment="1">
      <alignment horizontal="right" vertical="bottom"/>
    </xf>
    <xf numFmtId="0" fontId="9" fillId="0" borderId="2" xfId="0" applyFont="1" applyBorder="1" applyAlignment="1">
      <alignment vertical="bottom"/>
    </xf>
    <xf numFmtId="0" fontId="1" fillId="0" borderId="2" xfId="0" applyFont="1" applyBorder="1" applyAlignment="1">
      <alignment vertical="bottom"/>
    </xf>
    <xf numFmtId="164" fontId="1" fillId="0" borderId="2" xfId="0" applyNumberFormat="1" applyFont="1" applyBorder="1" applyAlignment="1">
      <alignment vertical="bottom"/>
    </xf>
    <xf numFmtId="165" fontId="1" fillId="0" borderId="2" xfId="0" applyNumberFormat="1" applyFont="1" applyBorder="1" applyAlignment="1">
      <alignment horizontal="center" vertical="bottom"/>
    </xf>
    <xf numFmtId="0" fontId="1" fillId="0" borderId="0" xfId="0" applyFont="1" applyAlignment="1">
      <alignment horizontal="left" vertical="bottom" indent="5"/>
    </xf>
    <xf numFmtId="0" fontId="16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3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6" fillId="0" borderId="20" xfId="0" applyFont="1" applyBorder="1" applyAlignment="1">
      <alignment horizontal="left" vertical="center"/>
    </xf>
    <xf numFmtId="3" fontId="6" fillId="0" borderId="20" xfId="0" applyNumberFormat="1" applyFont="1" applyBorder="1" applyAlignment="1">
      <alignment horizontal="right"/>
    </xf>
    <xf numFmtId="3" fontId="17" fillId="0" borderId="20" xfId="0" applyNumberFormat="1" applyFont="1" applyBorder="1" applyAlignment="1">
      <alignment horizontal="right"/>
    </xf>
    <xf numFmtId="175" fontId="1" fillId="3" borderId="0" xfId="0" applyNumberFormat="1" applyFont="1" applyFill="1" applyAlignment="1">
      <alignment horizontal="left" vertical="bottom"/>
    </xf>
    <xf numFmtId="175" fontId="1" fillId="0" borderId="0" xfId="0" applyNumberFormat="1" applyFont="1" applyAlignment="1">
      <alignment horizontal="left" vertical="bottom"/>
    </xf>
    <xf numFmtId="182" fontId="1" fillId="0" borderId="0" xfId="0" applyNumberFormat="1" applyFont="1" applyAlignment="1">
      <alignment vertical="bottom"/>
    </xf>
    <xf numFmtId="164" fontId="7" fillId="0" borderId="0" xfId="0" applyNumberFormat="1" applyFont="1" applyAlignment="1">
      <alignment vertical="bottom"/>
    </xf>
    <xf numFmtId="165" fontId="7" fillId="0" borderId="0" xfId="0" applyNumberFormat="1" applyFont="1" applyAlignment="1">
      <alignment horizontal="center" vertical="bottom"/>
    </xf>
    <xf numFmtId="168" fontId="7" fillId="0" borderId="0" xfId="0" applyNumberFormat="1" applyFont="1" applyAlignment="1">
      <alignment vertical="bottom"/>
    </xf>
    <xf numFmtId="165" fontId="7" fillId="0" borderId="0" xfId="0" applyNumberFormat="1" applyFont="1" applyAlignment="1">
      <alignment vertical="bottom"/>
    </xf>
    <xf numFmtId="0" fontId="9" fillId="0" borderId="2" xfId="0" applyFont="1" applyBorder="1" applyAlignment="1">
      <alignment horizontal="right" vertical="bottom"/>
    </xf>
    <xf numFmtId="165" fontId="9" fillId="0" borderId="2" xfId="0" applyNumberFormat="1" applyFont="1" applyBorder="1" applyAlignment="1">
      <alignment horizontal="left" vertical="bottom"/>
    </xf>
    <xf numFmtId="177" fontId="9" fillId="0" borderId="2" xfId="0" applyNumberFormat="1" applyFont="1" applyBorder="1" applyAlignment="1">
      <alignment vertical="bottom"/>
    </xf>
    <xf numFmtId="178" fontId="9" fillId="0" borderId="2" xfId="0" applyNumberFormat="1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35</xdr:row>
      <xdr:rowOff>166320</xdr:rowOff>
    </xdr:from>
    <xdr:to>
      <xdr:col>9</xdr:col>
      <xdr:colOff>971640</xdr:colOff>
      <xdr:row>41</xdr:row>
      <xdr:rowOff>13680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46</xdr:row>
      <xdr:rowOff>166680</xdr:rowOff>
    </xdr:from>
    <xdr:to>
      <xdr:col>10</xdr:col>
      <xdr:colOff>209880</xdr:colOff>
      <xdr:row>52</xdr:row>
      <xdr:rowOff>14400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37</xdr:row>
      <xdr:rowOff>166320</xdr:rowOff>
    </xdr:from>
    <xdr:to>
      <xdr:col>9</xdr:col>
      <xdr:colOff>971640</xdr:colOff>
      <xdr:row>43</xdr:row>
      <xdr:rowOff>14040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 showGridLines="0" zoomScale="100" zoomScaleNormal="100" view="normal">
      <selection activeCell="A4" sqref="A4"/>
    </sheetView>
  </sheetViews>
  <sheetFormatPr defaultRowHeight="12.75" outlineLevelRow="0" outlineLevelCol="0" x14ac:dyDescent="0" defaultColWidth="10.4453125" customHeight="1"/>
  <cols>
    <col min="1" max="1" width="4.56" style="1" customWidth="1"/>
    <col min="2" max="2" width="15.11" style="1" customWidth="1"/>
    <col min="3" max="3" width="26.44" style="1" customWidth="1"/>
    <col min="4" max="4" width="7.78" style="1" customWidth="1"/>
    <col min="5" max="5" width="9.67" style="1" customWidth="1"/>
    <col min="6" max="6" width="4.11" style="1" customWidth="1"/>
    <col min="7" max="7" width="11.33" style="1" customWidth="1"/>
    <col min="8" max="9" width="9" style="1" customWidth="1"/>
    <col min="10" max="10" width="2.44" style="1" customWidth="1"/>
    <col min="11" max="11" width="7.9" style="1" customWidth="1"/>
    <col min="12" max="12" width="11.22" style="1" customWidth="1"/>
  </cols>
  <sheetData>
    <row r="1" ht="23.25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5"/>
    </row>
    <row r="2" ht="12" customHeight="1" spans="1:10" x14ac:dyDescent="0.25">
      <c r="A2" s="6"/>
      <c r="B2" s="6"/>
      <c r="C2" s="6"/>
      <c r="D2" s="6"/>
      <c r="E2" s="6"/>
      <c r="F2" s="6"/>
      <c r="G2" s="6"/>
      <c r="H2" s="7"/>
      <c r="I2" s="3"/>
      <c r="J2" s="3"/>
    </row>
    <row r="3" ht="12" customHeight="1" spans="1:12" x14ac:dyDescent="0.2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9"/>
      <c r="K3" s="10" t="s">
        <v>10</v>
      </c>
      <c r="L3" s="10" t="s">
        <v>11</v>
      </c>
    </row>
    <row r="4" ht="12" customHeight="1" spans="1:12" x14ac:dyDescent="0.25">
      <c r="A4" s="11">
        <v>1</v>
      </c>
      <c r="B4" s="12" t="s">
        <v>12</v>
      </c>
      <c r="C4" s="12" t="s">
        <v>13</v>
      </c>
      <c r="D4" s="13">
        <v>0.01</v>
      </c>
      <c r="E4" s="14">
        <v>785</v>
      </c>
      <c r="F4" s="15" t="s">
        <v>14</v>
      </c>
      <c r="G4" s="13">
        <v>7.85</v>
      </c>
      <c r="H4" s="16" t="s">
        <v>15</v>
      </c>
      <c r="I4" s="17">
        <v>38.17</v>
      </c>
      <c r="J4" s="18" t="s">
        <v>16</v>
      </c>
      <c r="K4" s="1" t="s">
        <v>17</v>
      </c>
      <c r="L4" s="1" t="s">
        <v>18</v>
      </c>
    </row>
    <row r="5" ht="12" customHeight="1" spans="1:12" x14ac:dyDescent="0.25">
      <c r="A5" s="19">
        <v>2</v>
      </c>
      <c r="B5" s="12" t="s">
        <v>15</v>
      </c>
      <c r="C5" s="12" t="s">
        <v>19</v>
      </c>
      <c r="D5" s="13">
        <v>2.95</v>
      </c>
      <c r="E5" s="14">
        <v>100</v>
      </c>
      <c r="F5" s="15" t="s">
        <v>20</v>
      </c>
      <c r="G5" s="13">
        <v>295</v>
      </c>
      <c r="H5" s="16" t="s">
        <v>21</v>
      </c>
      <c r="I5" s="17">
        <v>4.86</v>
      </c>
      <c r="J5" s="18" t="s">
        <v>16</v>
      </c>
      <c r="K5" s="1" t="s">
        <v>15</v>
      </c>
      <c r="L5" s="1" t="s">
        <v>15</v>
      </c>
    </row>
    <row r="6" ht="12" customHeight="1" spans="1:12" x14ac:dyDescent="0.25">
      <c r="A6" s="19">
        <v>3</v>
      </c>
      <c r="B6" s="12" t="s">
        <v>15</v>
      </c>
      <c r="C6" s="12" t="s">
        <v>22</v>
      </c>
      <c r="D6" s="13">
        <v>0.11</v>
      </c>
      <c r="E6" s="14">
        <v>6000</v>
      </c>
      <c r="F6" s="15" t="s">
        <v>23</v>
      </c>
      <c r="G6" s="13">
        <v>660</v>
      </c>
      <c r="H6" s="16" t="s">
        <v>21</v>
      </c>
      <c r="I6" s="17">
        <v>291.66999999999996</v>
      </c>
      <c r="J6" s="18" t="s">
        <v>16</v>
      </c>
      <c r="K6" s="1" t="s">
        <v>15</v>
      </c>
      <c r="L6" s="1" t="s">
        <v>15</v>
      </c>
    </row>
    <row r="7" ht="12.75" customHeight="1" spans="1:11" x14ac:dyDescent="0.25">
      <c r="A7" s="20"/>
      <c r="B7" s="21" t="s">
        <v>24</v>
      </c>
      <c r="C7" s="21"/>
      <c r="D7" s="22"/>
      <c r="E7" s="23">
        <f>=SUM(E4:E6)</f>
      </c>
      <c r="F7" s="24"/>
      <c r="G7" s="25">
        <f>=SUM(G4:G6)</f>
      </c>
      <c r="H7" s="26"/>
      <c r="I7" s="27">
        <f>=SUM(I4:I6)</f>
      </c>
      <c r="J7" s="18" t="s">
        <v>16</v>
      </c>
      <c r="K7" s="28"/>
    </row>
  </sheetData>
  <mergeCells count="1">
    <mergeCell ref="A1:I1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 showGridLines="0" zoomScale="100" zoomScaleNormal="100" view="normal">
      <selection activeCell="D46" sqref="D46"/>
    </sheetView>
  </sheetViews>
  <sheetFormatPr defaultRowHeight="12.75" outlineLevelRow="0" outlineLevelCol="0" x14ac:dyDescent="0" defaultColWidth="8.66796875" customHeight="1"/>
  <cols>
    <col min="1" max="1" width="19.88" style="29" customWidth="1"/>
    <col min="2" max="2" width="30.44" style="29" customWidth="1"/>
    <col min="3" max="3" width="23.22" style="29" customWidth="1"/>
    <col min="4" max="4" width="28.44" style="29" customWidth="1"/>
    <col min="5" max="5" width="6.89" style="29" customWidth="1"/>
    <col min="6" max="6" width="8.56" style="29" customWidth="1"/>
    <col min="7" max="7" width="9.11" style="29" customWidth="1"/>
    <col min="8" max="8" width="11.11" style="29" customWidth="1"/>
    <col min="9" max="9" width="12.34" style="29" customWidth="1"/>
  </cols>
  <sheetData>
    <row r="1" ht="19.7" customHeight="1" spans="1:9" x14ac:dyDescent="0.25">
      <c r="A1" s="30" t="s">
        <v>25</v>
      </c>
      <c r="B1" s="30"/>
      <c r="C1" s="30"/>
      <c r="D1" s="30"/>
      <c r="E1" s="30"/>
      <c r="F1" s="30"/>
      <c r="G1" s="30"/>
      <c r="H1" s="30"/>
      <c r="I1" s="30"/>
    </row>
    <row r="3" ht="15.65" customHeight="1" spans="1:9" x14ac:dyDescent="0.25">
      <c r="A3" s="31" t="s">
        <v>26</v>
      </c>
      <c r="B3" s="31" t="s">
        <v>27</v>
      </c>
      <c r="C3" s="32" t="s">
        <v>28</v>
      </c>
      <c r="D3" s="33" t="s">
        <v>29</v>
      </c>
      <c r="E3" s="32" t="s">
        <v>30</v>
      </c>
      <c r="F3" s="34" t="s">
        <v>31</v>
      </c>
      <c r="G3" s="34" t="s">
        <v>32</v>
      </c>
      <c r="H3" s="34" t="s">
        <v>33</v>
      </c>
      <c r="I3" s="34" t="s">
        <v>34</v>
      </c>
    </row>
    <row r="4" ht="12.75" customHeight="1" spans="1:9" x14ac:dyDescent="0.25">
      <c r="A4" s="35" t="s">
        <v>35</v>
      </c>
      <c r="B4" s="35" t="s">
        <v>19</v>
      </c>
      <c r="C4" s="36" t="s">
        <v>36</v>
      </c>
      <c r="D4" s="37" t="s">
        <v>37</v>
      </c>
      <c r="E4" s="38" t="s">
        <v>20</v>
      </c>
      <c r="F4" s="39">
        <v>100</v>
      </c>
      <c r="G4" s="40">
        <v>1</v>
      </c>
      <c r="H4" s="41" t="s">
        <v>38</v>
      </c>
      <c r="I4" s="41" t="s">
        <v>15</v>
      </c>
    </row>
    <row r="5" ht="12.75" customHeight="1" spans="1:9" x14ac:dyDescent="0.25">
      <c r="A5" s="35" t="s">
        <v>39</v>
      </c>
      <c r="B5" s="35" t="s">
        <v>22</v>
      </c>
      <c r="C5" s="36" t="s">
        <v>40</v>
      </c>
      <c r="D5" s="37" t="s">
        <v>41</v>
      </c>
      <c r="E5" s="38" t="s">
        <v>23</v>
      </c>
      <c r="F5" s="39">
        <v>21</v>
      </c>
      <c r="G5" s="40">
        <v>1</v>
      </c>
      <c r="H5" s="41" t="s">
        <v>42</v>
      </c>
      <c r="I5" s="41" t="s">
        <v>15</v>
      </c>
    </row>
    <row r="6" ht="12.75" customHeight="1" spans="1:9" x14ac:dyDescent="0.25">
      <c r="A6" s="35" t="s">
        <v>39</v>
      </c>
      <c r="B6" s="35" t="s">
        <v>22</v>
      </c>
      <c r="C6" s="36" t="s">
        <v>40</v>
      </c>
      <c r="D6" s="37" t="s">
        <v>43</v>
      </c>
      <c r="E6" s="38" t="s">
        <v>23</v>
      </c>
      <c r="F6" s="39">
        <v>32</v>
      </c>
      <c r="G6" s="40"/>
      <c r="H6" s="41"/>
      <c r="I6" s="41"/>
    </row>
    <row r="7" ht="12.75" customHeight="1" spans="1:9" x14ac:dyDescent="0.25">
      <c r="A7" s="35" t="s">
        <v>39</v>
      </c>
      <c r="B7" s="35" t="s">
        <v>22</v>
      </c>
      <c r="C7" s="36" t="s">
        <v>40</v>
      </c>
      <c r="D7" s="37" t="s">
        <v>44</v>
      </c>
      <c r="E7" s="38" t="s">
        <v>23</v>
      </c>
      <c r="F7" s="39">
        <v>32</v>
      </c>
      <c r="G7" s="40"/>
      <c r="H7" s="41"/>
      <c r="I7" s="41"/>
    </row>
    <row r="8" ht="12.75" customHeight="1" spans="1:9" x14ac:dyDescent="0.25">
      <c r="A8" s="35" t="s">
        <v>39</v>
      </c>
      <c r="B8" s="35" t="s">
        <v>22</v>
      </c>
      <c r="C8" s="36" t="s">
        <v>40</v>
      </c>
      <c r="D8" s="37" t="s">
        <v>45</v>
      </c>
      <c r="E8" s="38" t="s">
        <v>23</v>
      </c>
      <c r="F8" s="39">
        <v>63</v>
      </c>
      <c r="G8" s="40"/>
      <c r="H8" s="41"/>
      <c r="I8" s="41"/>
    </row>
    <row r="9" ht="12.75" customHeight="1" spans="1:9" x14ac:dyDescent="0.25">
      <c r="A9" s="35" t="s">
        <v>39</v>
      </c>
      <c r="B9" s="35" t="s">
        <v>22</v>
      </c>
      <c r="C9" s="36" t="s">
        <v>40</v>
      </c>
      <c r="D9" s="37" t="s">
        <v>46</v>
      </c>
      <c r="E9" s="38" t="s">
        <v>23</v>
      </c>
      <c r="F9" s="39">
        <v>96</v>
      </c>
      <c r="G9" s="40"/>
      <c r="H9" s="41"/>
      <c r="I9" s="41"/>
    </row>
    <row r="10" ht="12.75" customHeight="1" spans="1:9" x14ac:dyDescent="0.25">
      <c r="A10" s="35" t="s">
        <v>39</v>
      </c>
      <c r="B10" s="35" t="s">
        <v>22</v>
      </c>
      <c r="C10" s="36" t="s">
        <v>40</v>
      </c>
      <c r="D10" s="37" t="s">
        <v>47</v>
      </c>
      <c r="E10" s="38" t="s">
        <v>23</v>
      </c>
      <c r="F10" s="39">
        <v>96</v>
      </c>
      <c r="G10" s="40"/>
      <c r="H10" s="41"/>
      <c r="I10" s="41"/>
    </row>
    <row r="11" ht="12.75" customHeight="1" spans="1:9" x14ac:dyDescent="0.25">
      <c r="A11" s="35" t="s">
        <v>39</v>
      </c>
      <c r="B11" s="35" t="s">
        <v>22</v>
      </c>
      <c r="C11" s="36" t="s">
        <v>40</v>
      </c>
      <c r="D11" s="37" t="s">
        <v>47</v>
      </c>
      <c r="E11" s="38" t="s">
        <v>23</v>
      </c>
      <c r="F11" s="39">
        <v>904</v>
      </c>
      <c r="G11" s="40"/>
      <c r="H11" s="41"/>
      <c r="I11" s="41"/>
    </row>
    <row r="12" ht="12.75" customHeight="1" spans="1:9" x14ac:dyDescent="0.25">
      <c r="A12" s="35" t="s">
        <v>39</v>
      </c>
      <c r="B12" s="35" t="s">
        <v>22</v>
      </c>
      <c r="C12" s="36" t="s">
        <v>40</v>
      </c>
      <c r="D12" s="37" t="s">
        <v>46</v>
      </c>
      <c r="E12" s="38" t="s">
        <v>23</v>
      </c>
      <c r="F12" s="39">
        <v>904</v>
      </c>
      <c r="G12" s="40"/>
      <c r="H12" s="41"/>
      <c r="I12" s="41"/>
    </row>
    <row r="13" ht="12.75" customHeight="1" spans="1:9" x14ac:dyDescent="0.25">
      <c r="A13" s="35" t="s">
        <v>39</v>
      </c>
      <c r="B13" s="35" t="s">
        <v>22</v>
      </c>
      <c r="C13" s="36" t="s">
        <v>40</v>
      </c>
      <c r="D13" s="37" t="s">
        <v>45</v>
      </c>
      <c r="E13" s="38" t="s">
        <v>23</v>
      </c>
      <c r="F13" s="39">
        <v>937</v>
      </c>
      <c r="G13" s="40"/>
      <c r="H13" s="41"/>
      <c r="I13" s="41"/>
    </row>
    <row r="14" ht="12.75" customHeight="1" spans="1:9" x14ac:dyDescent="0.25">
      <c r="A14" s="35" t="s">
        <v>39</v>
      </c>
      <c r="B14" s="35" t="s">
        <v>22</v>
      </c>
      <c r="C14" s="36" t="s">
        <v>40</v>
      </c>
      <c r="D14" s="37" t="s">
        <v>44</v>
      </c>
      <c r="E14" s="38" t="s">
        <v>23</v>
      </c>
      <c r="F14" s="39">
        <v>968</v>
      </c>
      <c r="G14" s="40"/>
      <c r="H14" s="41"/>
      <c r="I14" s="41"/>
    </row>
    <row r="15" ht="12.75" customHeight="1" spans="1:9" x14ac:dyDescent="0.25">
      <c r="A15" s="35" t="s">
        <v>39</v>
      </c>
      <c r="B15" s="35" t="s">
        <v>22</v>
      </c>
      <c r="C15" s="36" t="s">
        <v>40</v>
      </c>
      <c r="D15" s="37" t="s">
        <v>43</v>
      </c>
      <c r="E15" s="38" t="s">
        <v>23</v>
      </c>
      <c r="F15" s="39">
        <v>968</v>
      </c>
      <c r="G15" s="40"/>
      <c r="H15" s="41"/>
      <c r="I15" s="41"/>
    </row>
    <row r="16" ht="12.75" customHeight="1" spans="1:9" x14ac:dyDescent="0.25">
      <c r="A16" s="35" t="s">
        <v>39</v>
      </c>
      <c r="B16" s="35" t="s">
        <v>22</v>
      </c>
      <c r="C16" s="36" t="s">
        <v>40</v>
      </c>
      <c r="D16" s="37" t="s">
        <v>41</v>
      </c>
      <c r="E16" s="38" t="s">
        <v>23</v>
      </c>
      <c r="F16" s="39">
        <v>979</v>
      </c>
      <c r="G16" s="40"/>
      <c r="H16" s="41"/>
      <c r="I16" s="41"/>
    </row>
    <row r="17" ht="12.75" customHeight="1" spans="1:9" x14ac:dyDescent="0.25">
      <c r="A17" s="35" t="s">
        <v>48</v>
      </c>
      <c r="B17" s="35" t="s">
        <v>13</v>
      </c>
      <c r="C17" s="36" t="s">
        <v>49</v>
      </c>
      <c r="D17" s="37" t="s">
        <v>50</v>
      </c>
      <c r="E17" s="38" t="s">
        <v>14</v>
      </c>
      <c r="F17" s="39">
        <v>60</v>
      </c>
      <c r="G17" s="40">
        <v>10</v>
      </c>
      <c r="H17" s="41" t="s">
        <v>15</v>
      </c>
      <c r="I17" s="41" t="s">
        <v>15</v>
      </c>
    </row>
    <row r="18" ht="12.75" customHeight="1" spans="1:9" x14ac:dyDescent="0.25">
      <c r="A18" s="35" t="s">
        <v>48</v>
      </c>
      <c r="B18" s="35" t="s">
        <v>13</v>
      </c>
      <c r="C18" s="36" t="s">
        <v>51</v>
      </c>
      <c r="D18" s="37" t="s">
        <v>50</v>
      </c>
      <c r="E18" s="38" t="s">
        <v>14</v>
      </c>
      <c r="F18" s="39">
        <v>240</v>
      </c>
      <c r="G18" s="40"/>
      <c r="H18" s="41"/>
      <c r="I18" s="41"/>
    </row>
    <row r="19" ht="12.75" customHeight="1" spans="1:9" x14ac:dyDescent="0.25">
      <c r="A19" s="35" t="s">
        <v>48</v>
      </c>
      <c r="B19" s="35" t="s">
        <v>13</v>
      </c>
      <c r="C19" s="36" t="s">
        <v>52</v>
      </c>
      <c r="D19" s="37" t="s">
        <v>50</v>
      </c>
      <c r="E19" s="38" t="s">
        <v>14</v>
      </c>
      <c r="F19" s="39">
        <v>485</v>
      </c>
      <c r="G19" s="40"/>
      <c r="H19" s="41"/>
      <c r="I19" s="41"/>
    </row>
    <row r="20" ht="12.75" customHeight="1" spans="1:9" x14ac:dyDescent="0.25">
      <c r="A20" s="42" t="s">
        <v>53</v>
      </c>
      <c r="B20" s="43" t="s">
        <v>54</v>
      </c>
      <c r="C20" s="44"/>
      <c r="D20" s="44"/>
      <c r="E20" s="44"/>
      <c r="F20" s="45">
        <f>=SUM(F4:F19)</f>
      </c>
      <c r="G20" s="46">
        <f>=SUM(G4:G19)</f>
      </c>
      <c r="H20" s="44"/>
      <c r="I20" s="44"/>
    </row>
  </sheetData>
  <mergeCells count="7">
    <mergeCell ref="A1:I1"/>
    <mergeCell ref="G5:G16"/>
    <mergeCell ref="H5:H16"/>
    <mergeCell ref="I5:I16"/>
    <mergeCell ref="G17:G19"/>
    <mergeCell ref="H17:H19"/>
    <mergeCell ref="I17:I19"/>
  </mergeCells>
  <pageMargins left="0.159722222222222" right="0.159722222222222" top="0.3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8.66796875" customHeight="1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55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9" x14ac:dyDescent="0.25">
      <c r="A2" s="48" t="s">
        <v>56</v>
      </c>
      <c r="B2" s="48"/>
      <c r="C2" s="48"/>
      <c r="F2" s="49"/>
      <c r="G2" s="50" t="s">
        <v>57</v>
      </c>
      <c r="H2" s="48"/>
      <c r="I2" s="48"/>
    </row>
    <row r="3" ht="15" customHeight="1" spans="1:11" x14ac:dyDescent="0.25">
      <c r="A3" s="51" t="s">
        <v>58</v>
      </c>
      <c r="B3" s="51"/>
      <c r="C3" s="51"/>
      <c r="D3" s="51"/>
      <c r="E3" s="51"/>
      <c r="F3" s="49"/>
      <c r="G3" s="3"/>
      <c r="J3" s="3"/>
      <c r="K3" s="52"/>
    </row>
    <row r="4" ht="15" customHeight="1" spans="1:11" x14ac:dyDescent="0.25">
      <c r="A4" s="1" t="s">
        <v>59</v>
      </c>
      <c r="F4" s="49"/>
      <c r="G4" s="53" t="s">
        <v>60</v>
      </c>
      <c r="J4" s="54"/>
      <c r="K4" s="54">
        <v>46094.625</v>
      </c>
    </row>
    <row r="5" ht="15" customHeight="1" spans="1:9" x14ac:dyDescent="0.25">
      <c r="A5" s="1" t="s">
        <v>61</v>
      </c>
      <c r="F5" s="49"/>
      <c r="G5" s="50" t="s">
        <v>62</v>
      </c>
      <c r="H5" s="48"/>
      <c r="I5" s="55"/>
    </row>
    <row r="6" ht="15" customHeight="1" spans="1:11" x14ac:dyDescent="0.25">
      <c r="A6" s="1" t="s">
        <v>63</v>
      </c>
      <c r="F6" s="49"/>
      <c r="G6" s="3"/>
      <c r="H6" s="3"/>
      <c r="I6" s="3"/>
      <c r="J6" s="3"/>
      <c r="K6" s="56"/>
    </row>
    <row r="7" ht="15" customHeight="1" spans="1:11" x14ac:dyDescent="0.25">
      <c r="A7" s="48" t="s">
        <v>64</v>
      </c>
      <c r="B7" s="48"/>
      <c r="C7" s="55"/>
      <c r="D7" s="55"/>
      <c r="E7" s="55"/>
      <c r="F7" s="57"/>
      <c r="H7" s="51"/>
      <c r="I7" s="51"/>
      <c r="J7" s="58" t="s">
        <v>65</v>
      </c>
      <c r="K7" s="59"/>
    </row>
    <row r="8" ht="15" customHeight="1" spans="1:11" x14ac:dyDescent="0.25">
      <c r="A8" s="51" t="s">
        <v>66</v>
      </c>
      <c r="B8" s="51"/>
      <c r="C8" s="51"/>
      <c r="F8" s="49"/>
      <c r="G8" s="50" t="s">
        <v>67</v>
      </c>
      <c r="H8" s="48"/>
      <c r="I8" s="48"/>
      <c r="J8" s="55"/>
      <c r="K8" s="60"/>
    </row>
    <row r="9" ht="15" customHeight="1" spans="1:11" x14ac:dyDescent="0.25">
      <c r="A9" s="1" t="s">
        <v>68</v>
      </c>
      <c r="F9" s="49"/>
      <c r="G9" s="1" t="s">
        <v>65</v>
      </c>
      <c r="K9" s="59"/>
    </row>
    <row r="10" ht="15" customHeight="1" spans="1:11" x14ac:dyDescent="0.25">
      <c r="A10" s="1" t="s">
        <v>69</v>
      </c>
      <c r="F10" s="49"/>
      <c r="G10" s="61" t="s">
        <v>65</v>
      </c>
      <c r="H10" s="61"/>
      <c r="I10" s="61"/>
      <c r="J10" s="61"/>
      <c r="K10" s="59"/>
    </row>
    <row r="11" ht="15" customHeight="1" spans="1:11" x14ac:dyDescent="0.25">
      <c r="A11" s="1" t="s">
        <v>70</v>
      </c>
      <c r="F11" s="49"/>
      <c r="G11" s="50" t="s">
        <v>71</v>
      </c>
      <c r="H11" s="48"/>
      <c r="K11" s="62"/>
    </row>
    <row r="12" ht="15" customHeight="1" spans="1:11" x14ac:dyDescent="0.25">
      <c r="A12" s="61" t="s">
        <v>72</v>
      </c>
      <c r="B12" s="63"/>
      <c r="C12" s="61"/>
      <c r="D12" s="61"/>
      <c r="E12" s="61"/>
      <c r="F12" s="64"/>
      <c r="G12" s="3"/>
      <c r="K12" s="65"/>
    </row>
    <row r="13" ht="15" customHeight="1" spans="1:11" x14ac:dyDescent="0.25">
      <c r="A13" s="66" t="s">
        <v>73</v>
      </c>
      <c r="F13" s="49"/>
      <c r="G13" s="3"/>
      <c r="I13" s="67"/>
      <c r="J13" s="68"/>
      <c r="K13" s="65"/>
    </row>
    <row r="14" ht="15" customHeight="1" spans="1:11" x14ac:dyDescent="0.25">
      <c r="A14" s="69" t="s">
        <v>74</v>
      </c>
      <c r="B14" s="69"/>
      <c r="F14" s="49"/>
      <c r="I14" s="67"/>
      <c r="J14" s="68"/>
      <c r="K14" s="65"/>
    </row>
    <row r="15" ht="15" customHeight="1" spans="6:11" x14ac:dyDescent="0.25">
      <c r="F15" s="49"/>
      <c r="H15" s="51"/>
      <c r="K15" s="65"/>
    </row>
    <row r="16" ht="15" customHeight="1" spans="1:11" x14ac:dyDescent="0.25">
      <c r="A16" s="48" t="s">
        <v>75</v>
      </c>
      <c r="B16" s="48"/>
      <c r="C16" s="57"/>
      <c r="D16" s="48" t="s">
        <v>76</v>
      </c>
      <c r="E16" s="48"/>
      <c r="F16" s="70"/>
      <c r="G16" s="3"/>
      <c r="H16" s="67"/>
      <c r="I16" s="71"/>
      <c r="J16" s="51"/>
      <c r="K16" s="65"/>
    </row>
    <row r="17" ht="15" customHeight="1" spans="4:11" x14ac:dyDescent="0.25">
      <c r="D17" s="72" t="s">
        <v>65</v>
      </c>
      <c r="E17" s="53"/>
      <c r="F17" s="49"/>
      <c r="H17" s="67"/>
      <c r="I17" s="71"/>
      <c r="J17" s="51"/>
      <c r="K17" s="65"/>
    </row>
    <row r="18" ht="15" customHeight="1" spans="1:11" x14ac:dyDescent="0.25">
      <c r="A18" s="73" t="s">
        <v>77</v>
      </c>
      <c r="B18" s="73"/>
      <c r="C18" s="73"/>
      <c r="D18" s="74" t="s">
        <v>78</v>
      </c>
      <c r="E18" s="74"/>
      <c r="F18" s="74"/>
      <c r="H18" s="67"/>
      <c r="I18" s="71"/>
      <c r="J18" s="51"/>
      <c r="K18" s="65"/>
    </row>
    <row r="19" ht="15" customHeight="1" spans="1:11" x14ac:dyDescent="0.25">
      <c r="A19" s="48" t="s">
        <v>79</v>
      </c>
      <c r="B19" s="48"/>
      <c r="C19" s="49"/>
      <c r="D19" s="48" t="s">
        <v>80</v>
      </c>
      <c r="E19" s="48"/>
      <c r="F19" s="70"/>
      <c r="K19" s="65"/>
    </row>
    <row r="20" ht="15" customHeight="1" spans="1:11" x14ac:dyDescent="0.25">
      <c r="A20" s="1" t="s">
        <v>65</v>
      </c>
      <c r="C20" s="49"/>
      <c r="D20" s="1" t="s">
        <v>65</v>
      </c>
      <c r="F20" s="49"/>
      <c r="G20" s="1" t="s">
        <v>65</v>
      </c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81</v>
      </c>
      <c r="B22" s="78"/>
      <c r="C22" s="78"/>
      <c r="D22" s="79" t="s">
        <v>82</v>
      </c>
      <c r="E22" s="79"/>
      <c r="F22" s="79"/>
      <c r="G22" s="79" t="s">
        <v>83</v>
      </c>
      <c r="H22" s="79"/>
      <c r="I22" s="80" t="s">
        <v>84</v>
      </c>
      <c r="J22" s="81" t="s">
        <v>85</v>
      </c>
      <c r="K22" s="81"/>
    </row>
    <row r="23" ht="15" customHeight="1" spans="1:9" x14ac:dyDescent="0.25">
      <c r="A23" s="1" t="s">
        <v>65</v>
      </c>
      <c r="C23" s="49"/>
      <c r="F23" s="49"/>
      <c r="H23" s="49"/>
      <c r="I23" s="49"/>
    </row>
    <row r="24" ht="15" customHeight="1" spans="1:9" x14ac:dyDescent="0.25">
      <c r="A24" s="1" t="s">
        <v>65</v>
      </c>
      <c r="G24" s="82" t="s">
        <v>86</v>
      </c>
      <c r="H24" s="82"/>
      <c r="I24" s="82"/>
    </row>
    <row r="25" ht="15" customHeight="1" spans="1:11" x14ac:dyDescent="0.25">
      <c r="A25" s="83" t="s">
        <v>87</v>
      </c>
      <c r="C25" s="3"/>
      <c r="F25" s="3"/>
      <c r="G25" s="3"/>
      <c r="H25" s="3"/>
      <c r="I25" s="3"/>
      <c r="J25" s="3"/>
      <c r="K25" s="84"/>
    </row>
    <row r="26" ht="15" customHeight="1" spans="1:11" x14ac:dyDescent="0.25">
      <c r="A26" s="85" t="s">
        <v>88</v>
      </c>
      <c r="C26" s="3"/>
      <c r="F26" s="3"/>
      <c r="G26" s="3"/>
      <c r="H26" s="3"/>
      <c r="I26" s="3"/>
      <c r="J26" s="3"/>
      <c r="K26" s="86"/>
    </row>
    <row r="27" ht="15" customHeight="1" spans="1:11" x14ac:dyDescent="0.25">
      <c r="A27" s="87"/>
      <c r="D27" s="51" t="s">
        <v>89</v>
      </c>
      <c r="E27" s="51"/>
      <c r="F27" s="51"/>
      <c r="K27" s="86"/>
    </row>
    <row r="28" ht="15" customHeight="1" spans="1:11" x14ac:dyDescent="0.25">
      <c r="A28" s="87" t="s">
        <v>90</v>
      </c>
      <c r="K28" s="86"/>
    </row>
    <row r="29" ht="15" customHeight="1" spans="1:10" x14ac:dyDescent="0.25">
      <c r="A29" s="87" t="s">
        <v>91</v>
      </c>
      <c r="F29" s="3"/>
      <c r="G29" s="88"/>
      <c r="H29" s="89"/>
      <c r="I29" s="90"/>
      <c r="J29" s="91"/>
    </row>
    <row r="30" ht="15" customHeight="1" spans="1:10" x14ac:dyDescent="0.25">
      <c r="A30" s="87" t="s">
        <v>92</v>
      </c>
      <c r="B30" s="88"/>
      <c r="F30" s="3"/>
      <c r="G30" s="88"/>
      <c r="H30" s="89"/>
      <c r="I30" s="90"/>
      <c r="J30" s="91"/>
    </row>
    <row r="31" ht="15" customHeight="1" spans="1:10" x14ac:dyDescent="0.25">
      <c r="A31" s="87" t="s">
        <v>93</v>
      </c>
      <c r="B31" s="88"/>
      <c r="C31" s="3"/>
      <c r="D31" s="92" t="s">
        <v>53</v>
      </c>
      <c r="E31" s="92"/>
      <c r="F31" s="92"/>
      <c r="G31" s="93"/>
      <c r="H31" s="94"/>
      <c r="I31" s="94"/>
      <c r="J31" s="95">
        <f>=VLOOKUP("GRAND TOTAL :",BVT.INV!B:I,6,0)</f>
      </c>
    </row>
    <row r="32" ht="15" customHeight="1" spans="2:10" x14ac:dyDescent="0.25">
      <c r="B32" s="88"/>
      <c r="F32" s="3"/>
      <c r="G32" s="88"/>
      <c r="H32" s="89"/>
      <c r="I32" s="90"/>
      <c r="J32" s="96"/>
    </row>
    <row r="33" ht="15" customHeight="1" spans="2:10" x14ac:dyDescent="0.25">
      <c r="B33" s="88"/>
      <c r="F33" s="3"/>
      <c r="G33" s="88"/>
      <c r="H33" s="89"/>
      <c r="I33" s="90"/>
      <c r="J33" s="96"/>
    </row>
    <row r="34" ht="15" customHeight="1" spans="2:10" x14ac:dyDescent="0.25">
      <c r="B34" s="88"/>
      <c r="F34" s="3"/>
      <c r="G34" s="88"/>
      <c r="H34" s="89"/>
      <c r="I34" s="90"/>
      <c r="J34" s="96"/>
    </row>
    <row r="35" ht="15" customHeight="1" spans="2:10" x14ac:dyDescent="0.25">
      <c r="B35" s="88"/>
      <c r="F35" s="3"/>
      <c r="G35" s="88"/>
      <c r="H35" s="89"/>
      <c r="I35" s="90"/>
      <c r="J35" s="96"/>
    </row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spans="1:6" x14ac:dyDescent="0.25">
      <c r="A40" s="66" t="s">
        <v>94</v>
      </c>
      <c r="B40" s="66"/>
      <c r="C40" s="66"/>
      <c r="D40" s="66"/>
      <c r="E40" s="66"/>
      <c r="F40" s="66"/>
    </row>
    <row r="41" ht="15" customHeight="1" spans="1:11" x14ac:dyDescent="0.25">
      <c r="A41" s="66" t="s">
        <v>95</v>
      </c>
      <c r="B41" s="66"/>
      <c r="C41" s="66"/>
      <c r="H41" s="97" t="s">
        <v>96</v>
      </c>
      <c r="I41" s="61"/>
      <c r="J41" s="61"/>
      <c r="K41" s="61"/>
    </row>
  </sheetData>
  <mergeCells count="8">
    <mergeCell ref="A1:K1"/>
    <mergeCell ref="A18:C18"/>
    <mergeCell ref="D18:F18"/>
    <mergeCell ref="A21:C21"/>
    <mergeCell ref="D21:F21"/>
    <mergeCell ref="A22:C22"/>
    <mergeCell ref="D22:F22"/>
    <mergeCell ref="G22:H22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8.66796875" customHeight="1"/>
  <cols>
    <col min="1" max="1" width="4.56" style="98" customWidth="1"/>
    <col min="2" max="2" width="15.11" style="98" customWidth="1"/>
    <col min="3" max="3" width="26.44" style="98" customWidth="1"/>
    <col min="4" max="4" width="7.78" style="98" customWidth="1"/>
    <col min="5" max="5" width="9.67" style="98" customWidth="1"/>
    <col min="6" max="6" width="4.11" style="98" customWidth="1"/>
    <col min="7" max="7" width="11.33" style="98" customWidth="1"/>
    <col min="8" max="9" width="9" style="98" customWidth="1"/>
    <col min="10" max="10" width="2.44" style="98" customWidth="1"/>
    <col min="11" max="11" width="7.9" style="98" customWidth="1"/>
    <col min="12" max="12" width="6.11" style="98" customWidth="1"/>
    <col min="13" max="13" width="12.11" style="98" customWidth="1"/>
  </cols>
  <sheetData>
    <row r="1" ht="23.25" customHeight="1" spans="1:13" x14ac:dyDescent="0.25">
      <c r="A1" s="99" t="s">
        <v>97</v>
      </c>
      <c r="B1" s="99"/>
      <c r="C1" s="99"/>
      <c r="D1" s="99"/>
      <c r="E1" s="99"/>
      <c r="F1" s="99"/>
      <c r="G1" s="99"/>
      <c r="H1" s="99"/>
      <c r="I1" s="99"/>
      <c r="J1" s="100"/>
      <c r="K1" s="101"/>
      <c r="L1" s="102"/>
      <c r="M1" s="102"/>
    </row>
    <row r="2" ht="12" customHeight="1" spans="1:10" x14ac:dyDescent="0.25">
      <c r="A2" s="103"/>
      <c r="B2" s="103"/>
      <c r="C2" s="103"/>
      <c r="D2" s="103"/>
      <c r="E2" s="103"/>
      <c r="F2" s="103"/>
      <c r="G2" s="103"/>
      <c r="H2" s="104"/>
      <c r="I2" s="100"/>
      <c r="J2" s="100"/>
    </row>
    <row r="3" ht="12" customHeight="1" spans="1:13" x14ac:dyDescent="0.25">
      <c r="A3" s="105" t="s">
        <v>1</v>
      </c>
      <c r="B3" s="105" t="s">
        <v>2</v>
      </c>
      <c r="C3" s="105" t="s">
        <v>3</v>
      </c>
      <c r="D3" s="105" t="s">
        <v>4</v>
      </c>
      <c r="E3" s="105" t="s">
        <v>5</v>
      </c>
      <c r="F3" s="105" t="s">
        <v>6</v>
      </c>
      <c r="G3" s="105" t="s">
        <v>7</v>
      </c>
      <c r="H3" s="105" t="s">
        <v>8</v>
      </c>
      <c r="I3" s="105" t="s">
        <v>9</v>
      </c>
      <c r="J3" s="106"/>
      <c r="K3" s="107" t="s">
        <v>98</v>
      </c>
      <c r="L3" s="107" t="s">
        <v>10</v>
      </c>
      <c r="M3" s="107" t="s">
        <v>11</v>
      </c>
    </row>
    <row r="4" ht="12" customHeight="1" spans="1:13" x14ac:dyDescent="0.25">
      <c r="A4" s="108">
        <v>1</v>
      </c>
      <c r="B4" s="109" t="s">
        <v>12</v>
      </c>
      <c r="C4" s="109" t="s">
        <v>13</v>
      </c>
      <c r="D4" s="110">
        <v>0.01</v>
      </c>
      <c r="E4" s="111">
        <v>785</v>
      </c>
      <c r="F4" s="112" t="s">
        <v>14</v>
      </c>
      <c r="G4" s="110">
        <v>7.85</v>
      </c>
      <c r="H4" s="113" t="s">
        <v>15</v>
      </c>
      <c r="I4" s="114">
        <v>38.17</v>
      </c>
      <c r="J4" s="103" t="s">
        <v>16</v>
      </c>
      <c r="K4" s="98" t="s">
        <v>99</v>
      </c>
      <c r="L4" s="98" t="s">
        <v>17</v>
      </c>
      <c r="M4" s="98" t="s">
        <v>18</v>
      </c>
    </row>
    <row r="5" ht="12" customHeight="1" spans="1:13" x14ac:dyDescent="0.25">
      <c r="A5" s="108">
        <v>2</v>
      </c>
      <c r="B5" s="109" t="s">
        <v>15</v>
      </c>
      <c r="C5" s="109" t="s">
        <v>19</v>
      </c>
      <c r="D5" s="110">
        <v>2.95</v>
      </c>
      <c r="E5" s="111">
        <v>100</v>
      </c>
      <c r="F5" s="112" t="s">
        <v>20</v>
      </c>
      <c r="G5" s="110">
        <v>295</v>
      </c>
      <c r="H5" s="113" t="s">
        <v>21</v>
      </c>
      <c r="I5" s="114">
        <v>4.86</v>
      </c>
      <c r="J5" s="103" t="s">
        <v>16</v>
      </c>
      <c r="K5" s="98" t="s">
        <v>15</v>
      </c>
      <c r="L5" s="98" t="s">
        <v>15</v>
      </c>
      <c r="M5" s="98" t="s">
        <v>15</v>
      </c>
    </row>
    <row r="6" ht="12" customHeight="1" spans="1:13" x14ac:dyDescent="0.25">
      <c r="A6" s="108">
        <v>3</v>
      </c>
      <c r="B6" s="109" t="s">
        <v>15</v>
      </c>
      <c r="C6" s="109" t="s">
        <v>22</v>
      </c>
      <c r="D6" s="110">
        <v>0.11</v>
      </c>
      <c r="E6" s="111">
        <v>6000</v>
      </c>
      <c r="F6" s="112" t="s">
        <v>23</v>
      </c>
      <c r="G6" s="110">
        <v>660</v>
      </c>
      <c r="H6" s="113" t="s">
        <v>21</v>
      </c>
      <c r="I6" s="114">
        <v>291.66999999999996</v>
      </c>
      <c r="J6" s="103" t="s">
        <v>16</v>
      </c>
      <c r="K6" s="98" t="s">
        <v>15</v>
      </c>
      <c r="L6" s="98" t="s">
        <v>15</v>
      </c>
      <c r="M6" s="98" t="s">
        <v>15</v>
      </c>
    </row>
    <row r="7" ht="12.75" customHeight="1" spans="1:11" x14ac:dyDescent="0.25">
      <c r="A7" s="115"/>
      <c r="B7" s="116" t="s">
        <v>24</v>
      </c>
      <c r="C7" s="116"/>
      <c r="D7" s="117"/>
      <c r="E7" s="118">
        <f>=SUM(E4:E6)</f>
      </c>
      <c r="F7" s="119"/>
      <c r="G7" s="120">
        <f>=SUM(G4:G6)</f>
      </c>
      <c r="H7" s="121"/>
      <c r="I7" s="122">
        <f>=SUM(I4:I6)</f>
      </c>
      <c r="J7" s="103" t="s">
        <v>16</v>
      </c>
      <c r="K7" s="123"/>
    </row>
  </sheetData>
  <mergeCells count="1">
    <mergeCell ref="A1:I1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 showGridLines="0" zoomScale="100" zoomScaleNormal="100" view="normal">
      <selection activeCell="G14" sqref="G14"/>
    </sheetView>
  </sheetViews>
  <sheetFormatPr defaultRowHeight="12.8" outlineLevelRow="0" outlineLevelCol="0" x14ac:dyDescent="0" defaultColWidth="8.66796875" customHeight="1"/>
  <cols>
    <col min="1" max="1" width="4.67" style="3" customWidth="1"/>
    <col min="2" max="2" width="14.44" style="3" customWidth="1"/>
    <col min="3" max="3" width="45.6" style="3" customWidth="1"/>
    <col min="5" max="5" width="8.78" style="3" customWidth="1"/>
    <col min="6" max="6" width="12.9" style="3" customWidth="1"/>
    <col min="7" max="7" width="11.44" style="3" customWidth="1"/>
    <col min="8" max="9" width="8.88" style="3" customWidth="1"/>
  </cols>
  <sheetData>
    <row r="1" ht="23.25" customHeight="1" spans="1:9" x14ac:dyDescent="0.25">
      <c r="A1" s="2" t="s">
        <v>100</v>
      </c>
      <c r="B1" s="2"/>
      <c r="C1" s="2"/>
      <c r="D1" s="2"/>
      <c r="E1" s="2"/>
      <c r="F1" s="2"/>
      <c r="G1" s="2"/>
      <c r="H1" s="29"/>
      <c r="I1" s="29" t="s">
        <v>60</v>
      </c>
    </row>
    <row r="2" ht="12.75" customHeight="1" spans="1:9" x14ac:dyDescent="0.25">
      <c r="A2" s="29"/>
      <c r="B2" s="7"/>
      <c r="C2" s="7"/>
      <c r="D2" s="7"/>
      <c r="E2" s="29"/>
      <c r="F2" s="29"/>
      <c r="G2" s="124"/>
      <c r="H2" s="29"/>
      <c r="I2" s="29"/>
    </row>
    <row r="3" ht="12.75" customHeight="1" spans="1:9" x14ac:dyDescent="0.25">
      <c r="A3" s="125" t="s">
        <v>101</v>
      </c>
      <c r="B3" s="126" t="s">
        <v>102</v>
      </c>
      <c r="C3" s="126" t="s">
        <v>103</v>
      </c>
      <c r="D3" s="125" t="s">
        <v>104</v>
      </c>
      <c r="E3" s="125" t="s">
        <v>30</v>
      </c>
      <c r="F3" s="125" t="s">
        <v>105</v>
      </c>
      <c r="G3" s="127"/>
      <c r="H3" s="12"/>
      <c r="I3" s="12"/>
    </row>
    <row r="4" ht="12.75" customHeight="1" spans="1:13" x14ac:dyDescent="0.25">
      <c r="A4" s="11">
        <v>1</v>
      </c>
      <c r="B4" s="6" t="s">
        <v>106</v>
      </c>
      <c r="C4" s="128" t="s">
        <v>107</v>
      </c>
      <c r="D4" s="129">
        <v>21</v>
      </c>
      <c r="E4" s="11"/>
      <c r="F4" s="130">
        <v>46094.625</v>
      </c>
      <c r="G4" s="131"/>
      <c r="H4" s="29"/>
      <c r="I4" s="29"/>
      <c r="J4" s="132"/>
      <c r="K4" s="132"/>
      <c r="L4" s="132"/>
      <c r="M4" s="132"/>
    </row>
    <row r="5" ht="12.75" customHeight="1" spans="1:13" x14ac:dyDescent="0.25">
      <c r="A5" s="11">
        <v>2</v>
      </c>
      <c r="B5" s="6" t="s">
        <v>108</v>
      </c>
      <c r="C5" s="128" t="s">
        <v>109</v>
      </c>
      <c r="D5" s="129">
        <v>32</v>
      </c>
      <c r="E5" s="29"/>
      <c r="F5" s="133">
        <v>46094.625</v>
      </c>
      <c r="G5" s="29"/>
      <c r="H5" s="29"/>
      <c r="I5" s="29"/>
      <c r="J5" s="132"/>
      <c r="K5" s="132"/>
      <c r="L5" s="132"/>
      <c r="M5" s="132"/>
    </row>
    <row r="6" ht="12.75" customHeight="1" spans="1:13" x14ac:dyDescent="0.25">
      <c r="A6" s="11">
        <v>3</v>
      </c>
      <c r="B6" s="6" t="s">
        <v>110</v>
      </c>
      <c r="C6" s="128" t="s">
        <v>111</v>
      </c>
      <c r="D6" s="129">
        <v>20</v>
      </c>
      <c r="E6" s="29"/>
      <c r="F6" s="133">
        <v>46094.625</v>
      </c>
      <c r="G6" s="29"/>
      <c r="H6" s="29"/>
      <c r="I6" s="29"/>
      <c r="J6" s="132"/>
      <c r="K6" s="132"/>
      <c r="L6" s="132"/>
      <c r="M6" s="132"/>
    </row>
    <row r="7" ht="12.75" customHeight="1" spans="1:13" x14ac:dyDescent="0.25">
      <c r="A7" s="11">
        <v>4</v>
      </c>
      <c r="B7" s="6" t="s">
        <v>112</v>
      </c>
      <c r="C7" s="128" t="s">
        <v>113</v>
      </c>
      <c r="D7" s="129">
        <v>32</v>
      </c>
      <c r="E7" s="29"/>
      <c r="F7" s="133">
        <v>46094.625</v>
      </c>
      <c r="G7" s="29"/>
      <c r="H7" s="29"/>
      <c r="I7" s="29"/>
      <c r="J7" s="132"/>
      <c r="K7" s="132"/>
      <c r="L7" s="132"/>
      <c r="M7" s="132"/>
    </row>
    <row r="8" ht="12.75" customHeight="1" spans="1:13" x14ac:dyDescent="0.25">
      <c r="A8" s="11">
        <v>5</v>
      </c>
      <c r="B8" s="6" t="s">
        <v>114</v>
      </c>
      <c r="C8" s="128" t="s">
        <v>115</v>
      </c>
      <c r="D8" s="129">
        <v>21</v>
      </c>
      <c r="E8" s="29"/>
      <c r="F8" s="133">
        <v>46094.625</v>
      </c>
      <c r="G8" s="29"/>
      <c r="H8" s="29"/>
      <c r="I8" s="29"/>
      <c r="J8" s="132"/>
      <c r="K8" s="132"/>
      <c r="L8" s="132"/>
      <c r="M8" s="132"/>
    </row>
    <row r="9" ht="12.75" customHeight="1" spans="1:13" x14ac:dyDescent="0.25">
      <c r="A9" s="11">
        <v>6</v>
      </c>
      <c r="B9" s="6" t="s">
        <v>116</v>
      </c>
      <c r="C9" s="128" t="s">
        <v>117</v>
      </c>
      <c r="D9" s="129">
        <v>32</v>
      </c>
      <c r="E9" s="29"/>
      <c r="F9" s="133">
        <v>46094.625</v>
      </c>
      <c r="G9" s="29"/>
      <c r="H9" s="29"/>
      <c r="I9" s="29"/>
      <c r="J9" s="132"/>
      <c r="K9" s="132"/>
      <c r="L9" s="132"/>
      <c r="M9" s="132"/>
    </row>
    <row r="10" ht="12.75" customHeight="1" spans="1:13" x14ac:dyDescent="0.25">
      <c r="A10" s="11">
        <v>7</v>
      </c>
      <c r="B10" s="6" t="s">
        <v>118</v>
      </c>
      <c r="C10" s="128" t="s">
        <v>119</v>
      </c>
      <c r="D10" s="129">
        <v>20</v>
      </c>
      <c r="E10" s="29"/>
      <c r="F10" s="133">
        <v>46094.625</v>
      </c>
      <c r="G10" s="29"/>
      <c r="H10" s="29"/>
      <c r="I10" s="29"/>
      <c r="J10" s="132"/>
      <c r="K10" s="132"/>
      <c r="L10" s="132"/>
      <c r="M10" s="132"/>
    </row>
    <row r="11" ht="12.75" customHeight="1" spans="1:13" x14ac:dyDescent="0.25">
      <c r="A11" s="11">
        <v>8</v>
      </c>
      <c r="B11" s="6" t="s">
        <v>120</v>
      </c>
      <c r="C11" s="128" t="s">
        <v>121</v>
      </c>
      <c r="D11" s="129">
        <v>32</v>
      </c>
      <c r="E11" s="29"/>
      <c r="F11" s="133">
        <v>46094.625</v>
      </c>
      <c r="G11" s="29"/>
      <c r="H11" s="29"/>
      <c r="I11" s="29"/>
      <c r="J11" s="132"/>
      <c r="K11" s="132"/>
      <c r="L11" s="132"/>
      <c r="M11" s="132"/>
    </row>
    <row r="13" spans="1:9" x14ac:dyDescent="0.25">
      <c r="A13" s="134" t="s">
        <v>101</v>
      </c>
      <c r="B13" s="134" t="s">
        <v>122</v>
      </c>
      <c r="C13" s="134" t="s">
        <v>123</v>
      </c>
      <c r="D13" s="134" t="s">
        <v>4</v>
      </c>
      <c r="E13" s="134" t="s">
        <v>5</v>
      </c>
      <c r="F13" s="134" t="s">
        <v>6</v>
      </c>
      <c r="G13" s="134" t="s">
        <v>7</v>
      </c>
      <c r="H13" s="134" t="s">
        <v>8</v>
      </c>
      <c r="I13" s="134" t="s">
        <v>9</v>
      </c>
    </row>
    <row r="14" spans="1:13" x14ac:dyDescent="0.25">
      <c r="A14" s="29">
        <v>1</v>
      </c>
      <c r="B14" s="29" t="s">
        <v>15</v>
      </c>
      <c r="C14" s="135" t="s">
        <v>22</v>
      </c>
      <c r="D14" s="136">
        <v>0.11</v>
      </c>
      <c r="E14" s="136">
        <v>6000</v>
      </c>
      <c r="F14" s="29" t="s">
        <v>23</v>
      </c>
      <c r="G14" s="136">
        <v>660</v>
      </c>
      <c r="H14" s="29" t="s">
        <v>21</v>
      </c>
      <c r="I14" s="136">
        <v>291.66999999999996</v>
      </c>
      <c r="J14" s="132" t="s">
        <v>16</v>
      </c>
      <c r="K14" s="132" t="s">
        <v>15</v>
      </c>
      <c r="L14" s="132" t="s">
        <v>15</v>
      </c>
      <c r="M14" s="132" t="s">
        <v>15</v>
      </c>
    </row>
    <row r="15" spans="1:13" x14ac:dyDescent="0.25">
      <c r="A15" s="137"/>
      <c r="B15" s="137" t="s">
        <v>24</v>
      </c>
      <c r="C15" s="137"/>
      <c r="D15" s="138"/>
      <c r="E15" s="139">
        <f>=SUM(E14:E14)</f>
      </c>
      <c r="F15" s="137"/>
      <c r="G15" s="139">
        <f>=SUM(G14:G14)</f>
      </c>
      <c r="H15" s="137"/>
      <c r="I15" s="137"/>
      <c r="J15" s="132"/>
      <c r="K15" s="132"/>
      <c r="L15" s="132"/>
      <c r="M15" s="132"/>
    </row>
    <row r="17" spans="1:9" x14ac:dyDescent="0.25">
      <c r="A17" s="3" t="s">
        <v>124</v>
      </c>
      <c r="B17" s="3" t="s">
        <v>100</v>
      </c>
      <c r="C17" s="3" t="s">
        <v>100</v>
      </c>
      <c r="D17" t="s">
        <v>100</v>
      </c>
      <c r="E17" s="3" t="s">
        <v>100</v>
      </c>
      <c r="F17" s="3" t="s">
        <v>100</v>
      </c>
      <c r="G17" s="3" t="s">
        <v>100</v>
      </c>
      <c r="I17" s="3" t="s">
        <v>15</v>
      </c>
    </row>
    <row r="19" spans="1:6" x14ac:dyDescent="0.25">
      <c r="A19" s="3" t="s">
        <v>101</v>
      </c>
      <c r="B19" s="3" t="s">
        <v>102</v>
      </c>
      <c r="C19" s="3" t="s">
        <v>103</v>
      </c>
      <c r="D19" t="s">
        <v>104</v>
      </c>
      <c r="E19" s="3" t="s">
        <v>30</v>
      </c>
      <c r="F19" s="3" t="s">
        <v>105</v>
      </c>
    </row>
    <row r="20" spans="1:13" x14ac:dyDescent="0.25">
      <c r="A20" s="29">
        <v>1</v>
      </c>
      <c r="B20" s="29" t="s">
        <v>125</v>
      </c>
      <c r="C20" s="135" t="s">
        <v>126</v>
      </c>
      <c r="D20" s="129">
        <v>1</v>
      </c>
      <c r="E20" s="29"/>
      <c r="F20" s="140">
        <v>46094.625</v>
      </c>
      <c r="G20" s="29"/>
      <c r="H20" s="29"/>
      <c r="I20" s="29"/>
      <c r="J20" s="132"/>
      <c r="K20" s="132"/>
      <c r="L20" s="132"/>
      <c r="M20" s="132"/>
    </row>
    <row r="22" spans="1:9" x14ac:dyDescent="0.25">
      <c r="A22" s="134" t="s">
        <v>101</v>
      </c>
      <c r="B22" s="134" t="s">
        <v>122</v>
      </c>
      <c r="C22" s="134" t="s">
        <v>123</v>
      </c>
      <c r="D22" s="134" t="s">
        <v>4</v>
      </c>
      <c r="E22" s="134" t="s">
        <v>5</v>
      </c>
      <c r="F22" s="134" t="s">
        <v>6</v>
      </c>
      <c r="G22" s="134" t="s">
        <v>7</v>
      </c>
      <c r="H22" s="134" t="s">
        <v>8</v>
      </c>
      <c r="I22" s="134" t="s">
        <v>9</v>
      </c>
    </row>
    <row r="23" spans="1:13" x14ac:dyDescent="0.25">
      <c r="A23" s="29">
        <v>1</v>
      </c>
      <c r="B23" s="29" t="s">
        <v>15</v>
      </c>
      <c r="C23" s="135" t="s">
        <v>19</v>
      </c>
      <c r="D23" s="136">
        <v>2.95</v>
      </c>
      <c r="E23" s="136">
        <v>100</v>
      </c>
      <c r="F23" s="29" t="s">
        <v>20</v>
      </c>
      <c r="G23" s="136">
        <v>295</v>
      </c>
      <c r="H23" s="29" t="s">
        <v>21</v>
      </c>
      <c r="I23" s="136">
        <v>4.86</v>
      </c>
      <c r="J23" s="132" t="s">
        <v>16</v>
      </c>
      <c r="K23" s="132" t="s">
        <v>15</v>
      </c>
      <c r="L23" s="132" t="s">
        <v>15</v>
      </c>
      <c r="M23" s="132" t="s">
        <v>15</v>
      </c>
    </row>
    <row r="24" spans="1:13" x14ac:dyDescent="0.25">
      <c r="A24" s="137"/>
      <c r="B24" s="137" t="s">
        <v>24</v>
      </c>
      <c r="C24" s="137"/>
      <c r="D24" s="138"/>
      <c r="E24" s="139">
        <f>=SUM(E23:E23)</f>
      </c>
      <c r="F24" s="137"/>
      <c r="G24" s="139">
        <f>=SUM(G23:G23)</f>
      </c>
      <c r="H24" s="137"/>
      <c r="I24" s="137"/>
      <c r="J24" s="132"/>
      <c r="K24" s="132"/>
      <c r="L24" s="132"/>
      <c r="M24" s="132"/>
    </row>
    <row r="26" spans="1:9" x14ac:dyDescent="0.25">
      <c r="A26" s="3" t="s">
        <v>127</v>
      </c>
      <c r="B26" s="3" t="s">
        <v>100</v>
      </c>
      <c r="C26" s="3" t="s">
        <v>100</v>
      </c>
      <c r="D26" t="s">
        <v>100</v>
      </c>
      <c r="E26" s="3" t="s">
        <v>100</v>
      </c>
      <c r="F26" s="3" t="s">
        <v>100</v>
      </c>
      <c r="G26" s="3" t="s">
        <v>100</v>
      </c>
      <c r="I26" s="3" t="s">
        <v>15</v>
      </c>
    </row>
    <row r="28" spans="1:6" x14ac:dyDescent="0.25">
      <c r="A28" s="3" t="s">
        <v>101</v>
      </c>
      <c r="B28" s="3" t="s">
        <v>102</v>
      </c>
      <c r="C28" s="3" t="s">
        <v>103</v>
      </c>
      <c r="D28" t="s">
        <v>104</v>
      </c>
      <c r="E28" s="3" t="s">
        <v>30</v>
      </c>
      <c r="F28" s="3" t="s">
        <v>105</v>
      </c>
    </row>
    <row r="29" spans="1:13" x14ac:dyDescent="0.25">
      <c r="A29" s="29">
        <v>1</v>
      </c>
      <c r="B29" s="29" t="s">
        <v>128</v>
      </c>
      <c r="C29" s="135" t="s">
        <v>129</v>
      </c>
      <c r="D29" s="129">
        <v>308</v>
      </c>
      <c r="E29" s="29"/>
      <c r="F29" s="140">
        <v>46094.625</v>
      </c>
      <c r="G29" s="29"/>
      <c r="H29" s="29"/>
      <c r="I29" s="29"/>
      <c r="J29" s="132"/>
      <c r="K29" s="132"/>
      <c r="L29" s="132"/>
      <c r="M29" s="132"/>
    </row>
    <row r="30" spans="1:13" x14ac:dyDescent="0.25">
      <c r="A30" s="29">
        <v>2</v>
      </c>
      <c r="B30" s="29" t="s">
        <v>130</v>
      </c>
      <c r="C30" s="135" t="s">
        <v>131</v>
      </c>
      <c r="D30" s="129">
        <v>204</v>
      </c>
      <c r="E30" s="29"/>
      <c r="F30" s="140">
        <v>46094.625</v>
      </c>
      <c r="G30" s="29"/>
      <c r="H30" s="29"/>
      <c r="I30" s="29"/>
      <c r="J30" s="132"/>
      <c r="K30" s="132"/>
      <c r="L30" s="132"/>
      <c r="M30" s="132"/>
    </row>
    <row r="31" spans="1:13" x14ac:dyDescent="0.25">
      <c r="A31" s="29">
        <v>3</v>
      </c>
      <c r="B31" s="29" t="s">
        <v>132</v>
      </c>
      <c r="C31" s="135" t="s">
        <v>133</v>
      </c>
      <c r="D31" s="129">
        <v>382</v>
      </c>
      <c r="E31" s="29"/>
      <c r="F31" s="140">
        <v>46094.625</v>
      </c>
      <c r="G31" s="29"/>
      <c r="H31" s="29"/>
      <c r="I31" s="29"/>
      <c r="J31" s="132"/>
      <c r="K31" s="132"/>
      <c r="L31" s="132"/>
      <c r="M31" s="132"/>
    </row>
    <row r="32" spans="1:13" x14ac:dyDescent="0.25">
      <c r="A32" s="29">
        <v>4</v>
      </c>
      <c r="B32" s="29" t="s">
        <v>134</v>
      </c>
      <c r="C32" s="135" t="s">
        <v>135</v>
      </c>
      <c r="D32" s="129">
        <v>204</v>
      </c>
      <c r="E32" s="29"/>
      <c r="F32" s="140">
        <v>46094.625</v>
      </c>
      <c r="G32" s="29"/>
      <c r="H32" s="29"/>
      <c r="I32" s="29"/>
      <c r="J32" s="132"/>
      <c r="K32" s="132"/>
      <c r="L32" s="132"/>
      <c r="M32" s="132"/>
    </row>
    <row r="33" spans="1:13" x14ac:dyDescent="0.25">
      <c r="A33" s="29">
        <v>5</v>
      </c>
      <c r="B33" s="29" t="s">
        <v>136</v>
      </c>
      <c r="C33" s="135" t="s">
        <v>137</v>
      </c>
      <c r="D33" s="129">
        <v>630</v>
      </c>
      <c r="E33" s="29"/>
      <c r="F33" s="140">
        <v>46094.625</v>
      </c>
      <c r="G33" s="29"/>
      <c r="H33" s="29"/>
      <c r="I33" s="29"/>
      <c r="J33" s="132"/>
      <c r="K33" s="132"/>
      <c r="L33" s="132"/>
      <c r="M33" s="132"/>
    </row>
    <row r="34" spans="1:13" x14ac:dyDescent="0.25">
      <c r="A34" s="29">
        <v>6</v>
      </c>
      <c r="B34" s="29" t="s">
        <v>138</v>
      </c>
      <c r="C34" s="135" t="s">
        <v>139</v>
      </c>
      <c r="D34" s="129">
        <v>326</v>
      </c>
      <c r="E34" s="29"/>
      <c r="F34" s="140">
        <v>46094.625</v>
      </c>
      <c r="G34" s="29"/>
      <c r="H34" s="29"/>
      <c r="I34" s="29"/>
      <c r="J34" s="132"/>
      <c r="K34" s="132"/>
      <c r="L34" s="132"/>
      <c r="M34" s="132"/>
    </row>
    <row r="35" spans="1:13" x14ac:dyDescent="0.25">
      <c r="A35" s="29">
        <v>7</v>
      </c>
      <c r="B35" s="29" t="s">
        <v>140</v>
      </c>
      <c r="C35" s="135" t="s">
        <v>141</v>
      </c>
      <c r="D35" s="129">
        <v>716</v>
      </c>
      <c r="E35" s="29"/>
      <c r="F35" s="140">
        <v>46094.625</v>
      </c>
      <c r="G35" s="29"/>
      <c r="H35" s="29"/>
      <c r="I35" s="29"/>
      <c r="J35" s="132"/>
      <c r="K35" s="132"/>
      <c r="L35" s="132"/>
      <c r="M35" s="132"/>
    </row>
    <row r="37" spans="1:9" x14ac:dyDescent="0.25">
      <c r="A37" s="134" t="s">
        <v>101</v>
      </c>
      <c r="B37" s="134" t="s">
        <v>122</v>
      </c>
      <c r="C37" s="134" t="s">
        <v>123</v>
      </c>
      <c r="D37" s="134" t="s">
        <v>4</v>
      </c>
      <c r="E37" s="134" t="s">
        <v>5</v>
      </c>
      <c r="F37" s="134" t="s">
        <v>6</v>
      </c>
      <c r="G37" s="134" t="s">
        <v>7</v>
      </c>
      <c r="H37" s="134" t="s">
        <v>8</v>
      </c>
      <c r="I37" s="134" t="s">
        <v>9</v>
      </c>
    </row>
    <row r="38" spans="1:13" x14ac:dyDescent="0.25">
      <c r="A38" s="29">
        <v>1</v>
      </c>
      <c r="B38" s="29" t="s">
        <v>12</v>
      </c>
      <c r="C38" s="135" t="s">
        <v>13</v>
      </c>
      <c r="D38" s="136">
        <v>0.01</v>
      </c>
      <c r="E38" s="136">
        <v>60</v>
      </c>
      <c r="F38" s="29" t="s">
        <v>14</v>
      </c>
      <c r="G38" s="136">
        <v>0.6</v>
      </c>
      <c r="H38" s="29" t="s">
        <v>15</v>
      </c>
      <c r="I38" s="136">
        <v>2.92</v>
      </c>
      <c r="J38" s="132" t="s">
        <v>16</v>
      </c>
      <c r="K38" s="132" t="s">
        <v>99</v>
      </c>
      <c r="L38" s="132" t="s">
        <v>17</v>
      </c>
      <c r="M38" s="132" t="s">
        <v>18</v>
      </c>
    </row>
    <row r="39" spans="1:13" x14ac:dyDescent="0.25">
      <c r="A39" s="29">
        <v>2</v>
      </c>
      <c r="B39" s="29" t="s">
        <v>12</v>
      </c>
      <c r="C39" s="135" t="s">
        <v>13</v>
      </c>
      <c r="D39" s="136">
        <v>0.01</v>
      </c>
      <c r="E39" s="136">
        <v>240</v>
      </c>
      <c r="F39" s="29" t="s">
        <v>14</v>
      </c>
      <c r="G39" s="136">
        <v>2.4</v>
      </c>
      <c r="H39" s="29" t="s">
        <v>15</v>
      </c>
      <c r="I39" s="136">
        <v>11.67</v>
      </c>
      <c r="J39" s="132" t="s">
        <v>16</v>
      </c>
      <c r="K39" s="132" t="s">
        <v>99</v>
      </c>
      <c r="L39" s="132" t="s">
        <v>17</v>
      </c>
      <c r="M39" s="132" t="s">
        <v>18</v>
      </c>
    </row>
    <row r="40" spans="1:13" x14ac:dyDescent="0.25">
      <c r="A40" s="29">
        <v>3</v>
      </c>
      <c r="B40" s="29" t="s">
        <v>12</v>
      </c>
      <c r="C40" s="135" t="s">
        <v>13</v>
      </c>
      <c r="D40" s="136">
        <v>0.01</v>
      </c>
      <c r="E40" s="136">
        <v>485</v>
      </c>
      <c r="F40" s="29" t="s">
        <v>14</v>
      </c>
      <c r="G40" s="136">
        <v>4.8500000000000005</v>
      </c>
      <c r="H40" s="29" t="s">
        <v>15</v>
      </c>
      <c r="I40" s="136">
        <v>23.58</v>
      </c>
      <c r="J40" s="132" t="s">
        <v>16</v>
      </c>
      <c r="K40" s="132" t="s">
        <v>99</v>
      </c>
      <c r="L40" s="132" t="s">
        <v>17</v>
      </c>
      <c r="M40" s="132" t="s">
        <v>18</v>
      </c>
    </row>
    <row r="41" spans="1:13" x14ac:dyDescent="0.25">
      <c r="A41" s="137"/>
      <c r="B41" s="137" t="s">
        <v>24</v>
      </c>
      <c r="C41" s="137"/>
      <c r="D41" s="138"/>
      <c r="E41" s="139">
        <f>=SUM(E38:E40)</f>
      </c>
      <c r="F41" s="137"/>
      <c r="G41" s="139">
        <f>=SUM(G38:G40)</f>
      </c>
      <c r="H41" s="137"/>
      <c r="I41" s="137"/>
      <c r="J41" s="132"/>
      <c r="K41" s="132"/>
      <c r="L41" s="132"/>
      <c r="M41" s="132"/>
    </row>
    <row r="45" spans="5:7" x14ac:dyDescent="0.25">
      <c r="E45" s="3" t="s">
        <v>142</v>
      </c>
      <c r="G45" s="3">
        <f>=VLOOKUP("GRAND TOTAL :",BVT.INV!B:I,6,0)</f>
      </c>
    </row>
  </sheetData>
  <mergeCells count="1">
    <mergeCell ref="A1:G1"/>
  </mergeCells>
  <pageMargins left="0.159722222222222" right="0.159722222222222" top="0.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workbookViewId="0" showGridLines="0" zoomScale="100" zoomScaleNormal="100" view="normal">
      <selection activeCell="G26" sqref="G26"/>
    </sheetView>
  </sheetViews>
  <sheetFormatPr defaultRowHeight="12.75" outlineLevelRow="0" outlineLevelCol="0" x14ac:dyDescent="0" defaultColWidth="8.66796875" customHeight="1"/>
  <cols>
    <col min="1" max="6" width="7.78" style="1" customWidth="1"/>
    <col min="7" max="8" width="6.78" style="1" customWidth="1"/>
    <col min="9" max="11" width="10.78" style="1" customWidth="1"/>
  </cols>
  <sheetData>
    <row r="1" ht="19.7" customHeight="1" spans="1:11" x14ac:dyDescent="0.25">
      <c r="A1" s="47" t="s">
        <v>143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144</v>
      </c>
      <c r="B2" s="48"/>
      <c r="C2" s="48"/>
      <c r="D2" s="55"/>
      <c r="E2" s="55"/>
      <c r="F2" s="57"/>
      <c r="G2" s="50" t="s">
        <v>57</v>
      </c>
      <c r="H2" s="48"/>
      <c r="I2" s="48"/>
      <c r="J2" s="55"/>
      <c r="K2" s="55"/>
    </row>
    <row r="3" ht="15" customHeight="1" spans="1:11" x14ac:dyDescent="0.25">
      <c r="A3" s="51" t="s">
        <v>58</v>
      </c>
      <c r="B3" s="51"/>
      <c r="C3" s="51"/>
      <c r="D3" s="51"/>
      <c r="E3" s="51"/>
      <c r="F3" s="49"/>
      <c r="G3" s="141"/>
      <c r="J3" s="52"/>
      <c r="K3" s="52"/>
    </row>
    <row r="4" ht="15" customHeight="1" spans="1:11" x14ac:dyDescent="0.25">
      <c r="A4" s="1" t="s">
        <v>59</v>
      </c>
      <c r="F4" s="49"/>
      <c r="G4" s="142" t="s">
        <v>60</v>
      </c>
      <c r="H4" s="61"/>
      <c r="I4" s="61"/>
      <c r="J4" s="52"/>
      <c r="K4" s="54">
        <v>46094.625</v>
      </c>
    </row>
    <row r="5" ht="15" customHeight="1" spans="1:10" x14ac:dyDescent="0.25">
      <c r="A5" s="1" t="s">
        <v>61</v>
      </c>
      <c r="F5" s="49"/>
      <c r="G5" s="143" t="s">
        <v>145</v>
      </c>
      <c r="H5" s="66"/>
      <c r="J5" s="55"/>
    </row>
    <row r="6" ht="15" customHeight="1" spans="1:11" x14ac:dyDescent="0.25">
      <c r="A6" s="1" t="s">
        <v>63</v>
      </c>
      <c r="G6" s="144"/>
      <c r="H6" s="145"/>
      <c r="I6" s="146"/>
      <c r="J6" s="56"/>
      <c r="K6" s="56"/>
    </row>
    <row r="7" ht="15" customHeight="1" spans="1:11" x14ac:dyDescent="0.25">
      <c r="A7" s="48" t="s">
        <v>64</v>
      </c>
      <c r="B7" s="48"/>
      <c r="C7" s="55"/>
      <c r="D7" s="55"/>
      <c r="E7" s="55"/>
      <c r="F7" s="55"/>
      <c r="G7" s="144"/>
      <c r="H7" s="145"/>
      <c r="I7" s="147"/>
      <c r="J7" s="59"/>
      <c r="K7" s="59"/>
    </row>
    <row r="8" ht="15" customHeight="1" spans="1:11" x14ac:dyDescent="0.25">
      <c r="A8" s="51" t="s">
        <v>66</v>
      </c>
      <c r="B8" s="51"/>
      <c r="C8" s="51"/>
      <c r="F8" s="49"/>
      <c r="G8" s="144"/>
      <c r="H8" s="145"/>
      <c r="I8" s="147"/>
      <c r="J8" s="59"/>
      <c r="K8" s="59"/>
    </row>
    <row r="9" ht="15" customHeight="1" spans="1:11" x14ac:dyDescent="0.25">
      <c r="A9" s="1" t="s">
        <v>68</v>
      </c>
      <c r="F9" s="49"/>
      <c r="G9" s="144"/>
      <c r="H9" s="145"/>
      <c r="I9" s="147"/>
      <c r="J9" s="59"/>
      <c r="K9" s="59"/>
    </row>
    <row r="10" ht="15" customHeight="1" spans="1:11" x14ac:dyDescent="0.25">
      <c r="A10" s="1" t="s">
        <v>69</v>
      </c>
      <c r="F10" s="49"/>
      <c r="G10" s="144"/>
      <c r="H10" s="145"/>
      <c r="I10" s="147"/>
      <c r="J10" s="59"/>
      <c r="K10" s="59"/>
    </row>
    <row r="11" ht="15" customHeight="1" spans="1:11" x14ac:dyDescent="0.25">
      <c r="A11" s="1" t="s">
        <v>70</v>
      </c>
      <c r="F11" s="49"/>
      <c r="G11" s="144"/>
      <c r="H11" s="145"/>
      <c r="I11" s="147"/>
      <c r="J11" s="65"/>
      <c r="K11" s="65"/>
    </row>
    <row r="12" ht="15" customHeight="1" spans="1:11" x14ac:dyDescent="0.25">
      <c r="A12" s="61" t="s">
        <v>72</v>
      </c>
      <c r="B12" s="63"/>
      <c r="C12" s="61"/>
      <c r="D12" s="61"/>
      <c r="E12" s="61"/>
      <c r="F12" s="64"/>
      <c r="G12" s="144"/>
      <c r="H12" s="145"/>
      <c r="I12" s="147"/>
      <c r="J12" s="65"/>
      <c r="K12" s="65"/>
    </row>
    <row r="13" ht="15" customHeight="1" spans="1:11" x14ac:dyDescent="0.25">
      <c r="A13" s="66" t="s">
        <v>73</v>
      </c>
      <c r="F13" s="49"/>
      <c r="G13" s="144"/>
      <c r="H13" s="145"/>
      <c r="I13" s="147"/>
      <c r="J13" s="65"/>
      <c r="K13" s="65"/>
    </row>
    <row r="14" ht="15" customHeight="1" spans="1:11" x14ac:dyDescent="0.25">
      <c r="A14" s="148" t="s">
        <v>74</v>
      </c>
      <c r="B14" s="148"/>
      <c r="C14" s="148"/>
      <c r="G14" s="144"/>
      <c r="H14" s="145"/>
      <c r="I14" s="147"/>
      <c r="J14" s="65"/>
      <c r="K14" s="65"/>
    </row>
    <row r="15" ht="15" customHeight="1" spans="1:11" x14ac:dyDescent="0.25">
      <c r="A15" s="61"/>
      <c r="B15" s="61"/>
      <c r="C15" s="61"/>
      <c r="D15" s="61"/>
      <c r="E15" s="61"/>
      <c r="F15" s="61"/>
      <c r="G15" s="144"/>
      <c r="H15" s="145"/>
      <c r="I15" s="147"/>
      <c r="J15" s="65"/>
      <c r="K15" s="65"/>
    </row>
    <row r="16" ht="15" customHeight="1" spans="1:11" x14ac:dyDescent="0.25">
      <c r="A16" s="48" t="s">
        <v>75</v>
      </c>
      <c r="B16" s="48"/>
      <c r="C16" s="49"/>
      <c r="D16" s="48" t="s">
        <v>76</v>
      </c>
      <c r="E16" s="48"/>
      <c r="F16" s="48"/>
      <c r="G16" s="144"/>
      <c r="H16" s="145"/>
      <c r="I16" s="147"/>
      <c r="J16" s="65"/>
      <c r="K16" s="65"/>
    </row>
    <row r="17" ht="15" customHeight="1" spans="1:11" x14ac:dyDescent="0.25">
      <c r="A17" s="141"/>
      <c r="C17" s="49"/>
      <c r="D17" s="141"/>
      <c r="E17" s="141"/>
      <c r="G17" s="144"/>
      <c r="H17" s="145"/>
      <c r="I17" s="147"/>
      <c r="J17" s="65"/>
      <c r="K17" s="65"/>
    </row>
    <row r="18" ht="15" customHeight="1" spans="1:11" x14ac:dyDescent="0.25">
      <c r="A18" s="73" t="s">
        <v>77</v>
      </c>
      <c r="B18" s="73"/>
      <c r="C18" s="73"/>
      <c r="D18" s="149" t="s">
        <v>78</v>
      </c>
      <c r="E18" s="149"/>
      <c r="F18" s="149"/>
      <c r="G18" s="144"/>
      <c r="H18" s="145"/>
      <c r="I18" s="147"/>
      <c r="J18" s="65"/>
      <c r="K18" s="65"/>
    </row>
    <row r="19" ht="15" customHeight="1" spans="1:11" x14ac:dyDescent="0.25">
      <c r="A19" s="48" t="s">
        <v>79</v>
      </c>
      <c r="B19" s="48"/>
      <c r="C19" s="49"/>
      <c r="D19" s="48" t="s">
        <v>80</v>
      </c>
      <c r="E19" s="48"/>
      <c r="F19" s="48"/>
      <c r="G19" s="144"/>
      <c r="H19" s="145"/>
      <c r="I19" s="147"/>
      <c r="J19" s="65"/>
      <c r="K19" s="65"/>
    </row>
    <row r="20" ht="15" customHeight="1" spans="3:11" x14ac:dyDescent="0.25">
      <c r="C20" s="49"/>
      <c r="D20" s="150" t="s">
        <v>65</v>
      </c>
      <c r="E20" s="150"/>
      <c r="G20" s="144"/>
      <c r="H20" s="145"/>
      <c r="I20" s="147"/>
      <c r="J20" s="65"/>
      <c r="K20" s="65"/>
    </row>
    <row r="21" ht="15" customHeight="1" spans="1:11" x14ac:dyDescent="0.25">
      <c r="A21" s="73"/>
      <c r="B21" s="73"/>
      <c r="C21" s="73"/>
      <c r="D21" s="76"/>
      <c r="E21" s="76"/>
      <c r="F21" s="76"/>
      <c r="G21" s="151"/>
      <c r="H21" s="61"/>
      <c r="I21" s="152"/>
      <c r="J21" s="77"/>
      <c r="K21" s="77"/>
    </row>
    <row r="22" ht="15" customHeight="1" spans="1:11" x14ac:dyDescent="0.25">
      <c r="A22" s="78" t="s">
        <v>146</v>
      </c>
      <c r="B22" s="78"/>
      <c r="C22" s="78"/>
      <c r="D22" s="79" t="s">
        <v>147</v>
      </c>
      <c r="E22" s="79"/>
      <c r="F22" s="79"/>
      <c r="G22" s="79" t="s">
        <v>148</v>
      </c>
      <c r="H22" s="79"/>
      <c r="I22" s="80" t="s">
        <v>149</v>
      </c>
      <c r="J22" s="80" t="s">
        <v>150</v>
      </c>
      <c r="K22" s="81" t="s">
        <v>151</v>
      </c>
    </row>
    <row r="23" ht="15" customHeight="1" spans="1:10" x14ac:dyDescent="0.25">
      <c r="A23" s="1" t="s">
        <v>65</v>
      </c>
      <c r="C23" s="49"/>
      <c r="G23" s="153"/>
      <c r="H23" s="49"/>
      <c r="I23" s="154" t="s">
        <v>9</v>
      </c>
      <c r="J23" s="154" t="s">
        <v>9</v>
      </c>
    </row>
    <row r="24" ht="15" customHeight="1" spans="1:7" x14ac:dyDescent="0.25">
      <c r="A24" s="1" t="s">
        <v>65</v>
      </c>
      <c r="G24" s="1" t="s">
        <v>152</v>
      </c>
    </row>
    <row r="25" ht="15" customHeight="1" spans="4:11" x14ac:dyDescent="0.25">
      <c r="D25" s="51" t="s">
        <v>153</v>
      </c>
      <c r="E25" s="51"/>
      <c r="G25" s="155">
        <f>=VLOOKUP("TOTAL",P!A:I,7,0)</f>
      </c>
      <c r="H25" s="155"/>
      <c r="I25" s="156">
        <f>='BVT.INV'!I7</f>
      </c>
      <c r="J25" s="157">
        <f>=I25*1.1</f>
      </c>
      <c r="K25" s="84">
        <f>=J25/166</f>
      </c>
    </row>
    <row r="26" ht="15" customHeight="1" spans="4:11" x14ac:dyDescent="0.25">
      <c r="D26" s="158"/>
      <c r="E26" s="158"/>
      <c r="I26" s="159"/>
      <c r="J26" s="86"/>
      <c r="K26" s="86"/>
    </row>
    <row r="27" ht="15" customHeight="1" spans="1:11" x14ac:dyDescent="0.25">
      <c r="A27" s="160" t="s">
        <v>87</v>
      </c>
      <c r="B27" s="160"/>
      <c r="D27" s="71"/>
      <c r="E27" s="71"/>
      <c r="F27" s="161"/>
      <c r="G27" s="71"/>
      <c r="I27" s="159"/>
      <c r="J27" s="86"/>
      <c r="K27" s="86"/>
    </row>
    <row r="28" ht="15" customHeight="1" spans="1:11" x14ac:dyDescent="0.25">
      <c r="A28" s="162" t="s">
        <v>88</v>
      </c>
      <c r="D28" s="51"/>
      <c r="E28" s="71"/>
      <c r="F28" s="161"/>
      <c r="G28" s="71"/>
      <c r="I28" s="159"/>
      <c r="J28" s="86"/>
      <c r="K28" s="86"/>
    </row>
    <row r="29" ht="15" customHeight="1" spans="1:11" x14ac:dyDescent="0.25">
      <c r="A29" s="163"/>
      <c r="D29" s="51" t="s">
        <v>89</v>
      </c>
      <c r="E29" s="51"/>
      <c r="F29" s="51"/>
      <c r="G29" s="71"/>
      <c r="I29" s="86"/>
      <c r="J29" s="86"/>
      <c r="K29" s="86"/>
    </row>
    <row r="30" ht="15" customHeight="1" spans="1:11" x14ac:dyDescent="0.25">
      <c r="A30" s="163" t="s">
        <v>90</v>
      </c>
      <c r="B30" s="163"/>
      <c r="G30" s="71"/>
      <c r="H30" s="89"/>
      <c r="I30" s="86"/>
      <c r="J30" s="157"/>
      <c r="K30" s="84"/>
    </row>
    <row r="31" ht="15" customHeight="1" spans="1:2" x14ac:dyDescent="0.25">
      <c r="A31" s="163" t="s">
        <v>91</v>
      </c>
      <c r="B31" s="164"/>
    </row>
    <row r="32" ht="15" customHeight="1" spans="1:10" x14ac:dyDescent="0.25">
      <c r="A32" s="163" t="s">
        <v>92</v>
      </c>
      <c r="B32" s="164"/>
      <c r="F32" s="163"/>
      <c r="G32" s="88"/>
      <c r="H32" s="89"/>
      <c r="J32" s="86"/>
    </row>
    <row r="33" ht="15" customHeight="1" spans="1:11" x14ac:dyDescent="0.25">
      <c r="A33" s="163" t="s">
        <v>93</v>
      </c>
      <c r="B33" s="164"/>
      <c r="D33" s="165" t="s">
        <v>53</v>
      </c>
      <c r="E33" s="166"/>
      <c r="F33" s="166"/>
      <c r="G33" s="167"/>
      <c r="H33" s="168"/>
      <c r="I33" s="166"/>
      <c r="J33" s="166"/>
      <c r="K33" s="166"/>
    </row>
    <row r="34" ht="15" customHeight="1" spans="6:10" x14ac:dyDescent="0.25">
      <c r="F34" s="51"/>
      <c r="J34" s="86"/>
    </row>
    <row r="35" ht="15" customHeight="1" spans="7:8" x14ac:dyDescent="0.25">
      <c r="G35" s="88"/>
      <c r="H35" s="89"/>
    </row>
    <row r="36" ht="15" customHeight="1" spans="6:10" x14ac:dyDescent="0.25">
      <c r="F36" s="51"/>
      <c r="G36" s="88"/>
      <c r="H36" s="89"/>
      <c r="J36" s="86"/>
    </row>
    <row r="37" ht="15" customHeight="1" x14ac:dyDescent="0.25"/>
    <row r="38" ht="15" customHeight="1" spans="4:7" x14ac:dyDescent="0.25">
      <c r="D38" s="169"/>
      <c r="E38" s="169"/>
      <c r="G38" s="163"/>
    </row>
    <row r="39" ht="15" customHeight="1" spans="4:7" x14ac:dyDescent="0.25">
      <c r="D39" s="169"/>
      <c r="E39" s="169"/>
      <c r="G39" s="163"/>
    </row>
    <row r="40" ht="15" customHeight="1" spans="4:7" x14ac:dyDescent="0.25">
      <c r="D40" s="169"/>
      <c r="E40" s="169"/>
      <c r="G40" s="163"/>
    </row>
    <row r="41" ht="15" customHeight="1" spans="4:7" x14ac:dyDescent="0.25">
      <c r="D41" s="169"/>
      <c r="E41" s="169"/>
      <c r="G41" s="163"/>
    </row>
    <row r="42" ht="15" customHeight="1" spans="4:7" x14ac:dyDescent="0.25">
      <c r="D42" s="169"/>
      <c r="E42" s="169"/>
      <c r="G42" s="163"/>
    </row>
    <row r="43" ht="15" customHeight="1" spans="4:7" x14ac:dyDescent="0.25">
      <c r="D43" s="169"/>
      <c r="E43" s="169"/>
      <c r="G43" s="163"/>
    </row>
    <row r="44" ht="15" customHeight="1" spans="4:7" x14ac:dyDescent="0.25">
      <c r="D44" s="169"/>
      <c r="E44" s="169"/>
      <c r="G44" s="163"/>
    </row>
    <row r="45" ht="15" customHeight="1" spans="4:7" x14ac:dyDescent="0.25">
      <c r="D45" s="169"/>
      <c r="E45" s="169"/>
      <c r="G45" s="163"/>
    </row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spans="1:5" x14ac:dyDescent="0.25">
      <c r="A51" s="66" t="s">
        <v>154</v>
      </c>
      <c r="B51" s="66"/>
      <c r="C51" s="66"/>
      <c r="D51" s="66"/>
      <c r="E51" s="66"/>
    </row>
    <row r="52" ht="15" customHeight="1" spans="1:11" x14ac:dyDescent="0.25">
      <c r="A52" s="66" t="s">
        <v>95</v>
      </c>
      <c r="B52" s="66"/>
      <c r="C52" s="66"/>
      <c r="H52" s="97" t="s">
        <v>155</v>
      </c>
      <c r="I52" s="61"/>
      <c r="J52" s="61"/>
      <c r="K52" s="61"/>
    </row>
  </sheetData>
  <mergeCells count="9">
    <mergeCell ref="A1:K1"/>
    <mergeCell ref="A18:C18"/>
    <mergeCell ref="D18:F18"/>
    <mergeCell ref="A21:C21"/>
    <mergeCell ref="D21:F21"/>
    <mergeCell ref="A22:C22"/>
    <mergeCell ref="D22:F22"/>
    <mergeCell ref="G22:H22"/>
    <mergeCell ref="G25:H25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8"/>
  <sheetViews>
    <sheetView workbookViewId="0" showGridLines="0" zoomScale="100" zoomScaleNormal="100" view="normal">
      <selection activeCell="B14" sqref="B14"/>
    </sheetView>
  </sheetViews>
  <sheetFormatPr defaultRowHeight="12.8" outlineLevelRow="0" outlineLevelCol="0" x14ac:dyDescent="0" defaultColWidth="8.66796875" customHeight="1"/>
  <cols>
    <col min="1" max="1" width="19.88" style="3" customWidth="1"/>
    <col min="2" max="2" width="11.78" style="3" customWidth="1"/>
    <col min="3" max="3" width="38.4" style="3" customWidth="1"/>
    <col min="4" max="4" width="23.22" style="3" customWidth="1"/>
    <col min="5" max="5" width="37.05" style="3" customWidth="1"/>
    <col min="6" max="6" width="6.89" style="3" customWidth="1"/>
    <col min="8" max="8" width="9.11" style="3" customWidth="1"/>
    <col min="9" max="9" width="22.05" style="3" customWidth="1"/>
    <col min="10" max="10" width="36.15" style="3" customWidth="1"/>
  </cols>
  <sheetData>
    <row r="2" spans="1:10" x14ac:dyDescent="0.25">
      <c r="A2" s="170" t="s">
        <v>156</v>
      </c>
      <c r="B2" s="170"/>
      <c r="C2" s="170"/>
      <c r="D2" s="170"/>
      <c r="E2" s="170"/>
      <c r="F2" s="170"/>
      <c r="G2" s="170"/>
      <c r="H2" s="170"/>
      <c r="I2" s="170"/>
      <c r="J2" s="170"/>
    </row>
    <row r="3" spans="1:10" x14ac:dyDescent="0.25">
      <c r="A3" s="171" t="s">
        <v>26</v>
      </c>
      <c r="B3" s="171" t="s">
        <v>157</v>
      </c>
      <c r="C3" s="171" t="s">
        <v>27</v>
      </c>
      <c r="D3" s="171" t="s">
        <v>28</v>
      </c>
      <c r="E3" s="171" t="s">
        <v>29</v>
      </c>
      <c r="F3" s="171" t="s">
        <v>30</v>
      </c>
      <c r="G3" s="171" t="s">
        <v>31</v>
      </c>
      <c r="H3" s="171" t="s">
        <v>32</v>
      </c>
      <c r="I3" s="171" t="s">
        <v>33</v>
      </c>
      <c r="J3" s="171" t="s">
        <v>34</v>
      </c>
    </row>
    <row r="4" spans="1:14" x14ac:dyDescent="0.25">
      <c r="A4" s="172" t="s">
        <v>39</v>
      </c>
      <c r="B4" s="172" t="s">
        <v>158</v>
      </c>
      <c r="C4" s="172" t="s">
        <v>22</v>
      </c>
      <c r="D4" s="172" t="s">
        <v>40</v>
      </c>
      <c r="E4" s="172" t="s">
        <v>41</v>
      </c>
      <c r="F4" s="172" t="s">
        <v>23</v>
      </c>
      <c r="G4" s="173">
        <v>21</v>
      </c>
      <c r="H4" s="174">
        <v>1</v>
      </c>
      <c r="I4" s="172" t="s">
        <v>42</v>
      </c>
      <c r="J4" s="172" t="s">
        <v>15</v>
      </c>
      <c r="N4" t="s">
        <v>15</v>
      </c>
    </row>
    <row r="5" spans="1:14" x14ac:dyDescent="0.25">
      <c r="A5" s="172" t="s">
        <v>39</v>
      </c>
      <c r="B5" s="172" t="s">
        <v>159</v>
      </c>
      <c r="C5" s="172" t="s">
        <v>22</v>
      </c>
      <c r="D5" s="172" t="s">
        <v>40</v>
      </c>
      <c r="E5" s="172" t="s">
        <v>43</v>
      </c>
      <c r="F5" s="172" t="s">
        <v>23</v>
      </c>
      <c r="G5" s="173">
        <v>32</v>
      </c>
      <c r="H5" s="174">
        <v>0</v>
      </c>
      <c r="I5" s="172" t="s">
        <v>42</v>
      </c>
      <c r="J5" s="172" t="s">
        <v>15</v>
      </c>
      <c r="N5" t="s">
        <v>15</v>
      </c>
    </row>
    <row r="6" spans="1:14" x14ac:dyDescent="0.25">
      <c r="A6" s="172" t="s">
        <v>39</v>
      </c>
      <c r="B6" s="172" t="s">
        <v>160</v>
      </c>
      <c r="C6" s="172" t="s">
        <v>22</v>
      </c>
      <c r="D6" s="172" t="s">
        <v>40</v>
      </c>
      <c r="E6" s="172" t="s">
        <v>44</v>
      </c>
      <c r="F6" s="172" t="s">
        <v>23</v>
      </c>
      <c r="G6" s="173">
        <v>32</v>
      </c>
      <c r="H6" s="174"/>
      <c r="I6" s="172"/>
      <c r="J6" s="172"/>
      <c r="N6" t="s">
        <v>15</v>
      </c>
    </row>
    <row r="7" spans="1:14" x14ac:dyDescent="0.25">
      <c r="A7" s="172" t="s">
        <v>39</v>
      </c>
      <c r="B7" s="172" t="s">
        <v>161</v>
      </c>
      <c r="C7" s="172" t="s">
        <v>22</v>
      </c>
      <c r="D7" s="172" t="s">
        <v>40</v>
      </c>
      <c r="E7" s="172" t="s">
        <v>45</v>
      </c>
      <c r="F7" s="172" t="s">
        <v>23</v>
      </c>
      <c r="G7" s="173">
        <v>63</v>
      </c>
      <c r="H7" s="174"/>
      <c r="I7" s="172"/>
      <c r="J7" s="172"/>
      <c r="N7" t="s">
        <v>15</v>
      </c>
    </row>
    <row r="8" spans="1:14" x14ac:dyDescent="0.25">
      <c r="A8" s="172" t="s">
        <v>39</v>
      </c>
      <c r="B8" s="172" t="s">
        <v>162</v>
      </c>
      <c r="C8" s="172" t="s">
        <v>22</v>
      </c>
      <c r="D8" s="172" t="s">
        <v>40</v>
      </c>
      <c r="E8" s="172" t="s">
        <v>46</v>
      </c>
      <c r="F8" s="172" t="s">
        <v>23</v>
      </c>
      <c r="G8" s="173">
        <v>96</v>
      </c>
      <c r="H8" s="174"/>
      <c r="I8" s="172"/>
      <c r="J8" s="172"/>
      <c r="N8" t="s">
        <v>15</v>
      </c>
    </row>
    <row r="9" spans="1:14" x14ac:dyDescent="0.25">
      <c r="A9" s="172" t="s">
        <v>39</v>
      </c>
      <c r="B9" s="172" t="s">
        <v>163</v>
      </c>
      <c r="C9" s="172" t="s">
        <v>22</v>
      </c>
      <c r="D9" s="172" t="s">
        <v>40</v>
      </c>
      <c r="E9" s="172" t="s">
        <v>47</v>
      </c>
      <c r="F9" s="172" t="s">
        <v>23</v>
      </c>
      <c r="G9" s="173">
        <v>96</v>
      </c>
      <c r="H9" s="174"/>
      <c r="I9" s="172"/>
      <c r="J9" s="172"/>
      <c r="N9" t="s">
        <v>15</v>
      </c>
    </row>
    <row r="10" spans="1:14" x14ac:dyDescent="0.25">
      <c r="A10" s="172" t="s">
        <v>39</v>
      </c>
      <c r="B10" s="172" t="s">
        <v>163</v>
      </c>
      <c r="C10" s="172" t="s">
        <v>22</v>
      </c>
      <c r="D10" s="172" t="s">
        <v>40</v>
      </c>
      <c r="E10" s="172" t="s">
        <v>47</v>
      </c>
      <c r="F10" s="172" t="s">
        <v>23</v>
      </c>
      <c r="G10" s="173">
        <v>904</v>
      </c>
      <c r="H10" s="174"/>
      <c r="I10" s="172"/>
      <c r="J10" s="172"/>
      <c r="N10" t="s">
        <v>15</v>
      </c>
    </row>
    <row r="11" spans="1:14" x14ac:dyDescent="0.25">
      <c r="A11" s="172" t="s">
        <v>39</v>
      </c>
      <c r="B11" s="172" t="s">
        <v>162</v>
      </c>
      <c r="C11" s="172" t="s">
        <v>22</v>
      </c>
      <c r="D11" s="172" t="s">
        <v>40</v>
      </c>
      <c r="E11" s="172" t="s">
        <v>46</v>
      </c>
      <c r="F11" s="172" t="s">
        <v>23</v>
      </c>
      <c r="G11" s="173">
        <v>904</v>
      </c>
      <c r="H11" s="174"/>
      <c r="I11" s="172"/>
      <c r="J11" s="172"/>
      <c r="N11" t="s">
        <v>15</v>
      </c>
    </row>
    <row r="12" spans="1:14" x14ac:dyDescent="0.25">
      <c r="A12" s="172" t="s">
        <v>39</v>
      </c>
      <c r="B12" s="172" t="s">
        <v>161</v>
      </c>
      <c r="C12" s="172" t="s">
        <v>22</v>
      </c>
      <c r="D12" s="172" t="s">
        <v>40</v>
      </c>
      <c r="E12" s="172" t="s">
        <v>45</v>
      </c>
      <c r="F12" s="172" t="s">
        <v>23</v>
      </c>
      <c r="G12" s="173">
        <v>937</v>
      </c>
      <c r="H12" s="174"/>
      <c r="I12" s="172"/>
      <c r="J12" s="172"/>
      <c r="N12" t="s">
        <v>15</v>
      </c>
    </row>
    <row r="13" spans="1:14" x14ac:dyDescent="0.25">
      <c r="A13" s="172" t="s">
        <v>39</v>
      </c>
      <c r="B13" s="172" t="s">
        <v>160</v>
      </c>
      <c r="C13" s="172" t="s">
        <v>22</v>
      </c>
      <c r="D13" s="172" t="s">
        <v>40</v>
      </c>
      <c r="E13" s="172" t="s">
        <v>44</v>
      </c>
      <c r="F13" s="172" t="s">
        <v>23</v>
      </c>
      <c r="G13" s="173">
        <v>968</v>
      </c>
      <c r="H13" s="174"/>
      <c r="I13" s="172"/>
      <c r="J13" s="172"/>
      <c r="N13" t="s">
        <v>15</v>
      </c>
    </row>
    <row r="14" spans="1:14" x14ac:dyDescent="0.25">
      <c r="A14" s="172" t="s">
        <v>39</v>
      </c>
      <c r="B14" s="172" t="s">
        <v>159</v>
      </c>
      <c r="C14" s="172" t="s">
        <v>22</v>
      </c>
      <c r="D14" s="172" t="s">
        <v>40</v>
      </c>
      <c r="E14" s="172" t="s">
        <v>43</v>
      </c>
      <c r="F14" s="172" t="s">
        <v>23</v>
      </c>
      <c r="G14" s="173">
        <v>968</v>
      </c>
      <c r="H14" s="174"/>
      <c r="I14" s="172"/>
      <c r="J14" s="172"/>
      <c r="N14" t="s">
        <v>15</v>
      </c>
    </row>
    <row r="15" spans="1:14" x14ac:dyDescent="0.25">
      <c r="A15" s="172" t="s">
        <v>39</v>
      </c>
      <c r="B15" s="172" t="s">
        <v>158</v>
      </c>
      <c r="C15" s="172" t="s">
        <v>22</v>
      </c>
      <c r="D15" s="172" t="s">
        <v>40</v>
      </c>
      <c r="E15" s="172" t="s">
        <v>41</v>
      </c>
      <c r="F15" s="172" t="s">
        <v>23</v>
      </c>
      <c r="G15" s="173">
        <v>979</v>
      </c>
      <c r="H15" s="174"/>
      <c r="I15" s="172"/>
      <c r="J15" s="172"/>
      <c r="N15" t="s">
        <v>15</v>
      </c>
    </row>
    <row r="16" spans="1:14" x14ac:dyDescent="0.25">
      <c r="A16" s="175" t="s">
        <v>53</v>
      </c>
      <c r="B16" s="175"/>
      <c r="C16" s="175" t="s">
        <v>54</v>
      </c>
      <c r="D16" s="175"/>
      <c r="E16" s="175"/>
      <c r="F16" s="175"/>
      <c r="G16" s="176">
        <f>=SUM(G4:G15)</f>
      </c>
      <c r="H16" s="177">
        <f>=SUM(H4:H15)</f>
      </c>
      <c r="I16" s="175" t="s">
        <v>15</v>
      </c>
      <c r="J16" s="175" t="s">
        <v>15</v>
      </c>
    </row>
    <row r="18" spans="1:10" x14ac:dyDescent="0.25">
      <c r="A18" s="170" t="s">
        <v>164</v>
      </c>
      <c r="B18" s="170"/>
      <c r="C18" s="170"/>
      <c r="D18" s="170"/>
      <c r="E18" s="170"/>
      <c r="F18" s="170"/>
      <c r="G18" s="170"/>
      <c r="H18" s="170"/>
      <c r="I18" s="170"/>
      <c r="J18" s="170"/>
    </row>
    <row r="19" spans="1:10" x14ac:dyDescent="0.25">
      <c r="A19" s="171" t="s">
        <v>26</v>
      </c>
      <c r="B19" s="171" t="s">
        <v>157</v>
      </c>
      <c r="C19" s="171" t="s">
        <v>27</v>
      </c>
      <c r="D19" s="171" t="s">
        <v>28</v>
      </c>
      <c r="E19" s="171" t="s">
        <v>29</v>
      </c>
      <c r="F19" s="171" t="s">
        <v>30</v>
      </c>
      <c r="G19" s="171" t="s">
        <v>31</v>
      </c>
      <c r="H19" s="171" t="s">
        <v>32</v>
      </c>
      <c r="I19" s="171" t="s">
        <v>33</v>
      </c>
      <c r="J19" s="171" t="s">
        <v>34</v>
      </c>
    </row>
    <row r="20" spans="1:14" x14ac:dyDescent="0.25">
      <c r="A20" s="172" t="s">
        <v>35</v>
      </c>
      <c r="B20" s="172" t="s">
        <v>165</v>
      </c>
      <c r="C20" s="172" t="s">
        <v>19</v>
      </c>
      <c r="D20" s="172" t="s">
        <v>36</v>
      </c>
      <c r="E20" s="172" t="s">
        <v>37</v>
      </c>
      <c r="F20" s="172" t="s">
        <v>20</v>
      </c>
      <c r="G20" s="173">
        <v>100</v>
      </c>
      <c r="H20" s="174">
        <v>1</v>
      </c>
      <c r="I20" s="172" t="s">
        <v>38</v>
      </c>
      <c r="J20" s="172" t="s">
        <v>15</v>
      </c>
      <c r="N20" t="s">
        <v>15</v>
      </c>
    </row>
    <row r="21" spans="1:14" x14ac:dyDescent="0.25">
      <c r="A21" s="175" t="s">
        <v>53</v>
      </c>
      <c r="B21" s="175"/>
      <c r="C21" s="175" t="s">
        <v>54</v>
      </c>
      <c r="D21" s="175"/>
      <c r="E21" s="175"/>
      <c r="F21" s="175"/>
      <c r="G21" s="176">
        <f>=SUM(G20:G20)</f>
      </c>
      <c r="H21" s="177">
        <f>=SUM(H20:H20)</f>
      </c>
      <c r="I21" s="175" t="s">
        <v>15</v>
      </c>
      <c r="J21" s="175" t="s">
        <v>15</v>
      </c>
    </row>
    <row r="23" spans="1:10" x14ac:dyDescent="0.25">
      <c r="A23" s="170" t="s">
        <v>166</v>
      </c>
      <c r="B23" s="170"/>
      <c r="C23" s="170"/>
      <c r="D23" s="170"/>
      <c r="E23" s="170"/>
      <c r="F23" s="170"/>
      <c r="G23" s="170"/>
      <c r="H23" s="170"/>
      <c r="I23" s="170"/>
      <c r="J23" s="170"/>
    </row>
    <row r="24" spans="1:10" x14ac:dyDescent="0.25">
      <c r="A24" s="171" t="s">
        <v>26</v>
      </c>
      <c r="B24" s="171" t="s">
        <v>157</v>
      </c>
      <c r="C24" s="171" t="s">
        <v>27</v>
      </c>
      <c r="D24" s="171" t="s">
        <v>28</v>
      </c>
      <c r="E24" s="171" t="s">
        <v>29</v>
      </c>
      <c r="F24" s="171" t="s">
        <v>30</v>
      </c>
      <c r="G24" s="171" t="s">
        <v>31</v>
      </c>
      <c r="H24" s="171" t="s">
        <v>32</v>
      </c>
      <c r="I24" s="171" t="s">
        <v>33</v>
      </c>
      <c r="J24" s="171" t="s">
        <v>34</v>
      </c>
    </row>
    <row r="25" spans="1:14" x14ac:dyDescent="0.25">
      <c r="A25" s="172" t="s">
        <v>48</v>
      </c>
      <c r="B25" s="172" t="s">
        <v>167</v>
      </c>
      <c r="C25" s="172" t="s">
        <v>13</v>
      </c>
      <c r="D25" s="172" t="s">
        <v>49</v>
      </c>
      <c r="E25" s="172" t="s">
        <v>50</v>
      </c>
      <c r="F25" s="172" t="s">
        <v>14</v>
      </c>
      <c r="G25" s="173">
        <v>60</v>
      </c>
      <c r="H25" s="174">
        <v>10</v>
      </c>
      <c r="I25" s="172" t="s">
        <v>15</v>
      </c>
      <c r="J25" s="172" t="s">
        <v>15</v>
      </c>
      <c r="K25" t="s">
        <v>15</v>
      </c>
      <c r="L25" t="s">
        <v>15</v>
      </c>
      <c r="N25" t="s">
        <v>15</v>
      </c>
    </row>
    <row r="26" spans="1:14" x14ac:dyDescent="0.25">
      <c r="A26" s="172" t="s">
        <v>48</v>
      </c>
      <c r="B26" s="172" t="s">
        <v>168</v>
      </c>
      <c r="C26" s="172" t="s">
        <v>13</v>
      </c>
      <c r="D26" s="172" t="s">
        <v>51</v>
      </c>
      <c r="E26" s="172" t="s">
        <v>50</v>
      </c>
      <c r="F26" s="172" t="s">
        <v>14</v>
      </c>
      <c r="G26" s="173">
        <v>240</v>
      </c>
      <c r="H26" s="174">
        <v>0</v>
      </c>
      <c r="I26" s="172" t="s">
        <v>15</v>
      </c>
      <c r="J26" s="172" t="s">
        <v>15</v>
      </c>
      <c r="K26" t="s">
        <v>15</v>
      </c>
      <c r="L26" t="s">
        <v>15</v>
      </c>
      <c r="N26" t="s">
        <v>15</v>
      </c>
    </row>
    <row r="27" spans="1:14" x14ac:dyDescent="0.25">
      <c r="A27" s="172" t="s">
        <v>48</v>
      </c>
      <c r="B27" s="172" t="s">
        <v>169</v>
      </c>
      <c r="C27" s="172" t="s">
        <v>13</v>
      </c>
      <c r="D27" s="172" t="s">
        <v>52</v>
      </c>
      <c r="E27" s="172" t="s">
        <v>50</v>
      </c>
      <c r="F27" s="172" t="s">
        <v>14</v>
      </c>
      <c r="G27" s="173">
        <v>485</v>
      </c>
      <c r="H27" s="174"/>
      <c r="I27" s="172"/>
      <c r="J27" s="172"/>
      <c r="K27" t="s">
        <v>15</v>
      </c>
      <c r="L27" t="s">
        <v>15</v>
      </c>
      <c r="N27" t="s">
        <v>15</v>
      </c>
    </row>
    <row r="28" spans="1:14" x14ac:dyDescent="0.25">
      <c r="A28" s="175" t="s">
        <v>53</v>
      </c>
      <c r="B28" s="175"/>
      <c r="C28" s="175" t="s">
        <v>54</v>
      </c>
      <c r="D28" s="175"/>
      <c r="E28" s="175"/>
      <c r="F28" s="175"/>
      <c r="G28" s="176">
        <f>=SUM(G25:G27)</f>
      </c>
      <c r="H28" s="177">
        <f>=SUM(H25:H27)</f>
      </c>
      <c r="I28" s="175" t="s">
        <v>15</v>
      </c>
      <c r="J28" s="175" t="s">
        <v>15</v>
      </c>
    </row>
  </sheetData>
  <mergeCells count="9">
    <mergeCell ref="A2:J2"/>
    <mergeCell ref="H5:H15"/>
    <mergeCell ref="I5:I15"/>
    <mergeCell ref="J5:J15"/>
    <mergeCell ref="A18:J18"/>
    <mergeCell ref="A23:J23"/>
    <mergeCell ref="H26:H27"/>
    <mergeCell ref="I26:I27"/>
    <mergeCell ref="J26:J27"/>
  </mergeCells>
  <pageMargins left="0.159722222222222" right="0.159722222222222" top="0.3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10.4453125" customHeight="1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170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56</v>
      </c>
      <c r="B2" s="48"/>
      <c r="C2" s="48"/>
      <c r="D2" s="55"/>
      <c r="E2" s="55"/>
      <c r="F2" s="57"/>
      <c r="G2" s="50" t="s">
        <v>57</v>
      </c>
      <c r="H2" s="48"/>
      <c r="I2" s="48"/>
      <c r="J2" s="55"/>
      <c r="K2" s="55"/>
    </row>
    <row r="3" ht="15" customHeight="1" spans="1:11" x14ac:dyDescent="0.25">
      <c r="A3" s="51" t="s">
        <v>58</v>
      </c>
      <c r="B3" s="51"/>
      <c r="C3" s="51"/>
      <c r="D3" s="51"/>
      <c r="E3" s="51"/>
      <c r="F3" s="49"/>
      <c r="G3" s="3"/>
      <c r="J3" s="3"/>
      <c r="K3" s="52"/>
    </row>
    <row r="4" ht="15" customHeight="1" spans="1:11" x14ac:dyDescent="0.25">
      <c r="A4" s="1" t="s">
        <v>59</v>
      </c>
      <c r="F4" s="49"/>
      <c r="G4" s="53" t="s">
        <v>60</v>
      </c>
      <c r="J4" s="54"/>
      <c r="K4" s="54">
        <v>46094.625</v>
      </c>
    </row>
    <row r="5" ht="15" customHeight="1" spans="1:9" x14ac:dyDescent="0.25">
      <c r="A5" s="1" t="s">
        <v>61</v>
      </c>
      <c r="F5" s="49"/>
      <c r="G5" s="50" t="s">
        <v>62</v>
      </c>
      <c r="H5" s="48"/>
      <c r="I5" s="55"/>
    </row>
    <row r="6" ht="15" customHeight="1" spans="1:11" x14ac:dyDescent="0.25">
      <c r="A6" s="1" t="s">
        <v>63</v>
      </c>
      <c r="F6" s="49"/>
      <c r="G6" s="3"/>
      <c r="H6" s="3"/>
      <c r="I6" s="3"/>
      <c r="J6" s="3"/>
      <c r="K6" s="56"/>
    </row>
    <row r="7" ht="15" customHeight="1" spans="1:11" x14ac:dyDescent="0.25">
      <c r="A7" s="48" t="s">
        <v>64</v>
      </c>
      <c r="B7" s="48"/>
      <c r="C7" s="55"/>
      <c r="D7" s="55"/>
      <c r="E7" s="55"/>
      <c r="F7" s="57"/>
      <c r="H7" s="51"/>
      <c r="I7" s="51"/>
      <c r="J7" s="58" t="s">
        <v>65</v>
      </c>
      <c r="K7" s="59"/>
    </row>
    <row r="8" ht="15" customHeight="1" spans="1:11" x14ac:dyDescent="0.25">
      <c r="A8" s="51" t="s">
        <v>66</v>
      </c>
      <c r="B8" s="51"/>
      <c r="C8" s="51"/>
      <c r="F8" s="49"/>
      <c r="G8" s="50" t="s">
        <v>67</v>
      </c>
      <c r="H8" s="48"/>
      <c r="I8" s="48"/>
      <c r="J8" s="55"/>
      <c r="K8" s="60"/>
    </row>
    <row r="9" ht="15" customHeight="1" spans="1:11" x14ac:dyDescent="0.25">
      <c r="A9" s="1" t="s">
        <v>68</v>
      </c>
      <c r="F9" s="49"/>
      <c r="G9" s="1" t="s">
        <v>65</v>
      </c>
      <c r="K9" s="59"/>
    </row>
    <row r="10" ht="15" customHeight="1" spans="1:11" x14ac:dyDescent="0.25">
      <c r="A10" s="1" t="s">
        <v>69</v>
      </c>
      <c r="F10" s="49"/>
      <c r="G10" s="61" t="s">
        <v>65</v>
      </c>
      <c r="H10" s="61"/>
      <c r="I10" s="61"/>
      <c r="J10" s="61"/>
      <c r="K10" s="59"/>
    </row>
    <row r="11" ht="15" customHeight="1" spans="1:11" x14ac:dyDescent="0.25">
      <c r="A11" s="1" t="s">
        <v>70</v>
      </c>
      <c r="F11" s="49"/>
      <c r="G11" s="50" t="s">
        <v>71</v>
      </c>
      <c r="H11" s="48"/>
      <c r="K11" s="62"/>
    </row>
    <row r="12" ht="15" customHeight="1" spans="1:11" x14ac:dyDescent="0.25">
      <c r="A12" s="61" t="s">
        <v>72</v>
      </c>
      <c r="B12" s="63"/>
      <c r="C12" s="61"/>
      <c r="D12" s="61"/>
      <c r="E12" s="61"/>
      <c r="F12" s="64"/>
      <c r="G12" s="3"/>
      <c r="K12" s="65"/>
    </row>
    <row r="13" ht="15" customHeight="1" spans="1:11" x14ac:dyDescent="0.25">
      <c r="A13" s="66" t="s">
        <v>73</v>
      </c>
      <c r="F13" s="49"/>
      <c r="G13" s="3"/>
      <c r="I13" s="67" t="s">
        <v>171</v>
      </c>
      <c r="J13" s="178">
        <f>=1500/962.85*J29</f>
      </c>
      <c r="K13" s="65"/>
    </row>
    <row r="14" ht="15" customHeight="1" spans="1:11" x14ac:dyDescent="0.25">
      <c r="A14" s="69" t="s">
        <v>74</v>
      </c>
      <c r="B14" s="69"/>
      <c r="F14" s="49"/>
      <c r="I14" s="67" t="s">
        <v>172</v>
      </c>
      <c r="J14" s="179">
        <f>=J29*1.1*0.026%</f>
      </c>
      <c r="K14" s="65"/>
    </row>
    <row r="15" ht="15" customHeight="1" spans="6:11" x14ac:dyDescent="0.25">
      <c r="F15" s="49"/>
      <c r="H15" s="51"/>
      <c r="I15" s="146" t="s">
        <v>173</v>
      </c>
      <c r="K15" s="65"/>
    </row>
    <row r="16" ht="15" customHeight="1" spans="1:11" x14ac:dyDescent="0.25">
      <c r="A16" s="48" t="s">
        <v>75</v>
      </c>
      <c r="B16" s="48"/>
      <c r="C16" s="57"/>
      <c r="D16" s="48" t="s">
        <v>76</v>
      </c>
      <c r="E16" s="48"/>
      <c r="F16" s="70"/>
      <c r="G16" s="3"/>
      <c r="H16" s="67" t="s">
        <v>174</v>
      </c>
      <c r="I16" s="71">
        <v>12</v>
      </c>
      <c r="J16" s="51" t="s">
        <v>175</v>
      </c>
      <c r="K16" s="65"/>
    </row>
    <row r="17" ht="15" customHeight="1" spans="4:11" x14ac:dyDescent="0.25">
      <c r="D17" s="72" t="s">
        <v>65</v>
      </c>
      <c r="E17" s="53"/>
      <c r="F17" s="49"/>
      <c r="H17" s="67" t="s">
        <v>176</v>
      </c>
      <c r="I17" s="180">
        <v>334.69999999999993</v>
      </c>
      <c r="J17" s="51" t="s">
        <v>177</v>
      </c>
      <c r="K17" s="65"/>
    </row>
    <row r="18" ht="15" customHeight="1" spans="1:11" x14ac:dyDescent="0.25">
      <c r="A18" s="73" t="s">
        <v>77</v>
      </c>
      <c r="B18" s="73"/>
      <c r="C18" s="73"/>
      <c r="D18" s="74" t="s">
        <v>78</v>
      </c>
      <c r="E18" s="74"/>
      <c r="F18" s="74"/>
      <c r="H18" s="67" t="s">
        <v>178</v>
      </c>
      <c r="I18" s="180">
        <v>368.16999999999996</v>
      </c>
      <c r="J18" s="51" t="s">
        <v>177</v>
      </c>
      <c r="K18" s="65"/>
    </row>
    <row r="19" ht="15" customHeight="1" spans="1:11" x14ac:dyDescent="0.25">
      <c r="A19" s="48" t="s">
        <v>79</v>
      </c>
      <c r="B19" s="48"/>
      <c r="C19" s="49"/>
      <c r="D19" s="48" t="s">
        <v>80</v>
      </c>
      <c r="E19" s="48"/>
      <c r="F19" s="70"/>
      <c r="K19" s="65"/>
    </row>
    <row r="20" ht="15" customHeight="1" spans="1:11" x14ac:dyDescent="0.25">
      <c r="A20" s="1" t="s">
        <v>65</v>
      </c>
      <c r="C20" s="49"/>
      <c r="D20" s="1" t="s">
        <v>65</v>
      </c>
      <c r="F20" s="49"/>
      <c r="G20" s="1" t="s">
        <v>65</v>
      </c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81</v>
      </c>
      <c r="B22" s="78"/>
      <c r="C22" s="78"/>
      <c r="D22" s="79" t="s">
        <v>82</v>
      </c>
      <c r="E22" s="79"/>
      <c r="F22" s="79"/>
      <c r="G22" s="79" t="s">
        <v>83</v>
      </c>
      <c r="H22" s="79"/>
      <c r="I22" s="80" t="s">
        <v>84</v>
      </c>
      <c r="J22" s="81" t="s">
        <v>85</v>
      </c>
      <c r="K22" s="81"/>
    </row>
    <row r="23" ht="15" customHeight="1" spans="1:9" x14ac:dyDescent="0.25">
      <c r="A23" s="1" t="s">
        <v>65</v>
      </c>
      <c r="C23" s="49"/>
      <c r="F23" s="49"/>
      <c r="H23" s="49"/>
      <c r="I23" s="49"/>
    </row>
    <row r="24" ht="15" customHeight="1" spans="1:9" x14ac:dyDescent="0.25">
      <c r="A24" s="1" t="s">
        <v>65</v>
      </c>
      <c r="G24" s="82" t="s">
        <v>15</v>
      </c>
      <c r="H24" s="82"/>
      <c r="I24" s="82"/>
    </row>
    <row r="25" ht="15" customHeight="1" spans="1:11" x14ac:dyDescent="0.25">
      <c r="A25" s="83"/>
      <c r="C25" s="3"/>
      <c r="F25" s="3"/>
      <c r="G25" s="3"/>
      <c r="H25" s="3"/>
      <c r="I25" s="3"/>
      <c r="J25" s="3"/>
      <c r="K25" s="84"/>
    </row>
    <row r="26" ht="15" customHeight="1" spans="1:11" x14ac:dyDescent="0.25">
      <c r="A26" s="85"/>
      <c r="C26" s="3"/>
      <c r="D26" s="162"/>
      <c r="E26" s="162"/>
      <c r="F26" s="162"/>
      <c r="G26" s="162"/>
      <c r="H26" s="162"/>
      <c r="I26" s="162"/>
      <c r="J26" s="162"/>
      <c r="K26" s="86"/>
    </row>
    <row r="27" ht="15" customHeight="1" spans="1:11" x14ac:dyDescent="0.25">
      <c r="A27" s="87"/>
      <c r="D27" s="29"/>
      <c r="E27" s="3"/>
      <c r="F27" s="181"/>
      <c r="G27" s="181"/>
      <c r="H27" s="182"/>
      <c r="I27" s="183"/>
      <c r="J27" s="184"/>
      <c r="K27" s="86"/>
    </row>
    <row r="28" ht="15" customHeight="1" spans="1:11" x14ac:dyDescent="0.25">
      <c r="A28" s="87"/>
      <c r="D28" s="29"/>
      <c r="E28" s="3"/>
      <c r="F28" s="181"/>
      <c r="G28" s="181"/>
      <c r="H28" s="182"/>
      <c r="I28" s="183"/>
      <c r="J28" s="184"/>
      <c r="K28" s="86"/>
    </row>
    <row r="29" ht="15" customHeight="1" spans="1:10" x14ac:dyDescent="0.25">
      <c r="A29" s="87"/>
      <c r="B29" s="88"/>
      <c r="C29" s="3"/>
      <c r="D29" s="165" t="s">
        <v>53</v>
      </c>
      <c r="E29" s="165"/>
      <c r="F29" s="165"/>
      <c r="G29" s="185"/>
      <c r="H29" s="186"/>
      <c r="I29" s="187"/>
      <c r="J29" s="188">
        <f>'STS.INVOICE'!G7</f>
      </c>
    </row>
    <row r="30" ht="15" customHeight="1" spans="2:10" x14ac:dyDescent="0.25">
      <c r="B30" s="88"/>
      <c r="F30" s="3"/>
      <c r="G30" s="88"/>
      <c r="H30" s="89"/>
      <c r="I30" s="90"/>
      <c r="J30" s="96"/>
    </row>
    <row r="31" ht="15" customHeight="1" spans="2:10" x14ac:dyDescent="0.25">
      <c r="B31" s="88"/>
      <c r="F31" s="164"/>
      <c r="G31" s="88"/>
      <c r="H31" s="89"/>
      <c r="I31" s="90"/>
      <c r="J31" s="91"/>
    </row>
    <row r="32" ht="15" customHeight="1" spans="2:10" x14ac:dyDescent="0.25">
      <c r="B32" s="88"/>
      <c r="F32" s="164"/>
      <c r="G32" s="88"/>
      <c r="H32" s="89"/>
      <c r="I32" s="90"/>
      <c r="J32" s="91"/>
    </row>
    <row r="33" ht="15" customHeight="1" spans="6:8" x14ac:dyDescent="0.25">
      <c r="F33" s="164"/>
      <c r="G33" s="88"/>
      <c r="H33" s="89"/>
    </row>
    <row r="34" ht="15" customHeight="1" spans="6:10" x14ac:dyDescent="0.25">
      <c r="F34" s="164"/>
      <c r="G34" s="88"/>
      <c r="H34" s="89"/>
      <c r="J34" s="86"/>
    </row>
    <row r="35" ht="15" customHeight="1" spans="6:6" x14ac:dyDescent="0.25">
      <c r="F35" s="164"/>
    </row>
    <row r="36" ht="15" customHeight="1" spans="4:7" x14ac:dyDescent="0.25">
      <c r="D36" s="169"/>
      <c r="E36" s="169"/>
      <c r="F36" s="164"/>
      <c r="G36" s="163"/>
    </row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spans="1:6" x14ac:dyDescent="0.25">
      <c r="A42" s="66" t="s">
        <v>94</v>
      </c>
      <c r="B42" s="66"/>
      <c r="C42" s="66"/>
      <c r="D42" s="66"/>
      <c r="E42" s="66"/>
      <c r="F42" s="66"/>
    </row>
    <row r="43" ht="15" customHeight="1" spans="1:11" x14ac:dyDescent="0.25">
      <c r="A43" s="66" t="s">
        <v>95</v>
      </c>
      <c r="B43" s="66"/>
      <c r="C43" s="66"/>
      <c r="H43" s="97" t="s">
        <v>96</v>
      </c>
      <c r="I43" s="61"/>
      <c r="J43" s="61"/>
      <c r="K43" s="61"/>
    </row>
  </sheetData>
  <mergeCells count="8">
    <mergeCell ref="A1:K1"/>
    <mergeCell ref="A18:C18"/>
    <mergeCell ref="D18:F18"/>
    <mergeCell ref="A21:C21"/>
    <mergeCell ref="D21:F21"/>
    <mergeCell ref="A22:C22"/>
    <mergeCell ref="D22:F22"/>
    <mergeCell ref="G22:H22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STS.INVOICE</vt:lpstr>
      <vt:lpstr>P</vt:lpstr>
      <vt:lpstr>C.INV</vt:lpstr>
      <vt:lpstr>BVT.INV</vt:lpstr>
      <vt:lpstr>D.INV</vt:lpstr>
      <vt:lpstr>PAC</vt:lpstr>
      <vt:lpstr>D.PAC</vt:lpstr>
      <vt:lpstr>SHINTS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desktop-GULI604</dc:creator>
  <dc:title/>
  <dc:subject/>
  <dc:description/>
  <dc:language>ko-KR</dc:language>
  <cp:lastModifiedBy>Unknown</cp:lastModifiedBy>
  <cp:revision>33</cp:revision>
  <dcterms:created xsi:type="dcterms:W3CDTF">2019-04-25T08:40:03Z</dcterms:created>
  <dcterms:modified xsi:type="dcterms:W3CDTF">2026-02-27T13:37:58Z</dcterms:modified>
</cp:coreProperties>
</file>