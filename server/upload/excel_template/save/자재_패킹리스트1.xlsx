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ints\templets\"/>
    </mc:Choice>
  </mc:AlternateContent>
  <xr:revisionPtr revIDLastSave="0" documentId="13_ncr:1_{4A7CAA24-7436-47BC-B515-A6C4869C1AB2}" xr6:coauthVersionLast="47" xr6:coauthVersionMax="47" xr10:uidLastSave="{00000000-0000-0000-0000-000000000000}"/>
  <bookViews>
    <workbookView xWindow="-28920" yWindow="30" windowWidth="29040" windowHeight="15840" tabRatio="898" activeTab="16" xr2:uid="{00000000-000D-0000-FFFF-FFFF00000000}"/>
  </bookViews>
  <sheets>
    <sheet name="I" sheetId="1" r:id="rId1"/>
    <sheet name="SHINTS" sheetId="2" r:id="rId2"/>
    <sheet name="V1" sheetId="3" r:id="rId3"/>
    <sheet name="V2" sheetId="4" r:id="rId4"/>
    <sheet name="V3" sheetId="5" r:id="rId5"/>
    <sheet name="V4" sheetId="6" r:id="rId6"/>
    <sheet name="V5" sheetId="7" r:id="rId7"/>
    <sheet name="V6" sheetId="8" r:id="rId8"/>
    <sheet name="V7" sheetId="9" r:id="rId9"/>
    <sheet name="V8" sheetId="10" r:id="rId10"/>
    <sheet name="V9" sheetId="11" r:id="rId11"/>
    <sheet name="V10" sheetId="12" r:id="rId12"/>
    <sheet name="P" sheetId="13" r:id="rId13"/>
    <sheet name="C.INV" sheetId="14" r:id="rId14"/>
    <sheet name="BVT.INV" sheetId="15" r:id="rId15"/>
    <sheet name="D.INV" sheetId="16" r:id="rId16"/>
    <sheet name="PAC" sheetId="17" r:id="rId17"/>
    <sheet name="D.PAC" sheetId="18" r:id="rId18"/>
  </sheets>
  <definedNames>
    <definedName name="_xlnm.Print_Area" localSheetId="0">I!$A$1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5" i="17" l="1"/>
  <c r="K61" i="12" l="1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I17" i="12"/>
  <c r="I18" i="12" s="1"/>
  <c r="K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I17" i="11"/>
  <c r="I18" i="11" s="1"/>
  <c r="K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I17" i="10"/>
  <c r="I18" i="10" s="1"/>
  <c r="K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I17" i="9"/>
  <c r="I18" i="9" s="1"/>
  <c r="K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17" i="8"/>
  <c r="I18" i="8" s="1"/>
  <c r="J61" i="8" l="1"/>
  <c r="J61" i="9"/>
  <c r="J61" i="12"/>
  <c r="J13" i="12" s="1"/>
  <c r="J61" i="10"/>
  <c r="J14" i="10" s="1"/>
  <c r="J61" i="11"/>
  <c r="J14" i="12"/>
  <c r="J14" i="11"/>
  <c r="J13" i="11"/>
  <c r="J13" i="9"/>
  <c r="J14" i="9"/>
  <c r="J14" i="8"/>
  <c r="J13" i="8"/>
  <c r="K61" i="7"/>
  <c r="I17" i="7" s="1"/>
  <c r="I18" i="7" s="1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K61" i="6"/>
  <c r="I17" i="6" s="1"/>
  <c r="I18" i="6" s="1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K61" i="5"/>
  <c r="I17" i="5" s="1"/>
  <c r="I18" i="5" s="1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61" i="5" s="1"/>
  <c r="J13" i="5" s="1"/>
  <c r="K61" i="4"/>
  <c r="I17" i="4" s="1"/>
  <c r="I18" i="4" s="1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14" i="5" l="1"/>
  <c r="J13" i="10"/>
  <c r="J61" i="7"/>
  <c r="J61" i="4"/>
  <c r="J61" i="6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51" i="3"/>
  <c r="J50" i="3"/>
  <c r="J49" i="3"/>
  <c r="J48" i="3"/>
  <c r="J47" i="3"/>
  <c r="J46" i="3"/>
  <c r="J45" i="3"/>
  <c r="J44" i="3"/>
  <c r="J55" i="3"/>
  <c r="J54" i="3"/>
  <c r="J53" i="3"/>
  <c r="J52" i="3"/>
  <c r="J57" i="3"/>
  <c r="J56" i="3"/>
  <c r="J58" i="3"/>
  <c r="J59" i="3"/>
  <c r="J14" i="4" l="1"/>
  <c r="J13" i="4"/>
  <c r="J14" i="7"/>
  <c r="J13" i="7"/>
  <c r="J13" i="6"/>
  <c r="J14" i="6"/>
  <c r="J60" i="3" l="1"/>
  <c r="J27" i="3"/>
  <c r="K61" i="3"/>
  <c r="I17" i="3" s="1"/>
  <c r="I18" i="3" s="1"/>
  <c r="E6" i="15"/>
  <c r="E6" i="1" l="1"/>
  <c r="E12" i="16" l="1"/>
  <c r="G6" i="1" l="1"/>
  <c r="J29" i="2" s="1"/>
  <c r="I6" i="1"/>
  <c r="I17" i="2" s="1"/>
  <c r="I18" i="2" s="1"/>
  <c r="J61" i="3"/>
  <c r="G7" i="13"/>
  <c r="F7" i="13"/>
  <c r="G6" i="15"/>
  <c r="I6" i="15"/>
  <c r="I25" i="17" s="1"/>
  <c r="J25" i="17" s="1"/>
  <c r="K25" i="17" s="1"/>
  <c r="G12" i="16"/>
  <c r="J31" i="14" s="1"/>
  <c r="G14" i="16" s="1"/>
  <c r="H7" i="18"/>
  <c r="G7" i="18"/>
  <c r="J14" i="2" l="1"/>
  <c r="J13" i="2"/>
  <c r="J14" i="3"/>
  <c r="J13" i="3"/>
</calcChain>
</file>

<file path=xl/sharedStrings.xml><?xml version="1.0" encoding="utf-8"?>
<sst xmlns="http://schemas.openxmlformats.org/spreadsheetml/2006/main" count="827" uniqueCount="118">
  <si>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</si>
  <si>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</si>
  <si>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</si>
  <si>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</si>
  <si>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</si>
  <si>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</si>
  <si>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</si>
  <si>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</si>
  <si>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</si>
  <si>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</si>
  <si>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</si>
  <si>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</si>
  <si>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kg</t>
  </si>
  <si>
    <t>GRAND TOTAL :</t>
  </si>
  <si>
    <t>COMMERCIAL INVOICE</t>
  </si>
  <si>
    <t>1) Shipper/ Exporter :</t>
  </si>
  <si>
    <t>8) No &amp; Date of Invoice</t>
  </si>
  <si>
    <t>SHIN TEXTILE SOLUTIONS CO., LTD.</t>
  </si>
  <si>
    <t>801, E&amp;C VENTURE DREAMTOWER 2</t>
  </si>
  <si>
    <t>STS-S11-026</t>
  </si>
  <si>
    <t>55, DIGITAL-RO 33-GIL, GURO-GU, SEOUL, KOREA</t>
  </si>
  <si>
    <t>9) No &amp; Date L/C</t>
  </si>
  <si>
    <t>TEL : 070-4659-3337 FAX : 82-2-6330-2019</t>
  </si>
  <si>
    <t>2) Consignee :</t>
  </si>
  <si>
    <t xml:space="preserve"> </t>
  </si>
  <si>
    <t>10) L/C issuing bank</t>
  </si>
  <si>
    <t>11) Remarks:</t>
  </si>
  <si>
    <t>3) Notify party :</t>
  </si>
  <si>
    <t>FREIGHT CHARGE :</t>
  </si>
  <si>
    <t>THE SAME AS ABOVE</t>
  </si>
  <si>
    <t>INSURANCE CHARGE :</t>
  </si>
  <si>
    <t>제조자 미상</t>
    <phoneticPr fontId="18" type="noConversion"/>
  </si>
  <si>
    <t>4) Port of loading:</t>
  </si>
  <si>
    <t>5) Final Destination:</t>
  </si>
  <si>
    <t>C/T :</t>
  </si>
  <si>
    <t xml:space="preserve">             -</t>
  </si>
  <si>
    <t>CT</t>
  </si>
  <si>
    <t>NET :</t>
  </si>
  <si>
    <t>KGS</t>
  </si>
  <si>
    <t>INCHEON, KOREA</t>
  </si>
  <si>
    <t>HAIPHONG, VIETNAM</t>
  </si>
  <si>
    <t>GRS :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</si>
  <si>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</si>
  <si>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</si>
  <si>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</si>
  <si>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</si>
  <si>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</si>
  <si>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</si>
  <si>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</si>
  <si>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 xml:space="preserve">  ( CIF  HAIPHONG, VIETNAM ) </t>
  </si>
  <si>
    <t>TOTAL</t>
  </si>
  <si>
    <t xml:space="preserve"> TEL NO.  : 070-4006-3700~14, (DIR. 070-4006-3727)</t>
    <phoneticPr fontId="18" type="noConversion"/>
  </si>
  <si>
    <t xml:space="preserve"> FAX NO.  : (02)6330-2019</t>
  </si>
  <si>
    <t xml:space="preserve"> FAX NO.  : (02)6330-2019</t>
    <phoneticPr fontId="18" type="noConversion"/>
  </si>
  <si>
    <t>17).Signed by :</t>
  </si>
  <si>
    <t>Desc</t>
  </si>
  <si>
    <t>Price</t>
  </si>
  <si>
    <t>Total</t>
  </si>
  <si>
    <t>DESC/SPEC</t>
  </si>
  <si>
    <t>HS CODE</t>
  </si>
  <si>
    <t>OFFER SPEC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</si>
  <si>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</si>
  <si>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</si>
  <si>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</si>
  <si>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</si>
  <si>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</si>
  <si>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</si>
  <si>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</si>
  <si>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</si>
  <si>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</si>
  <si>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</si>
  <si>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BALES</t>
  </si>
  <si>
    <t xml:space="preserve">COMMERCIAL INVOICE 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</si>
  <si>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</si>
  <si>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</si>
  <si>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</si>
  <si>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</si>
  <si>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</si>
  <si>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</si>
  <si>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</si>
  <si>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>PROFORMA INVOICE FOR BVT</t>
  </si>
  <si>
    <t xml:space="preserve">PROFORMA INVOICE FOR </t>
  </si>
  <si>
    <t>No.</t>
  </si>
  <si>
    <t>ORDER No.</t>
  </si>
  <si>
    <t>STYLE</t>
  </si>
  <si>
    <t>QUANTITY</t>
  </si>
  <si>
    <t>DELIVERY</t>
  </si>
  <si>
    <t>HS Name</t>
  </si>
  <si>
    <t>g</t>
  </si>
  <si>
    <t>G.TOTAL</t>
  </si>
  <si>
    <t>PACKING LIST</t>
  </si>
  <si>
    <t>1) Shipper/ Exporter:</t>
  </si>
  <si>
    <t>801, E&amp;C VENTURE DREAMTOWER 2</t>
    <phoneticPr fontId="20" type="noConversion"/>
  </si>
  <si>
    <t>55, DIGITAL-RO 33-GIL, GURO-GU, SEOUL, KOREA</t>
    <phoneticPr fontId="20" type="noConversion"/>
  </si>
  <si>
    <t>9) Remarks:</t>
  </si>
  <si>
    <t>TEL : 070-4659-3337 FAX : 82-2-6330-2019</t>
    <phoneticPr fontId="20" type="noConversion"/>
  </si>
  <si>
    <t>THE SAME AS ABOVE</t>
    <phoneticPr fontId="20" type="noConversion"/>
  </si>
  <si>
    <t>INCHEON, KOREA</t>
    <phoneticPr fontId="20" type="noConversion"/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</si>
  <si>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</si>
  <si>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</si>
  <si>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</si>
  <si>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</si>
  <si>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</si>
  <si>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</si>
  <si>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TOTAL  :</t>
  </si>
  <si>
    <t>(IN DIA)</t>
    <phoneticPr fontId="20" type="noConversion"/>
  </si>
  <si>
    <t>STYLE NO.:</t>
    <phoneticPr fontId="20" type="noConversion"/>
  </si>
  <si>
    <t>ITEM  :</t>
    <phoneticPr fontId="20" type="noConversion"/>
  </si>
  <si>
    <t>Q'TY  :</t>
    <phoneticPr fontId="20" type="noConversion"/>
  </si>
  <si>
    <t>C/T NO. :</t>
    <phoneticPr fontId="20" type="noConversion"/>
  </si>
  <si>
    <t xml:space="preserve"> TEL NO.  : (02)6330-2000~14, (DIR. 6330-2012)</t>
  </si>
  <si>
    <t>16).Signed by :</t>
  </si>
  <si>
    <t>SHINTS BVT CO.,LTD  VAT:0800006025</t>
    <phoneticPr fontId="18" type="noConversion"/>
  </si>
  <si>
    <t>PHU TAO RESIDENTIAL AREA,THACH KHOI WARD</t>
  </si>
  <si>
    <t>HAI DUONG CITY,HAI DUONG PROVINCE - VIETNAM</t>
  </si>
  <si>
    <t>TEL:84-320-3861727  FAX:84-320-3861730</t>
  </si>
  <si>
    <t>XNK-Thy Ha &lt;thyha@shintsbvt.com&gt;</t>
    <phoneticPr fontId="18" type="noConversion"/>
  </si>
  <si>
    <t>MATL CODE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</si>
</sst>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_(* #,##0.00_);_(* \(#,##0.00\);_(* &quot;-&quot;??_);_(@_)"/>
    <numFmt numFmtId="177" formatCode="\$#,##0.0000_);[Red]\(\$#,##0.0000\)"/>
    <numFmt numFmtId="178" formatCode="#,##0_ "/>
    <numFmt numFmtId="179" formatCode="_-* #,##0.0_-;\-* #,##0.0_-;_-* &quot;-&quot;_-;_-@_-"/>
    <numFmt numFmtId="180" formatCode="0.00_ "/>
    <numFmt numFmtId="181" formatCode="0.0_ "/>
    <numFmt numFmtId="182" formatCode="[$-409]d&quot;-&quot;mmm&quot;-&quot;yy;@"/>
    <numFmt numFmtId="183" formatCode="_-* #,##0.00_-;\-* #,##0.00_-;_-* &quot;-&quot;_-;_-@_-"/>
    <numFmt numFmtId="184" formatCode="&quot;US$&quot;#,##0.00"/>
    <numFmt numFmtId="185" formatCode="#,##0.00_ "/>
    <numFmt numFmtId="186" formatCode="0.000&quot;CBM&quot;"/>
    <numFmt numFmtId="187" formatCode="&quot;US&quot;\ #,##0.00"/>
    <numFmt numFmtId="188" formatCode="\$#,##0.00"/>
    <numFmt numFmtId="189" formatCode="&quot;US$&quot;#,##0.00_);[Red]\(&quot;US$&quot;#,##0.00\)"/>
    <numFmt numFmtId="190" formatCode="#,###.00&quot;KGS&quot;"/>
    <numFmt numFmtId="191" formatCode="_(&quot;$&quot;* #,##0.00_);_(&quot;$&quot;* \(#,##0.00\);_(&quot;$&quot;* &quot;-&quot;??_);_(@_)"/>
    <numFmt numFmtId="195" formatCode="#,###&quot; CARTON&quot;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VNI-Times"/>
      <family val="2"/>
    </font>
    <font>
      <sz val="10"/>
      <name val="돋움체"/>
      <family val="3"/>
      <charset val="129"/>
    </font>
    <font>
      <sz val="16"/>
      <name val="돋움체"/>
      <family val="3"/>
      <charset val="129"/>
    </font>
    <font>
      <b/>
      <u/>
      <sz val="14"/>
      <name val="돋움"/>
      <family val="3"/>
      <charset val="129"/>
    </font>
    <font>
      <b/>
      <sz val="16"/>
      <name val="돋움체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0"/>
      <name val="돋움체"/>
      <family val="3"/>
      <charset val="129"/>
    </font>
    <font>
      <b/>
      <sz val="8"/>
      <name val="돋움체"/>
      <family val="3"/>
      <charset val="129"/>
    </font>
    <font>
      <sz val="9"/>
      <name val="돋움체"/>
      <family val="3"/>
      <charset val="129"/>
    </font>
    <font>
      <b/>
      <sz val="9"/>
      <name val="돋움체"/>
      <family val="3"/>
      <charset val="129"/>
    </font>
    <font>
      <b/>
      <sz val="16"/>
      <name val="돋움"/>
      <family val="3"/>
      <charset val="129"/>
    </font>
    <font>
      <b/>
      <u/>
      <sz val="10"/>
      <name val="돋움"/>
      <family val="3"/>
      <charset val="129"/>
    </font>
    <font>
      <sz val="12"/>
      <name val="돋움체"/>
      <family val="3"/>
      <charset val="129"/>
    </font>
    <font>
      <sz val="11"/>
      <color theme="1"/>
      <name val="돋움"/>
      <family val="3"/>
      <charset val="129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8"/>
      <color indexed="12"/>
      <name val="Times New Roman"/>
      <family val="1"/>
    </font>
    <font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BF1DE"/>
        <bgColor rgb="FF000000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8">
    <xf numFmtId="0" fontId="0" fillId="0" borderId="0"/>
    <xf numFmtId="41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1" fontId="19" fillId="0" borderId="0"/>
    <xf numFmtId="1" fontId="19" fillId="0" borderId="0"/>
    <xf numFmtId="0" fontId="20" fillId="0" borderId="0"/>
    <xf numFmtId="0" fontId="34" fillId="0" borderId="0">
      <alignment vertical="center"/>
    </xf>
    <xf numFmtId="0" fontId="35" fillId="0" borderId="0"/>
    <xf numFmtId="41" fontId="3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91" fontId="35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5" fillId="0" borderId="0"/>
  </cellStyleXfs>
  <cellXfs count="275">
    <xf numFmtId="0" fontId="19" fillId="0" borderId="0" xfId="0" applyFont="1" applyAlignment="1"/>
    <xf numFmtId="0" fontId="21" fillId="33" borderId="0" xfId="46" applyFont="1" applyFill="1"/>
    <xf numFmtId="0" fontId="22" fillId="33" borderId="0" xfId="46" applyFont="1" applyFill="1"/>
    <xf numFmtId="0" fontId="0" fillId="33" borderId="0" xfId="46" applyFont="1" applyFill="1"/>
    <xf numFmtId="0" fontId="24" fillId="0" borderId="0" xfId="46" applyFont="1" applyFill="1"/>
    <xf numFmtId="0" fontId="24" fillId="33" borderId="0" xfId="46" applyFont="1" applyFill="1"/>
    <xf numFmtId="0" fontId="22" fillId="0" borderId="0" xfId="46" applyFont="1" applyFill="1"/>
    <xf numFmtId="0" fontId="25" fillId="33" borderId="0" xfId="46" applyFont="1" applyFill="1" applyAlignment="1" applyProtection="1">
      <alignment horizontal="left" vertical="center"/>
      <protection locked="0"/>
    </xf>
    <xf numFmtId="0" fontId="25" fillId="33" borderId="0" xfId="46" applyFont="1" applyFill="1" applyAlignment="1">
      <alignment horizontal="left"/>
    </xf>
    <xf numFmtId="0" fontId="21" fillId="0" borderId="0" xfId="46" applyFont="1" applyFill="1"/>
    <xf numFmtId="0" fontId="26" fillId="33" borderId="10" xfId="46" applyFont="1" applyFill="1" applyBorder="1" applyAlignment="1">
      <alignment horizontal="center" vertical="center"/>
    </xf>
    <xf numFmtId="0" fontId="25" fillId="33" borderId="0" xfId="46" applyFont="1" applyFill="1" applyAlignment="1">
      <alignment horizontal="center"/>
    </xf>
    <xf numFmtId="0" fontId="27" fillId="33" borderId="0" xfId="46" applyFont="1" applyFill="1" applyAlignment="1">
      <alignment horizontal="center" vertical="center"/>
    </xf>
    <xf numFmtId="0" fontId="25" fillId="33" borderId="0" xfId="46" applyFont="1" applyFill="1" applyAlignment="1">
      <alignment horizontal="right" vertical="center"/>
    </xf>
    <xf numFmtId="0" fontId="25" fillId="33" borderId="0" xfId="46" applyFont="1" applyFill="1" applyAlignment="1">
      <alignment vertical="center"/>
    </xf>
    <xf numFmtId="177" fontId="25" fillId="33" borderId="0" xfId="46" applyNumberFormat="1" applyFont="1" applyFill="1" applyAlignment="1">
      <alignment vertical="center"/>
    </xf>
    <xf numFmtId="178" fontId="25" fillId="33" borderId="0" xfId="46" applyNumberFormat="1" applyFont="1" applyFill="1" applyAlignment="1">
      <alignment vertical="center"/>
    </xf>
    <xf numFmtId="26" fontId="25" fillId="33" borderId="0" xfId="46" applyNumberFormat="1" applyFont="1" applyFill="1" applyAlignment="1">
      <alignment horizontal="center" vertical="center"/>
    </xf>
    <xf numFmtId="26" fontId="25" fillId="33" borderId="0" xfId="46" applyNumberFormat="1" applyFont="1" applyFill="1" applyAlignment="1">
      <alignment vertical="center"/>
    </xf>
    <xf numFmtId="179" fontId="25" fillId="33" borderId="0" xfId="1" applyNumberFormat="1" applyFont="1" applyFill="1" applyAlignment="1">
      <alignment vertical="center"/>
    </xf>
    <xf numFmtId="180" fontId="25" fillId="33" borderId="0" xfId="46" applyNumberFormat="1" applyFont="1" applyFill="1" applyAlignment="1">
      <alignment vertical="center"/>
    </xf>
    <xf numFmtId="0" fontId="25" fillId="33" borderId="0" xfId="46" applyFont="1" applyFill="1" applyAlignment="1">
      <alignment horizontal="left" vertical="center"/>
    </xf>
    <xf numFmtId="0" fontId="25" fillId="33" borderId="11" xfId="46" applyFont="1" applyFill="1" applyBorder="1" applyAlignment="1">
      <alignment horizontal="center"/>
    </xf>
    <xf numFmtId="0" fontId="25" fillId="33" borderId="11" xfId="46" applyFont="1" applyFill="1" applyBorder="1"/>
    <xf numFmtId="177" fontId="25" fillId="33" borderId="11" xfId="46" applyNumberFormat="1" applyFont="1" applyFill="1" applyBorder="1"/>
    <xf numFmtId="178" fontId="25" fillId="33" borderId="11" xfId="46" applyNumberFormat="1" applyFont="1" applyFill="1" applyBorder="1"/>
    <xf numFmtId="26" fontId="25" fillId="33" borderId="11" xfId="46" applyNumberFormat="1" applyFont="1" applyFill="1" applyBorder="1" applyAlignment="1">
      <alignment horizontal="center"/>
    </xf>
    <xf numFmtId="26" fontId="25" fillId="33" borderId="11" xfId="46" applyNumberFormat="1" applyFont="1" applyFill="1" applyBorder="1"/>
    <xf numFmtId="179" fontId="25" fillId="33" borderId="11" xfId="1" applyNumberFormat="1" applyFont="1" applyFill="1" applyBorder="1" applyAlignment="1"/>
    <xf numFmtId="180" fontId="25" fillId="33" borderId="11" xfId="46" applyNumberFormat="1" applyFont="1" applyFill="1" applyBorder="1"/>
    <xf numFmtId="181" fontId="21" fillId="33" borderId="0" xfId="46" applyNumberFormat="1" applyFont="1" applyFill="1"/>
    <xf numFmtId="0" fontId="28" fillId="0" borderId="0" xfId="46" applyFont="1" applyBorder="1"/>
    <xf numFmtId="0" fontId="28" fillId="0" borderId="12" xfId="46" applyFont="1" applyBorder="1"/>
    <xf numFmtId="0" fontId="21" fillId="0" borderId="12" xfId="46" applyFont="1" applyFill="1" applyBorder="1"/>
    <xf numFmtId="0" fontId="21" fillId="0" borderId="13" xfId="46" applyFont="1" applyFill="1" applyBorder="1"/>
    <xf numFmtId="0" fontId="28" fillId="0" borderId="14" xfId="46" applyFont="1" applyBorder="1"/>
    <xf numFmtId="0" fontId="27" fillId="0" borderId="0" xfId="46" applyFont="1" applyBorder="1"/>
    <xf numFmtId="0" fontId="27" fillId="0" borderId="0" xfId="46" applyFont="1" applyFill="1"/>
    <xf numFmtId="0" fontId="21" fillId="0" borderId="15" xfId="46" applyFont="1" applyFill="1" applyBorder="1"/>
    <xf numFmtId="0" fontId="0" fillId="0" borderId="0" xfId="44" applyNumberFormat="1" applyFont="1" applyFill="1"/>
    <xf numFmtId="182" fontId="21" fillId="0" borderId="0" xfId="46" applyNumberFormat="1" applyFont="1" applyFill="1" applyAlignment="1">
      <alignment horizontal="left"/>
    </xf>
    <xf numFmtId="0" fontId="21" fillId="0" borderId="0" xfId="46" applyFont="1" applyBorder="1"/>
    <xf numFmtId="0" fontId="29" fillId="0" borderId="0" xfId="44" applyNumberFormat="1" applyFont="1" applyFill="1" applyAlignment="1">
      <alignment vertical="center"/>
    </xf>
    <xf numFmtId="182" fontId="21" fillId="0" borderId="10" xfId="46" applyNumberFormat="1" applyFont="1" applyFill="1" applyBorder="1" applyAlignment="1">
      <alignment horizontal="right"/>
    </xf>
    <xf numFmtId="15" fontId="21" fillId="0" borderId="0" xfId="46" applyNumberFormat="1" applyFont="1" applyFill="1"/>
    <xf numFmtId="41" fontId="21" fillId="0" borderId="0" xfId="1" applyFont="1" applyFill="1" applyAlignment="1"/>
    <xf numFmtId="183" fontId="27" fillId="0" borderId="0" xfId="1" applyNumberFormat="1" applyFont="1" applyFill="1" applyAlignment="1">
      <alignment horizontal="center"/>
    </xf>
    <xf numFmtId="183" fontId="21" fillId="0" borderId="0" xfId="1" applyNumberFormat="1" applyFont="1" applyFill="1" applyAlignment="1">
      <alignment horizontal="center"/>
    </xf>
    <xf numFmtId="0" fontId="27" fillId="0" borderId="0" xfId="44" applyNumberFormat="1" applyFont="1" applyBorder="1"/>
    <xf numFmtId="183" fontId="21" fillId="0" borderId="12" xfId="1" applyNumberFormat="1" applyFont="1" applyFill="1" applyBorder="1" applyAlignment="1">
      <alignment horizontal="center"/>
    </xf>
    <xf numFmtId="0" fontId="21" fillId="0" borderId="0" xfId="44" applyNumberFormat="1" applyFont="1" applyBorder="1"/>
    <xf numFmtId="180" fontId="21" fillId="0" borderId="0" xfId="46" applyNumberFormat="1" applyFont="1" applyFill="1"/>
    <xf numFmtId="0" fontId="21" fillId="0" borderId="0" xfId="46" applyFont="1" applyFill="1" applyAlignment="1">
      <alignment horizontal="right"/>
    </xf>
    <xf numFmtId="0" fontId="21" fillId="0" borderId="10" xfId="46" applyFont="1" applyFill="1" applyBorder="1"/>
    <xf numFmtId="183" fontId="21" fillId="0" borderId="0" xfId="1" applyNumberFormat="1" applyFont="1" applyFill="1" applyAlignment="1">
      <alignment horizontal="right"/>
    </xf>
    <xf numFmtId="0" fontId="21" fillId="0" borderId="16" xfId="46" applyFont="1" applyFill="1" applyBorder="1"/>
    <xf numFmtId="183" fontId="21" fillId="0" borderId="12" xfId="1" applyNumberFormat="1" applyFont="1" applyFill="1" applyBorder="1" applyAlignment="1">
      <alignment horizontal="left"/>
    </xf>
    <xf numFmtId="0" fontId="21" fillId="0" borderId="0" xfId="44" applyNumberFormat="1" applyFont="1" applyFill="1"/>
    <xf numFmtId="183" fontId="21" fillId="0" borderId="0" xfId="1" applyNumberFormat="1" applyFont="1" applyFill="1" applyAlignment="1">
      <alignment horizontal="left"/>
    </xf>
    <xf numFmtId="0" fontId="27" fillId="0" borderId="0" xfId="44" applyNumberFormat="1" applyFont="1" applyFill="1" applyAlignment="1">
      <alignment horizontal="right"/>
    </xf>
    <xf numFmtId="184" fontId="21" fillId="34" borderId="0" xfId="46" applyNumberFormat="1" applyFont="1" applyFill="1" applyAlignment="1">
      <alignment horizontal="left"/>
    </xf>
    <xf numFmtId="0" fontId="30" fillId="0" borderId="0" xfId="44" applyNumberFormat="1" applyFont="1" applyBorder="1" applyAlignment="1">
      <alignment vertical="center"/>
    </xf>
    <xf numFmtId="0" fontId="27" fillId="0" borderId="0" xfId="46" applyFont="1" applyFill="1" applyAlignment="1">
      <alignment horizontal="right"/>
    </xf>
    <xf numFmtId="184" fontId="21" fillId="0" borderId="0" xfId="46" applyNumberFormat="1" applyFont="1" applyFill="1" applyAlignment="1">
      <alignment horizontal="left"/>
    </xf>
    <xf numFmtId="0" fontId="27" fillId="0" borderId="0" xfId="44" applyNumberFormat="1" applyFont="1" applyFill="1"/>
    <xf numFmtId="0" fontId="27" fillId="0" borderId="0" xfId="46" applyFont="1" applyFill="1" applyAlignment="1">
      <alignment horizontal="center"/>
    </xf>
    <xf numFmtId="0" fontId="28" fillId="0" borderId="17" xfId="46" applyFont="1" applyBorder="1"/>
    <xf numFmtId="0" fontId="29" fillId="0" borderId="18" xfId="44" applyNumberFormat="1" applyFont="1" applyFill="1" applyBorder="1" applyAlignment="1">
      <alignment vertical="center"/>
    </xf>
    <xf numFmtId="185" fontId="21" fillId="0" borderId="0" xfId="1" applyNumberFormat="1" applyFont="1" applyFill="1" applyAlignment="1"/>
    <xf numFmtId="183" fontId="27" fillId="0" borderId="10" xfId="1" applyNumberFormat="1" applyFont="1" applyFill="1" applyBorder="1" applyAlignment="1">
      <alignment horizontal="center"/>
    </xf>
    <xf numFmtId="0" fontId="28" fillId="0" borderId="0" xfId="46" applyFont="1" applyFill="1" applyAlignment="1">
      <alignment horizontal="center"/>
    </xf>
    <xf numFmtId="0" fontId="28" fillId="0" borderId="15" xfId="46" applyFont="1" applyFill="1" applyBorder="1" applyAlignment="1">
      <alignment horizontal="center"/>
    </xf>
    <xf numFmtId="0" fontId="27" fillId="0" borderId="0" xfId="46" applyFont="1" applyBorder="1" applyAlignment="1">
      <alignment horizontal="left"/>
    </xf>
    <xf numFmtId="17" fontId="29" fillId="0" borderId="0" xfId="44" applyNumberFormat="1" applyFont="1" applyFill="1" applyAlignment="1">
      <alignment horizontal="left" vertical="center"/>
    </xf>
    <xf numFmtId="186" fontId="21" fillId="0" borderId="0" xfId="46" applyNumberFormat="1" applyFont="1" applyFill="1" applyAlignment="1">
      <alignment horizontal="center"/>
    </xf>
    <xf numFmtId="0" fontId="29" fillId="0" borderId="0" xfId="44" applyNumberFormat="1" applyFont="1" applyFill="1" applyAlignment="1">
      <alignment horizontal="center" vertical="center"/>
    </xf>
    <xf numFmtId="0" fontId="21" fillId="0" borderId="0" xfId="44" applyNumberFormat="1" applyFont="1" applyFill="1" applyAlignment="1">
      <alignment horizontal="center" vertical="center"/>
    </xf>
    <xf numFmtId="0" fontId="29" fillId="0" borderId="0" xfId="44" applyNumberFormat="1" applyFont="1" applyFill="1" applyAlignment="1">
      <alignment horizontal="left"/>
    </xf>
    <xf numFmtId="0" fontId="25" fillId="0" borderId="0" xfId="44" applyNumberFormat="1" applyFont="1" applyFill="1"/>
    <xf numFmtId="178" fontId="25" fillId="0" borderId="0" xfId="44" applyNumberFormat="1" applyFont="1" applyFill="1"/>
    <xf numFmtId="26" fontId="25" fillId="0" borderId="0" xfId="44" applyNumberFormat="1" applyFont="1" applyFill="1" applyAlignment="1">
      <alignment horizontal="center"/>
    </xf>
    <xf numFmtId="177" fontId="25" fillId="0" borderId="0" xfId="44" applyNumberFormat="1" applyFont="1" applyFill="1"/>
    <xf numFmtId="26" fontId="25" fillId="0" borderId="0" xfId="44" applyNumberFormat="1" applyFont="1" applyFill="1"/>
    <xf numFmtId="187" fontId="27" fillId="0" borderId="0" xfId="43" applyNumberFormat="1" applyFont="1" applyFill="1" applyAlignment="1">
      <alignment horizontal="center"/>
    </xf>
    <xf numFmtId="178" fontId="21" fillId="0" borderId="0" xfId="44" applyNumberFormat="1" applyFont="1" applyFill="1"/>
    <xf numFmtId="0" fontId="27" fillId="0" borderId="11" xfId="46" applyFont="1" applyFill="1" applyBorder="1"/>
    <xf numFmtId="0" fontId="27" fillId="0" borderId="11" xfId="44" applyNumberFormat="1" applyFont="1" applyFill="1" applyBorder="1"/>
    <xf numFmtId="0" fontId="27" fillId="0" borderId="11" xfId="1" applyNumberFormat="1" applyFont="1" applyFill="1" applyBorder="1" applyAlignment="1">
      <alignment horizontal="right"/>
    </xf>
    <xf numFmtId="26" fontId="27" fillId="0" borderId="11" xfId="44" applyNumberFormat="1" applyFont="1" applyFill="1" applyBorder="1" applyAlignment="1">
      <alignment horizontal="left"/>
    </xf>
    <xf numFmtId="188" fontId="27" fillId="0" borderId="11" xfId="46" applyNumberFormat="1" applyFont="1" applyFill="1" applyBorder="1"/>
    <xf numFmtId="189" fontId="27" fillId="0" borderId="11" xfId="46" applyNumberFormat="1" applyFont="1" applyFill="1" applyBorder="1"/>
    <xf numFmtId="26" fontId="21" fillId="0" borderId="0" xfId="44" applyNumberFormat="1" applyFont="1" applyFill="1" applyAlignment="1">
      <alignment horizontal="center"/>
    </xf>
    <xf numFmtId="177" fontId="21" fillId="0" borderId="0" xfId="44" applyNumberFormat="1" applyFont="1" applyFill="1"/>
    <xf numFmtId="189" fontId="21" fillId="0" borderId="0" xfId="46" applyNumberFormat="1" applyFont="1" applyFill="1"/>
    <xf numFmtId="26" fontId="21" fillId="0" borderId="0" xfId="46" applyNumberFormat="1" applyFont="1" applyFill="1"/>
    <xf numFmtId="178" fontId="21" fillId="0" borderId="0" xfId="46" applyNumberFormat="1" applyFont="1" applyFill="1"/>
    <xf numFmtId="26" fontId="21" fillId="0" borderId="0" xfId="46" applyNumberFormat="1" applyFont="1" applyFill="1" applyAlignment="1">
      <alignment horizontal="center"/>
    </xf>
    <xf numFmtId="0" fontId="21" fillId="0" borderId="0" xfId="46" applyFont="1" applyFill="1" applyAlignment="1">
      <alignment horizontal="left" indent="3"/>
    </xf>
    <xf numFmtId="0" fontId="21" fillId="0" borderId="0" xfId="46" applyFont="1" applyFill="1" applyAlignment="1">
      <alignment horizontal="left"/>
    </xf>
    <xf numFmtId="0" fontId="28" fillId="0" borderId="10" xfId="46" applyFont="1" applyFill="1" applyBorder="1" applyAlignment="1">
      <alignment horizontal="right"/>
    </xf>
    <xf numFmtId="0" fontId="21" fillId="0" borderId="10" xfId="44" applyNumberFormat="1" applyFont="1" applyFill="1" applyBorder="1" applyAlignment="1">
      <alignment horizontal="center" vertical="center"/>
    </xf>
    <xf numFmtId="0" fontId="25" fillId="0" borderId="0" xfId="0" applyFont="1" applyAlignme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49" fontId="25" fillId="0" borderId="18" xfId="0" applyNumberFormat="1" applyFont="1" applyBorder="1" applyAlignment="1"/>
    <xf numFmtId="49" fontId="25" fillId="0" borderId="27" xfId="0" applyNumberFormat="1" applyFont="1" applyBorder="1" applyAlignment="1"/>
    <xf numFmtId="49" fontId="25" fillId="0" borderId="0" xfId="0" applyNumberFormat="1" applyFont="1" applyAlignment="1"/>
    <xf numFmtId="0" fontId="25" fillId="0" borderId="27" xfId="0" applyFont="1" applyBorder="1" applyAlignment="1">
      <alignment horizontal="center"/>
    </xf>
    <xf numFmtId="41" fontId="25" fillId="0" borderId="15" xfId="1" applyFont="1" applyBorder="1" applyAlignment="1">
      <alignment horizontal="right"/>
    </xf>
    <xf numFmtId="41" fontId="25" fillId="0" borderId="15" xfId="1" applyFont="1" applyBorder="1" applyAlignment="1"/>
    <xf numFmtId="0" fontId="25" fillId="0" borderId="15" xfId="1" applyNumberFormat="1" applyFont="1" applyBorder="1" applyAlignment="1"/>
    <xf numFmtId="49" fontId="25" fillId="0" borderId="28" xfId="0" applyNumberFormat="1" applyFont="1" applyBorder="1" applyAlignment="1"/>
    <xf numFmtId="49" fontId="25" fillId="0" borderId="29" xfId="0" applyNumberFormat="1" applyFont="1" applyBorder="1" applyAlignment="1"/>
    <xf numFmtId="49" fontId="25" fillId="0" borderId="30" xfId="0" applyNumberFormat="1" applyFont="1" applyBorder="1" applyAlignment="1"/>
    <xf numFmtId="0" fontId="25" fillId="0" borderId="29" xfId="0" applyFont="1" applyBorder="1" applyAlignment="1">
      <alignment horizontal="center"/>
    </xf>
    <xf numFmtId="41" fontId="25" fillId="0" borderId="31" xfId="1" applyFont="1" applyBorder="1" applyAlignment="1">
      <alignment horizontal="right"/>
    </xf>
    <xf numFmtId="41" fontId="25" fillId="0" borderId="31" xfId="1" applyFont="1" applyBorder="1" applyAlignment="1"/>
    <xf numFmtId="0" fontId="25" fillId="0" borderId="31" xfId="1" applyNumberFormat="1" applyFont="1" applyBorder="1" applyAlignment="1"/>
    <xf numFmtId="0" fontId="26" fillId="0" borderId="32" xfId="0" applyFont="1" applyBorder="1" applyAlignment="1">
      <alignment horizontal="center"/>
    </xf>
    <xf numFmtId="0" fontId="26" fillId="0" borderId="33" xfId="0" applyFont="1" applyBorder="1" applyAlignment="1">
      <alignment horizontal="center"/>
    </xf>
    <xf numFmtId="0" fontId="25" fillId="0" borderId="33" xfId="0" applyFont="1" applyBorder="1" applyAlignment="1"/>
    <xf numFmtId="41" fontId="25" fillId="0" borderId="33" xfId="0" applyNumberFormat="1" applyFont="1" applyBorder="1" applyAlignment="1"/>
    <xf numFmtId="41" fontId="26" fillId="0" borderId="33" xfId="0" applyNumberFormat="1" applyFont="1" applyBorder="1" applyAlignment="1"/>
    <xf numFmtId="185" fontId="25" fillId="0" borderId="0" xfId="0" applyNumberFormat="1" applyFont="1" applyAlignment="1"/>
    <xf numFmtId="0" fontId="0" fillId="0" borderId="0" xfId="45" applyNumberFormat="1" applyFont="1" applyFill="1"/>
    <xf numFmtId="0" fontId="29" fillId="0" borderId="0" xfId="45" applyNumberFormat="1" applyFont="1" applyFill="1" applyAlignment="1">
      <alignment vertical="center"/>
    </xf>
    <xf numFmtId="0" fontId="21" fillId="0" borderId="0" xfId="45" applyNumberFormat="1" applyFont="1" applyFill="1"/>
    <xf numFmtId="0" fontId="27" fillId="0" borderId="0" xfId="45" applyNumberFormat="1" applyFont="1" applyFill="1" applyAlignment="1">
      <alignment horizontal="right"/>
    </xf>
    <xf numFmtId="184" fontId="27" fillId="0" borderId="0" xfId="46" applyNumberFormat="1" applyFont="1" applyFill="1" applyAlignment="1">
      <alignment horizontal="left"/>
    </xf>
    <xf numFmtId="0" fontId="30" fillId="0" borderId="0" xfId="45" applyNumberFormat="1" applyFont="1" applyBorder="1" applyAlignment="1">
      <alignment vertical="center"/>
    </xf>
    <xf numFmtId="0" fontId="27" fillId="0" borderId="0" xfId="45" applyNumberFormat="1" applyFont="1" applyFill="1"/>
    <xf numFmtId="0" fontId="29" fillId="0" borderId="18" xfId="45" applyNumberFormat="1" applyFont="1" applyFill="1" applyBorder="1" applyAlignment="1">
      <alignment vertical="center"/>
    </xf>
    <xf numFmtId="17" fontId="29" fillId="0" borderId="0" xfId="45" applyNumberFormat="1" applyFont="1" applyFill="1" applyAlignment="1">
      <alignment horizontal="left" vertical="center"/>
    </xf>
    <xf numFmtId="0" fontId="29" fillId="0" borderId="0" xfId="45" applyNumberFormat="1" applyFont="1" applyFill="1" applyAlignment="1">
      <alignment horizontal="center" vertical="center"/>
    </xf>
    <xf numFmtId="0" fontId="29" fillId="0" borderId="0" xfId="45" applyNumberFormat="1" applyFont="1" applyFill="1" applyAlignment="1">
      <alignment horizontal="left"/>
    </xf>
    <xf numFmtId="178" fontId="21" fillId="0" borderId="0" xfId="45" applyNumberFormat="1" applyFont="1" applyFill="1"/>
    <xf numFmtId="26" fontId="21" fillId="0" borderId="0" xfId="45" applyNumberFormat="1" applyFont="1" applyFill="1" applyAlignment="1">
      <alignment horizontal="center"/>
    </xf>
    <xf numFmtId="177" fontId="21" fillId="0" borderId="0" xfId="45" applyNumberFormat="1" applyFont="1" applyFill="1"/>
    <xf numFmtId="26" fontId="21" fillId="0" borderId="0" xfId="45" applyNumberFormat="1" applyFont="1" applyFill="1"/>
    <xf numFmtId="0" fontId="27" fillId="0" borderId="34" xfId="46" applyFont="1" applyFill="1" applyBorder="1"/>
    <xf numFmtId="0" fontId="27" fillId="0" borderId="34" xfId="45" applyNumberFormat="1" applyFont="1" applyFill="1" applyBorder="1"/>
    <xf numFmtId="0" fontId="27" fillId="0" borderId="34" xfId="1" applyNumberFormat="1" applyFont="1" applyFill="1" applyBorder="1" applyAlignment="1">
      <alignment horizontal="right"/>
    </xf>
    <xf numFmtId="26" fontId="27" fillId="0" borderId="34" xfId="45" applyNumberFormat="1" applyFont="1" applyFill="1" applyBorder="1" applyAlignment="1">
      <alignment horizontal="left"/>
    </xf>
    <xf numFmtId="177" fontId="25" fillId="0" borderId="0" xfId="0" applyNumberFormat="1" applyFont="1" applyAlignment="1"/>
    <xf numFmtId="178" fontId="25" fillId="0" borderId="0" xfId="0" applyNumberFormat="1" applyFont="1" applyAlignment="1"/>
    <xf numFmtId="26" fontId="25" fillId="0" borderId="0" xfId="0" applyNumberFormat="1" applyFont="1" applyAlignment="1">
      <alignment horizontal="center"/>
    </xf>
    <xf numFmtId="0" fontId="25" fillId="0" borderId="0" xfId="0" applyNumberFormat="1" applyFont="1" applyAlignment="1">
      <alignment horizontal="left"/>
    </xf>
    <xf numFmtId="0" fontId="25" fillId="0" borderId="0" xfId="0" applyNumberFormat="1" applyFont="1" applyAlignment="1"/>
    <xf numFmtId="0" fontId="25" fillId="0" borderId="0" xfId="0" applyFont="1" applyAlignment="1">
      <alignment horizontal="right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0" fontId="25" fillId="0" borderId="0" xfId="0" applyFont="1" applyAlignment="1" applyProtection="1">
      <alignment horizontal="center" vertical="center"/>
      <protection locked="0"/>
    </xf>
    <xf numFmtId="41" fontId="25" fillId="0" borderId="0" xfId="0" applyNumberFormat="1" applyFont="1" applyAlignment="1">
      <alignment vertical="center"/>
    </xf>
    <xf numFmtId="178" fontId="25" fillId="0" borderId="0" xfId="0" applyNumberFormat="1" applyFont="1" applyAlignment="1">
      <alignment horizontal="center" vertical="center"/>
    </xf>
    <xf numFmtId="0" fontId="25" fillId="0" borderId="12" xfId="0" applyFont="1" applyBorder="1" applyAlignment="1" applyProtection="1">
      <alignment horizontal="left" vertical="center"/>
      <protection locked="0"/>
    </xf>
    <xf numFmtId="0" fontId="25" fillId="0" borderId="12" xfId="0" applyNumberFormat="1" applyFont="1" applyBorder="1" applyAlignment="1" applyProtection="1">
      <alignment horizontal="left" vertical="center"/>
      <protection locked="0"/>
    </xf>
    <xf numFmtId="0" fontId="25" fillId="0" borderId="0" xfId="0" applyFont="1" applyAlignment="1">
      <alignment horizontal="left"/>
    </xf>
    <xf numFmtId="0" fontId="26" fillId="0" borderId="10" xfId="0" applyFont="1" applyBorder="1" applyAlignment="1">
      <alignment horizontal="center" vertical="center"/>
    </xf>
    <xf numFmtId="0" fontId="26" fillId="0" borderId="10" xfId="0" applyNumberFormat="1" applyFont="1" applyBorder="1" applyAlignment="1">
      <alignment horizontal="center" vertical="center"/>
    </xf>
    <xf numFmtId="26" fontId="25" fillId="0" borderId="0" xfId="0" applyNumberFormat="1" applyFont="1" applyAlignment="1"/>
    <xf numFmtId="179" fontId="25" fillId="0" borderId="0" xfId="1" applyNumberFormat="1" applyFont="1" applyAlignment="1"/>
    <xf numFmtId="0" fontId="25" fillId="0" borderId="11" xfId="0" applyFont="1" applyBorder="1" applyAlignment="1">
      <alignment horizontal="center"/>
    </xf>
    <xf numFmtId="0" fontId="25" fillId="0" borderId="11" xfId="0" applyFont="1" applyBorder="1" applyAlignment="1"/>
    <xf numFmtId="177" fontId="25" fillId="0" borderId="11" xfId="0" applyNumberFormat="1" applyFont="1" applyBorder="1" applyAlignment="1"/>
    <xf numFmtId="178" fontId="25" fillId="0" borderId="11" xfId="0" applyNumberFormat="1" applyFont="1" applyBorder="1" applyAlignment="1"/>
    <xf numFmtId="26" fontId="25" fillId="0" borderId="11" xfId="0" applyNumberFormat="1" applyFont="1" applyBorder="1" applyAlignment="1">
      <alignment horizontal="center"/>
    </xf>
    <xf numFmtId="26" fontId="25" fillId="0" borderId="11" xfId="0" applyNumberFormat="1" applyFont="1" applyBorder="1" applyAlignment="1"/>
    <xf numFmtId="179" fontId="25" fillId="0" borderId="11" xfId="1" applyNumberFormat="1" applyFont="1" applyBorder="1" applyAlignment="1"/>
    <xf numFmtId="178" fontId="32" fillId="35" borderId="0" xfId="0" applyNumberFormat="1" applyFont="1" applyFill="1" applyAlignment="1"/>
    <xf numFmtId="26" fontId="32" fillId="35" borderId="0" xfId="0" applyNumberFormat="1" applyFont="1" applyFill="1" applyAlignment="1">
      <alignment horizontal="center"/>
    </xf>
    <xf numFmtId="26" fontId="32" fillId="35" borderId="0" xfId="0" applyNumberFormat="1" applyFont="1" applyFill="1" applyAlignment="1"/>
    <xf numFmtId="0" fontId="21" fillId="0" borderId="0" xfId="46" applyFont="1" applyFill="1" applyAlignment="1">
      <alignment vertical="center"/>
    </xf>
    <xf numFmtId="0" fontId="21" fillId="0" borderId="10" xfId="46" applyFont="1" applyFill="1" applyBorder="1" applyAlignment="1">
      <alignment vertical="center"/>
    </xf>
    <xf numFmtId="0" fontId="28" fillId="0" borderId="18" xfId="46" applyFont="1" applyBorder="1"/>
    <xf numFmtId="0" fontId="27" fillId="0" borderId="18" xfId="46" applyFont="1" applyFill="1" applyBorder="1" applyAlignment="1">
      <alignment horizontal="left" indent="3"/>
    </xf>
    <xf numFmtId="0" fontId="27" fillId="0" borderId="0" xfId="46" applyFont="1" applyFill="1" applyAlignment="1">
      <alignment horizontal="left" indent="2"/>
    </xf>
    <xf numFmtId="0" fontId="21" fillId="0" borderId="0" xfId="46" applyFont="1" applyFill="1" applyAlignment="1">
      <alignment horizontal="center"/>
    </xf>
    <xf numFmtId="0" fontId="27" fillId="0" borderId="0" xfId="46" applyFont="1" applyFill="1" applyAlignment="1">
      <alignment vertical="center"/>
    </xf>
    <xf numFmtId="0" fontId="21" fillId="0" borderId="0" xfId="46" applyFont="1" applyFill="1" applyAlignment="1">
      <alignment horizontal="center" vertical="center"/>
    </xf>
    <xf numFmtId="182" fontId="21" fillId="0" borderId="0" xfId="46" applyNumberFormat="1" applyFont="1" applyFill="1"/>
    <xf numFmtId="0" fontId="27" fillId="0" borderId="10" xfId="46" applyFont="1" applyFill="1" applyBorder="1" applyAlignment="1">
      <alignment horizontal="left" indent="3"/>
    </xf>
    <xf numFmtId="0" fontId="27" fillId="0" borderId="10" xfId="46" applyFont="1" applyFill="1" applyBorder="1" applyAlignment="1">
      <alignment horizontal="center"/>
    </xf>
    <xf numFmtId="0" fontId="21" fillId="0" borderId="18" xfId="46" applyFont="1" applyFill="1" applyBorder="1"/>
    <xf numFmtId="0" fontId="21" fillId="0" borderId="15" xfId="46" applyFont="1" applyFill="1" applyBorder="1" applyAlignment="1">
      <alignment horizontal="center"/>
    </xf>
    <xf numFmtId="190" fontId="21" fillId="0" borderId="0" xfId="46" applyNumberFormat="1" applyFont="1" applyFill="1" applyAlignment="1">
      <alignment horizontal="center" shrinkToFit="1"/>
    </xf>
    <xf numFmtId="190" fontId="21" fillId="0" borderId="0" xfId="46" applyNumberFormat="1" applyFont="1" applyFill="1" applyAlignment="1">
      <alignment horizontal="center"/>
    </xf>
    <xf numFmtId="41" fontId="27" fillId="0" borderId="0" xfId="46" applyNumberFormat="1" applyFont="1" applyFill="1"/>
    <xf numFmtId="180" fontId="33" fillId="0" borderId="0" xfId="46" applyNumberFormat="1" applyFont="1" applyFill="1"/>
    <xf numFmtId="17" fontId="21" fillId="0" borderId="0" xfId="46" applyNumberFormat="1" applyFont="1" applyFill="1" applyAlignment="1">
      <alignment horizontal="left" vertical="center"/>
    </xf>
    <xf numFmtId="41" fontId="21" fillId="0" borderId="0" xfId="46" applyNumberFormat="1" applyFont="1" applyFill="1"/>
    <xf numFmtId="183" fontId="21" fillId="0" borderId="0" xfId="1" applyNumberFormat="1" applyFont="1" applyFill="1" applyAlignment="1"/>
    <xf numFmtId="0" fontId="21" fillId="0" borderId="11" xfId="46" applyFont="1" applyFill="1" applyBorder="1"/>
    <xf numFmtId="178" fontId="21" fillId="0" borderId="11" xfId="46" applyNumberFormat="1" applyFont="1" applyFill="1" applyBorder="1"/>
    <xf numFmtId="26" fontId="21" fillId="0" borderId="11" xfId="46" applyNumberFormat="1" applyFont="1" applyFill="1" applyBorder="1" applyAlignment="1">
      <alignment horizontal="center"/>
    </xf>
    <xf numFmtId="13" fontId="25" fillId="0" borderId="15" xfId="1" applyNumberFormat="1" applyFont="1" applyBorder="1" applyAlignment="1"/>
    <xf numFmtId="0" fontId="0" fillId="0" borderId="0" xfId="46" applyFont="1" applyFill="1"/>
    <xf numFmtId="0" fontId="25" fillId="0" borderId="0" xfId="46" applyFont="1" applyFill="1" applyAlignment="1" applyProtection="1">
      <alignment horizontal="left" vertical="center"/>
      <protection locked="0"/>
    </xf>
    <xf numFmtId="0" fontId="25" fillId="0" borderId="0" xfId="46" applyFont="1" applyFill="1" applyAlignment="1">
      <alignment horizontal="left"/>
    </xf>
    <xf numFmtId="0" fontId="26" fillId="0" borderId="10" xfId="46" applyFont="1" applyFill="1" applyBorder="1" applyAlignment="1">
      <alignment horizontal="center" vertical="center"/>
    </xf>
    <xf numFmtId="0" fontId="25" fillId="0" borderId="0" xfId="46" applyFont="1" applyFill="1" applyAlignment="1">
      <alignment horizontal="center"/>
    </xf>
    <xf numFmtId="0" fontId="27" fillId="0" borderId="0" xfId="46" applyFont="1" applyFill="1" applyAlignment="1">
      <alignment horizontal="center" vertical="center"/>
    </xf>
    <xf numFmtId="0" fontId="25" fillId="0" borderId="0" xfId="46" applyFont="1" applyFill="1" applyAlignment="1">
      <alignment horizontal="right" vertical="center"/>
    </xf>
    <xf numFmtId="0" fontId="25" fillId="0" borderId="0" xfId="46" applyFont="1" applyFill="1" applyAlignment="1">
      <alignment vertical="center"/>
    </xf>
    <xf numFmtId="177" fontId="25" fillId="0" borderId="0" xfId="46" applyNumberFormat="1" applyFont="1" applyFill="1" applyAlignment="1">
      <alignment vertical="center"/>
    </xf>
    <xf numFmtId="178" fontId="25" fillId="0" borderId="0" xfId="46" applyNumberFormat="1" applyFont="1" applyFill="1" applyAlignment="1">
      <alignment vertical="center"/>
    </xf>
    <xf numFmtId="26" fontId="25" fillId="0" borderId="0" xfId="46" applyNumberFormat="1" applyFont="1" applyFill="1" applyAlignment="1">
      <alignment horizontal="center" vertical="center"/>
    </xf>
    <xf numFmtId="26" fontId="25" fillId="0" borderId="0" xfId="46" applyNumberFormat="1" applyFont="1" applyFill="1" applyAlignment="1">
      <alignment vertical="center"/>
    </xf>
    <xf numFmtId="179" fontId="25" fillId="0" borderId="0" xfId="1" applyNumberFormat="1" applyFont="1" applyFill="1" applyAlignment="1">
      <alignment vertical="center"/>
    </xf>
    <xf numFmtId="180" fontId="25" fillId="0" borderId="0" xfId="46" applyNumberFormat="1" applyFont="1" applyFill="1" applyAlignment="1">
      <alignment vertical="center"/>
    </xf>
    <xf numFmtId="0" fontId="25" fillId="0" borderId="0" xfId="46" applyFont="1" applyFill="1" applyAlignment="1">
      <alignment horizontal="left" vertical="center"/>
    </xf>
    <xf numFmtId="0" fontId="25" fillId="0" borderId="11" xfId="46" applyFont="1" applyFill="1" applyBorder="1" applyAlignment="1">
      <alignment horizontal="center"/>
    </xf>
    <xf numFmtId="0" fontId="25" fillId="0" borderId="11" xfId="46" applyFont="1" applyFill="1" applyBorder="1"/>
    <xf numFmtId="177" fontId="25" fillId="0" borderId="11" xfId="46" applyNumberFormat="1" applyFont="1" applyFill="1" applyBorder="1"/>
    <xf numFmtId="178" fontId="25" fillId="0" borderId="11" xfId="46" applyNumberFormat="1" applyFont="1" applyFill="1" applyBorder="1"/>
    <xf numFmtId="26" fontId="25" fillId="0" borderId="11" xfId="46" applyNumberFormat="1" applyFont="1" applyFill="1" applyBorder="1" applyAlignment="1">
      <alignment horizontal="center"/>
    </xf>
    <xf numFmtId="26" fontId="25" fillId="0" borderId="11" xfId="46" applyNumberFormat="1" applyFont="1" applyFill="1" applyBorder="1"/>
    <xf numFmtId="179" fontId="25" fillId="0" borderId="11" xfId="1" applyNumberFormat="1" applyFont="1" applyFill="1" applyBorder="1" applyAlignment="1"/>
    <xf numFmtId="180" fontId="25" fillId="0" borderId="11" xfId="46" applyNumberFormat="1" applyFont="1" applyFill="1" applyBorder="1"/>
    <xf numFmtId="181" fontId="21" fillId="0" borderId="0" xfId="46" applyNumberFormat="1" applyFont="1" applyFill="1"/>
    <xf numFmtId="0" fontId="26" fillId="0" borderId="24" xfId="0" applyNumberFormat="1" applyFont="1" applyBorder="1" applyAlignment="1">
      <alignment horizontal="center" vertical="center"/>
    </xf>
    <xf numFmtId="49" fontId="25" fillId="0" borderId="36" xfId="0" applyNumberFormat="1" applyFont="1" applyBorder="1" applyAlignment="1"/>
    <xf numFmtId="49" fontId="25" fillId="0" borderId="35" xfId="0" applyNumberFormat="1" applyFont="1" applyBorder="1" applyAlignment="1"/>
    <xf numFmtId="49" fontId="25" fillId="0" borderId="37" xfId="0" applyNumberFormat="1" applyFont="1" applyBorder="1" applyAlignment="1"/>
    <xf numFmtId="0" fontId="25" fillId="0" borderId="35" xfId="0" applyFont="1" applyBorder="1" applyAlignment="1">
      <alignment horizontal="center"/>
    </xf>
    <xf numFmtId="41" fontId="25" fillId="0" borderId="38" xfId="1" applyFont="1" applyBorder="1" applyAlignment="1">
      <alignment horizontal="right"/>
    </xf>
    <xf numFmtId="41" fontId="25" fillId="0" borderId="38" xfId="1" applyFont="1" applyBorder="1" applyAlignment="1"/>
    <xf numFmtId="13" fontId="25" fillId="0" borderId="38" xfId="1" applyNumberFormat="1" applyFont="1" applyBorder="1" applyAlignment="1"/>
    <xf numFmtId="185" fontId="21" fillId="0" borderId="0" xfId="49" applyNumberFormat="1" applyFont="1" applyFill="1" applyBorder="1" applyAlignment="1"/>
    <xf numFmtId="188" fontId="27" fillId="0" borderId="34" xfId="46" applyNumberFormat="1" applyFont="1" applyFill="1" applyBorder="1"/>
    <xf numFmtId="0" fontId="21" fillId="0" borderId="0" xfId="46" applyFont="1" applyFill="1" applyBorder="1"/>
    <xf numFmtId="0" fontId="28" fillId="0" borderId="10" xfId="46" applyFont="1" applyBorder="1"/>
    <xf numFmtId="0" fontId="21" fillId="0" borderId="10" xfId="46" applyFont="1" applyBorder="1"/>
    <xf numFmtId="0" fontId="23" fillId="0" borderId="0" xfId="46" applyFont="1" applyFill="1" applyAlignment="1">
      <alignment horizontal="center"/>
    </xf>
    <xf numFmtId="0" fontId="28" fillId="0" borderId="12" xfId="46" applyFont="1" applyBorder="1" applyAlignment="1">
      <alignment horizontal="center"/>
    </xf>
    <xf numFmtId="0" fontId="28" fillId="0" borderId="17" xfId="46" applyFont="1" applyBorder="1" applyAlignment="1">
      <alignment horizontal="center"/>
    </xf>
    <xf numFmtId="0" fontId="28" fillId="0" borderId="21" xfId="46" applyFont="1" applyBorder="1" applyAlignment="1">
      <alignment horizontal="center"/>
    </xf>
    <xf numFmtId="0" fontId="24" fillId="0" borderId="10" xfId="46" applyFont="1" applyBorder="1" applyAlignment="1">
      <alignment horizontal="center"/>
    </xf>
    <xf numFmtId="0" fontId="21" fillId="0" borderId="10" xfId="46" applyFont="1" applyBorder="1" applyAlignment="1">
      <alignment horizontal="center"/>
    </xf>
    <xf numFmtId="0" fontId="21" fillId="0" borderId="19" xfId="46" applyFont="1" applyBorder="1" applyAlignment="1">
      <alignment horizontal="center"/>
    </xf>
    <xf numFmtId="0" fontId="29" fillId="0" borderId="20" xfId="44" applyNumberFormat="1" applyFont="1" applyBorder="1" applyAlignment="1">
      <alignment horizontal="center" vertical="center"/>
    </xf>
    <xf numFmtId="0" fontId="29" fillId="0" borderId="10" xfId="44" applyNumberFormat="1" applyFont="1" applyBorder="1" applyAlignment="1">
      <alignment horizontal="center" vertical="center"/>
    </xf>
    <xf numFmtId="0" fontId="29" fillId="0" borderId="19" xfId="44" applyNumberFormat="1" applyFont="1" applyBorder="1" applyAlignment="1">
      <alignment horizontal="center" vertical="center"/>
    </xf>
    <xf numFmtId="0" fontId="21" fillId="0" borderId="10" xfId="46" applyFont="1" applyBorder="1" applyAlignment="1">
      <alignment horizontal="center" wrapText="1"/>
    </xf>
    <xf numFmtId="0" fontId="21" fillId="0" borderId="19" xfId="46" applyFont="1" applyBorder="1" applyAlignment="1">
      <alignment horizontal="center" wrapText="1"/>
    </xf>
    <xf numFmtId="182" fontId="21" fillId="0" borderId="20" xfId="46" applyNumberFormat="1" applyFont="1" applyBorder="1" applyAlignment="1">
      <alignment horizontal="center"/>
    </xf>
    <xf numFmtId="182" fontId="21" fillId="0" borderId="10" xfId="46" applyNumberFormat="1" applyFont="1" applyBorder="1" applyAlignment="1">
      <alignment horizontal="center"/>
    </xf>
    <xf numFmtId="182" fontId="21" fillId="0" borderId="19" xfId="46" applyNumberFormat="1" applyFont="1" applyBorder="1" applyAlignment="1">
      <alignment horizontal="center"/>
    </xf>
    <xf numFmtId="0" fontId="21" fillId="0" borderId="23" xfId="46" applyFont="1" applyBorder="1" applyAlignment="1">
      <alignment horizontal="left" vertical="center"/>
    </xf>
    <xf numFmtId="0" fontId="21" fillId="0" borderId="24" xfId="46" applyFont="1" applyBorder="1" applyAlignment="1">
      <alignment horizontal="left" vertical="center"/>
    </xf>
    <xf numFmtId="0" fontId="21" fillId="0" borderId="25" xfId="46" applyFont="1" applyBorder="1" applyAlignment="1">
      <alignment horizontal="left" vertical="center"/>
    </xf>
    <xf numFmtId="0" fontId="21" fillId="0" borderId="23" xfId="44" applyNumberFormat="1" applyFont="1" applyBorder="1" applyAlignment="1">
      <alignment horizontal="left" vertical="center"/>
    </xf>
    <xf numFmtId="0" fontId="21" fillId="0" borderId="25" xfId="44" applyNumberFormat="1" applyFont="1" applyBorder="1" applyAlignment="1">
      <alignment horizontal="left" vertical="center"/>
    </xf>
    <xf numFmtId="49" fontId="21" fillId="0" borderId="23" xfId="46" applyNumberFormat="1" applyFont="1" applyBorder="1" applyAlignment="1">
      <alignment horizontal="left" vertical="center" wrapText="1"/>
    </xf>
    <xf numFmtId="49" fontId="21" fillId="0" borderId="24" xfId="46" applyNumberFormat="1" applyFont="1" applyBorder="1" applyAlignment="1">
      <alignment horizontal="left" vertical="center" wrapText="1"/>
    </xf>
    <xf numFmtId="49" fontId="21" fillId="0" borderId="26" xfId="46" applyNumberFormat="1" applyFont="1" applyBorder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29" fillId="0" borderId="20" xfId="45" applyNumberFormat="1" applyFont="1" applyBorder="1" applyAlignment="1">
      <alignment horizontal="center" vertical="center"/>
    </xf>
    <xf numFmtId="0" fontId="29" fillId="0" borderId="10" xfId="45" applyNumberFormat="1" applyFont="1" applyBorder="1" applyAlignment="1">
      <alignment horizontal="center" vertical="center"/>
    </xf>
    <xf numFmtId="0" fontId="29" fillId="0" borderId="19" xfId="45" applyNumberFormat="1" applyFont="1" applyBorder="1" applyAlignment="1">
      <alignment horizontal="center" vertical="center"/>
    </xf>
    <xf numFmtId="0" fontId="23" fillId="33" borderId="0" xfId="46" applyFont="1" applyFill="1" applyAlignment="1">
      <alignment horizontal="center"/>
    </xf>
    <xf numFmtId="0" fontId="23" fillId="0" borderId="0" xfId="0" applyFont="1" applyAlignment="1">
      <alignment horizontal="center"/>
    </xf>
    <xf numFmtId="0" fontId="26" fillId="0" borderId="24" xfId="0" applyNumberFormat="1" applyFont="1" applyBorder="1" applyAlignment="1">
      <alignment horizontal="center" vertical="center"/>
    </xf>
    <xf numFmtId="14" fontId="25" fillId="0" borderId="12" xfId="0" applyNumberFormat="1" applyFont="1" applyBorder="1" applyAlignment="1">
      <alignment horizontal="center" vertical="center"/>
    </xf>
    <xf numFmtId="14" fontId="25" fillId="0" borderId="1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0" fontId="21" fillId="0" borderId="20" xfId="46" applyFont="1" applyFill="1" applyBorder="1" applyAlignment="1">
      <alignment horizontal="center" vertical="center"/>
    </xf>
    <xf numFmtId="0" fontId="21" fillId="0" borderId="10" xfId="46" applyFont="1" applyFill="1" applyBorder="1" applyAlignment="1">
      <alignment horizontal="center" vertical="center"/>
    </xf>
    <xf numFmtId="0" fontId="21" fillId="0" borderId="16" xfId="46" applyFont="1" applyFill="1" applyBorder="1" applyAlignment="1">
      <alignment horizontal="center" vertical="center"/>
    </xf>
    <xf numFmtId="195" fontId="21" fillId="0" borderId="0" xfId="0" applyNumberFormat="1" applyFont="1" applyAlignment="1">
      <alignment horizontal="center"/>
    </xf>
  </cellXfs>
  <cellStyles count="58">
    <cellStyle name="??_x000c_&quot;_x001b__x000d__x0015_U_x0001_??_x0007__x0001__x0001_" xfId="48" xr:uid="{00000000-0005-0000-0000-000000000000}"/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Currency_F01INV" xfId="54" xr:uid="{00000000-0005-0000-0000-000036000000}"/>
    <cellStyle name="Followed Hyperlink" xfId="55" xr:uid="{00000000-0005-0000-0000-000037000000}"/>
    <cellStyle name="Hyperlink" xfId="56" xr:uid="{00000000-0005-0000-0000-000038000000}"/>
    <cellStyle name="Normal_#26-PSS Rev and Drivers " xfId="57" xr:uid="{00000000-0005-0000-0000-000039000000}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 customBuiltin="1"/>
    <cellStyle name="쉼표 [0] 2" xfId="50" xr:uid="{00000000-0005-0000-0000-000021000000}"/>
    <cellStyle name="쉼표 [0] 3" xfId="49" xr:uid="{00000000-0005-0000-0000-000022000000}"/>
    <cellStyle name="쉼표_TP050122" xfId="43" xr:uid="{00000000-0005-0000-0000-000023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콤마 [0]_DOC" xfId="51" xr:uid="{00000000-0005-0000-0000-00002E000000}"/>
    <cellStyle name="콤마_DOC" xfId="52" xr:uid="{00000000-0005-0000-0000-00002F000000}"/>
    <cellStyle name="표준" xfId="0" builtinId="0"/>
    <cellStyle name="표준 2" xfId="53" xr:uid="{00000000-0005-0000-0000-000031000000}"/>
    <cellStyle name="표준 3" xfId="47" xr:uid="{00000000-0005-0000-0000-000032000000}"/>
    <cellStyle name="표준 4" xfId="44" xr:uid="{00000000-0005-0000-0000-000033000000}"/>
    <cellStyle name="표준 5" xfId="45" xr:uid="{00000000-0005-0000-0000-000034000000}"/>
    <cellStyle name="표준_TP050122" xfId="46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37</xdr:row>
      <xdr:rowOff>142875</xdr:rowOff>
    </xdr:from>
    <xdr:to>
      <xdr:col>9</xdr:col>
      <xdr:colOff>981075</xdr:colOff>
      <xdr:row>43</xdr:row>
      <xdr:rowOff>0</xdr:rowOff>
    </xdr:to>
    <xdr:pic>
      <xdr:nvPicPr>
        <xdr:cNvPr id="2203737" name="그림 1">
          <a:extLst>
            <a:ext uri="{FF2B5EF4-FFF2-40B4-BE49-F238E27FC236}">
              <a16:creationId xmlns:a16="http://schemas.microsoft.com/office/drawing/2014/main" id="{00000000-0008-0000-0100-000059A02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25805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97</xdr:row>
      <xdr:rowOff>142875</xdr:rowOff>
    </xdr:from>
    <xdr:to>
      <xdr:col>9</xdr:col>
      <xdr:colOff>981075</xdr:colOff>
      <xdr:row>103</xdr:row>
      <xdr:rowOff>0</xdr:rowOff>
    </xdr:to>
    <xdr:pic>
      <xdr:nvPicPr>
        <xdr:cNvPr id="2219032" name="그림 2">
          <a:extLst>
            <a:ext uri="{FF2B5EF4-FFF2-40B4-BE49-F238E27FC236}">
              <a16:creationId xmlns:a16="http://schemas.microsoft.com/office/drawing/2014/main" id="{00000000-0008-0000-0200-000018DC2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381875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97</xdr:row>
      <xdr:rowOff>142875</xdr:rowOff>
    </xdr:from>
    <xdr:to>
      <xdr:col>9</xdr:col>
      <xdr:colOff>981075</xdr:colOff>
      <xdr:row>103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528310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97</xdr:row>
      <xdr:rowOff>142875</xdr:rowOff>
    </xdr:from>
    <xdr:to>
      <xdr:col>9</xdr:col>
      <xdr:colOff>981075</xdr:colOff>
      <xdr:row>103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528310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97</xdr:row>
      <xdr:rowOff>142875</xdr:rowOff>
    </xdr:from>
    <xdr:to>
      <xdr:col>9</xdr:col>
      <xdr:colOff>981075</xdr:colOff>
      <xdr:row>103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528310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97</xdr:row>
      <xdr:rowOff>142875</xdr:rowOff>
    </xdr:from>
    <xdr:to>
      <xdr:col>9</xdr:col>
      <xdr:colOff>981075</xdr:colOff>
      <xdr:row>103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528310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97</xdr:row>
      <xdr:rowOff>142875</xdr:rowOff>
    </xdr:from>
    <xdr:to>
      <xdr:col>9</xdr:col>
      <xdr:colOff>981075</xdr:colOff>
      <xdr:row>101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528310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97</xdr:row>
      <xdr:rowOff>142875</xdr:rowOff>
    </xdr:from>
    <xdr:to>
      <xdr:col>9</xdr:col>
      <xdr:colOff>981075</xdr:colOff>
      <xdr:row>101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528310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97</xdr:row>
      <xdr:rowOff>142875</xdr:rowOff>
    </xdr:from>
    <xdr:to>
      <xdr:col>9</xdr:col>
      <xdr:colOff>981075</xdr:colOff>
      <xdr:row>101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528310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97</xdr:row>
      <xdr:rowOff>142875</xdr:rowOff>
    </xdr:from>
    <xdr:to>
      <xdr:col>9</xdr:col>
      <xdr:colOff>981075</xdr:colOff>
      <xdr:row>101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528310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97</xdr:row>
      <xdr:rowOff>142875</xdr:rowOff>
    </xdr:from>
    <xdr:to>
      <xdr:col>9</xdr:col>
      <xdr:colOff>981075</xdr:colOff>
      <xdr:row>101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528310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35</xdr:row>
      <xdr:rowOff>142875</xdr:rowOff>
    </xdr:from>
    <xdr:to>
      <xdr:col>9</xdr:col>
      <xdr:colOff>981075</xdr:colOff>
      <xdr:row>41</xdr:row>
      <xdr:rowOff>0</xdr:rowOff>
    </xdr:to>
    <xdr:pic>
      <xdr:nvPicPr>
        <xdr:cNvPr id="2215983" name="그림 2">
          <a:extLst>
            <a:ext uri="{FF2B5EF4-FFF2-40B4-BE49-F238E27FC236}">
              <a16:creationId xmlns:a16="http://schemas.microsoft.com/office/drawing/2014/main" id="{00000000-0008-0000-0D00-00002FD02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87705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46</xdr:row>
      <xdr:rowOff>142875</xdr:rowOff>
    </xdr:from>
    <xdr:to>
      <xdr:col>10</xdr:col>
      <xdr:colOff>219075</xdr:colOff>
      <xdr:row>52</xdr:row>
      <xdr:rowOff>0</xdr:rowOff>
    </xdr:to>
    <xdr:pic>
      <xdr:nvPicPr>
        <xdr:cNvPr id="1023080" name="그림 2">
          <a:extLst>
            <a:ext uri="{FF2B5EF4-FFF2-40B4-BE49-F238E27FC236}">
              <a16:creationId xmlns:a16="http://schemas.microsoft.com/office/drawing/2014/main" id="{00000000-0008-0000-1000-0000689C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897255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showGridLines="0" workbookViewId="0">
      <selection sqref="A1:I1"/>
    </sheetView>
  </sheetViews>
  <sheetFormatPr defaultRowHeight="12"/>
  <cols>
    <col min="1" max="1" width="4.5546875" style="9" customWidth="1"/>
    <col min="2" max="2" width="15.109375" style="9" customWidth="1"/>
    <col min="3" max="3" width="26.44140625" style="9" customWidth="1"/>
    <col min="4" max="4" width="7.77734375" style="9" customWidth="1"/>
    <col min="5" max="5" width="9.6640625" style="9" customWidth="1"/>
    <col min="6" max="6" width="4.109375" style="9" customWidth="1"/>
    <col min="7" max="7" width="11.33203125" style="9" customWidth="1"/>
    <col min="8" max="9" width="9" style="9" customWidth="1"/>
    <col min="10" max="10" width="2.44140625" style="9" customWidth="1"/>
    <col min="11" max="11" width="7.88671875" style="9" customWidth="1"/>
    <col min="12" max="12" width="11.21875" style="9" customWidth="1"/>
    <col min="13" max="16384" width="8.88671875" style="9"/>
  </cols>
  <sheetData>
    <row r="1" spans="1:12" s="6" customFormat="1" ht="23.25" customHeight="1">
      <c r="A1" s="238" t="s">
        <v>0</v>
      </c>
      <c r="B1" s="238"/>
      <c r="C1" s="238"/>
      <c r="D1" s="238"/>
      <c r="E1" s="238"/>
      <c r="F1" s="238"/>
      <c r="G1" s="238"/>
      <c r="H1" s="238"/>
      <c r="I1" s="238"/>
      <c r="J1" s="201"/>
      <c r="K1" s="4"/>
    </row>
    <row r="2" spans="1:12" ht="12" customHeight="1">
      <c r="A2" s="202"/>
      <c r="B2" s="202"/>
      <c r="C2" s="202"/>
      <c r="D2" s="202"/>
      <c r="E2" s="202"/>
      <c r="F2" s="202"/>
      <c r="G2" s="202"/>
      <c r="H2" s="203"/>
      <c r="I2" s="201"/>
      <c r="J2" s="201"/>
    </row>
    <row r="3" spans="1:12" ht="12" customHeight="1">
      <c r="A3" s="204" t="s">
        <v>1</v>
      </c>
      <c r="B3" s="204" t="s">
        <v>2</v>
      </c>
      <c r="C3" s="204" t="s">
        <v>3</v>
      </c>
      <c r="D3" s="204" t="s">
        <v>4</v>
      </c>
      <c r="E3" s="204" t="s">
        <v>5</v>
      </c>
      <c r="F3" s="204" t="s">
        <v>6</v>
      </c>
      <c r="G3" s="204" t="s">
        <v>7</v>
      </c>
      <c r="H3" s="204" t="s">
        <v>8</v>
      </c>
      <c r="I3" s="204" t="s">
        <v>9</v>
      </c>
      <c r="J3" s="205"/>
      <c r="K3" s="206" t="s">
        <v>10</v>
      </c>
      <c r="L3" s="206" t="s">
        <v>11</v>
      </c>
    </row>
    <row r="4" spans="1:12" ht="12" customHeight="1">
      <c r="A4" s="207"/>
      <c r="B4" s="208"/>
      <c r="C4" s="208"/>
      <c r="D4" s="209"/>
      <c r="E4" s="210"/>
      <c r="F4" s="211"/>
      <c r="G4" s="212"/>
      <c r="H4" s="213"/>
      <c r="I4" s="214"/>
      <c r="J4" s="215" t="s">
        <v>12</v>
      </c>
    </row>
    <row r="5" spans="1:12" ht="12" customHeight="1">
      <c r="A5" s="207"/>
      <c r="B5" s="208"/>
      <c r="C5" s="208"/>
      <c r="D5" s="209"/>
      <c r="E5" s="210"/>
      <c r="F5" s="211"/>
      <c r="G5" s="212"/>
      <c r="H5" s="213"/>
      <c r="I5" s="214"/>
      <c r="J5" s="215" t="s">
        <v>12</v>
      </c>
    </row>
    <row r="6" spans="1:12" ht="12" customHeight="1" thickBot="1">
      <c r="A6" s="216"/>
      <c r="B6" s="217" t="s">
        <v>13</v>
      </c>
      <c r="C6" s="217"/>
      <c r="D6" s="218"/>
      <c r="E6" s="219">
        <f>SUM(E4:E5)</f>
        <v>0</v>
      </c>
      <c r="F6" s="220"/>
      <c r="G6" s="221">
        <f>SUM(G4:G5)</f>
        <v>0</v>
      </c>
      <c r="H6" s="222"/>
      <c r="I6" s="223">
        <f>SUM(I4:I5)</f>
        <v>0</v>
      </c>
      <c r="J6" s="215" t="s">
        <v>12</v>
      </c>
      <c r="K6" s="224"/>
    </row>
    <row r="7" spans="1:12" ht="12" customHeight="1" thickTop="1"/>
  </sheetData>
  <mergeCells count="1">
    <mergeCell ref="A1:I1"/>
  </mergeCells>
  <phoneticPr fontId="18" type="noConversion"/>
  <printOptions horizontalCentered="1"/>
  <pageMargins left="0.16" right="0.16" top="0.71" bottom="0.43" header="0.51" footer="0.24"/>
  <pageSetup paperSize="9" orientation="portrait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showGridLines="0" workbookViewId="0">
      <selection activeCell="D18" sqref="D18:F18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 t="s">
        <v>19</v>
      </c>
      <c r="J4" s="43"/>
      <c r="K4" s="43">
        <v>40711</v>
      </c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1500/324106.53*J29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J29*1.1*0.026%</f>
        <v>0</v>
      </c>
      <c r="K14" s="58"/>
      <c r="L14" s="51"/>
    </row>
    <row r="15" spans="1:13" ht="15" customHeight="1">
      <c r="F15" s="38"/>
      <c r="H15" s="64"/>
      <c r="I15" s="65" t="s">
        <v>31</v>
      </c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233">
        <f>I!I6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233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76"/>
      <c r="E26" s="76"/>
      <c r="F26" s="76"/>
      <c r="G26" s="76"/>
      <c r="H26" s="76"/>
      <c r="I26" s="76"/>
      <c r="J26" s="76"/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/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/>
      <c r="K28" s="51"/>
      <c r="M28" s="83"/>
    </row>
    <row r="29" spans="1:13" ht="15" customHeight="1" thickBot="1">
      <c r="A29" s="77"/>
      <c r="B29" s="84"/>
      <c r="C29" s="39"/>
      <c r="D29" s="85" t="s">
        <v>50</v>
      </c>
      <c r="E29" s="85"/>
      <c r="F29" s="86"/>
      <c r="G29" s="87"/>
      <c r="H29" s="88"/>
      <c r="I29" s="89"/>
      <c r="J29" s="90">
        <f>I!G6</f>
        <v>0</v>
      </c>
    </row>
    <row r="30" spans="1:13" ht="15" customHeight="1" thickTop="1">
      <c r="B30" s="84"/>
      <c r="C30" s="57"/>
      <c r="D30" s="57"/>
      <c r="E30" s="57"/>
      <c r="F30" s="39"/>
      <c r="G30" s="84"/>
      <c r="H30" s="91"/>
      <c r="I30" s="92"/>
      <c r="J30" s="93"/>
    </row>
    <row r="31" spans="1:13" ht="15" customHeight="1">
      <c r="B31" s="84"/>
      <c r="D31" s="57"/>
      <c r="E31" s="57"/>
      <c r="F31" s="52"/>
      <c r="G31" s="84"/>
      <c r="H31" s="91"/>
      <c r="I31" s="92"/>
      <c r="J31" s="94"/>
    </row>
    <row r="32" spans="1:13" ht="15" customHeight="1">
      <c r="B32" s="84"/>
      <c r="D32" s="57"/>
      <c r="E32" s="57"/>
      <c r="F32" s="52"/>
      <c r="G32" s="84"/>
      <c r="H32" s="91"/>
      <c r="I32" s="92"/>
      <c r="J32" s="94"/>
    </row>
    <row r="33" spans="1:11" ht="15" customHeight="1">
      <c r="F33" s="52"/>
      <c r="G33" s="95"/>
      <c r="H33" s="96"/>
    </row>
    <row r="34" spans="1:11" ht="15" customHeight="1">
      <c r="F34" s="52"/>
      <c r="G34" s="95"/>
      <c r="H34" s="96"/>
      <c r="J34" s="51"/>
    </row>
    <row r="35" spans="1:11" ht="15" customHeight="1">
      <c r="F35" s="52"/>
    </row>
    <row r="36" spans="1:11" ht="15" customHeight="1">
      <c r="D36" s="97"/>
      <c r="E36" s="97"/>
      <c r="F36" s="52"/>
      <c r="G36" s="98"/>
    </row>
    <row r="37" spans="1:11" ht="15" customHeight="1"/>
    <row r="38" spans="1:11" ht="15" customHeight="1"/>
    <row r="39" spans="1:11" ht="15" customHeight="1"/>
    <row r="40" spans="1:11" ht="15" customHeight="1"/>
    <row r="41" spans="1:11" ht="15" customHeight="1"/>
    <row r="42" spans="1:11" ht="15" customHeight="1">
      <c r="A42" s="31" t="s">
        <v>51</v>
      </c>
      <c r="B42" s="31"/>
      <c r="C42" s="31"/>
      <c r="D42" s="31"/>
      <c r="E42" s="31"/>
      <c r="F42" s="31"/>
    </row>
    <row r="43" spans="1:11" ht="15" customHeight="1">
      <c r="A43" s="31" t="s">
        <v>53</v>
      </c>
      <c r="B43" s="31"/>
      <c r="C43" s="31"/>
      <c r="H43" s="99" t="s">
        <v>54</v>
      </c>
      <c r="I43" s="53"/>
      <c r="J43" s="53"/>
      <c r="K43" s="53"/>
    </row>
  </sheetData>
  <mergeCells count="8">
    <mergeCell ref="A22:C22"/>
    <mergeCell ref="D22:F22"/>
    <mergeCell ref="G22:H22"/>
    <mergeCell ref="A1:K1"/>
    <mergeCell ref="A18:C18"/>
    <mergeCell ref="D18:F18"/>
    <mergeCell ref="A21:C21"/>
    <mergeCell ref="D21:F21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3"/>
  <sheetViews>
    <sheetView showGridLines="0" zoomScaleNormal="10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1500/324106.53*J61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J61*1.1*0.026%</f>
        <v>0</v>
      </c>
      <c r="K14" s="58"/>
      <c r="L14" s="51"/>
    </row>
    <row r="15" spans="1:13" ht="15" customHeight="1">
      <c r="F15" s="38"/>
      <c r="H15" s="64"/>
      <c r="I15" s="65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68">
        <f>K61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68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100" t="s">
        <v>55</v>
      </c>
      <c r="E26" s="100"/>
      <c r="F26" s="100"/>
      <c r="G26" s="100" t="s">
        <v>5</v>
      </c>
      <c r="H26" s="100" t="s">
        <v>6</v>
      </c>
      <c r="I26" s="100" t="s">
        <v>56</v>
      </c>
      <c r="J26" s="100" t="s">
        <v>57</v>
      </c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>
        <f t="shared" ref="J27:J60" si="0">G27*I27</f>
        <v>0</v>
      </c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>
        <f t="shared" si="0"/>
        <v>0</v>
      </c>
      <c r="K28" s="51"/>
      <c r="M28" s="83"/>
    </row>
    <row r="29" spans="1:13" ht="15" customHeight="1">
      <c r="A29" s="77"/>
      <c r="B29" s="57"/>
      <c r="C29" s="57"/>
      <c r="D29" s="78"/>
      <c r="E29" s="39"/>
      <c r="F29" s="79"/>
      <c r="G29" s="79"/>
      <c r="H29" s="80"/>
      <c r="I29" s="81"/>
      <c r="J29" s="82">
        <f t="shared" si="0"/>
        <v>0</v>
      </c>
      <c r="K29" s="51"/>
      <c r="M29" s="83"/>
    </row>
    <row r="30" spans="1:13" ht="15" customHeight="1">
      <c r="A30" s="77"/>
      <c r="B30" s="57"/>
      <c r="C30" s="57"/>
      <c r="D30" s="78"/>
      <c r="E30" s="39"/>
      <c r="F30" s="79"/>
      <c r="G30" s="79"/>
      <c r="H30" s="80"/>
      <c r="I30" s="81"/>
      <c r="J30" s="82">
        <f t="shared" si="0"/>
        <v>0</v>
      </c>
      <c r="K30" s="51"/>
      <c r="M30" s="83"/>
    </row>
    <row r="31" spans="1:13" ht="15" customHeight="1">
      <c r="A31" s="77"/>
      <c r="B31" s="57"/>
      <c r="C31" s="57"/>
      <c r="D31" s="78"/>
      <c r="E31" s="39"/>
      <c r="F31" s="79"/>
      <c r="G31" s="79"/>
      <c r="H31" s="80"/>
      <c r="I31" s="81"/>
      <c r="J31" s="82">
        <f t="shared" si="0"/>
        <v>0</v>
      </c>
      <c r="K31" s="51"/>
      <c r="M31" s="83"/>
    </row>
    <row r="32" spans="1:13" ht="15" customHeight="1">
      <c r="A32" s="77"/>
      <c r="B32" s="57"/>
      <c r="C32" s="57"/>
      <c r="D32" s="78"/>
      <c r="E32" s="39"/>
      <c r="F32" s="79"/>
      <c r="G32" s="79"/>
      <c r="H32" s="80"/>
      <c r="I32" s="81"/>
      <c r="J32" s="82">
        <f t="shared" si="0"/>
        <v>0</v>
      </c>
      <c r="K32" s="51"/>
      <c r="M32" s="83"/>
    </row>
    <row r="33" spans="1:13" ht="15" customHeight="1">
      <c r="A33" s="77"/>
      <c r="B33" s="57"/>
      <c r="C33" s="57"/>
      <c r="D33" s="78"/>
      <c r="E33" s="39"/>
      <c r="F33" s="79"/>
      <c r="G33" s="79"/>
      <c r="H33" s="80"/>
      <c r="I33" s="81"/>
      <c r="J33" s="82">
        <f t="shared" si="0"/>
        <v>0</v>
      </c>
      <c r="K33" s="51"/>
      <c r="M33" s="83"/>
    </row>
    <row r="34" spans="1:13" ht="15" customHeight="1">
      <c r="A34" s="77"/>
      <c r="B34" s="57"/>
      <c r="C34" s="57"/>
      <c r="D34" s="78"/>
      <c r="E34" s="39"/>
      <c r="F34" s="79"/>
      <c r="G34" s="79"/>
      <c r="H34" s="80"/>
      <c r="I34" s="81"/>
      <c r="J34" s="82">
        <f t="shared" si="0"/>
        <v>0</v>
      </c>
      <c r="K34" s="51"/>
      <c r="M34" s="83"/>
    </row>
    <row r="35" spans="1:13" ht="15" customHeight="1">
      <c r="A35" s="77"/>
      <c r="B35" s="57"/>
      <c r="C35" s="57"/>
      <c r="D35" s="78"/>
      <c r="E35" s="39"/>
      <c r="F35" s="79"/>
      <c r="G35" s="79"/>
      <c r="H35" s="80"/>
      <c r="I35" s="81"/>
      <c r="J35" s="82">
        <f t="shared" si="0"/>
        <v>0</v>
      </c>
      <c r="K35" s="51"/>
      <c r="M35" s="83"/>
    </row>
    <row r="36" spans="1:13" ht="15" customHeight="1">
      <c r="A36" s="77"/>
      <c r="B36" s="57"/>
      <c r="C36" s="57"/>
      <c r="D36" s="78"/>
      <c r="E36" s="39"/>
      <c r="F36" s="79"/>
      <c r="G36" s="79"/>
      <c r="H36" s="80"/>
      <c r="I36" s="81"/>
      <c r="J36" s="82">
        <f t="shared" si="0"/>
        <v>0</v>
      </c>
      <c r="K36" s="51"/>
      <c r="M36" s="83"/>
    </row>
    <row r="37" spans="1:13" ht="15" customHeight="1">
      <c r="A37" s="77"/>
      <c r="B37" s="57"/>
      <c r="C37" s="57"/>
      <c r="D37" s="78"/>
      <c r="E37" s="39"/>
      <c r="F37" s="79"/>
      <c r="G37" s="79"/>
      <c r="H37" s="80"/>
      <c r="I37" s="81"/>
      <c r="J37" s="82">
        <f t="shared" si="0"/>
        <v>0</v>
      </c>
      <c r="K37" s="51"/>
      <c r="M37" s="83"/>
    </row>
    <row r="38" spans="1:13" ht="15" customHeight="1">
      <c r="A38" s="77"/>
      <c r="B38" s="57"/>
      <c r="C38" s="57"/>
      <c r="D38" s="78"/>
      <c r="E38" s="39"/>
      <c r="F38" s="79"/>
      <c r="G38" s="79"/>
      <c r="H38" s="80"/>
      <c r="I38" s="81"/>
      <c r="J38" s="82">
        <f t="shared" si="0"/>
        <v>0</v>
      </c>
      <c r="K38" s="51"/>
      <c r="M38" s="83"/>
    </row>
    <row r="39" spans="1:13" ht="15" customHeight="1">
      <c r="A39" s="77"/>
      <c r="B39" s="57"/>
      <c r="C39" s="57"/>
      <c r="D39" s="78"/>
      <c r="E39" s="39"/>
      <c r="F39" s="79"/>
      <c r="G39" s="79"/>
      <c r="H39" s="80"/>
      <c r="I39" s="81"/>
      <c r="J39" s="82">
        <f t="shared" si="0"/>
        <v>0</v>
      </c>
      <c r="K39" s="51"/>
      <c r="M39" s="83"/>
    </row>
    <row r="40" spans="1:13" ht="15" customHeight="1">
      <c r="A40" s="77"/>
      <c r="B40" s="57"/>
      <c r="C40" s="57"/>
      <c r="D40" s="78"/>
      <c r="E40" s="39"/>
      <c r="F40" s="79"/>
      <c r="G40" s="79"/>
      <c r="H40" s="80"/>
      <c r="I40" s="81"/>
      <c r="J40" s="82">
        <f t="shared" si="0"/>
        <v>0</v>
      </c>
      <c r="K40" s="51"/>
      <c r="M40" s="83"/>
    </row>
    <row r="41" spans="1:13" ht="15" customHeight="1">
      <c r="A41" s="77"/>
      <c r="B41" s="57"/>
      <c r="C41" s="57"/>
      <c r="D41" s="78"/>
      <c r="E41" s="39"/>
      <c r="F41" s="79"/>
      <c r="G41" s="79"/>
      <c r="H41" s="80"/>
      <c r="I41" s="81"/>
      <c r="J41" s="82">
        <f t="shared" si="0"/>
        <v>0</v>
      </c>
      <c r="K41" s="51"/>
      <c r="M41" s="83"/>
    </row>
    <row r="42" spans="1:13" ht="15" customHeight="1">
      <c r="A42" s="77"/>
      <c r="B42" s="57"/>
      <c r="C42" s="57"/>
      <c r="D42" s="78"/>
      <c r="E42" s="39"/>
      <c r="F42" s="79"/>
      <c r="G42" s="79"/>
      <c r="H42" s="80"/>
      <c r="I42" s="81"/>
      <c r="J42" s="82">
        <f t="shared" si="0"/>
        <v>0</v>
      </c>
      <c r="K42" s="51"/>
      <c r="M42" s="83"/>
    </row>
    <row r="43" spans="1:13" ht="15" customHeight="1">
      <c r="A43" s="77"/>
      <c r="B43" s="57"/>
      <c r="C43" s="57"/>
      <c r="D43" s="78"/>
      <c r="E43" s="39"/>
      <c r="F43" s="79"/>
      <c r="G43" s="79"/>
      <c r="H43" s="80"/>
      <c r="I43" s="81"/>
      <c r="J43" s="82">
        <f t="shared" si="0"/>
        <v>0</v>
      </c>
      <c r="K43" s="51"/>
      <c r="M43" s="83"/>
    </row>
    <row r="44" spans="1:13" ht="15" customHeight="1">
      <c r="A44" s="77"/>
      <c r="B44" s="57"/>
      <c r="C44" s="57"/>
      <c r="D44" s="78"/>
      <c r="E44" s="39"/>
      <c r="F44" s="79"/>
      <c r="G44" s="79"/>
      <c r="H44" s="80"/>
      <c r="I44" s="81"/>
      <c r="J44" s="82">
        <f t="shared" si="0"/>
        <v>0</v>
      </c>
      <c r="K44" s="51"/>
      <c r="M44" s="83"/>
    </row>
    <row r="45" spans="1:13" ht="15" customHeight="1">
      <c r="A45" s="77"/>
      <c r="B45" s="57"/>
      <c r="C45" s="57"/>
      <c r="D45" s="78"/>
      <c r="E45" s="39"/>
      <c r="F45" s="79"/>
      <c r="G45" s="79"/>
      <c r="H45" s="80"/>
      <c r="I45" s="81"/>
      <c r="J45" s="82">
        <f t="shared" si="0"/>
        <v>0</v>
      </c>
      <c r="K45" s="51"/>
      <c r="M45" s="83"/>
    </row>
    <row r="46" spans="1:13" ht="15" customHeight="1">
      <c r="A46" s="77"/>
      <c r="B46" s="57"/>
      <c r="C46" s="57"/>
      <c r="D46" s="78"/>
      <c r="E46" s="39"/>
      <c r="F46" s="79"/>
      <c r="G46" s="79"/>
      <c r="H46" s="80"/>
      <c r="I46" s="81"/>
      <c r="J46" s="82">
        <f t="shared" si="0"/>
        <v>0</v>
      </c>
      <c r="K46" s="51"/>
      <c r="M46" s="83"/>
    </row>
    <row r="47" spans="1:13" ht="15" customHeight="1">
      <c r="A47" s="77"/>
      <c r="B47" s="57"/>
      <c r="C47" s="57"/>
      <c r="D47" s="78"/>
      <c r="E47" s="39"/>
      <c r="F47" s="79"/>
      <c r="G47" s="79"/>
      <c r="H47" s="80"/>
      <c r="I47" s="81"/>
      <c r="J47" s="82">
        <f t="shared" si="0"/>
        <v>0</v>
      </c>
      <c r="K47" s="51"/>
      <c r="M47" s="83"/>
    </row>
    <row r="48" spans="1:13" ht="15" customHeight="1">
      <c r="A48" s="77"/>
      <c r="B48" s="57"/>
      <c r="C48" s="57"/>
      <c r="D48" s="78"/>
      <c r="E48" s="39"/>
      <c r="F48" s="79"/>
      <c r="G48" s="79"/>
      <c r="H48" s="80"/>
      <c r="I48" s="81"/>
      <c r="J48" s="82">
        <f t="shared" si="0"/>
        <v>0</v>
      </c>
      <c r="K48" s="51"/>
      <c r="M48" s="83"/>
    </row>
    <row r="49" spans="1:13" ht="15" customHeight="1">
      <c r="A49" s="77"/>
      <c r="B49" s="57"/>
      <c r="C49" s="57"/>
      <c r="D49" s="78"/>
      <c r="E49" s="39"/>
      <c r="F49" s="79"/>
      <c r="G49" s="79"/>
      <c r="H49" s="80"/>
      <c r="I49" s="81"/>
      <c r="J49" s="82">
        <f t="shared" si="0"/>
        <v>0</v>
      </c>
      <c r="K49" s="51"/>
      <c r="M49" s="83"/>
    </row>
    <row r="50" spans="1:13" ht="15" customHeight="1">
      <c r="A50" s="77"/>
      <c r="B50" s="57"/>
      <c r="C50" s="57"/>
      <c r="D50" s="78"/>
      <c r="E50" s="39"/>
      <c r="F50" s="79"/>
      <c r="G50" s="79"/>
      <c r="H50" s="80"/>
      <c r="I50" s="81"/>
      <c r="J50" s="82">
        <f t="shared" si="0"/>
        <v>0</v>
      </c>
      <c r="K50" s="51"/>
      <c r="M50" s="83"/>
    </row>
    <row r="51" spans="1:13" ht="15" customHeight="1">
      <c r="A51" s="77"/>
      <c r="B51" s="57"/>
      <c r="C51" s="57"/>
      <c r="D51" s="78"/>
      <c r="E51" s="39"/>
      <c r="F51" s="79"/>
      <c r="G51" s="79"/>
      <c r="H51" s="80"/>
      <c r="I51" s="81"/>
      <c r="J51" s="82">
        <f t="shared" si="0"/>
        <v>0</v>
      </c>
      <c r="K51" s="51"/>
      <c r="M51" s="83"/>
    </row>
    <row r="52" spans="1:13" ht="15" customHeight="1">
      <c r="A52" s="77"/>
      <c r="B52" s="57"/>
      <c r="C52" s="57"/>
      <c r="D52" s="78"/>
      <c r="E52" s="39"/>
      <c r="F52" s="79"/>
      <c r="G52" s="79"/>
      <c r="H52" s="80"/>
      <c r="I52" s="81"/>
      <c r="J52" s="82">
        <f t="shared" si="0"/>
        <v>0</v>
      </c>
      <c r="K52" s="51"/>
      <c r="M52" s="83"/>
    </row>
    <row r="53" spans="1:13" ht="15" customHeight="1">
      <c r="A53" s="77"/>
      <c r="B53" s="57"/>
      <c r="C53" s="57"/>
      <c r="D53" s="78"/>
      <c r="E53" s="39"/>
      <c r="F53" s="79"/>
      <c r="G53" s="79"/>
      <c r="H53" s="80"/>
      <c r="I53" s="81"/>
      <c r="J53" s="82">
        <f t="shared" si="0"/>
        <v>0</v>
      </c>
      <c r="K53" s="51"/>
      <c r="M53" s="83"/>
    </row>
    <row r="54" spans="1:13" ht="15" customHeight="1">
      <c r="A54" s="77"/>
      <c r="B54" s="57"/>
      <c r="C54" s="57"/>
      <c r="D54" s="78"/>
      <c r="E54" s="39"/>
      <c r="F54" s="79"/>
      <c r="G54" s="79"/>
      <c r="H54" s="80"/>
      <c r="I54" s="81"/>
      <c r="J54" s="82">
        <f t="shared" si="0"/>
        <v>0</v>
      </c>
      <c r="K54" s="51"/>
      <c r="M54" s="83"/>
    </row>
    <row r="55" spans="1:13" ht="15" customHeight="1">
      <c r="A55" s="77"/>
      <c r="B55" s="57"/>
      <c r="C55" s="57"/>
      <c r="D55" s="78"/>
      <c r="E55" s="39"/>
      <c r="F55" s="79"/>
      <c r="G55" s="79"/>
      <c r="H55" s="80"/>
      <c r="I55" s="81"/>
      <c r="J55" s="82">
        <f t="shared" si="0"/>
        <v>0</v>
      </c>
      <c r="K55" s="51"/>
      <c r="M55" s="83"/>
    </row>
    <row r="56" spans="1:13" ht="15" customHeight="1">
      <c r="A56" s="77"/>
      <c r="B56" s="57"/>
      <c r="C56" s="57"/>
      <c r="D56" s="78"/>
      <c r="E56" s="39"/>
      <c r="F56" s="79"/>
      <c r="G56" s="79"/>
      <c r="H56" s="80"/>
      <c r="I56" s="81"/>
      <c r="J56" s="82">
        <f t="shared" si="0"/>
        <v>0</v>
      </c>
      <c r="K56" s="51"/>
      <c r="M56" s="83"/>
    </row>
    <row r="57" spans="1:13" ht="15" customHeight="1">
      <c r="A57" s="77"/>
      <c r="B57" s="57"/>
      <c r="C57" s="57"/>
      <c r="D57" s="78"/>
      <c r="E57" s="39"/>
      <c r="F57" s="79"/>
      <c r="G57" s="79"/>
      <c r="H57" s="80"/>
      <c r="I57" s="81"/>
      <c r="J57" s="82">
        <f t="shared" si="0"/>
        <v>0</v>
      </c>
      <c r="K57" s="51"/>
      <c r="M57" s="83"/>
    </row>
    <row r="58" spans="1:13" ht="15" customHeight="1">
      <c r="A58" s="77"/>
      <c r="B58" s="57"/>
      <c r="C58" s="57"/>
      <c r="D58" s="78"/>
      <c r="E58" s="39"/>
      <c r="F58" s="79"/>
      <c r="G58" s="79"/>
      <c r="H58" s="80"/>
      <c r="I58" s="81"/>
      <c r="J58" s="82">
        <f t="shared" si="0"/>
        <v>0</v>
      </c>
      <c r="K58" s="51"/>
      <c r="M58" s="83"/>
    </row>
    <row r="59" spans="1:13" ht="15" customHeight="1">
      <c r="A59" s="77"/>
      <c r="B59" s="57"/>
      <c r="C59" s="57"/>
      <c r="D59" s="78"/>
      <c r="E59" s="39"/>
      <c r="F59" s="79"/>
      <c r="G59" s="79"/>
      <c r="H59" s="80"/>
      <c r="I59" s="81"/>
      <c r="J59" s="82">
        <f t="shared" si="0"/>
        <v>0</v>
      </c>
      <c r="K59" s="51"/>
      <c r="M59" s="83"/>
    </row>
    <row r="60" spans="1:13" ht="15" customHeight="1">
      <c r="A60" s="77"/>
      <c r="B60" s="57"/>
      <c r="C60" s="57"/>
      <c r="D60" s="78"/>
      <c r="E60" s="39"/>
      <c r="F60" s="79"/>
      <c r="G60" s="79"/>
      <c r="H60" s="80"/>
      <c r="I60" s="81"/>
      <c r="J60" s="82">
        <f t="shared" si="0"/>
        <v>0</v>
      </c>
      <c r="K60" s="51"/>
      <c r="M60" s="83"/>
    </row>
    <row r="61" spans="1:13" ht="15" customHeight="1" thickBot="1">
      <c r="A61" s="77"/>
      <c r="B61" s="84"/>
      <c r="C61" s="39"/>
      <c r="D61" s="85" t="s">
        <v>50</v>
      </c>
      <c r="E61" s="85"/>
      <c r="F61" s="86"/>
      <c r="G61" s="87"/>
      <c r="H61" s="88"/>
      <c r="I61" s="89"/>
      <c r="J61" s="90">
        <f>SUM(J27:J60)</f>
        <v>0</v>
      </c>
      <c r="K61" s="51">
        <f>SUM(K27:K60)</f>
        <v>0</v>
      </c>
    </row>
    <row r="62" spans="1:13" ht="15" customHeight="1" thickTop="1">
      <c r="A62" s="9" t="s">
        <v>58</v>
      </c>
      <c r="B62" s="84"/>
      <c r="C62" s="57"/>
      <c r="D62" s="57" t="s">
        <v>59</v>
      </c>
      <c r="E62" s="57"/>
      <c r="F62" s="50" t="s">
        <v>60</v>
      </c>
      <c r="G62" s="50"/>
      <c r="H62" s="91"/>
      <c r="I62" s="92"/>
      <c r="J62" s="93"/>
    </row>
    <row r="63" spans="1:13" ht="99.95" customHeight="1">
      <c r="A63" s="253"/>
      <c r="B63" s="254"/>
      <c r="C63" s="255"/>
      <c r="D63" s="256"/>
      <c r="E63" s="257"/>
      <c r="F63" s="258"/>
      <c r="G63" s="259"/>
      <c r="H63" s="259"/>
      <c r="I63" s="259"/>
      <c r="J63" s="259"/>
      <c r="K63" s="260"/>
    </row>
    <row r="64" spans="1:13" ht="99.95" customHeight="1">
      <c r="A64" s="253"/>
      <c r="B64" s="254"/>
      <c r="C64" s="255"/>
      <c r="D64" s="256"/>
      <c r="E64" s="257"/>
      <c r="F64" s="258"/>
      <c r="G64" s="259"/>
      <c r="H64" s="259"/>
      <c r="I64" s="259"/>
      <c r="J64" s="259"/>
      <c r="K64" s="260"/>
    </row>
    <row r="65" spans="1:11" ht="99.95" customHeight="1">
      <c r="A65" s="253"/>
      <c r="B65" s="254"/>
      <c r="C65" s="255"/>
      <c r="D65" s="256"/>
      <c r="E65" s="257"/>
      <c r="F65" s="258"/>
      <c r="G65" s="259"/>
      <c r="H65" s="259"/>
      <c r="I65" s="259"/>
      <c r="J65" s="259"/>
      <c r="K65" s="260"/>
    </row>
    <row r="66" spans="1:11" ht="99.95" customHeight="1">
      <c r="A66" s="253"/>
      <c r="B66" s="254"/>
      <c r="C66" s="255"/>
      <c r="D66" s="256"/>
      <c r="E66" s="257"/>
      <c r="F66" s="258"/>
      <c r="G66" s="259"/>
      <c r="H66" s="259"/>
      <c r="I66" s="259"/>
      <c r="J66" s="259"/>
      <c r="K66" s="260"/>
    </row>
    <row r="67" spans="1:11" ht="99.95" customHeight="1">
      <c r="A67" s="253"/>
      <c r="B67" s="254"/>
      <c r="C67" s="255"/>
      <c r="D67" s="256"/>
      <c r="E67" s="257"/>
      <c r="F67" s="258"/>
      <c r="G67" s="259"/>
      <c r="H67" s="259"/>
      <c r="I67" s="259"/>
      <c r="J67" s="259"/>
      <c r="K67" s="260"/>
    </row>
    <row r="68" spans="1:11" ht="99.95" customHeight="1">
      <c r="A68" s="253"/>
      <c r="B68" s="254"/>
      <c r="C68" s="255"/>
      <c r="D68" s="256"/>
      <c r="E68" s="257"/>
      <c r="F68" s="258"/>
      <c r="G68" s="259"/>
      <c r="H68" s="259"/>
      <c r="I68" s="259"/>
      <c r="J68" s="259"/>
      <c r="K68" s="260"/>
    </row>
    <row r="69" spans="1:11" ht="99.95" customHeight="1">
      <c r="A69" s="253"/>
      <c r="B69" s="254"/>
      <c r="C69" s="255"/>
      <c r="D69" s="256"/>
      <c r="E69" s="257"/>
      <c r="F69" s="258"/>
      <c r="G69" s="259"/>
      <c r="H69" s="259"/>
      <c r="I69" s="259"/>
      <c r="J69" s="259"/>
      <c r="K69" s="260"/>
    </row>
    <row r="70" spans="1:11" ht="99.95" customHeight="1">
      <c r="A70" s="253"/>
      <c r="B70" s="254"/>
      <c r="C70" s="255"/>
      <c r="D70" s="256"/>
      <c r="E70" s="257"/>
      <c r="F70" s="258"/>
      <c r="G70" s="259"/>
      <c r="H70" s="259"/>
      <c r="I70" s="259"/>
      <c r="J70" s="259"/>
      <c r="K70" s="260"/>
    </row>
    <row r="71" spans="1:11" ht="99.95" customHeight="1">
      <c r="A71" s="253"/>
      <c r="B71" s="254"/>
      <c r="C71" s="255"/>
      <c r="D71" s="256"/>
      <c r="E71" s="257"/>
      <c r="F71" s="258"/>
      <c r="G71" s="259"/>
      <c r="H71" s="259"/>
      <c r="I71" s="259"/>
      <c r="J71" s="259"/>
      <c r="K71" s="260"/>
    </row>
    <row r="72" spans="1:11" ht="99.95" customHeight="1">
      <c r="A72" s="253"/>
      <c r="B72" s="254"/>
      <c r="C72" s="255"/>
      <c r="D72" s="256"/>
      <c r="E72" s="257"/>
      <c r="F72" s="258"/>
      <c r="G72" s="259"/>
      <c r="H72" s="259"/>
      <c r="I72" s="259"/>
      <c r="J72" s="259"/>
      <c r="K72" s="260"/>
    </row>
    <row r="73" spans="1:11" ht="99.95" customHeight="1">
      <c r="A73" s="253"/>
      <c r="B73" s="254"/>
      <c r="C73" s="255"/>
      <c r="D73" s="256"/>
      <c r="E73" s="257"/>
      <c r="F73" s="258"/>
      <c r="G73" s="259"/>
      <c r="H73" s="259"/>
      <c r="I73" s="259"/>
      <c r="J73" s="259"/>
      <c r="K73" s="260"/>
    </row>
    <row r="74" spans="1:11" ht="99.95" customHeight="1">
      <c r="A74" s="253"/>
      <c r="B74" s="254"/>
      <c r="C74" s="255"/>
      <c r="D74" s="256"/>
      <c r="E74" s="257"/>
      <c r="F74" s="258"/>
      <c r="G74" s="259"/>
      <c r="H74" s="259"/>
      <c r="I74" s="259"/>
      <c r="J74" s="259"/>
      <c r="K74" s="260"/>
    </row>
    <row r="75" spans="1:11" ht="99.95" customHeight="1">
      <c r="A75" s="253"/>
      <c r="B75" s="254"/>
      <c r="C75" s="255"/>
      <c r="D75" s="256"/>
      <c r="E75" s="257"/>
      <c r="F75" s="258"/>
      <c r="G75" s="259"/>
      <c r="H75" s="259"/>
      <c r="I75" s="259"/>
      <c r="J75" s="259"/>
      <c r="K75" s="260"/>
    </row>
    <row r="76" spans="1:11" ht="99.95" customHeight="1">
      <c r="A76" s="253"/>
      <c r="B76" s="254"/>
      <c r="C76" s="255"/>
      <c r="D76" s="256"/>
      <c r="E76" s="257"/>
      <c r="F76" s="258"/>
      <c r="G76" s="259"/>
      <c r="H76" s="259"/>
      <c r="I76" s="259"/>
      <c r="J76" s="259"/>
      <c r="K76" s="260"/>
    </row>
    <row r="77" spans="1:11" ht="99.95" customHeight="1">
      <c r="A77" s="253"/>
      <c r="B77" s="254"/>
      <c r="C77" s="255"/>
      <c r="D77" s="256"/>
      <c r="E77" s="257"/>
      <c r="F77" s="258"/>
      <c r="G77" s="259"/>
      <c r="H77" s="259"/>
      <c r="I77" s="259"/>
      <c r="J77" s="259"/>
      <c r="K77" s="260"/>
    </row>
    <row r="78" spans="1:11" ht="99.95" customHeight="1">
      <c r="A78" s="253"/>
      <c r="B78" s="254"/>
      <c r="C78" s="255"/>
      <c r="D78" s="256"/>
      <c r="E78" s="257"/>
      <c r="F78" s="258"/>
      <c r="G78" s="259"/>
      <c r="H78" s="259"/>
      <c r="I78" s="259"/>
      <c r="J78" s="259"/>
      <c r="K78" s="260"/>
    </row>
    <row r="79" spans="1:11" ht="99.95" customHeight="1">
      <c r="A79" s="253"/>
      <c r="B79" s="254"/>
      <c r="C79" s="255"/>
      <c r="D79" s="256"/>
      <c r="E79" s="257"/>
      <c r="F79" s="258"/>
      <c r="G79" s="259"/>
      <c r="H79" s="259"/>
      <c r="I79" s="259"/>
      <c r="J79" s="259"/>
      <c r="K79" s="260"/>
    </row>
    <row r="80" spans="1:11" ht="99.95" customHeight="1">
      <c r="A80" s="253"/>
      <c r="B80" s="254"/>
      <c r="C80" s="255"/>
      <c r="D80" s="256"/>
      <c r="E80" s="257"/>
      <c r="F80" s="258"/>
      <c r="G80" s="259"/>
      <c r="H80" s="259"/>
      <c r="I80" s="259"/>
      <c r="J80" s="259"/>
      <c r="K80" s="260"/>
    </row>
    <row r="81" spans="1:11" ht="99.95" customHeight="1">
      <c r="A81" s="253"/>
      <c r="B81" s="254"/>
      <c r="C81" s="255"/>
      <c r="D81" s="256"/>
      <c r="E81" s="257"/>
      <c r="F81" s="258"/>
      <c r="G81" s="259"/>
      <c r="H81" s="259"/>
      <c r="I81" s="259"/>
      <c r="J81" s="259"/>
      <c r="K81" s="260"/>
    </row>
    <row r="82" spans="1:11" ht="99.95" customHeight="1">
      <c r="A82" s="253"/>
      <c r="B82" s="254"/>
      <c r="C82" s="255"/>
      <c r="D82" s="256"/>
      <c r="E82" s="257"/>
      <c r="F82" s="258"/>
      <c r="G82" s="259"/>
      <c r="H82" s="259"/>
      <c r="I82" s="259"/>
      <c r="J82" s="259"/>
      <c r="K82" s="260"/>
    </row>
    <row r="83" spans="1:11" ht="99.95" customHeight="1">
      <c r="A83" s="253"/>
      <c r="B83" s="254"/>
      <c r="C83" s="255"/>
      <c r="D83" s="256"/>
      <c r="E83" s="257"/>
      <c r="F83" s="258"/>
      <c r="G83" s="259"/>
      <c r="H83" s="259"/>
      <c r="I83" s="259"/>
      <c r="J83" s="259"/>
      <c r="K83" s="260"/>
    </row>
    <row r="84" spans="1:11" ht="99.95" customHeight="1">
      <c r="A84" s="253"/>
      <c r="B84" s="254"/>
      <c r="C84" s="255"/>
      <c r="D84" s="256"/>
      <c r="E84" s="257"/>
      <c r="F84" s="258"/>
      <c r="G84" s="259"/>
      <c r="H84" s="259"/>
      <c r="I84" s="259"/>
      <c r="J84" s="259"/>
      <c r="K84" s="260"/>
    </row>
    <row r="85" spans="1:11" ht="99.95" customHeight="1">
      <c r="A85" s="253"/>
      <c r="B85" s="254"/>
      <c r="C85" s="255"/>
      <c r="D85" s="256"/>
      <c r="E85" s="257"/>
      <c r="F85" s="258"/>
      <c r="G85" s="259"/>
      <c r="H85" s="259"/>
      <c r="I85" s="259"/>
      <c r="J85" s="259"/>
      <c r="K85" s="260"/>
    </row>
    <row r="86" spans="1:11" ht="99.95" customHeight="1">
      <c r="A86" s="253"/>
      <c r="B86" s="254"/>
      <c r="C86" s="255"/>
      <c r="D86" s="256"/>
      <c r="E86" s="257"/>
      <c r="F86" s="258"/>
      <c r="G86" s="259"/>
      <c r="H86" s="259"/>
      <c r="I86" s="259"/>
      <c r="J86" s="259"/>
      <c r="K86" s="260"/>
    </row>
    <row r="87" spans="1:11" ht="99.95" customHeight="1">
      <c r="A87" s="253"/>
      <c r="B87" s="254"/>
      <c r="C87" s="255"/>
      <c r="D87" s="256"/>
      <c r="E87" s="257"/>
      <c r="F87" s="258"/>
      <c r="G87" s="259"/>
      <c r="H87" s="259"/>
      <c r="I87" s="259"/>
      <c r="J87" s="259"/>
      <c r="K87" s="260"/>
    </row>
    <row r="88" spans="1:11" ht="99.95" customHeight="1">
      <c r="A88" s="253"/>
      <c r="B88" s="254"/>
      <c r="C88" s="255"/>
      <c r="D88" s="256"/>
      <c r="E88" s="257"/>
      <c r="F88" s="258"/>
      <c r="G88" s="259"/>
      <c r="H88" s="259"/>
      <c r="I88" s="259"/>
      <c r="J88" s="259"/>
      <c r="K88" s="260"/>
    </row>
    <row r="89" spans="1:11" ht="99.95" customHeight="1">
      <c r="A89" s="253"/>
      <c r="B89" s="254"/>
      <c r="C89" s="255"/>
      <c r="D89" s="256"/>
      <c r="E89" s="257"/>
      <c r="F89" s="258"/>
      <c r="G89" s="259"/>
      <c r="H89" s="259"/>
      <c r="I89" s="259"/>
      <c r="J89" s="259"/>
      <c r="K89" s="260"/>
    </row>
    <row r="90" spans="1:11" ht="99.95" customHeight="1">
      <c r="A90" s="253"/>
      <c r="B90" s="254"/>
      <c r="C90" s="255"/>
      <c r="D90" s="256"/>
      <c r="E90" s="257"/>
      <c r="F90" s="258"/>
      <c r="G90" s="259"/>
      <c r="H90" s="259"/>
      <c r="I90" s="259"/>
      <c r="J90" s="259"/>
      <c r="K90" s="260"/>
    </row>
    <row r="91" spans="1:11" ht="99.95" customHeight="1">
      <c r="A91" s="253"/>
      <c r="B91" s="254"/>
      <c r="C91" s="255"/>
      <c r="D91" s="256"/>
      <c r="E91" s="257"/>
      <c r="F91" s="258"/>
      <c r="G91" s="259"/>
      <c r="H91" s="259"/>
      <c r="I91" s="259"/>
      <c r="J91" s="259"/>
      <c r="K91" s="260"/>
    </row>
    <row r="92" spans="1:11" ht="99.95" customHeight="1">
      <c r="A92" s="253"/>
      <c r="B92" s="254"/>
      <c r="C92" s="255"/>
      <c r="D92" s="256"/>
      <c r="E92" s="257"/>
      <c r="F92" s="258"/>
      <c r="G92" s="259"/>
      <c r="H92" s="259"/>
      <c r="I92" s="259"/>
      <c r="J92" s="259"/>
      <c r="K92" s="260"/>
    </row>
    <row r="93" spans="1:11" ht="99.95" customHeight="1">
      <c r="A93" s="253"/>
      <c r="B93" s="254"/>
      <c r="C93" s="255"/>
      <c r="D93" s="256"/>
      <c r="E93" s="257"/>
      <c r="F93" s="258"/>
      <c r="G93" s="259"/>
      <c r="H93" s="259"/>
      <c r="I93" s="259"/>
      <c r="J93" s="259"/>
      <c r="K93" s="260"/>
    </row>
    <row r="94" spans="1:11" ht="99.95" customHeight="1">
      <c r="A94" s="253"/>
      <c r="B94" s="254"/>
      <c r="C94" s="255"/>
      <c r="D94" s="256"/>
      <c r="E94" s="257"/>
      <c r="F94" s="258"/>
      <c r="G94" s="259"/>
      <c r="H94" s="259"/>
      <c r="I94" s="259"/>
      <c r="J94" s="259"/>
      <c r="K94" s="260"/>
    </row>
    <row r="95" spans="1:11" ht="99.95" customHeight="1">
      <c r="A95" s="253"/>
      <c r="B95" s="254"/>
      <c r="C95" s="255"/>
      <c r="D95" s="256"/>
      <c r="E95" s="257"/>
      <c r="F95" s="258"/>
      <c r="G95" s="259"/>
      <c r="H95" s="259"/>
      <c r="I95" s="259"/>
      <c r="J95" s="259"/>
      <c r="K95" s="260"/>
    </row>
    <row r="96" spans="1:11" ht="99.95" customHeight="1">
      <c r="A96" s="253"/>
      <c r="B96" s="254"/>
      <c r="C96" s="255"/>
      <c r="D96" s="256"/>
      <c r="E96" s="257"/>
      <c r="F96" s="258"/>
      <c r="G96" s="259"/>
      <c r="H96" s="259"/>
      <c r="I96" s="259"/>
      <c r="J96" s="259"/>
      <c r="K96" s="260"/>
    </row>
    <row r="97" spans="1:11" ht="15" customHeight="1"/>
    <row r="98" spans="1:11" ht="15" customHeight="1"/>
    <row r="99" spans="1:11" ht="15" customHeight="1"/>
    <row r="100" spans="1:11" ht="15" customHeight="1"/>
    <row r="101" spans="1:11" ht="15" customHeight="1"/>
    <row r="102" spans="1:11" ht="15" customHeight="1">
      <c r="A102" s="31" t="s">
        <v>51</v>
      </c>
      <c r="B102" s="31"/>
      <c r="C102" s="31"/>
      <c r="D102" s="31"/>
      <c r="E102" s="31"/>
      <c r="F102" s="31"/>
    </row>
    <row r="103" spans="1:11" ht="15" customHeight="1">
      <c r="A103" s="31" t="s">
        <v>53</v>
      </c>
      <c r="B103" s="31"/>
      <c r="C103" s="31"/>
      <c r="H103" s="99" t="s">
        <v>54</v>
      </c>
      <c r="I103" s="53"/>
      <c r="J103" s="53"/>
      <c r="K103" s="53"/>
    </row>
  </sheetData>
  <mergeCells count="110">
    <mergeCell ref="A93:C93"/>
    <mergeCell ref="D93:E93"/>
    <mergeCell ref="F93:K93"/>
    <mergeCell ref="A94:C94"/>
    <mergeCell ref="D94:E94"/>
    <mergeCell ref="F94:K94"/>
    <mergeCell ref="A69:C69"/>
    <mergeCell ref="D69:E69"/>
    <mergeCell ref="F69:K69"/>
    <mergeCell ref="A70:C70"/>
    <mergeCell ref="D70:E70"/>
    <mergeCell ref="F70:K70"/>
    <mergeCell ref="A78:C78"/>
    <mergeCell ref="D78:E78"/>
    <mergeCell ref="F78:K78"/>
    <mergeCell ref="A72:C72"/>
    <mergeCell ref="D72:E72"/>
    <mergeCell ref="F72:K72"/>
    <mergeCell ref="A85:C85"/>
    <mergeCell ref="D85:E85"/>
    <mergeCell ref="F85:K85"/>
    <mergeCell ref="A86:C86"/>
    <mergeCell ref="D86:E86"/>
    <mergeCell ref="F86:K86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63:C63"/>
    <mergeCell ref="D63:E63"/>
    <mergeCell ref="F63:K63"/>
    <mergeCell ref="A64:C64"/>
    <mergeCell ref="D64:E64"/>
    <mergeCell ref="F64:K64"/>
    <mergeCell ref="A77:C77"/>
    <mergeCell ref="D77:E77"/>
    <mergeCell ref="F77:K77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1:C71"/>
    <mergeCell ref="D71:E71"/>
    <mergeCell ref="F71:K71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D92:E92"/>
    <mergeCell ref="F92:K92"/>
    <mergeCell ref="A87:C87"/>
    <mergeCell ref="D87:E87"/>
    <mergeCell ref="F87:K87"/>
    <mergeCell ref="A88:C88"/>
    <mergeCell ref="D88:E88"/>
    <mergeCell ref="F88:K88"/>
    <mergeCell ref="A89:C89"/>
    <mergeCell ref="D89:E89"/>
    <mergeCell ref="F89:K89"/>
    <mergeCell ref="A90:C90"/>
    <mergeCell ref="D90:E90"/>
    <mergeCell ref="F90:K90"/>
    <mergeCell ref="A96:C96"/>
    <mergeCell ref="D96:E96"/>
    <mergeCell ref="F96:K96"/>
    <mergeCell ref="A1:K1"/>
    <mergeCell ref="A18:C18"/>
    <mergeCell ref="D18:F18"/>
    <mergeCell ref="A21:C21"/>
    <mergeCell ref="D21:F21"/>
    <mergeCell ref="A22:C22"/>
    <mergeCell ref="D22:F22"/>
    <mergeCell ref="G22:H22"/>
    <mergeCell ref="A95:C95"/>
    <mergeCell ref="D95:E95"/>
    <mergeCell ref="F95:K95"/>
    <mergeCell ref="A91:C91"/>
    <mergeCell ref="D91:E91"/>
    <mergeCell ref="A79:C79"/>
    <mergeCell ref="D79:E79"/>
    <mergeCell ref="F79:K79"/>
    <mergeCell ref="A80:C80"/>
    <mergeCell ref="D80:E80"/>
    <mergeCell ref="F80:K80"/>
    <mergeCell ref="F91:K91"/>
    <mergeCell ref="A92:C92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3"/>
  <sheetViews>
    <sheetView showGridLines="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1500/324106.53*J61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J61*1.1*0.026%</f>
        <v>0</v>
      </c>
      <c r="K14" s="58"/>
      <c r="L14" s="51"/>
    </row>
    <row r="15" spans="1:13" ht="15" customHeight="1">
      <c r="F15" s="38"/>
      <c r="H15" s="64"/>
      <c r="I15" s="65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68">
        <f>K61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68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100" t="s">
        <v>55</v>
      </c>
      <c r="E26" s="100"/>
      <c r="F26" s="100"/>
      <c r="G26" s="100" t="s">
        <v>5</v>
      </c>
      <c r="H26" s="100" t="s">
        <v>6</v>
      </c>
      <c r="I26" s="100" t="s">
        <v>56</v>
      </c>
      <c r="J26" s="100" t="s">
        <v>57</v>
      </c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>
        <f t="shared" ref="J27:J60" si="0">G27*I27</f>
        <v>0</v>
      </c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>
        <f t="shared" si="0"/>
        <v>0</v>
      </c>
      <c r="K28" s="51"/>
      <c r="M28" s="83"/>
    </row>
    <row r="29" spans="1:13" ht="15" customHeight="1">
      <c r="A29" s="77"/>
      <c r="B29" s="57"/>
      <c r="C29" s="57"/>
      <c r="D29" s="78"/>
      <c r="E29" s="39"/>
      <c r="F29" s="79"/>
      <c r="G29" s="79"/>
      <c r="H29" s="80"/>
      <c r="I29" s="81"/>
      <c r="J29" s="82">
        <f t="shared" si="0"/>
        <v>0</v>
      </c>
      <c r="K29" s="51"/>
      <c r="M29" s="83"/>
    </row>
    <row r="30" spans="1:13" ht="15" customHeight="1">
      <c r="A30" s="77"/>
      <c r="B30" s="57"/>
      <c r="C30" s="57"/>
      <c r="D30" s="78"/>
      <c r="E30" s="39"/>
      <c r="F30" s="79"/>
      <c r="G30" s="79"/>
      <c r="H30" s="80"/>
      <c r="I30" s="81"/>
      <c r="J30" s="82">
        <f t="shared" si="0"/>
        <v>0</v>
      </c>
      <c r="K30" s="51"/>
      <c r="M30" s="83"/>
    </row>
    <row r="31" spans="1:13" ht="15" customHeight="1">
      <c r="A31" s="77"/>
      <c r="B31" s="57"/>
      <c r="C31" s="57"/>
      <c r="D31" s="78"/>
      <c r="E31" s="39"/>
      <c r="F31" s="79"/>
      <c r="G31" s="79"/>
      <c r="H31" s="80"/>
      <c r="I31" s="81"/>
      <c r="J31" s="82">
        <f t="shared" si="0"/>
        <v>0</v>
      </c>
      <c r="K31" s="51"/>
      <c r="M31" s="83"/>
    </row>
    <row r="32" spans="1:13" ht="15" customHeight="1">
      <c r="A32" s="77"/>
      <c r="B32" s="57"/>
      <c r="C32" s="57"/>
      <c r="D32" s="78"/>
      <c r="E32" s="39"/>
      <c r="F32" s="79"/>
      <c r="G32" s="79"/>
      <c r="H32" s="80"/>
      <c r="I32" s="81"/>
      <c r="J32" s="82">
        <f t="shared" si="0"/>
        <v>0</v>
      </c>
      <c r="K32" s="51"/>
      <c r="M32" s="83"/>
    </row>
    <row r="33" spans="1:13" ht="15" customHeight="1">
      <c r="A33" s="77"/>
      <c r="B33" s="57"/>
      <c r="C33" s="57"/>
      <c r="D33" s="78"/>
      <c r="E33" s="39"/>
      <c r="F33" s="79"/>
      <c r="G33" s="79"/>
      <c r="H33" s="80"/>
      <c r="I33" s="81"/>
      <c r="J33" s="82">
        <f t="shared" si="0"/>
        <v>0</v>
      </c>
      <c r="K33" s="51"/>
      <c r="M33" s="83"/>
    </row>
    <row r="34" spans="1:13" ht="15" customHeight="1">
      <c r="A34" s="77"/>
      <c r="B34" s="57"/>
      <c r="C34" s="57"/>
      <c r="D34" s="78"/>
      <c r="E34" s="39"/>
      <c r="F34" s="79"/>
      <c r="G34" s="79"/>
      <c r="H34" s="80"/>
      <c r="I34" s="81"/>
      <c r="J34" s="82">
        <f t="shared" si="0"/>
        <v>0</v>
      </c>
      <c r="K34" s="51"/>
      <c r="M34" s="83"/>
    </row>
    <row r="35" spans="1:13" ht="15" customHeight="1">
      <c r="A35" s="77"/>
      <c r="B35" s="57"/>
      <c r="C35" s="57"/>
      <c r="D35" s="78"/>
      <c r="E35" s="39"/>
      <c r="F35" s="79"/>
      <c r="G35" s="79"/>
      <c r="H35" s="80"/>
      <c r="I35" s="81"/>
      <c r="J35" s="82">
        <f t="shared" si="0"/>
        <v>0</v>
      </c>
      <c r="K35" s="51"/>
      <c r="M35" s="83"/>
    </row>
    <row r="36" spans="1:13" ht="15" customHeight="1">
      <c r="A36" s="77"/>
      <c r="B36" s="57"/>
      <c r="C36" s="57"/>
      <c r="D36" s="78"/>
      <c r="E36" s="39"/>
      <c r="F36" s="79"/>
      <c r="G36" s="79"/>
      <c r="H36" s="80"/>
      <c r="I36" s="81"/>
      <c r="J36" s="82">
        <f t="shared" si="0"/>
        <v>0</v>
      </c>
      <c r="K36" s="51"/>
      <c r="M36" s="83"/>
    </row>
    <row r="37" spans="1:13" ht="15" customHeight="1">
      <c r="A37" s="77"/>
      <c r="B37" s="57"/>
      <c r="C37" s="57"/>
      <c r="D37" s="78"/>
      <c r="E37" s="39"/>
      <c r="F37" s="79"/>
      <c r="G37" s="79"/>
      <c r="H37" s="80"/>
      <c r="I37" s="81"/>
      <c r="J37" s="82">
        <f t="shared" si="0"/>
        <v>0</v>
      </c>
      <c r="K37" s="51"/>
      <c r="M37" s="83"/>
    </row>
    <row r="38" spans="1:13" ht="15" customHeight="1">
      <c r="A38" s="77"/>
      <c r="B38" s="57"/>
      <c r="C38" s="57"/>
      <c r="D38" s="78"/>
      <c r="E38" s="39"/>
      <c r="F38" s="79"/>
      <c r="G38" s="79"/>
      <c r="H38" s="80"/>
      <c r="I38" s="81"/>
      <c r="J38" s="82">
        <f t="shared" si="0"/>
        <v>0</v>
      </c>
      <c r="K38" s="51"/>
      <c r="M38" s="83"/>
    </row>
    <row r="39" spans="1:13" ht="15" customHeight="1">
      <c r="A39" s="77"/>
      <c r="B39" s="57"/>
      <c r="C39" s="57"/>
      <c r="D39" s="78"/>
      <c r="E39" s="39"/>
      <c r="F39" s="79"/>
      <c r="G39" s="79"/>
      <c r="H39" s="80"/>
      <c r="I39" s="81"/>
      <c r="J39" s="82">
        <f t="shared" si="0"/>
        <v>0</v>
      </c>
      <c r="K39" s="51"/>
      <c r="M39" s="83"/>
    </row>
    <row r="40" spans="1:13" ht="15" customHeight="1">
      <c r="A40" s="77"/>
      <c r="B40" s="57"/>
      <c r="C40" s="57"/>
      <c r="D40" s="78"/>
      <c r="E40" s="39"/>
      <c r="F40" s="79"/>
      <c r="G40" s="79"/>
      <c r="H40" s="80"/>
      <c r="I40" s="81"/>
      <c r="J40" s="82">
        <f t="shared" si="0"/>
        <v>0</v>
      </c>
      <c r="K40" s="51"/>
      <c r="M40" s="83"/>
    </row>
    <row r="41" spans="1:13" ht="15" customHeight="1">
      <c r="A41" s="77"/>
      <c r="B41" s="57"/>
      <c r="C41" s="57"/>
      <c r="D41" s="78"/>
      <c r="E41" s="39"/>
      <c r="F41" s="79"/>
      <c r="G41" s="79"/>
      <c r="H41" s="80"/>
      <c r="I41" s="81"/>
      <c r="J41" s="82">
        <f t="shared" si="0"/>
        <v>0</v>
      </c>
      <c r="K41" s="51"/>
      <c r="M41" s="83"/>
    </row>
    <row r="42" spans="1:13" ht="15" customHeight="1">
      <c r="A42" s="77"/>
      <c r="B42" s="57"/>
      <c r="C42" s="57"/>
      <c r="D42" s="78"/>
      <c r="E42" s="39"/>
      <c r="F42" s="79"/>
      <c r="G42" s="79"/>
      <c r="H42" s="80"/>
      <c r="I42" s="81"/>
      <c r="J42" s="82">
        <f t="shared" si="0"/>
        <v>0</v>
      </c>
      <c r="K42" s="51"/>
      <c r="M42" s="83"/>
    </row>
    <row r="43" spans="1:13" ht="15" customHeight="1">
      <c r="A43" s="77"/>
      <c r="B43" s="57"/>
      <c r="C43" s="57"/>
      <c r="D43" s="78"/>
      <c r="E43" s="39"/>
      <c r="F43" s="79"/>
      <c r="G43" s="79"/>
      <c r="H43" s="80"/>
      <c r="I43" s="81"/>
      <c r="J43" s="82">
        <f t="shared" si="0"/>
        <v>0</v>
      </c>
      <c r="K43" s="51"/>
      <c r="M43" s="83"/>
    </row>
    <row r="44" spans="1:13" ht="15" customHeight="1">
      <c r="A44" s="77"/>
      <c r="B44" s="57"/>
      <c r="C44" s="57"/>
      <c r="D44" s="78"/>
      <c r="E44" s="39"/>
      <c r="F44" s="79"/>
      <c r="G44" s="79"/>
      <c r="H44" s="80"/>
      <c r="I44" s="81"/>
      <c r="J44" s="82">
        <f t="shared" si="0"/>
        <v>0</v>
      </c>
      <c r="K44" s="51"/>
      <c r="M44" s="83"/>
    </row>
    <row r="45" spans="1:13" ht="15" customHeight="1">
      <c r="A45" s="77"/>
      <c r="B45" s="57"/>
      <c r="C45" s="57"/>
      <c r="D45" s="78"/>
      <c r="E45" s="39"/>
      <c r="F45" s="79"/>
      <c r="G45" s="79"/>
      <c r="H45" s="80"/>
      <c r="I45" s="81"/>
      <c r="J45" s="82">
        <f t="shared" si="0"/>
        <v>0</v>
      </c>
      <c r="K45" s="51"/>
      <c r="M45" s="83"/>
    </row>
    <row r="46" spans="1:13" ht="15" customHeight="1">
      <c r="A46" s="77"/>
      <c r="B46" s="57"/>
      <c r="C46" s="57"/>
      <c r="D46" s="78"/>
      <c r="E46" s="39"/>
      <c r="F46" s="79"/>
      <c r="G46" s="79"/>
      <c r="H46" s="80"/>
      <c r="I46" s="81"/>
      <c r="J46" s="82">
        <f t="shared" si="0"/>
        <v>0</v>
      </c>
      <c r="K46" s="51"/>
      <c r="M46" s="83"/>
    </row>
    <row r="47" spans="1:13" ht="15" customHeight="1">
      <c r="A47" s="77"/>
      <c r="B47" s="57"/>
      <c r="C47" s="57"/>
      <c r="D47" s="78"/>
      <c r="E47" s="39"/>
      <c r="F47" s="79"/>
      <c r="G47" s="79"/>
      <c r="H47" s="80"/>
      <c r="I47" s="81"/>
      <c r="J47" s="82">
        <f t="shared" si="0"/>
        <v>0</v>
      </c>
      <c r="K47" s="51"/>
      <c r="M47" s="83"/>
    </row>
    <row r="48" spans="1:13" ht="15" customHeight="1">
      <c r="A48" s="77"/>
      <c r="B48" s="57"/>
      <c r="C48" s="57"/>
      <c r="D48" s="78"/>
      <c r="E48" s="39"/>
      <c r="F48" s="79"/>
      <c r="G48" s="79"/>
      <c r="H48" s="80"/>
      <c r="I48" s="81"/>
      <c r="J48" s="82">
        <f t="shared" si="0"/>
        <v>0</v>
      </c>
      <c r="K48" s="51"/>
      <c r="M48" s="83"/>
    </row>
    <row r="49" spans="1:13" ht="15" customHeight="1">
      <c r="A49" s="77"/>
      <c r="B49" s="57"/>
      <c r="C49" s="57"/>
      <c r="D49" s="78"/>
      <c r="E49" s="39"/>
      <c r="F49" s="79"/>
      <c r="G49" s="79"/>
      <c r="H49" s="80"/>
      <c r="I49" s="81"/>
      <c r="J49" s="82">
        <f t="shared" si="0"/>
        <v>0</v>
      </c>
      <c r="K49" s="51"/>
      <c r="M49" s="83"/>
    </row>
    <row r="50" spans="1:13" ht="15" customHeight="1">
      <c r="A50" s="77"/>
      <c r="B50" s="57"/>
      <c r="C50" s="57"/>
      <c r="D50" s="78"/>
      <c r="E50" s="39"/>
      <c r="F50" s="79"/>
      <c r="G50" s="79"/>
      <c r="H50" s="80"/>
      <c r="I50" s="81"/>
      <c r="J50" s="82">
        <f t="shared" si="0"/>
        <v>0</v>
      </c>
      <c r="K50" s="51"/>
      <c r="M50" s="83"/>
    </row>
    <row r="51" spans="1:13" ht="15" customHeight="1">
      <c r="A51" s="77"/>
      <c r="B51" s="57"/>
      <c r="C51" s="57"/>
      <c r="D51" s="78"/>
      <c r="E51" s="39"/>
      <c r="F51" s="79"/>
      <c r="G51" s="79"/>
      <c r="H51" s="80"/>
      <c r="I51" s="81"/>
      <c r="J51" s="82">
        <f t="shared" si="0"/>
        <v>0</v>
      </c>
      <c r="K51" s="51"/>
      <c r="M51" s="83"/>
    </row>
    <row r="52" spans="1:13" ht="15" customHeight="1">
      <c r="A52" s="77"/>
      <c r="B52" s="57"/>
      <c r="C52" s="57"/>
      <c r="D52" s="78"/>
      <c r="E52" s="39"/>
      <c r="F52" s="79"/>
      <c r="G52" s="79"/>
      <c r="H52" s="80"/>
      <c r="I52" s="81"/>
      <c r="J52" s="82">
        <f t="shared" si="0"/>
        <v>0</v>
      </c>
      <c r="K52" s="51"/>
      <c r="M52" s="83"/>
    </row>
    <row r="53" spans="1:13" ht="15" customHeight="1">
      <c r="A53" s="77"/>
      <c r="B53" s="57"/>
      <c r="C53" s="57"/>
      <c r="D53" s="78"/>
      <c r="E53" s="39"/>
      <c r="F53" s="79"/>
      <c r="G53" s="79"/>
      <c r="H53" s="80"/>
      <c r="I53" s="81"/>
      <c r="J53" s="82">
        <f t="shared" si="0"/>
        <v>0</v>
      </c>
      <c r="K53" s="51"/>
      <c r="M53" s="83"/>
    </row>
    <row r="54" spans="1:13" ht="15" customHeight="1">
      <c r="A54" s="77"/>
      <c r="B54" s="57"/>
      <c r="C54" s="57"/>
      <c r="D54" s="78"/>
      <c r="E54" s="39"/>
      <c r="F54" s="79"/>
      <c r="G54" s="79"/>
      <c r="H54" s="80"/>
      <c r="I54" s="81"/>
      <c r="J54" s="82">
        <f t="shared" si="0"/>
        <v>0</v>
      </c>
      <c r="K54" s="51"/>
      <c r="M54" s="83"/>
    </row>
    <row r="55" spans="1:13" ht="15" customHeight="1">
      <c r="A55" s="77"/>
      <c r="B55" s="57"/>
      <c r="C55" s="57"/>
      <c r="D55" s="78"/>
      <c r="E55" s="39"/>
      <c r="F55" s="79"/>
      <c r="G55" s="79"/>
      <c r="H55" s="80"/>
      <c r="I55" s="81"/>
      <c r="J55" s="82">
        <f t="shared" si="0"/>
        <v>0</v>
      </c>
      <c r="K55" s="51"/>
      <c r="M55" s="83"/>
    </row>
    <row r="56" spans="1:13" ht="15" customHeight="1">
      <c r="A56" s="77"/>
      <c r="B56" s="57"/>
      <c r="C56" s="57"/>
      <c r="D56" s="78"/>
      <c r="E56" s="39"/>
      <c r="F56" s="79"/>
      <c r="G56" s="79"/>
      <c r="H56" s="80"/>
      <c r="I56" s="81"/>
      <c r="J56" s="82">
        <f t="shared" si="0"/>
        <v>0</v>
      </c>
      <c r="K56" s="51"/>
      <c r="M56" s="83"/>
    </row>
    <row r="57" spans="1:13" ht="15" customHeight="1">
      <c r="A57" s="77"/>
      <c r="B57" s="57"/>
      <c r="C57" s="57"/>
      <c r="D57" s="78"/>
      <c r="E57" s="39"/>
      <c r="F57" s="79"/>
      <c r="G57" s="79"/>
      <c r="H57" s="80"/>
      <c r="I57" s="81"/>
      <c r="J57" s="82">
        <f t="shared" si="0"/>
        <v>0</v>
      </c>
      <c r="K57" s="51"/>
      <c r="M57" s="83"/>
    </row>
    <row r="58" spans="1:13" ht="15" customHeight="1">
      <c r="A58" s="77"/>
      <c r="B58" s="57"/>
      <c r="C58" s="57"/>
      <c r="D58" s="78"/>
      <c r="E58" s="39"/>
      <c r="F58" s="79"/>
      <c r="G58" s="79"/>
      <c r="H58" s="80"/>
      <c r="I58" s="81"/>
      <c r="J58" s="82">
        <f t="shared" si="0"/>
        <v>0</v>
      </c>
      <c r="K58" s="51"/>
      <c r="M58" s="83"/>
    </row>
    <row r="59" spans="1:13" ht="15" customHeight="1">
      <c r="A59" s="77"/>
      <c r="B59" s="57"/>
      <c r="C59" s="57"/>
      <c r="D59" s="78"/>
      <c r="E59" s="39"/>
      <c r="F59" s="79"/>
      <c r="G59" s="79"/>
      <c r="H59" s="80"/>
      <c r="I59" s="81"/>
      <c r="J59" s="82">
        <f t="shared" si="0"/>
        <v>0</v>
      </c>
      <c r="K59" s="51"/>
      <c r="M59" s="83"/>
    </row>
    <row r="60" spans="1:13" ht="15" customHeight="1">
      <c r="A60" s="77"/>
      <c r="B60" s="57"/>
      <c r="C60" s="57"/>
      <c r="D60" s="78"/>
      <c r="E60" s="39"/>
      <c r="F60" s="79"/>
      <c r="G60" s="79"/>
      <c r="H60" s="80"/>
      <c r="I60" s="81"/>
      <c r="J60" s="82">
        <f t="shared" si="0"/>
        <v>0</v>
      </c>
      <c r="K60" s="51"/>
      <c r="M60" s="83"/>
    </row>
    <row r="61" spans="1:13" ht="15" customHeight="1" thickBot="1">
      <c r="A61" s="77"/>
      <c r="B61" s="84"/>
      <c r="C61" s="39"/>
      <c r="D61" s="85" t="s">
        <v>50</v>
      </c>
      <c r="E61" s="85"/>
      <c r="F61" s="86"/>
      <c r="G61" s="87"/>
      <c r="H61" s="88"/>
      <c r="I61" s="89"/>
      <c r="J61" s="90">
        <f>SUM(J27:J60)</f>
        <v>0</v>
      </c>
      <c r="K61" s="51">
        <f>SUM(K27:K60)</f>
        <v>0</v>
      </c>
    </row>
    <row r="62" spans="1:13" ht="15" customHeight="1" thickTop="1">
      <c r="A62" s="9" t="s">
        <v>58</v>
      </c>
      <c r="B62" s="84"/>
      <c r="C62" s="57"/>
      <c r="D62" s="57" t="s">
        <v>59</v>
      </c>
      <c r="E62" s="57"/>
      <c r="F62" s="50" t="s">
        <v>60</v>
      </c>
      <c r="G62" s="50"/>
      <c r="H62" s="91"/>
      <c r="I62" s="92"/>
      <c r="J62" s="93"/>
    </row>
    <row r="63" spans="1:13" ht="99.95" customHeight="1">
      <c r="A63" s="253"/>
      <c r="B63" s="254"/>
      <c r="C63" s="255"/>
      <c r="D63" s="256"/>
      <c r="E63" s="257"/>
      <c r="F63" s="258"/>
      <c r="G63" s="259"/>
      <c r="H63" s="259"/>
      <c r="I63" s="259"/>
      <c r="J63" s="259"/>
      <c r="K63" s="260"/>
    </row>
    <row r="64" spans="1:13" ht="99.95" customHeight="1">
      <c r="A64" s="253"/>
      <c r="B64" s="254"/>
      <c r="C64" s="255"/>
      <c r="D64" s="256"/>
      <c r="E64" s="257"/>
      <c r="F64" s="258"/>
      <c r="G64" s="259"/>
      <c r="H64" s="259"/>
      <c r="I64" s="259"/>
      <c r="J64" s="259"/>
      <c r="K64" s="260"/>
    </row>
    <row r="65" spans="1:11" ht="99.95" customHeight="1">
      <c r="A65" s="253"/>
      <c r="B65" s="254"/>
      <c r="C65" s="255"/>
      <c r="D65" s="256"/>
      <c r="E65" s="257"/>
      <c r="F65" s="258"/>
      <c r="G65" s="259"/>
      <c r="H65" s="259"/>
      <c r="I65" s="259"/>
      <c r="J65" s="259"/>
      <c r="K65" s="260"/>
    </row>
    <row r="66" spans="1:11" ht="99.95" customHeight="1">
      <c r="A66" s="253"/>
      <c r="B66" s="254"/>
      <c r="C66" s="255"/>
      <c r="D66" s="256"/>
      <c r="E66" s="257"/>
      <c r="F66" s="258"/>
      <c r="G66" s="259"/>
      <c r="H66" s="259"/>
      <c r="I66" s="259"/>
      <c r="J66" s="259"/>
      <c r="K66" s="260"/>
    </row>
    <row r="67" spans="1:11" ht="99.95" customHeight="1">
      <c r="A67" s="253"/>
      <c r="B67" s="254"/>
      <c r="C67" s="255"/>
      <c r="D67" s="256"/>
      <c r="E67" s="257"/>
      <c r="F67" s="258"/>
      <c r="G67" s="259"/>
      <c r="H67" s="259"/>
      <c r="I67" s="259"/>
      <c r="J67" s="259"/>
      <c r="K67" s="260"/>
    </row>
    <row r="68" spans="1:11" ht="99.95" customHeight="1">
      <c r="A68" s="253"/>
      <c r="B68" s="254"/>
      <c r="C68" s="255"/>
      <c r="D68" s="256"/>
      <c r="E68" s="257"/>
      <c r="F68" s="258"/>
      <c r="G68" s="259"/>
      <c r="H68" s="259"/>
      <c r="I68" s="259"/>
      <c r="J68" s="259"/>
      <c r="K68" s="260"/>
    </row>
    <row r="69" spans="1:11" ht="99.95" customHeight="1">
      <c r="A69" s="253"/>
      <c r="B69" s="254"/>
      <c r="C69" s="255"/>
      <c r="D69" s="256"/>
      <c r="E69" s="257"/>
      <c r="F69" s="258"/>
      <c r="G69" s="259"/>
      <c r="H69" s="259"/>
      <c r="I69" s="259"/>
      <c r="J69" s="259"/>
      <c r="K69" s="260"/>
    </row>
    <row r="70" spans="1:11" ht="99.95" customHeight="1">
      <c r="A70" s="253"/>
      <c r="B70" s="254"/>
      <c r="C70" s="255"/>
      <c r="D70" s="256"/>
      <c r="E70" s="257"/>
      <c r="F70" s="258"/>
      <c r="G70" s="259"/>
      <c r="H70" s="259"/>
      <c r="I70" s="259"/>
      <c r="J70" s="259"/>
      <c r="K70" s="260"/>
    </row>
    <row r="71" spans="1:11" ht="99.95" customHeight="1">
      <c r="A71" s="253"/>
      <c r="B71" s="254"/>
      <c r="C71" s="255"/>
      <c r="D71" s="256"/>
      <c r="E71" s="257"/>
      <c r="F71" s="258"/>
      <c r="G71" s="259"/>
      <c r="H71" s="259"/>
      <c r="I71" s="259"/>
      <c r="J71" s="259"/>
      <c r="K71" s="260"/>
    </row>
    <row r="72" spans="1:11" ht="99.95" customHeight="1">
      <c r="A72" s="253"/>
      <c r="B72" s="254"/>
      <c r="C72" s="255"/>
      <c r="D72" s="256"/>
      <c r="E72" s="257"/>
      <c r="F72" s="258"/>
      <c r="G72" s="259"/>
      <c r="H72" s="259"/>
      <c r="I72" s="259"/>
      <c r="J72" s="259"/>
      <c r="K72" s="260"/>
    </row>
    <row r="73" spans="1:11" ht="99.95" customHeight="1">
      <c r="A73" s="253"/>
      <c r="B73" s="254"/>
      <c r="C73" s="255"/>
      <c r="D73" s="256"/>
      <c r="E73" s="257"/>
      <c r="F73" s="258"/>
      <c r="G73" s="259"/>
      <c r="H73" s="259"/>
      <c r="I73" s="259"/>
      <c r="J73" s="259"/>
      <c r="K73" s="260"/>
    </row>
    <row r="74" spans="1:11" ht="99.95" customHeight="1">
      <c r="A74" s="253"/>
      <c r="B74" s="254"/>
      <c r="C74" s="255"/>
      <c r="D74" s="256"/>
      <c r="E74" s="257"/>
      <c r="F74" s="258"/>
      <c r="G74" s="259"/>
      <c r="H74" s="259"/>
      <c r="I74" s="259"/>
      <c r="J74" s="259"/>
      <c r="K74" s="260"/>
    </row>
    <row r="75" spans="1:11" ht="99.95" customHeight="1">
      <c r="A75" s="253"/>
      <c r="B75" s="254"/>
      <c r="C75" s="255"/>
      <c r="D75" s="256"/>
      <c r="E75" s="257"/>
      <c r="F75" s="258"/>
      <c r="G75" s="259"/>
      <c r="H75" s="259"/>
      <c r="I75" s="259"/>
      <c r="J75" s="259"/>
      <c r="K75" s="260"/>
    </row>
    <row r="76" spans="1:11" ht="99.95" customHeight="1">
      <c r="A76" s="253"/>
      <c r="B76" s="254"/>
      <c r="C76" s="255"/>
      <c r="D76" s="256"/>
      <c r="E76" s="257"/>
      <c r="F76" s="258"/>
      <c r="G76" s="259"/>
      <c r="H76" s="259"/>
      <c r="I76" s="259"/>
      <c r="J76" s="259"/>
      <c r="K76" s="260"/>
    </row>
    <row r="77" spans="1:11" ht="99.95" customHeight="1">
      <c r="A77" s="253"/>
      <c r="B77" s="254"/>
      <c r="C77" s="255"/>
      <c r="D77" s="256"/>
      <c r="E77" s="257"/>
      <c r="F77" s="258"/>
      <c r="G77" s="259"/>
      <c r="H77" s="259"/>
      <c r="I77" s="259"/>
      <c r="J77" s="259"/>
      <c r="K77" s="260"/>
    </row>
    <row r="78" spans="1:11" ht="99.95" customHeight="1">
      <c r="A78" s="253"/>
      <c r="B78" s="254"/>
      <c r="C78" s="255"/>
      <c r="D78" s="256"/>
      <c r="E78" s="257"/>
      <c r="F78" s="258"/>
      <c r="G78" s="259"/>
      <c r="H78" s="259"/>
      <c r="I78" s="259"/>
      <c r="J78" s="259"/>
      <c r="K78" s="260"/>
    </row>
    <row r="79" spans="1:11" ht="99.95" customHeight="1">
      <c r="A79" s="253"/>
      <c r="B79" s="254"/>
      <c r="C79" s="255"/>
      <c r="D79" s="256"/>
      <c r="E79" s="257"/>
      <c r="F79" s="258"/>
      <c r="G79" s="259"/>
      <c r="H79" s="259"/>
      <c r="I79" s="259"/>
      <c r="J79" s="259"/>
      <c r="K79" s="260"/>
    </row>
    <row r="80" spans="1:11" ht="99.95" customHeight="1">
      <c r="A80" s="253"/>
      <c r="B80" s="254"/>
      <c r="C80" s="255"/>
      <c r="D80" s="256"/>
      <c r="E80" s="257"/>
      <c r="F80" s="258"/>
      <c r="G80" s="259"/>
      <c r="H80" s="259"/>
      <c r="I80" s="259"/>
      <c r="J80" s="259"/>
      <c r="K80" s="260"/>
    </row>
    <row r="81" spans="1:11" ht="99.95" customHeight="1">
      <c r="A81" s="253"/>
      <c r="B81" s="254"/>
      <c r="C81" s="255"/>
      <c r="D81" s="256"/>
      <c r="E81" s="257"/>
      <c r="F81" s="258"/>
      <c r="G81" s="259"/>
      <c r="H81" s="259"/>
      <c r="I81" s="259"/>
      <c r="J81" s="259"/>
      <c r="K81" s="260"/>
    </row>
    <row r="82" spans="1:11" ht="99.95" customHeight="1">
      <c r="A82" s="253"/>
      <c r="B82" s="254"/>
      <c r="C82" s="255"/>
      <c r="D82" s="256"/>
      <c r="E82" s="257"/>
      <c r="F82" s="258"/>
      <c r="G82" s="259"/>
      <c r="H82" s="259"/>
      <c r="I82" s="259"/>
      <c r="J82" s="259"/>
      <c r="K82" s="260"/>
    </row>
    <row r="83" spans="1:11" ht="99.95" customHeight="1">
      <c r="A83" s="253"/>
      <c r="B83" s="254"/>
      <c r="C83" s="255"/>
      <c r="D83" s="256"/>
      <c r="E83" s="257"/>
      <c r="F83" s="258"/>
      <c r="G83" s="259"/>
      <c r="H83" s="259"/>
      <c r="I83" s="259"/>
      <c r="J83" s="259"/>
      <c r="K83" s="260"/>
    </row>
    <row r="84" spans="1:11" ht="99.95" customHeight="1">
      <c r="A84" s="253"/>
      <c r="B84" s="254"/>
      <c r="C84" s="255"/>
      <c r="D84" s="256"/>
      <c r="E84" s="257"/>
      <c r="F84" s="258"/>
      <c r="G84" s="259"/>
      <c r="H84" s="259"/>
      <c r="I84" s="259"/>
      <c r="J84" s="259"/>
      <c r="K84" s="260"/>
    </row>
    <row r="85" spans="1:11" ht="99.95" customHeight="1">
      <c r="A85" s="253"/>
      <c r="B85" s="254"/>
      <c r="C85" s="255"/>
      <c r="D85" s="256"/>
      <c r="E85" s="257"/>
      <c r="F85" s="258"/>
      <c r="G85" s="259"/>
      <c r="H85" s="259"/>
      <c r="I85" s="259"/>
      <c r="J85" s="259"/>
      <c r="K85" s="260"/>
    </row>
    <row r="86" spans="1:11" ht="99.95" customHeight="1">
      <c r="A86" s="253"/>
      <c r="B86" s="254"/>
      <c r="C86" s="255"/>
      <c r="D86" s="256"/>
      <c r="E86" s="257"/>
      <c r="F86" s="258"/>
      <c r="G86" s="259"/>
      <c r="H86" s="259"/>
      <c r="I86" s="259"/>
      <c r="J86" s="259"/>
      <c r="K86" s="260"/>
    </row>
    <row r="87" spans="1:11" ht="99.95" customHeight="1">
      <c r="A87" s="253"/>
      <c r="B87" s="254"/>
      <c r="C87" s="255"/>
      <c r="D87" s="256"/>
      <c r="E87" s="257"/>
      <c r="F87" s="258"/>
      <c r="G87" s="259"/>
      <c r="H87" s="259"/>
      <c r="I87" s="259"/>
      <c r="J87" s="259"/>
      <c r="K87" s="260"/>
    </row>
    <row r="88" spans="1:11" ht="99.95" customHeight="1">
      <c r="A88" s="253"/>
      <c r="B88" s="254"/>
      <c r="C88" s="255"/>
      <c r="D88" s="256"/>
      <c r="E88" s="257"/>
      <c r="F88" s="258"/>
      <c r="G88" s="259"/>
      <c r="H88" s="259"/>
      <c r="I88" s="259"/>
      <c r="J88" s="259"/>
      <c r="K88" s="260"/>
    </row>
    <row r="89" spans="1:11" ht="99.95" customHeight="1">
      <c r="A89" s="253"/>
      <c r="B89" s="254"/>
      <c r="C89" s="255"/>
      <c r="D89" s="256"/>
      <c r="E89" s="257"/>
      <c r="F89" s="258"/>
      <c r="G89" s="259"/>
      <c r="H89" s="259"/>
      <c r="I89" s="259"/>
      <c r="J89" s="259"/>
      <c r="K89" s="260"/>
    </row>
    <row r="90" spans="1:11" ht="99.95" customHeight="1">
      <c r="A90" s="253"/>
      <c r="B90" s="254"/>
      <c r="C90" s="255"/>
      <c r="D90" s="256"/>
      <c r="E90" s="257"/>
      <c r="F90" s="258"/>
      <c r="G90" s="259"/>
      <c r="H90" s="259"/>
      <c r="I90" s="259"/>
      <c r="J90" s="259"/>
      <c r="K90" s="260"/>
    </row>
    <row r="91" spans="1:11" ht="99.95" customHeight="1">
      <c r="A91" s="253"/>
      <c r="B91" s="254"/>
      <c r="C91" s="255"/>
      <c r="D91" s="256"/>
      <c r="E91" s="257"/>
      <c r="F91" s="258"/>
      <c r="G91" s="259"/>
      <c r="H91" s="259"/>
      <c r="I91" s="259"/>
      <c r="J91" s="259"/>
      <c r="K91" s="260"/>
    </row>
    <row r="92" spans="1:11" ht="99.95" customHeight="1">
      <c r="A92" s="253"/>
      <c r="B92" s="254"/>
      <c r="C92" s="255"/>
      <c r="D92" s="256"/>
      <c r="E92" s="257"/>
      <c r="F92" s="258"/>
      <c r="G92" s="259"/>
      <c r="H92" s="259"/>
      <c r="I92" s="259"/>
      <c r="J92" s="259"/>
      <c r="K92" s="260"/>
    </row>
    <row r="93" spans="1:11" ht="99.95" customHeight="1">
      <c r="A93" s="253"/>
      <c r="B93" s="254"/>
      <c r="C93" s="255"/>
      <c r="D93" s="256"/>
      <c r="E93" s="257"/>
      <c r="F93" s="258"/>
      <c r="G93" s="259"/>
      <c r="H93" s="259"/>
      <c r="I93" s="259"/>
      <c r="J93" s="259"/>
      <c r="K93" s="260"/>
    </row>
    <row r="94" spans="1:11" ht="99.95" customHeight="1">
      <c r="A94" s="253"/>
      <c r="B94" s="254"/>
      <c r="C94" s="255"/>
      <c r="D94" s="256"/>
      <c r="E94" s="257"/>
      <c r="F94" s="258"/>
      <c r="G94" s="259"/>
      <c r="H94" s="259"/>
      <c r="I94" s="259"/>
      <c r="J94" s="259"/>
      <c r="K94" s="260"/>
    </row>
    <row r="95" spans="1:11" ht="99.95" customHeight="1">
      <c r="A95" s="253"/>
      <c r="B95" s="254"/>
      <c r="C95" s="255"/>
      <c r="D95" s="256"/>
      <c r="E95" s="257"/>
      <c r="F95" s="258"/>
      <c r="G95" s="259"/>
      <c r="H95" s="259"/>
      <c r="I95" s="259"/>
      <c r="J95" s="259"/>
      <c r="K95" s="260"/>
    </row>
    <row r="96" spans="1:11" ht="99.95" customHeight="1">
      <c r="A96" s="253"/>
      <c r="B96" s="254"/>
      <c r="C96" s="255"/>
      <c r="D96" s="256"/>
      <c r="E96" s="257"/>
      <c r="F96" s="258"/>
      <c r="G96" s="259"/>
      <c r="H96" s="259"/>
      <c r="I96" s="259"/>
      <c r="J96" s="259"/>
      <c r="K96" s="260"/>
    </row>
    <row r="97" spans="1:11" ht="15" customHeight="1"/>
    <row r="98" spans="1:11" ht="15" customHeight="1"/>
    <row r="99" spans="1:11" ht="15" customHeight="1"/>
    <row r="100" spans="1:11" ht="15" customHeight="1"/>
    <row r="101" spans="1:11" ht="15" customHeight="1"/>
    <row r="102" spans="1:11" ht="15" customHeight="1">
      <c r="A102" s="31" t="s">
        <v>51</v>
      </c>
      <c r="B102" s="31"/>
      <c r="C102" s="31"/>
      <c r="D102" s="31"/>
      <c r="E102" s="31"/>
      <c r="F102" s="31"/>
    </row>
    <row r="103" spans="1:11" ht="15" customHeight="1">
      <c r="A103" s="31" t="s">
        <v>53</v>
      </c>
      <c r="B103" s="31"/>
      <c r="C103" s="31"/>
      <c r="H103" s="99" t="s">
        <v>54</v>
      </c>
      <c r="I103" s="53"/>
      <c r="J103" s="53"/>
      <c r="K103" s="53"/>
    </row>
  </sheetData>
  <mergeCells count="110">
    <mergeCell ref="A63:C63"/>
    <mergeCell ref="D63:E63"/>
    <mergeCell ref="F63:K63"/>
    <mergeCell ref="A64:C64"/>
    <mergeCell ref="D64:E64"/>
    <mergeCell ref="F64:K64"/>
    <mergeCell ref="A1:K1"/>
    <mergeCell ref="A18:C18"/>
    <mergeCell ref="D18:F18"/>
    <mergeCell ref="A21:C21"/>
    <mergeCell ref="D21:F21"/>
    <mergeCell ref="A22:C22"/>
    <mergeCell ref="D22:F22"/>
    <mergeCell ref="G22:H22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3"/>
  <sheetViews>
    <sheetView showGridLines="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1500/324106.53*J61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J61*1.1*0.026%</f>
        <v>0</v>
      </c>
      <c r="K14" s="58"/>
      <c r="L14" s="51"/>
    </row>
    <row r="15" spans="1:13" ht="15" customHeight="1">
      <c r="F15" s="38"/>
      <c r="H15" s="64"/>
      <c r="I15" s="65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68">
        <f>K61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68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100" t="s">
        <v>55</v>
      </c>
      <c r="E26" s="100"/>
      <c r="F26" s="100"/>
      <c r="G26" s="100" t="s">
        <v>5</v>
      </c>
      <c r="H26" s="100" t="s">
        <v>6</v>
      </c>
      <c r="I26" s="100" t="s">
        <v>56</v>
      </c>
      <c r="J26" s="100" t="s">
        <v>57</v>
      </c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>
        <f t="shared" ref="J27:J60" si="0">G27*I27</f>
        <v>0</v>
      </c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>
        <f t="shared" si="0"/>
        <v>0</v>
      </c>
      <c r="K28" s="51"/>
      <c r="M28" s="83"/>
    </row>
    <row r="29" spans="1:13" ht="15" customHeight="1">
      <c r="A29" s="77"/>
      <c r="B29" s="57"/>
      <c r="C29" s="57"/>
      <c r="D29" s="78"/>
      <c r="E29" s="39"/>
      <c r="F29" s="79"/>
      <c r="G29" s="79"/>
      <c r="H29" s="80"/>
      <c r="I29" s="81"/>
      <c r="J29" s="82">
        <f t="shared" si="0"/>
        <v>0</v>
      </c>
      <c r="K29" s="51"/>
      <c r="M29" s="83"/>
    </row>
    <row r="30" spans="1:13" ht="15" customHeight="1">
      <c r="A30" s="77"/>
      <c r="B30" s="57"/>
      <c r="C30" s="57"/>
      <c r="D30" s="78"/>
      <c r="E30" s="39"/>
      <c r="F30" s="79"/>
      <c r="G30" s="79"/>
      <c r="H30" s="80"/>
      <c r="I30" s="81"/>
      <c r="J30" s="82">
        <f t="shared" si="0"/>
        <v>0</v>
      </c>
      <c r="K30" s="51"/>
      <c r="M30" s="83"/>
    </row>
    <row r="31" spans="1:13" ht="15" customHeight="1">
      <c r="A31" s="77"/>
      <c r="B31" s="57"/>
      <c r="C31" s="57"/>
      <c r="D31" s="78"/>
      <c r="E31" s="39"/>
      <c r="F31" s="79"/>
      <c r="G31" s="79"/>
      <c r="H31" s="80"/>
      <c r="I31" s="81"/>
      <c r="J31" s="82">
        <f t="shared" si="0"/>
        <v>0</v>
      </c>
      <c r="K31" s="51"/>
      <c r="M31" s="83"/>
    </row>
    <row r="32" spans="1:13" ht="15" customHeight="1">
      <c r="A32" s="77"/>
      <c r="B32" s="57"/>
      <c r="C32" s="57"/>
      <c r="D32" s="78"/>
      <c r="E32" s="39"/>
      <c r="F32" s="79"/>
      <c r="G32" s="79"/>
      <c r="H32" s="80"/>
      <c r="I32" s="81"/>
      <c r="J32" s="82">
        <f t="shared" si="0"/>
        <v>0</v>
      </c>
      <c r="K32" s="51"/>
      <c r="M32" s="83"/>
    </row>
    <row r="33" spans="1:13" ht="15" customHeight="1">
      <c r="A33" s="77"/>
      <c r="B33" s="57"/>
      <c r="C33" s="57"/>
      <c r="D33" s="78"/>
      <c r="E33" s="39"/>
      <c r="F33" s="79"/>
      <c r="G33" s="79"/>
      <c r="H33" s="80"/>
      <c r="I33" s="81"/>
      <c r="J33" s="82">
        <f t="shared" si="0"/>
        <v>0</v>
      </c>
      <c r="K33" s="51"/>
      <c r="M33" s="83"/>
    </row>
    <row r="34" spans="1:13" ht="15" customHeight="1">
      <c r="A34" s="77"/>
      <c r="B34" s="57"/>
      <c r="C34" s="57"/>
      <c r="D34" s="78"/>
      <c r="E34" s="39"/>
      <c r="F34" s="79"/>
      <c r="G34" s="79"/>
      <c r="H34" s="80"/>
      <c r="I34" s="81"/>
      <c r="J34" s="82">
        <f t="shared" si="0"/>
        <v>0</v>
      </c>
      <c r="K34" s="51"/>
      <c r="M34" s="83"/>
    </row>
    <row r="35" spans="1:13" ht="15" customHeight="1">
      <c r="A35" s="77"/>
      <c r="B35" s="57"/>
      <c r="C35" s="57"/>
      <c r="D35" s="78"/>
      <c r="E35" s="39"/>
      <c r="F35" s="79"/>
      <c r="G35" s="79"/>
      <c r="H35" s="80"/>
      <c r="I35" s="81"/>
      <c r="J35" s="82">
        <f t="shared" si="0"/>
        <v>0</v>
      </c>
      <c r="K35" s="51"/>
      <c r="M35" s="83"/>
    </row>
    <row r="36" spans="1:13" ht="15" customHeight="1">
      <c r="A36" s="77"/>
      <c r="B36" s="57"/>
      <c r="C36" s="57"/>
      <c r="D36" s="78"/>
      <c r="E36" s="39"/>
      <c r="F36" s="79"/>
      <c r="G36" s="79"/>
      <c r="H36" s="80"/>
      <c r="I36" s="81"/>
      <c r="J36" s="82">
        <f t="shared" si="0"/>
        <v>0</v>
      </c>
      <c r="K36" s="51"/>
      <c r="M36" s="83"/>
    </row>
    <row r="37" spans="1:13" ht="15" customHeight="1">
      <c r="A37" s="77"/>
      <c r="B37" s="57"/>
      <c r="C37" s="57"/>
      <c r="D37" s="78"/>
      <c r="E37" s="39"/>
      <c r="F37" s="79"/>
      <c r="G37" s="79"/>
      <c r="H37" s="80"/>
      <c r="I37" s="81"/>
      <c r="J37" s="82">
        <f t="shared" si="0"/>
        <v>0</v>
      </c>
      <c r="K37" s="51"/>
      <c r="M37" s="83"/>
    </row>
    <row r="38" spans="1:13" ht="15" customHeight="1">
      <c r="A38" s="77"/>
      <c r="B38" s="57"/>
      <c r="C38" s="57"/>
      <c r="D38" s="78"/>
      <c r="E38" s="39"/>
      <c r="F38" s="79"/>
      <c r="G38" s="79"/>
      <c r="H38" s="80"/>
      <c r="I38" s="81"/>
      <c r="J38" s="82">
        <f t="shared" si="0"/>
        <v>0</v>
      </c>
      <c r="K38" s="51"/>
      <c r="M38" s="83"/>
    </row>
    <row r="39" spans="1:13" ht="15" customHeight="1">
      <c r="A39" s="77"/>
      <c r="B39" s="57"/>
      <c r="C39" s="57"/>
      <c r="D39" s="78"/>
      <c r="E39" s="39"/>
      <c r="F39" s="79"/>
      <c r="G39" s="79"/>
      <c r="H39" s="80"/>
      <c r="I39" s="81"/>
      <c r="J39" s="82">
        <f t="shared" si="0"/>
        <v>0</v>
      </c>
      <c r="K39" s="51"/>
      <c r="M39" s="83"/>
    </row>
    <row r="40" spans="1:13" ht="15" customHeight="1">
      <c r="A40" s="77"/>
      <c r="B40" s="57"/>
      <c r="C40" s="57"/>
      <c r="D40" s="78"/>
      <c r="E40" s="39"/>
      <c r="F40" s="79"/>
      <c r="G40" s="79"/>
      <c r="H40" s="80"/>
      <c r="I40" s="81"/>
      <c r="J40" s="82">
        <f t="shared" si="0"/>
        <v>0</v>
      </c>
      <c r="K40" s="51"/>
      <c r="M40" s="83"/>
    </row>
    <row r="41" spans="1:13" ht="15" customHeight="1">
      <c r="A41" s="77"/>
      <c r="B41" s="57"/>
      <c r="C41" s="57"/>
      <c r="D41" s="78"/>
      <c r="E41" s="39"/>
      <c r="F41" s="79"/>
      <c r="G41" s="79"/>
      <c r="H41" s="80"/>
      <c r="I41" s="81"/>
      <c r="J41" s="82">
        <f t="shared" si="0"/>
        <v>0</v>
      </c>
      <c r="K41" s="51"/>
      <c r="M41" s="83"/>
    </row>
    <row r="42" spans="1:13" ht="15" customHeight="1">
      <c r="A42" s="77"/>
      <c r="B42" s="57"/>
      <c r="C42" s="57"/>
      <c r="D42" s="78"/>
      <c r="E42" s="39"/>
      <c r="F42" s="79"/>
      <c r="G42" s="79"/>
      <c r="H42" s="80"/>
      <c r="I42" s="81"/>
      <c r="J42" s="82">
        <f t="shared" si="0"/>
        <v>0</v>
      </c>
      <c r="K42" s="51"/>
      <c r="M42" s="83"/>
    </row>
    <row r="43" spans="1:13" ht="15" customHeight="1">
      <c r="A43" s="77"/>
      <c r="B43" s="57"/>
      <c r="C43" s="57"/>
      <c r="D43" s="78"/>
      <c r="E43" s="39"/>
      <c r="F43" s="79"/>
      <c r="G43" s="79"/>
      <c r="H43" s="80"/>
      <c r="I43" s="81"/>
      <c r="J43" s="82">
        <f t="shared" si="0"/>
        <v>0</v>
      </c>
      <c r="K43" s="51"/>
      <c r="M43" s="83"/>
    </row>
    <row r="44" spans="1:13" ht="15" customHeight="1">
      <c r="A44" s="77"/>
      <c r="B44" s="57"/>
      <c r="C44" s="57"/>
      <c r="D44" s="78"/>
      <c r="E44" s="39"/>
      <c r="F44" s="79"/>
      <c r="G44" s="79"/>
      <c r="H44" s="80"/>
      <c r="I44" s="81"/>
      <c r="J44" s="82">
        <f t="shared" si="0"/>
        <v>0</v>
      </c>
      <c r="K44" s="51"/>
      <c r="M44" s="83"/>
    </row>
    <row r="45" spans="1:13" ht="15" customHeight="1">
      <c r="A45" s="77"/>
      <c r="B45" s="57"/>
      <c r="C45" s="57"/>
      <c r="D45" s="78"/>
      <c r="E45" s="39"/>
      <c r="F45" s="79"/>
      <c r="G45" s="79"/>
      <c r="H45" s="80"/>
      <c r="I45" s="81"/>
      <c r="J45" s="82">
        <f t="shared" si="0"/>
        <v>0</v>
      </c>
      <c r="K45" s="51"/>
      <c r="M45" s="83"/>
    </row>
    <row r="46" spans="1:13" ht="15" customHeight="1">
      <c r="A46" s="77"/>
      <c r="B46" s="57"/>
      <c r="C46" s="57"/>
      <c r="D46" s="78"/>
      <c r="E46" s="39"/>
      <c r="F46" s="79"/>
      <c r="G46" s="79"/>
      <c r="H46" s="80"/>
      <c r="I46" s="81"/>
      <c r="J46" s="82">
        <f t="shared" si="0"/>
        <v>0</v>
      </c>
      <c r="K46" s="51"/>
      <c r="M46" s="83"/>
    </row>
    <row r="47" spans="1:13" ht="15" customHeight="1">
      <c r="A47" s="77"/>
      <c r="B47" s="57"/>
      <c r="C47" s="57"/>
      <c r="D47" s="78"/>
      <c r="E47" s="39"/>
      <c r="F47" s="79"/>
      <c r="G47" s="79"/>
      <c r="H47" s="80"/>
      <c r="I47" s="81"/>
      <c r="J47" s="82">
        <f t="shared" si="0"/>
        <v>0</v>
      </c>
      <c r="K47" s="51"/>
      <c r="M47" s="83"/>
    </row>
    <row r="48" spans="1:13" ht="15" customHeight="1">
      <c r="A48" s="77"/>
      <c r="B48" s="57"/>
      <c r="C48" s="57"/>
      <c r="D48" s="78"/>
      <c r="E48" s="39"/>
      <c r="F48" s="79"/>
      <c r="G48" s="79"/>
      <c r="H48" s="80"/>
      <c r="I48" s="81"/>
      <c r="J48" s="82">
        <f t="shared" si="0"/>
        <v>0</v>
      </c>
      <c r="K48" s="51"/>
      <c r="M48" s="83"/>
    </row>
    <row r="49" spans="1:13" ht="15" customHeight="1">
      <c r="A49" s="77"/>
      <c r="B49" s="57"/>
      <c r="C49" s="57"/>
      <c r="D49" s="78"/>
      <c r="E49" s="39"/>
      <c r="F49" s="79"/>
      <c r="G49" s="79"/>
      <c r="H49" s="80"/>
      <c r="I49" s="81"/>
      <c r="J49" s="82">
        <f t="shared" si="0"/>
        <v>0</v>
      </c>
      <c r="K49" s="51"/>
      <c r="M49" s="83"/>
    </row>
    <row r="50" spans="1:13" ht="15" customHeight="1">
      <c r="A50" s="77"/>
      <c r="B50" s="57"/>
      <c r="C50" s="57"/>
      <c r="D50" s="78"/>
      <c r="E50" s="39"/>
      <c r="F50" s="79"/>
      <c r="G50" s="79"/>
      <c r="H50" s="80"/>
      <c r="I50" s="81"/>
      <c r="J50" s="82">
        <f t="shared" si="0"/>
        <v>0</v>
      </c>
      <c r="K50" s="51"/>
      <c r="M50" s="83"/>
    </row>
    <row r="51" spans="1:13" ht="15" customHeight="1">
      <c r="A51" s="77"/>
      <c r="B51" s="57"/>
      <c r="C51" s="57"/>
      <c r="D51" s="78"/>
      <c r="E51" s="39"/>
      <c r="F51" s="79"/>
      <c r="G51" s="79"/>
      <c r="H51" s="80"/>
      <c r="I51" s="81"/>
      <c r="J51" s="82">
        <f t="shared" si="0"/>
        <v>0</v>
      </c>
      <c r="K51" s="51"/>
      <c r="M51" s="83"/>
    </row>
    <row r="52" spans="1:13" ht="15" customHeight="1">
      <c r="A52" s="77"/>
      <c r="B52" s="57"/>
      <c r="C52" s="57"/>
      <c r="D52" s="78"/>
      <c r="E52" s="39"/>
      <c r="F52" s="79"/>
      <c r="G52" s="79"/>
      <c r="H52" s="80"/>
      <c r="I52" s="81"/>
      <c r="J52" s="82">
        <f t="shared" si="0"/>
        <v>0</v>
      </c>
      <c r="K52" s="51"/>
      <c r="M52" s="83"/>
    </row>
    <row r="53" spans="1:13" ht="15" customHeight="1">
      <c r="A53" s="77"/>
      <c r="B53" s="57"/>
      <c r="C53" s="57"/>
      <c r="D53" s="78"/>
      <c r="E53" s="39"/>
      <c r="F53" s="79"/>
      <c r="G53" s="79"/>
      <c r="H53" s="80"/>
      <c r="I53" s="81"/>
      <c r="J53" s="82">
        <f t="shared" si="0"/>
        <v>0</v>
      </c>
      <c r="K53" s="51"/>
      <c r="M53" s="83"/>
    </row>
    <row r="54" spans="1:13" ht="15" customHeight="1">
      <c r="A54" s="77"/>
      <c r="B54" s="57"/>
      <c r="C54" s="57"/>
      <c r="D54" s="78"/>
      <c r="E54" s="39"/>
      <c r="F54" s="79"/>
      <c r="G54" s="79"/>
      <c r="H54" s="80"/>
      <c r="I54" s="81"/>
      <c r="J54" s="82">
        <f t="shared" si="0"/>
        <v>0</v>
      </c>
      <c r="K54" s="51"/>
      <c r="M54" s="83"/>
    </row>
    <row r="55" spans="1:13" ht="15" customHeight="1">
      <c r="A55" s="77"/>
      <c r="B55" s="57"/>
      <c r="C55" s="57"/>
      <c r="D55" s="78"/>
      <c r="E55" s="39"/>
      <c r="F55" s="79"/>
      <c r="G55" s="79"/>
      <c r="H55" s="80"/>
      <c r="I55" s="81"/>
      <c r="J55" s="82">
        <f t="shared" si="0"/>
        <v>0</v>
      </c>
      <c r="K55" s="51"/>
      <c r="M55" s="83"/>
    </row>
    <row r="56" spans="1:13" ht="15" customHeight="1">
      <c r="A56" s="77"/>
      <c r="B56" s="57"/>
      <c r="C56" s="57"/>
      <c r="D56" s="78"/>
      <c r="E56" s="39"/>
      <c r="F56" s="79"/>
      <c r="G56" s="79"/>
      <c r="H56" s="80"/>
      <c r="I56" s="81"/>
      <c r="J56" s="82">
        <f t="shared" si="0"/>
        <v>0</v>
      </c>
      <c r="K56" s="51"/>
      <c r="M56" s="83"/>
    </row>
    <row r="57" spans="1:13" ht="15" customHeight="1">
      <c r="A57" s="77"/>
      <c r="B57" s="57"/>
      <c r="C57" s="57"/>
      <c r="D57" s="78"/>
      <c r="E57" s="39"/>
      <c r="F57" s="79"/>
      <c r="G57" s="79"/>
      <c r="H57" s="80"/>
      <c r="I57" s="81"/>
      <c r="J57" s="82">
        <f t="shared" si="0"/>
        <v>0</v>
      </c>
      <c r="K57" s="51"/>
      <c r="M57" s="83"/>
    </row>
    <row r="58" spans="1:13" ht="15" customHeight="1">
      <c r="A58" s="77"/>
      <c r="B58" s="57"/>
      <c r="C58" s="57"/>
      <c r="D58" s="78"/>
      <c r="E58" s="39"/>
      <c r="F58" s="79"/>
      <c r="G58" s="79"/>
      <c r="H58" s="80"/>
      <c r="I58" s="81"/>
      <c r="J58" s="82">
        <f t="shared" si="0"/>
        <v>0</v>
      </c>
      <c r="K58" s="51"/>
      <c r="M58" s="83"/>
    </row>
    <row r="59" spans="1:13" ht="15" customHeight="1">
      <c r="A59" s="77"/>
      <c r="B59" s="57"/>
      <c r="C59" s="57"/>
      <c r="D59" s="78"/>
      <c r="E59" s="39"/>
      <c r="F59" s="79"/>
      <c r="G59" s="79"/>
      <c r="H59" s="80"/>
      <c r="I59" s="81"/>
      <c r="J59" s="82">
        <f t="shared" si="0"/>
        <v>0</v>
      </c>
      <c r="K59" s="51"/>
      <c r="M59" s="83"/>
    </row>
    <row r="60" spans="1:13" ht="15" customHeight="1">
      <c r="A60" s="77"/>
      <c r="B60" s="57"/>
      <c r="C60" s="57"/>
      <c r="D60" s="78"/>
      <c r="E60" s="39"/>
      <c r="F60" s="79"/>
      <c r="G60" s="79"/>
      <c r="H60" s="80"/>
      <c r="I60" s="81"/>
      <c r="J60" s="82">
        <f t="shared" si="0"/>
        <v>0</v>
      </c>
      <c r="K60" s="51"/>
      <c r="M60" s="83"/>
    </row>
    <row r="61" spans="1:13" ht="15" customHeight="1" thickBot="1">
      <c r="A61" s="77"/>
      <c r="B61" s="84"/>
      <c r="C61" s="39"/>
      <c r="D61" s="85" t="s">
        <v>50</v>
      </c>
      <c r="E61" s="85"/>
      <c r="F61" s="86"/>
      <c r="G61" s="87"/>
      <c r="H61" s="88"/>
      <c r="I61" s="89"/>
      <c r="J61" s="90">
        <f>SUM(J27:J60)</f>
        <v>0</v>
      </c>
      <c r="K61" s="51">
        <f>SUM(K27:K60)</f>
        <v>0</v>
      </c>
    </row>
    <row r="62" spans="1:13" ht="15" customHeight="1" thickTop="1">
      <c r="A62" s="9" t="s">
        <v>58</v>
      </c>
      <c r="B62" s="84"/>
      <c r="C62" s="57"/>
      <c r="D62" s="57" t="s">
        <v>59</v>
      </c>
      <c r="E62" s="57"/>
      <c r="F62" s="50" t="s">
        <v>60</v>
      </c>
      <c r="G62" s="50"/>
      <c r="H62" s="91"/>
      <c r="I62" s="92"/>
      <c r="J62" s="93"/>
    </row>
    <row r="63" spans="1:13" ht="99.95" customHeight="1">
      <c r="A63" s="253"/>
      <c r="B63" s="254"/>
      <c r="C63" s="255"/>
      <c r="D63" s="256"/>
      <c r="E63" s="257"/>
      <c r="F63" s="258"/>
      <c r="G63" s="259"/>
      <c r="H63" s="259"/>
      <c r="I63" s="259"/>
      <c r="J63" s="259"/>
      <c r="K63" s="260"/>
    </row>
    <row r="64" spans="1:13" ht="99.95" customHeight="1">
      <c r="A64" s="253"/>
      <c r="B64" s="254"/>
      <c r="C64" s="255"/>
      <c r="D64" s="256"/>
      <c r="E64" s="257"/>
      <c r="F64" s="258"/>
      <c r="G64" s="259"/>
      <c r="H64" s="259"/>
      <c r="I64" s="259"/>
      <c r="J64" s="259"/>
      <c r="K64" s="260"/>
    </row>
    <row r="65" spans="1:11" ht="99.95" customHeight="1">
      <c r="A65" s="253"/>
      <c r="B65" s="254"/>
      <c r="C65" s="255"/>
      <c r="D65" s="256"/>
      <c r="E65" s="257"/>
      <c r="F65" s="258"/>
      <c r="G65" s="259"/>
      <c r="H65" s="259"/>
      <c r="I65" s="259"/>
      <c r="J65" s="259"/>
      <c r="K65" s="260"/>
    </row>
    <row r="66" spans="1:11" ht="99.95" customHeight="1">
      <c r="A66" s="253"/>
      <c r="B66" s="254"/>
      <c r="C66" s="255"/>
      <c r="D66" s="256"/>
      <c r="E66" s="257"/>
      <c r="F66" s="258"/>
      <c r="G66" s="259"/>
      <c r="H66" s="259"/>
      <c r="I66" s="259"/>
      <c r="J66" s="259"/>
      <c r="K66" s="260"/>
    </row>
    <row r="67" spans="1:11" ht="99.95" customHeight="1">
      <c r="A67" s="253"/>
      <c r="B67" s="254"/>
      <c r="C67" s="255"/>
      <c r="D67" s="256"/>
      <c r="E67" s="257"/>
      <c r="F67" s="258"/>
      <c r="G67" s="259"/>
      <c r="H67" s="259"/>
      <c r="I67" s="259"/>
      <c r="J67" s="259"/>
      <c r="K67" s="260"/>
    </row>
    <row r="68" spans="1:11" ht="99.95" customHeight="1">
      <c r="A68" s="253"/>
      <c r="B68" s="254"/>
      <c r="C68" s="255"/>
      <c r="D68" s="256"/>
      <c r="E68" s="257"/>
      <c r="F68" s="258"/>
      <c r="G68" s="259"/>
      <c r="H68" s="259"/>
      <c r="I68" s="259"/>
      <c r="J68" s="259"/>
      <c r="K68" s="260"/>
    </row>
    <row r="69" spans="1:11" ht="99.95" customHeight="1">
      <c r="A69" s="253"/>
      <c r="B69" s="254"/>
      <c r="C69" s="255"/>
      <c r="D69" s="256"/>
      <c r="E69" s="257"/>
      <c r="F69" s="258"/>
      <c r="G69" s="259"/>
      <c r="H69" s="259"/>
      <c r="I69" s="259"/>
      <c r="J69" s="259"/>
      <c r="K69" s="260"/>
    </row>
    <row r="70" spans="1:11" ht="99.95" customHeight="1">
      <c r="A70" s="253"/>
      <c r="B70" s="254"/>
      <c r="C70" s="255"/>
      <c r="D70" s="256"/>
      <c r="E70" s="257"/>
      <c r="F70" s="258"/>
      <c r="G70" s="259"/>
      <c r="H70" s="259"/>
      <c r="I70" s="259"/>
      <c r="J70" s="259"/>
      <c r="K70" s="260"/>
    </row>
    <row r="71" spans="1:11" ht="99.95" customHeight="1">
      <c r="A71" s="253"/>
      <c r="B71" s="254"/>
      <c r="C71" s="255"/>
      <c r="D71" s="256"/>
      <c r="E71" s="257"/>
      <c r="F71" s="258"/>
      <c r="G71" s="259"/>
      <c r="H71" s="259"/>
      <c r="I71" s="259"/>
      <c r="J71" s="259"/>
      <c r="K71" s="260"/>
    </row>
    <row r="72" spans="1:11" ht="99.95" customHeight="1">
      <c r="A72" s="253"/>
      <c r="B72" s="254"/>
      <c r="C72" s="255"/>
      <c r="D72" s="256"/>
      <c r="E72" s="257"/>
      <c r="F72" s="258"/>
      <c r="G72" s="259"/>
      <c r="H72" s="259"/>
      <c r="I72" s="259"/>
      <c r="J72" s="259"/>
      <c r="K72" s="260"/>
    </row>
    <row r="73" spans="1:11" ht="99.95" customHeight="1">
      <c r="A73" s="253"/>
      <c r="B73" s="254"/>
      <c r="C73" s="255"/>
      <c r="D73" s="256"/>
      <c r="E73" s="257"/>
      <c r="F73" s="258"/>
      <c r="G73" s="259"/>
      <c r="H73" s="259"/>
      <c r="I73" s="259"/>
      <c r="J73" s="259"/>
      <c r="K73" s="260"/>
    </row>
    <row r="74" spans="1:11" ht="99.95" customHeight="1">
      <c r="A74" s="253"/>
      <c r="B74" s="254"/>
      <c r="C74" s="255"/>
      <c r="D74" s="256"/>
      <c r="E74" s="257"/>
      <c r="F74" s="258"/>
      <c r="G74" s="259"/>
      <c r="H74" s="259"/>
      <c r="I74" s="259"/>
      <c r="J74" s="259"/>
      <c r="K74" s="260"/>
    </row>
    <row r="75" spans="1:11" ht="99.95" customHeight="1">
      <c r="A75" s="253"/>
      <c r="B75" s="254"/>
      <c r="C75" s="255"/>
      <c r="D75" s="256"/>
      <c r="E75" s="257"/>
      <c r="F75" s="258"/>
      <c r="G75" s="259"/>
      <c r="H75" s="259"/>
      <c r="I75" s="259"/>
      <c r="J75" s="259"/>
      <c r="K75" s="260"/>
    </row>
    <row r="76" spans="1:11" ht="99.95" customHeight="1">
      <c r="A76" s="253"/>
      <c r="B76" s="254"/>
      <c r="C76" s="255"/>
      <c r="D76" s="256"/>
      <c r="E76" s="257"/>
      <c r="F76" s="258"/>
      <c r="G76" s="259"/>
      <c r="H76" s="259"/>
      <c r="I76" s="259"/>
      <c r="J76" s="259"/>
      <c r="K76" s="260"/>
    </row>
    <row r="77" spans="1:11" ht="99.95" customHeight="1">
      <c r="A77" s="253"/>
      <c r="B77" s="254"/>
      <c r="C77" s="255"/>
      <c r="D77" s="256"/>
      <c r="E77" s="257"/>
      <c r="F77" s="258"/>
      <c r="G77" s="259"/>
      <c r="H77" s="259"/>
      <c r="I77" s="259"/>
      <c r="J77" s="259"/>
      <c r="K77" s="260"/>
    </row>
    <row r="78" spans="1:11" ht="99.95" customHeight="1">
      <c r="A78" s="253"/>
      <c r="B78" s="254"/>
      <c r="C78" s="255"/>
      <c r="D78" s="256"/>
      <c r="E78" s="257"/>
      <c r="F78" s="258"/>
      <c r="G78" s="259"/>
      <c r="H78" s="259"/>
      <c r="I78" s="259"/>
      <c r="J78" s="259"/>
      <c r="K78" s="260"/>
    </row>
    <row r="79" spans="1:11" ht="99.95" customHeight="1">
      <c r="A79" s="253"/>
      <c r="B79" s="254"/>
      <c r="C79" s="255"/>
      <c r="D79" s="256"/>
      <c r="E79" s="257"/>
      <c r="F79" s="258"/>
      <c r="G79" s="259"/>
      <c r="H79" s="259"/>
      <c r="I79" s="259"/>
      <c r="J79" s="259"/>
      <c r="K79" s="260"/>
    </row>
    <row r="80" spans="1:11" ht="99.95" customHeight="1">
      <c r="A80" s="253"/>
      <c r="B80" s="254"/>
      <c r="C80" s="255"/>
      <c r="D80" s="256"/>
      <c r="E80" s="257"/>
      <c r="F80" s="258"/>
      <c r="G80" s="259"/>
      <c r="H80" s="259"/>
      <c r="I80" s="259"/>
      <c r="J80" s="259"/>
      <c r="K80" s="260"/>
    </row>
    <row r="81" spans="1:11" ht="99.95" customHeight="1">
      <c r="A81" s="253"/>
      <c r="B81" s="254"/>
      <c r="C81" s="255"/>
      <c r="D81" s="256"/>
      <c r="E81" s="257"/>
      <c r="F81" s="258"/>
      <c r="G81" s="259"/>
      <c r="H81" s="259"/>
      <c r="I81" s="259"/>
      <c r="J81" s="259"/>
      <c r="K81" s="260"/>
    </row>
    <row r="82" spans="1:11" ht="99.95" customHeight="1">
      <c r="A82" s="253"/>
      <c r="B82" s="254"/>
      <c r="C82" s="255"/>
      <c r="D82" s="256"/>
      <c r="E82" s="257"/>
      <c r="F82" s="258"/>
      <c r="G82" s="259"/>
      <c r="H82" s="259"/>
      <c r="I82" s="259"/>
      <c r="J82" s="259"/>
      <c r="K82" s="260"/>
    </row>
    <row r="83" spans="1:11" ht="99.95" customHeight="1">
      <c r="A83" s="253"/>
      <c r="B83" s="254"/>
      <c r="C83" s="255"/>
      <c r="D83" s="256"/>
      <c r="E83" s="257"/>
      <c r="F83" s="258"/>
      <c r="G83" s="259"/>
      <c r="H83" s="259"/>
      <c r="I83" s="259"/>
      <c r="J83" s="259"/>
      <c r="K83" s="260"/>
    </row>
    <row r="84" spans="1:11" ht="99.95" customHeight="1">
      <c r="A84" s="253"/>
      <c r="B84" s="254"/>
      <c r="C84" s="255"/>
      <c r="D84" s="256"/>
      <c r="E84" s="257"/>
      <c r="F84" s="258"/>
      <c r="G84" s="259"/>
      <c r="H84" s="259"/>
      <c r="I84" s="259"/>
      <c r="J84" s="259"/>
      <c r="K84" s="260"/>
    </row>
    <row r="85" spans="1:11" ht="99.95" customHeight="1">
      <c r="A85" s="253"/>
      <c r="B85" s="254"/>
      <c r="C85" s="255"/>
      <c r="D85" s="256"/>
      <c r="E85" s="257"/>
      <c r="F85" s="258"/>
      <c r="G85" s="259"/>
      <c r="H85" s="259"/>
      <c r="I85" s="259"/>
      <c r="J85" s="259"/>
      <c r="K85" s="260"/>
    </row>
    <row r="86" spans="1:11" ht="99.95" customHeight="1">
      <c r="A86" s="253"/>
      <c r="B86" s="254"/>
      <c r="C86" s="255"/>
      <c r="D86" s="256"/>
      <c r="E86" s="257"/>
      <c r="F86" s="258"/>
      <c r="G86" s="259"/>
      <c r="H86" s="259"/>
      <c r="I86" s="259"/>
      <c r="J86" s="259"/>
      <c r="K86" s="260"/>
    </row>
    <row r="87" spans="1:11" ht="99.95" customHeight="1">
      <c r="A87" s="253"/>
      <c r="B87" s="254"/>
      <c r="C87" s="255"/>
      <c r="D87" s="256"/>
      <c r="E87" s="257"/>
      <c r="F87" s="258"/>
      <c r="G87" s="259"/>
      <c r="H87" s="259"/>
      <c r="I87" s="259"/>
      <c r="J87" s="259"/>
      <c r="K87" s="260"/>
    </row>
    <row r="88" spans="1:11" ht="99.95" customHeight="1">
      <c r="A88" s="253"/>
      <c r="B88" s="254"/>
      <c r="C88" s="255"/>
      <c r="D88" s="256"/>
      <c r="E88" s="257"/>
      <c r="F88" s="258"/>
      <c r="G88" s="259"/>
      <c r="H88" s="259"/>
      <c r="I88" s="259"/>
      <c r="J88" s="259"/>
      <c r="K88" s="260"/>
    </row>
    <row r="89" spans="1:11" ht="99.95" customHeight="1">
      <c r="A89" s="253"/>
      <c r="B89" s="254"/>
      <c r="C89" s="255"/>
      <c r="D89" s="256"/>
      <c r="E89" s="257"/>
      <c r="F89" s="258"/>
      <c r="G89" s="259"/>
      <c r="H89" s="259"/>
      <c r="I89" s="259"/>
      <c r="J89" s="259"/>
      <c r="K89" s="260"/>
    </row>
    <row r="90" spans="1:11" ht="99.95" customHeight="1">
      <c r="A90" s="253"/>
      <c r="B90" s="254"/>
      <c r="C90" s="255"/>
      <c r="D90" s="256"/>
      <c r="E90" s="257"/>
      <c r="F90" s="258"/>
      <c r="G90" s="259"/>
      <c r="H90" s="259"/>
      <c r="I90" s="259"/>
      <c r="J90" s="259"/>
      <c r="K90" s="260"/>
    </row>
    <row r="91" spans="1:11" ht="99.95" customHeight="1">
      <c r="A91" s="253"/>
      <c r="B91" s="254"/>
      <c r="C91" s="255"/>
      <c r="D91" s="256"/>
      <c r="E91" s="257"/>
      <c r="F91" s="258"/>
      <c r="G91" s="259"/>
      <c r="H91" s="259"/>
      <c r="I91" s="259"/>
      <c r="J91" s="259"/>
      <c r="K91" s="260"/>
    </row>
    <row r="92" spans="1:11" ht="99.95" customHeight="1">
      <c r="A92" s="253"/>
      <c r="B92" s="254"/>
      <c r="C92" s="255"/>
      <c r="D92" s="256"/>
      <c r="E92" s="257"/>
      <c r="F92" s="258"/>
      <c r="G92" s="259"/>
      <c r="H92" s="259"/>
      <c r="I92" s="259"/>
      <c r="J92" s="259"/>
      <c r="K92" s="260"/>
    </row>
    <row r="93" spans="1:11" ht="99.95" customHeight="1">
      <c r="A93" s="253"/>
      <c r="B93" s="254"/>
      <c r="C93" s="255"/>
      <c r="D93" s="256"/>
      <c r="E93" s="257"/>
      <c r="F93" s="258"/>
      <c r="G93" s="259"/>
      <c r="H93" s="259"/>
      <c r="I93" s="259"/>
      <c r="J93" s="259"/>
      <c r="K93" s="260"/>
    </row>
    <row r="94" spans="1:11" ht="99.95" customHeight="1">
      <c r="A94" s="253"/>
      <c r="B94" s="254"/>
      <c r="C94" s="255"/>
      <c r="D94" s="256"/>
      <c r="E94" s="257"/>
      <c r="F94" s="258"/>
      <c r="G94" s="259"/>
      <c r="H94" s="259"/>
      <c r="I94" s="259"/>
      <c r="J94" s="259"/>
      <c r="K94" s="260"/>
    </row>
    <row r="95" spans="1:11" ht="99.95" customHeight="1">
      <c r="A95" s="253"/>
      <c r="B95" s="254"/>
      <c r="C95" s="255"/>
      <c r="D95" s="256"/>
      <c r="E95" s="257"/>
      <c r="F95" s="258"/>
      <c r="G95" s="259"/>
      <c r="H95" s="259"/>
      <c r="I95" s="259"/>
      <c r="J95" s="259"/>
      <c r="K95" s="260"/>
    </row>
    <row r="96" spans="1:11" ht="99.95" customHeight="1">
      <c r="A96" s="253"/>
      <c r="B96" s="254"/>
      <c r="C96" s="255"/>
      <c r="D96" s="256"/>
      <c r="E96" s="257"/>
      <c r="F96" s="258"/>
      <c r="G96" s="259"/>
      <c r="H96" s="259"/>
      <c r="I96" s="259"/>
      <c r="J96" s="259"/>
      <c r="K96" s="260"/>
    </row>
    <row r="97" spans="1:11" ht="15" customHeight="1"/>
    <row r="98" spans="1:11" ht="15" customHeight="1"/>
    <row r="99" spans="1:11" ht="15" customHeight="1"/>
    <row r="100" spans="1:11" ht="15" customHeight="1"/>
    <row r="101" spans="1:11" ht="15" customHeight="1"/>
    <row r="102" spans="1:11" ht="15" customHeight="1">
      <c r="A102" s="31" t="s">
        <v>51</v>
      </c>
      <c r="B102" s="31"/>
      <c r="C102" s="31"/>
      <c r="D102" s="31"/>
      <c r="E102" s="31"/>
      <c r="F102" s="31"/>
    </row>
    <row r="103" spans="1:11" ht="15" customHeight="1">
      <c r="A103" s="31" t="s">
        <v>53</v>
      </c>
      <c r="B103" s="31"/>
      <c r="C103" s="31"/>
      <c r="H103" s="99" t="s">
        <v>54</v>
      </c>
      <c r="I103" s="53"/>
      <c r="J103" s="53"/>
      <c r="K103" s="53"/>
    </row>
  </sheetData>
  <mergeCells count="110">
    <mergeCell ref="A63:C63"/>
    <mergeCell ref="D63:E63"/>
    <mergeCell ref="F63:K63"/>
    <mergeCell ref="A64:C64"/>
    <mergeCell ref="D64:E64"/>
    <mergeCell ref="F64:K64"/>
    <mergeCell ref="A1:K1"/>
    <mergeCell ref="A18:C18"/>
    <mergeCell ref="D18:F18"/>
    <mergeCell ref="A21:C21"/>
    <mergeCell ref="D21:F21"/>
    <mergeCell ref="A22:C22"/>
    <mergeCell ref="D22:F22"/>
    <mergeCell ref="G22:H22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3"/>
  <sheetViews>
    <sheetView showGridLines="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1500/324106.53*J61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J61*1.1*0.026%</f>
        <v>0</v>
      </c>
      <c r="K14" s="58"/>
      <c r="L14" s="51"/>
    </row>
    <row r="15" spans="1:13" ht="15" customHeight="1">
      <c r="F15" s="38"/>
      <c r="H15" s="64"/>
      <c r="I15" s="65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68">
        <f>K61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68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100" t="s">
        <v>55</v>
      </c>
      <c r="E26" s="100"/>
      <c r="F26" s="100"/>
      <c r="G26" s="100" t="s">
        <v>5</v>
      </c>
      <c r="H26" s="100" t="s">
        <v>6</v>
      </c>
      <c r="I26" s="100" t="s">
        <v>56</v>
      </c>
      <c r="J26" s="100" t="s">
        <v>57</v>
      </c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>
        <f t="shared" ref="J27:J60" si="0">G27*I27</f>
        <v>0</v>
      </c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>
        <f t="shared" si="0"/>
        <v>0</v>
      </c>
      <c r="K28" s="51"/>
      <c r="M28" s="83"/>
    </row>
    <row r="29" spans="1:13" ht="15" customHeight="1">
      <c r="A29" s="77"/>
      <c r="B29" s="57"/>
      <c r="C29" s="57"/>
      <c r="D29" s="78"/>
      <c r="E29" s="39"/>
      <c r="F29" s="79"/>
      <c r="G29" s="79"/>
      <c r="H29" s="80"/>
      <c r="I29" s="81"/>
      <c r="J29" s="82">
        <f t="shared" si="0"/>
        <v>0</v>
      </c>
      <c r="K29" s="51"/>
      <c r="M29" s="83"/>
    </row>
    <row r="30" spans="1:13" ht="15" customHeight="1">
      <c r="A30" s="77"/>
      <c r="B30" s="57"/>
      <c r="C30" s="57"/>
      <c r="D30" s="78"/>
      <c r="E30" s="39"/>
      <c r="F30" s="79"/>
      <c r="G30" s="79"/>
      <c r="H30" s="80"/>
      <c r="I30" s="81"/>
      <c r="J30" s="82">
        <f t="shared" si="0"/>
        <v>0</v>
      </c>
      <c r="K30" s="51"/>
      <c r="M30" s="83"/>
    </row>
    <row r="31" spans="1:13" ht="15" customHeight="1">
      <c r="A31" s="77"/>
      <c r="B31" s="57"/>
      <c r="C31" s="57"/>
      <c r="D31" s="78"/>
      <c r="E31" s="39"/>
      <c r="F31" s="79"/>
      <c r="G31" s="79"/>
      <c r="H31" s="80"/>
      <c r="I31" s="81"/>
      <c r="J31" s="82">
        <f t="shared" si="0"/>
        <v>0</v>
      </c>
      <c r="K31" s="51"/>
      <c r="M31" s="83"/>
    </row>
    <row r="32" spans="1:13" ht="15" customHeight="1">
      <c r="A32" s="77"/>
      <c r="B32" s="57"/>
      <c r="C32" s="57"/>
      <c r="D32" s="78"/>
      <c r="E32" s="39"/>
      <c r="F32" s="79"/>
      <c r="G32" s="79"/>
      <c r="H32" s="80"/>
      <c r="I32" s="81"/>
      <c r="J32" s="82">
        <f t="shared" si="0"/>
        <v>0</v>
      </c>
      <c r="K32" s="51"/>
      <c r="M32" s="83"/>
    </row>
    <row r="33" spans="1:13" ht="15" customHeight="1">
      <c r="A33" s="77"/>
      <c r="B33" s="57"/>
      <c r="C33" s="57"/>
      <c r="D33" s="78"/>
      <c r="E33" s="39"/>
      <c r="F33" s="79"/>
      <c r="G33" s="79"/>
      <c r="H33" s="80"/>
      <c r="I33" s="81"/>
      <c r="J33" s="82">
        <f t="shared" si="0"/>
        <v>0</v>
      </c>
      <c r="K33" s="51"/>
      <c r="M33" s="83"/>
    </row>
    <row r="34" spans="1:13" ht="15" customHeight="1">
      <c r="A34" s="77"/>
      <c r="B34" s="57"/>
      <c r="C34" s="57"/>
      <c r="D34" s="78"/>
      <c r="E34" s="39"/>
      <c r="F34" s="79"/>
      <c r="G34" s="79"/>
      <c r="H34" s="80"/>
      <c r="I34" s="81"/>
      <c r="J34" s="82">
        <f t="shared" si="0"/>
        <v>0</v>
      </c>
      <c r="K34" s="51"/>
      <c r="M34" s="83"/>
    </row>
    <row r="35" spans="1:13" ht="15" customHeight="1">
      <c r="A35" s="77"/>
      <c r="B35" s="57"/>
      <c r="C35" s="57"/>
      <c r="D35" s="78"/>
      <c r="E35" s="39"/>
      <c r="F35" s="79"/>
      <c r="G35" s="79"/>
      <c r="H35" s="80"/>
      <c r="I35" s="81"/>
      <c r="J35" s="82">
        <f t="shared" si="0"/>
        <v>0</v>
      </c>
      <c r="K35" s="51"/>
      <c r="M35" s="83"/>
    </row>
    <row r="36" spans="1:13" ht="15" customHeight="1">
      <c r="A36" s="77"/>
      <c r="B36" s="57"/>
      <c r="C36" s="57"/>
      <c r="D36" s="78"/>
      <c r="E36" s="39"/>
      <c r="F36" s="79"/>
      <c r="G36" s="79"/>
      <c r="H36" s="80"/>
      <c r="I36" s="81"/>
      <c r="J36" s="82">
        <f t="shared" si="0"/>
        <v>0</v>
      </c>
      <c r="K36" s="51"/>
      <c r="M36" s="83"/>
    </row>
    <row r="37" spans="1:13" ht="15" customHeight="1">
      <c r="A37" s="77"/>
      <c r="B37" s="57"/>
      <c r="C37" s="57"/>
      <c r="D37" s="78"/>
      <c r="E37" s="39"/>
      <c r="F37" s="79"/>
      <c r="G37" s="79"/>
      <c r="H37" s="80"/>
      <c r="I37" s="81"/>
      <c r="J37" s="82">
        <f t="shared" si="0"/>
        <v>0</v>
      </c>
      <c r="K37" s="51"/>
      <c r="M37" s="83"/>
    </row>
    <row r="38" spans="1:13" ht="15" customHeight="1">
      <c r="A38" s="77"/>
      <c r="B38" s="57"/>
      <c r="C38" s="57"/>
      <c r="D38" s="78"/>
      <c r="E38" s="39"/>
      <c r="F38" s="79"/>
      <c r="G38" s="79"/>
      <c r="H38" s="80"/>
      <c r="I38" s="81"/>
      <c r="J38" s="82">
        <f t="shared" si="0"/>
        <v>0</v>
      </c>
      <c r="K38" s="51"/>
      <c r="M38" s="83"/>
    </row>
    <row r="39" spans="1:13" ht="15" customHeight="1">
      <c r="A39" s="77"/>
      <c r="B39" s="57"/>
      <c r="C39" s="57"/>
      <c r="D39" s="78"/>
      <c r="E39" s="39"/>
      <c r="F39" s="79"/>
      <c r="G39" s="79"/>
      <c r="H39" s="80"/>
      <c r="I39" s="81"/>
      <c r="J39" s="82">
        <f t="shared" si="0"/>
        <v>0</v>
      </c>
      <c r="K39" s="51"/>
      <c r="M39" s="83"/>
    </row>
    <row r="40" spans="1:13" ht="15" customHeight="1">
      <c r="A40" s="77"/>
      <c r="B40" s="57"/>
      <c r="C40" s="57"/>
      <c r="D40" s="78"/>
      <c r="E40" s="39"/>
      <c r="F40" s="79"/>
      <c r="G40" s="79"/>
      <c r="H40" s="80"/>
      <c r="I40" s="81"/>
      <c r="J40" s="82">
        <f t="shared" si="0"/>
        <v>0</v>
      </c>
      <c r="K40" s="51"/>
      <c r="M40" s="83"/>
    </row>
    <row r="41" spans="1:13" ht="15" customHeight="1">
      <c r="A41" s="77"/>
      <c r="B41" s="57"/>
      <c r="C41" s="57"/>
      <c r="D41" s="78"/>
      <c r="E41" s="39"/>
      <c r="F41" s="79"/>
      <c r="G41" s="79"/>
      <c r="H41" s="80"/>
      <c r="I41" s="81"/>
      <c r="J41" s="82">
        <f t="shared" si="0"/>
        <v>0</v>
      </c>
      <c r="K41" s="51"/>
      <c r="M41" s="83"/>
    </row>
    <row r="42" spans="1:13" ht="15" customHeight="1">
      <c r="A42" s="77"/>
      <c r="B42" s="57"/>
      <c r="C42" s="57"/>
      <c r="D42" s="78"/>
      <c r="E42" s="39"/>
      <c r="F42" s="79"/>
      <c r="G42" s="79"/>
      <c r="H42" s="80"/>
      <c r="I42" s="81"/>
      <c r="J42" s="82">
        <f t="shared" si="0"/>
        <v>0</v>
      </c>
      <c r="K42" s="51"/>
      <c r="M42" s="83"/>
    </row>
    <row r="43" spans="1:13" ht="15" customHeight="1">
      <c r="A43" s="77"/>
      <c r="B43" s="57"/>
      <c r="C43" s="57"/>
      <c r="D43" s="78"/>
      <c r="E43" s="39"/>
      <c r="F43" s="79"/>
      <c r="G43" s="79"/>
      <c r="H43" s="80"/>
      <c r="I43" s="81"/>
      <c r="J43" s="82">
        <f t="shared" si="0"/>
        <v>0</v>
      </c>
      <c r="K43" s="51"/>
      <c r="M43" s="83"/>
    </row>
    <row r="44" spans="1:13" ht="15" customHeight="1">
      <c r="A44" s="77"/>
      <c r="B44" s="57"/>
      <c r="C44" s="57"/>
      <c r="D44" s="78"/>
      <c r="E44" s="39"/>
      <c r="F44" s="79"/>
      <c r="G44" s="79"/>
      <c r="H44" s="80"/>
      <c r="I44" s="81"/>
      <c r="J44" s="82">
        <f t="shared" si="0"/>
        <v>0</v>
      </c>
      <c r="K44" s="51"/>
      <c r="M44" s="83"/>
    </row>
    <row r="45" spans="1:13" ht="15" customHeight="1">
      <c r="A45" s="77"/>
      <c r="B45" s="57"/>
      <c r="C45" s="57"/>
      <c r="D45" s="78"/>
      <c r="E45" s="39"/>
      <c r="F45" s="79"/>
      <c r="G45" s="79"/>
      <c r="H45" s="80"/>
      <c r="I45" s="81"/>
      <c r="J45" s="82">
        <f t="shared" si="0"/>
        <v>0</v>
      </c>
      <c r="K45" s="51"/>
      <c r="M45" s="83"/>
    </row>
    <row r="46" spans="1:13" ht="15" customHeight="1">
      <c r="A46" s="77"/>
      <c r="B46" s="57"/>
      <c r="C46" s="57"/>
      <c r="D46" s="78"/>
      <c r="E46" s="39"/>
      <c r="F46" s="79"/>
      <c r="G46" s="79"/>
      <c r="H46" s="80"/>
      <c r="I46" s="81"/>
      <c r="J46" s="82">
        <f t="shared" si="0"/>
        <v>0</v>
      </c>
      <c r="K46" s="51"/>
      <c r="M46" s="83"/>
    </row>
    <row r="47" spans="1:13" ht="15" customHeight="1">
      <c r="A47" s="77"/>
      <c r="B47" s="57"/>
      <c r="C47" s="57"/>
      <c r="D47" s="78"/>
      <c r="E47" s="39"/>
      <c r="F47" s="79"/>
      <c r="G47" s="79"/>
      <c r="H47" s="80"/>
      <c r="I47" s="81"/>
      <c r="J47" s="82">
        <f t="shared" si="0"/>
        <v>0</v>
      </c>
      <c r="K47" s="51"/>
      <c r="M47" s="83"/>
    </row>
    <row r="48" spans="1:13" ht="15" customHeight="1">
      <c r="A48" s="77"/>
      <c r="B48" s="57"/>
      <c r="C48" s="57"/>
      <c r="D48" s="78"/>
      <c r="E48" s="39"/>
      <c r="F48" s="79"/>
      <c r="G48" s="79"/>
      <c r="H48" s="80"/>
      <c r="I48" s="81"/>
      <c r="J48" s="82">
        <f t="shared" si="0"/>
        <v>0</v>
      </c>
      <c r="K48" s="51"/>
      <c r="M48" s="83"/>
    </row>
    <row r="49" spans="1:13" ht="15" customHeight="1">
      <c r="A49" s="77"/>
      <c r="B49" s="57"/>
      <c r="C49" s="57"/>
      <c r="D49" s="78"/>
      <c r="E49" s="39"/>
      <c r="F49" s="79"/>
      <c r="G49" s="79"/>
      <c r="H49" s="80"/>
      <c r="I49" s="81"/>
      <c r="J49" s="82">
        <f t="shared" si="0"/>
        <v>0</v>
      </c>
      <c r="K49" s="51"/>
      <c r="M49" s="83"/>
    </row>
    <row r="50" spans="1:13" ht="15" customHeight="1">
      <c r="A50" s="77"/>
      <c r="B50" s="57"/>
      <c r="C50" s="57"/>
      <c r="D50" s="78"/>
      <c r="E50" s="39"/>
      <c r="F50" s="79"/>
      <c r="G50" s="79"/>
      <c r="H50" s="80"/>
      <c r="I50" s="81"/>
      <c r="J50" s="82">
        <f t="shared" si="0"/>
        <v>0</v>
      </c>
      <c r="K50" s="51"/>
      <c r="M50" s="83"/>
    </row>
    <row r="51" spans="1:13" ht="15" customHeight="1">
      <c r="A51" s="77"/>
      <c r="B51" s="57"/>
      <c r="C51" s="57"/>
      <c r="D51" s="78"/>
      <c r="E51" s="39"/>
      <c r="F51" s="79"/>
      <c r="G51" s="79"/>
      <c r="H51" s="80"/>
      <c r="I51" s="81"/>
      <c r="J51" s="82">
        <f t="shared" si="0"/>
        <v>0</v>
      </c>
      <c r="K51" s="51"/>
      <c r="M51" s="83"/>
    </row>
    <row r="52" spans="1:13" ht="15" customHeight="1">
      <c r="A52" s="77"/>
      <c r="B52" s="57"/>
      <c r="C52" s="57"/>
      <c r="D52" s="78"/>
      <c r="E52" s="39"/>
      <c r="F52" s="79"/>
      <c r="G52" s="79"/>
      <c r="H52" s="80"/>
      <c r="I52" s="81"/>
      <c r="J52" s="82">
        <f t="shared" si="0"/>
        <v>0</v>
      </c>
      <c r="K52" s="51"/>
      <c r="M52" s="83"/>
    </row>
    <row r="53" spans="1:13" ht="15" customHeight="1">
      <c r="A53" s="77"/>
      <c r="B53" s="57"/>
      <c r="C53" s="57"/>
      <c r="D53" s="78"/>
      <c r="E53" s="39"/>
      <c r="F53" s="79"/>
      <c r="G53" s="79"/>
      <c r="H53" s="80"/>
      <c r="I53" s="81"/>
      <c r="J53" s="82">
        <f t="shared" si="0"/>
        <v>0</v>
      </c>
      <c r="K53" s="51"/>
      <c r="M53" s="83"/>
    </row>
    <row r="54" spans="1:13" ht="15" customHeight="1">
      <c r="A54" s="77"/>
      <c r="B54" s="57"/>
      <c r="C54" s="57"/>
      <c r="D54" s="78"/>
      <c r="E54" s="39"/>
      <c r="F54" s="79"/>
      <c r="G54" s="79"/>
      <c r="H54" s="80"/>
      <c r="I54" s="81"/>
      <c r="J54" s="82">
        <f t="shared" si="0"/>
        <v>0</v>
      </c>
      <c r="K54" s="51"/>
      <c r="M54" s="83"/>
    </row>
    <row r="55" spans="1:13" ht="15" customHeight="1">
      <c r="A55" s="77"/>
      <c r="B55" s="57"/>
      <c r="C55" s="57"/>
      <c r="D55" s="78"/>
      <c r="E55" s="39"/>
      <c r="F55" s="79"/>
      <c r="G55" s="79"/>
      <c r="H55" s="80"/>
      <c r="I55" s="81"/>
      <c r="J55" s="82">
        <f t="shared" si="0"/>
        <v>0</v>
      </c>
      <c r="K55" s="51"/>
      <c r="M55" s="83"/>
    </row>
    <row r="56" spans="1:13" ht="15" customHeight="1">
      <c r="A56" s="77"/>
      <c r="B56" s="57"/>
      <c r="C56" s="57"/>
      <c r="D56" s="78"/>
      <c r="E56" s="39"/>
      <c r="F56" s="79"/>
      <c r="G56" s="79"/>
      <c r="H56" s="80"/>
      <c r="I56" s="81"/>
      <c r="J56" s="82">
        <f t="shared" si="0"/>
        <v>0</v>
      </c>
      <c r="K56" s="51"/>
      <c r="M56" s="83"/>
    </row>
    <row r="57" spans="1:13" ht="15" customHeight="1">
      <c r="A57" s="77"/>
      <c r="B57" s="57"/>
      <c r="C57" s="57"/>
      <c r="D57" s="78"/>
      <c r="E57" s="39"/>
      <c r="F57" s="79"/>
      <c r="G57" s="79"/>
      <c r="H57" s="80"/>
      <c r="I57" s="81"/>
      <c r="J57" s="82">
        <f t="shared" si="0"/>
        <v>0</v>
      </c>
      <c r="K57" s="51"/>
      <c r="M57" s="83"/>
    </row>
    <row r="58" spans="1:13" ht="15" customHeight="1">
      <c r="A58" s="77"/>
      <c r="B58" s="57"/>
      <c r="C58" s="57"/>
      <c r="D58" s="78"/>
      <c r="E58" s="39"/>
      <c r="F58" s="79"/>
      <c r="G58" s="79"/>
      <c r="H58" s="80"/>
      <c r="I58" s="81"/>
      <c r="J58" s="82">
        <f t="shared" si="0"/>
        <v>0</v>
      </c>
      <c r="K58" s="51"/>
      <c r="M58" s="83"/>
    </row>
    <row r="59" spans="1:13" ht="15" customHeight="1">
      <c r="A59" s="77"/>
      <c r="B59" s="57"/>
      <c r="C59" s="57"/>
      <c r="D59" s="78"/>
      <c r="E59" s="39"/>
      <c r="F59" s="79"/>
      <c r="G59" s="79"/>
      <c r="H59" s="80"/>
      <c r="I59" s="81"/>
      <c r="J59" s="82">
        <f t="shared" si="0"/>
        <v>0</v>
      </c>
      <c r="K59" s="51"/>
      <c r="M59" s="83"/>
    </row>
    <row r="60" spans="1:13" ht="15" customHeight="1">
      <c r="A60" s="77"/>
      <c r="B60" s="57"/>
      <c r="C60" s="57"/>
      <c r="D60" s="78"/>
      <c r="E60" s="39"/>
      <c r="F60" s="79"/>
      <c r="G60" s="79"/>
      <c r="H60" s="80"/>
      <c r="I60" s="81"/>
      <c r="J60" s="82">
        <f t="shared" si="0"/>
        <v>0</v>
      </c>
      <c r="K60" s="51"/>
      <c r="M60" s="83"/>
    </row>
    <row r="61" spans="1:13" ht="15" customHeight="1" thickBot="1">
      <c r="A61" s="77"/>
      <c r="B61" s="84"/>
      <c r="C61" s="39"/>
      <c r="D61" s="85" t="s">
        <v>50</v>
      </c>
      <c r="E61" s="85"/>
      <c r="F61" s="86"/>
      <c r="G61" s="87"/>
      <c r="H61" s="88"/>
      <c r="I61" s="89"/>
      <c r="J61" s="90">
        <f>SUM(J27:J60)</f>
        <v>0</v>
      </c>
      <c r="K61" s="51">
        <f>SUM(K27:K60)</f>
        <v>0</v>
      </c>
    </row>
    <row r="62" spans="1:13" ht="15" customHeight="1" thickTop="1">
      <c r="A62" s="9" t="s">
        <v>58</v>
      </c>
      <c r="B62" s="84"/>
      <c r="C62" s="57"/>
      <c r="D62" s="57" t="s">
        <v>59</v>
      </c>
      <c r="E62" s="57"/>
      <c r="F62" s="50" t="s">
        <v>60</v>
      </c>
      <c r="G62" s="50"/>
      <c r="H62" s="91"/>
      <c r="I62" s="92"/>
      <c r="J62" s="93"/>
    </row>
    <row r="63" spans="1:13" ht="99.95" customHeight="1">
      <c r="A63" s="253"/>
      <c r="B63" s="254"/>
      <c r="C63" s="255"/>
      <c r="D63" s="256"/>
      <c r="E63" s="257"/>
      <c r="F63" s="258"/>
      <c r="G63" s="259"/>
      <c r="H63" s="259"/>
      <c r="I63" s="259"/>
      <c r="J63" s="259"/>
      <c r="K63" s="260"/>
    </row>
    <row r="64" spans="1:13" ht="99.95" customHeight="1">
      <c r="A64" s="253"/>
      <c r="B64" s="254"/>
      <c r="C64" s="255"/>
      <c r="D64" s="256"/>
      <c r="E64" s="257"/>
      <c r="F64" s="258"/>
      <c r="G64" s="259"/>
      <c r="H64" s="259"/>
      <c r="I64" s="259"/>
      <c r="J64" s="259"/>
      <c r="K64" s="260"/>
    </row>
    <row r="65" spans="1:11" ht="99.95" customHeight="1">
      <c r="A65" s="253"/>
      <c r="B65" s="254"/>
      <c r="C65" s="255"/>
      <c r="D65" s="256"/>
      <c r="E65" s="257"/>
      <c r="F65" s="258"/>
      <c r="G65" s="259"/>
      <c r="H65" s="259"/>
      <c r="I65" s="259"/>
      <c r="J65" s="259"/>
      <c r="K65" s="260"/>
    </row>
    <row r="66" spans="1:11" ht="99.95" customHeight="1">
      <c r="A66" s="253"/>
      <c r="B66" s="254"/>
      <c r="C66" s="255"/>
      <c r="D66" s="256"/>
      <c r="E66" s="257"/>
      <c r="F66" s="258"/>
      <c r="G66" s="259"/>
      <c r="H66" s="259"/>
      <c r="I66" s="259"/>
      <c r="J66" s="259"/>
      <c r="K66" s="260"/>
    </row>
    <row r="67" spans="1:11" ht="99.95" customHeight="1">
      <c r="A67" s="253"/>
      <c r="B67" s="254"/>
      <c r="C67" s="255"/>
      <c r="D67" s="256"/>
      <c r="E67" s="257"/>
      <c r="F67" s="258"/>
      <c r="G67" s="259"/>
      <c r="H67" s="259"/>
      <c r="I67" s="259"/>
      <c r="J67" s="259"/>
      <c r="K67" s="260"/>
    </row>
    <row r="68" spans="1:11" ht="99.95" customHeight="1">
      <c r="A68" s="253"/>
      <c r="B68" s="254"/>
      <c r="C68" s="255"/>
      <c r="D68" s="256"/>
      <c r="E68" s="257"/>
      <c r="F68" s="258"/>
      <c r="G68" s="259"/>
      <c r="H68" s="259"/>
      <c r="I68" s="259"/>
      <c r="J68" s="259"/>
      <c r="K68" s="260"/>
    </row>
    <row r="69" spans="1:11" ht="99.95" customHeight="1">
      <c r="A69" s="253"/>
      <c r="B69" s="254"/>
      <c r="C69" s="255"/>
      <c r="D69" s="256"/>
      <c r="E69" s="257"/>
      <c r="F69" s="258"/>
      <c r="G69" s="259"/>
      <c r="H69" s="259"/>
      <c r="I69" s="259"/>
      <c r="J69" s="259"/>
      <c r="K69" s="260"/>
    </row>
    <row r="70" spans="1:11" ht="99.95" customHeight="1">
      <c r="A70" s="253"/>
      <c r="B70" s="254"/>
      <c r="C70" s="255"/>
      <c r="D70" s="256"/>
      <c r="E70" s="257"/>
      <c r="F70" s="258"/>
      <c r="G70" s="259"/>
      <c r="H70" s="259"/>
      <c r="I70" s="259"/>
      <c r="J70" s="259"/>
      <c r="K70" s="260"/>
    </row>
    <row r="71" spans="1:11" ht="99.95" customHeight="1">
      <c r="A71" s="253"/>
      <c r="B71" s="254"/>
      <c r="C71" s="255"/>
      <c r="D71" s="256"/>
      <c r="E71" s="257"/>
      <c r="F71" s="258"/>
      <c r="G71" s="259"/>
      <c r="H71" s="259"/>
      <c r="I71" s="259"/>
      <c r="J71" s="259"/>
      <c r="K71" s="260"/>
    </row>
    <row r="72" spans="1:11" ht="99.95" customHeight="1">
      <c r="A72" s="253"/>
      <c r="B72" s="254"/>
      <c r="C72" s="255"/>
      <c r="D72" s="256"/>
      <c r="E72" s="257"/>
      <c r="F72" s="258"/>
      <c r="G72" s="259"/>
      <c r="H72" s="259"/>
      <c r="I72" s="259"/>
      <c r="J72" s="259"/>
      <c r="K72" s="260"/>
    </row>
    <row r="73" spans="1:11" ht="99.95" customHeight="1">
      <c r="A73" s="253"/>
      <c r="B73" s="254"/>
      <c r="C73" s="255"/>
      <c r="D73" s="256"/>
      <c r="E73" s="257"/>
      <c r="F73" s="258"/>
      <c r="G73" s="259"/>
      <c r="H73" s="259"/>
      <c r="I73" s="259"/>
      <c r="J73" s="259"/>
      <c r="K73" s="260"/>
    </row>
    <row r="74" spans="1:11" ht="99.95" customHeight="1">
      <c r="A74" s="253"/>
      <c r="B74" s="254"/>
      <c r="C74" s="255"/>
      <c r="D74" s="256"/>
      <c r="E74" s="257"/>
      <c r="F74" s="258"/>
      <c r="G74" s="259"/>
      <c r="H74" s="259"/>
      <c r="I74" s="259"/>
      <c r="J74" s="259"/>
      <c r="K74" s="260"/>
    </row>
    <row r="75" spans="1:11" ht="99.95" customHeight="1">
      <c r="A75" s="253"/>
      <c r="B75" s="254"/>
      <c r="C75" s="255"/>
      <c r="D75" s="256"/>
      <c r="E75" s="257"/>
      <c r="F75" s="258"/>
      <c r="G75" s="259"/>
      <c r="H75" s="259"/>
      <c r="I75" s="259"/>
      <c r="J75" s="259"/>
      <c r="K75" s="260"/>
    </row>
    <row r="76" spans="1:11" ht="99.95" customHeight="1">
      <c r="A76" s="253"/>
      <c r="B76" s="254"/>
      <c r="C76" s="255"/>
      <c r="D76" s="256"/>
      <c r="E76" s="257"/>
      <c r="F76" s="258"/>
      <c r="G76" s="259"/>
      <c r="H76" s="259"/>
      <c r="I76" s="259"/>
      <c r="J76" s="259"/>
      <c r="K76" s="260"/>
    </row>
    <row r="77" spans="1:11" ht="99.95" customHeight="1">
      <c r="A77" s="253"/>
      <c r="B77" s="254"/>
      <c r="C77" s="255"/>
      <c r="D77" s="256"/>
      <c r="E77" s="257"/>
      <c r="F77" s="258"/>
      <c r="G77" s="259"/>
      <c r="H77" s="259"/>
      <c r="I77" s="259"/>
      <c r="J77" s="259"/>
      <c r="K77" s="260"/>
    </row>
    <row r="78" spans="1:11" ht="99.95" customHeight="1">
      <c r="A78" s="253"/>
      <c r="B78" s="254"/>
      <c r="C78" s="255"/>
      <c r="D78" s="256"/>
      <c r="E78" s="257"/>
      <c r="F78" s="258"/>
      <c r="G78" s="259"/>
      <c r="H78" s="259"/>
      <c r="I78" s="259"/>
      <c r="J78" s="259"/>
      <c r="K78" s="260"/>
    </row>
    <row r="79" spans="1:11" ht="99.95" customHeight="1">
      <c r="A79" s="253"/>
      <c r="B79" s="254"/>
      <c r="C79" s="255"/>
      <c r="D79" s="256"/>
      <c r="E79" s="257"/>
      <c r="F79" s="258"/>
      <c r="G79" s="259"/>
      <c r="H79" s="259"/>
      <c r="I79" s="259"/>
      <c r="J79" s="259"/>
      <c r="K79" s="260"/>
    </row>
    <row r="80" spans="1:11" ht="99.95" customHeight="1">
      <c r="A80" s="253"/>
      <c r="B80" s="254"/>
      <c r="C80" s="255"/>
      <c r="D80" s="256"/>
      <c r="E80" s="257"/>
      <c r="F80" s="258"/>
      <c r="G80" s="259"/>
      <c r="H80" s="259"/>
      <c r="I80" s="259"/>
      <c r="J80" s="259"/>
      <c r="K80" s="260"/>
    </row>
    <row r="81" spans="1:11" ht="99.95" customHeight="1">
      <c r="A81" s="253"/>
      <c r="B81" s="254"/>
      <c r="C81" s="255"/>
      <c r="D81" s="256"/>
      <c r="E81" s="257"/>
      <c r="F81" s="258"/>
      <c r="G81" s="259"/>
      <c r="H81" s="259"/>
      <c r="I81" s="259"/>
      <c r="J81" s="259"/>
      <c r="K81" s="260"/>
    </row>
    <row r="82" spans="1:11" ht="99.95" customHeight="1">
      <c r="A82" s="253"/>
      <c r="B82" s="254"/>
      <c r="C82" s="255"/>
      <c r="D82" s="256"/>
      <c r="E82" s="257"/>
      <c r="F82" s="258"/>
      <c r="G82" s="259"/>
      <c r="H82" s="259"/>
      <c r="I82" s="259"/>
      <c r="J82" s="259"/>
      <c r="K82" s="260"/>
    </row>
    <row r="83" spans="1:11" ht="99.95" customHeight="1">
      <c r="A83" s="253"/>
      <c r="B83" s="254"/>
      <c r="C83" s="255"/>
      <c r="D83" s="256"/>
      <c r="E83" s="257"/>
      <c r="F83" s="258"/>
      <c r="G83" s="259"/>
      <c r="H83" s="259"/>
      <c r="I83" s="259"/>
      <c r="J83" s="259"/>
      <c r="K83" s="260"/>
    </row>
    <row r="84" spans="1:11" ht="99.95" customHeight="1">
      <c r="A84" s="253"/>
      <c r="B84" s="254"/>
      <c r="C84" s="255"/>
      <c r="D84" s="256"/>
      <c r="E84" s="257"/>
      <c r="F84" s="258"/>
      <c r="G84" s="259"/>
      <c r="H84" s="259"/>
      <c r="I84" s="259"/>
      <c r="J84" s="259"/>
      <c r="K84" s="260"/>
    </row>
    <row r="85" spans="1:11" ht="99.95" customHeight="1">
      <c r="A85" s="253"/>
      <c r="B85" s="254"/>
      <c r="C85" s="255"/>
      <c r="D85" s="256"/>
      <c r="E85" s="257"/>
      <c r="F85" s="258"/>
      <c r="G85" s="259"/>
      <c r="H85" s="259"/>
      <c r="I85" s="259"/>
      <c r="J85" s="259"/>
      <c r="K85" s="260"/>
    </row>
    <row r="86" spans="1:11" ht="99.95" customHeight="1">
      <c r="A86" s="253"/>
      <c r="B86" s="254"/>
      <c r="C86" s="255"/>
      <c r="D86" s="256"/>
      <c r="E86" s="257"/>
      <c r="F86" s="258"/>
      <c r="G86" s="259"/>
      <c r="H86" s="259"/>
      <c r="I86" s="259"/>
      <c r="J86" s="259"/>
      <c r="K86" s="260"/>
    </row>
    <row r="87" spans="1:11" ht="99.95" customHeight="1">
      <c r="A87" s="253"/>
      <c r="B87" s="254"/>
      <c r="C87" s="255"/>
      <c r="D87" s="256"/>
      <c r="E87" s="257"/>
      <c r="F87" s="258"/>
      <c r="G87" s="259"/>
      <c r="H87" s="259"/>
      <c r="I87" s="259"/>
      <c r="J87" s="259"/>
      <c r="K87" s="260"/>
    </row>
    <row r="88" spans="1:11" ht="99.95" customHeight="1">
      <c r="A88" s="253"/>
      <c r="B88" s="254"/>
      <c r="C88" s="255"/>
      <c r="D88" s="256"/>
      <c r="E88" s="257"/>
      <c r="F88" s="258"/>
      <c r="G88" s="259"/>
      <c r="H88" s="259"/>
      <c r="I88" s="259"/>
      <c r="J88" s="259"/>
      <c r="K88" s="260"/>
    </row>
    <row r="89" spans="1:11" ht="99.95" customHeight="1">
      <c r="A89" s="253"/>
      <c r="B89" s="254"/>
      <c r="C89" s="255"/>
      <c r="D89" s="256"/>
      <c r="E89" s="257"/>
      <c r="F89" s="258"/>
      <c r="G89" s="259"/>
      <c r="H89" s="259"/>
      <c r="I89" s="259"/>
      <c r="J89" s="259"/>
      <c r="K89" s="260"/>
    </row>
    <row r="90" spans="1:11" ht="99.95" customHeight="1">
      <c r="A90" s="253"/>
      <c r="B90" s="254"/>
      <c r="C90" s="255"/>
      <c r="D90" s="256"/>
      <c r="E90" s="257"/>
      <c r="F90" s="258"/>
      <c r="G90" s="259"/>
      <c r="H90" s="259"/>
      <c r="I90" s="259"/>
      <c r="J90" s="259"/>
      <c r="K90" s="260"/>
    </row>
    <row r="91" spans="1:11" ht="99.95" customHeight="1">
      <c r="A91" s="253"/>
      <c r="B91" s="254"/>
      <c r="C91" s="255"/>
      <c r="D91" s="256"/>
      <c r="E91" s="257"/>
      <c r="F91" s="258"/>
      <c r="G91" s="259"/>
      <c r="H91" s="259"/>
      <c r="I91" s="259"/>
      <c r="J91" s="259"/>
      <c r="K91" s="260"/>
    </row>
    <row r="92" spans="1:11" ht="99.95" customHeight="1">
      <c r="A92" s="253"/>
      <c r="B92" s="254"/>
      <c r="C92" s="255"/>
      <c r="D92" s="256"/>
      <c r="E92" s="257"/>
      <c r="F92" s="258"/>
      <c r="G92" s="259"/>
      <c r="H92" s="259"/>
      <c r="I92" s="259"/>
      <c r="J92" s="259"/>
      <c r="K92" s="260"/>
    </row>
    <row r="93" spans="1:11" ht="99.95" customHeight="1">
      <c r="A93" s="253"/>
      <c r="B93" s="254"/>
      <c r="C93" s="255"/>
      <c r="D93" s="256"/>
      <c r="E93" s="257"/>
      <c r="F93" s="258"/>
      <c r="G93" s="259"/>
      <c r="H93" s="259"/>
      <c r="I93" s="259"/>
      <c r="J93" s="259"/>
      <c r="K93" s="260"/>
    </row>
    <row r="94" spans="1:11" ht="99.95" customHeight="1">
      <c r="A94" s="253"/>
      <c r="B94" s="254"/>
      <c r="C94" s="255"/>
      <c r="D94" s="256"/>
      <c r="E94" s="257"/>
      <c r="F94" s="258"/>
      <c r="G94" s="259"/>
      <c r="H94" s="259"/>
      <c r="I94" s="259"/>
      <c r="J94" s="259"/>
      <c r="K94" s="260"/>
    </row>
    <row r="95" spans="1:11" ht="99.95" customHeight="1">
      <c r="A95" s="253"/>
      <c r="B95" s="254"/>
      <c r="C95" s="255"/>
      <c r="D95" s="256"/>
      <c r="E95" s="257"/>
      <c r="F95" s="258"/>
      <c r="G95" s="259"/>
      <c r="H95" s="259"/>
      <c r="I95" s="259"/>
      <c r="J95" s="259"/>
      <c r="K95" s="260"/>
    </row>
    <row r="96" spans="1:11" ht="99.95" customHeight="1">
      <c r="A96" s="253"/>
      <c r="B96" s="254"/>
      <c r="C96" s="255"/>
      <c r="D96" s="256"/>
      <c r="E96" s="257"/>
      <c r="F96" s="258"/>
      <c r="G96" s="259"/>
      <c r="H96" s="259"/>
      <c r="I96" s="259"/>
      <c r="J96" s="259"/>
      <c r="K96" s="260"/>
    </row>
    <row r="97" spans="1:11" ht="15" customHeight="1"/>
    <row r="98" spans="1:11" ht="15" customHeight="1"/>
    <row r="99" spans="1:11" ht="15" customHeight="1"/>
    <row r="100" spans="1:11" ht="15" customHeight="1"/>
    <row r="101" spans="1:11" ht="15" customHeight="1"/>
    <row r="102" spans="1:11" ht="15" customHeight="1">
      <c r="A102" s="31" t="s">
        <v>51</v>
      </c>
      <c r="B102" s="31"/>
      <c r="C102" s="31"/>
      <c r="D102" s="31"/>
      <c r="E102" s="31"/>
      <c r="F102" s="31"/>
    </row>
    <row r="103" spans="1:11" ht="15" customHeight="1">
      <c r="A103" s="31" t="s">
        <v>53</v>
      </c>
      <c r="B103" s="31"/>
      <c r="C103" s="31"/>
      <c r="H103" s="99" t="s">
        <v>54</v>
      </c>
      <c r="I103" s="53"/>
      <c r="J103" s="53"/>
      <c r="K103" s="53"/>
    </row>
  </sheetData>
  <mergeCells count="110">
    <mergeCell ref="A63:C63"/>
    <mergeCell ref="D63:E63"/>
    <mergeCell ref="F63:K63"/>
    <mergeCell ref="A64:C64"/>
    <mergeCell ref="D64:E64"/>
    <mergeCell ref="F64:K64"/>
    <mergeCell ref="A1:K1"/>
    <mergeCell ref="A18:C18"/>
    <mergeCell ref="D18:F18"/>
    <mergeCell ref="A21:C21"/>
    <mergeCell ref="D21:F21"/>
    <mergeCell ref="A22:C22"/>
    <mergeCell ref="D22:F22"/>
    <mergeCell ref="G22:H22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3"/>
  <sheetViews>
    <sheetView showGridLines="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1500/324106.53*J61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J61*1.1*0.026%</f>
        <v>0</v>
      </c>
      <c r="K14" s="58"/>
      <c r="L14" s="51"/>
    </row>
    <row r="15" spans="1:13" ht="15" customHeight="1">
      <c r="F15" s="38"/>
      <c r="H15" s="64"/>
      <c r="I15" s="65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68">
        <f>K61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68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100" t="s">
        <v>55</v>
      </c>
      <c r="E26" s="100"/>
      <c r="F26" s="100"/>
      <c r="G26" s="100" t="s">
        <v>5</v>
      </c>
      <c r="H26" s="100" t="s">
        <v>6</v>
      </c>
      <c r="I26" s="100" t="s">
        <v>56</v>
      </c>
      <c r="J26" s="100" t="s">
        <v>57</v>
      </c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>
        <f t="shared" ref="J27:J60" si="0">G27*I27</f>
        <v>0</v>
      </c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>
        <f t="shared" si="0"/>
        <v>0</v>
      </c>
      <c r="K28" s="51"/>
      <c r="M28" s="83"/>
    </row>
    <row r="29" spans="1:13" ht="15" customHeight="1">
      <c r="A29" s="77"/>
      <c r="B29" s="57"/>
      <c r="C29" s="57"/>
      <c r="D29" s="78"/>
      <c r="E29" s="39"/>
      <c r="F29" s="79"/>
      <c r="G29" s="79"/>
      <c r="H29" s="80"/>
      <c r="I29" s="81"/>
      <c r="J29" s="82">
        <f t="shared" si="0"/>
        <v>0</v>
      </c>
      <c r="K29" s="51"/>
      <c r="M29" s="83"/>
    </row>
    <row r="30" spans="1:13" ht="15" customHeight="1">
      <c r="A30" s="77"/>
      <c r="B30" s="57"/>
      <c r="C30" s="57"/>
      <c r="D30" s="78"/>
      <c r="E30" s="39"/>
      <c r="F30" s="79"/>
      <c r="G30" s="79"/>
      <c r="H30" s="80"/>
      <c r="I30" s="81"/>
      <c r="J30" s="82">
        <f t="shared" si="0"/>
        <v>0</v>
      </c>
      <c r="K30" s="51"/>
      <c r="M30" s="83"/>
    </row>
    <row r="31" spans="1:13" ht="15" customHeight="1">
      <c r="A31" s="77"/>
      <c r="B31" s="57"/>
      <c r="C31" s="57"/>
      <c r="D31" s="78"/>
      <c r="E31" s="39"/>
      <c r="F31" s="79"/>
      <c r="G31" s="79"/>
      <c r="H31" s="80"/>
      <c r="I31" s="81"/>
      <c r="J31" s="82">
        <f t="shared" si="0"/>
        <v>0</v>
      </c>
      <c r="K31" s="51"/>
      <c r="M31" s="83"/>
    </row>
    <row r="32" spans="1:13" ht="15" customHeight="1">
      <c r="A32" s="77"/>
      <c r="B32" s="57"/>
      <c r="C32" s="57"/>
      <c r="D32" s="78"/>
      <c r="E32" s="39"/>
      <c r="F32" s="79"/>
      <c r="G32" s="79"/>
      <c r="H32" s="80"/>
      <c r="I32" s="81"/>
      <c r="J32" s="82">
        <f t="shared" si="0"/>
        <v>0</v>
      </c>
      <c r="K32" s="51"/>
      <c r="M32" s="83"/>
    </row>
    <row r="33" spans="1:13" ht="15" customHeight="1">
      <c r="A33" s="77"/>
      <c r="B33" s="57"/>
      <c r="C33" s="57"/>
      <c r="D33" s="78"/>
      <c r="E33" s="39"/>
      <c r="F33" s="79"/>
      <c r="G33" s="79"/>
      <c r="H33" s="80"/>
      <c r="I33" s="81"/>
      <c r="J33" s="82">
        <f t="shared" si="0"/>
        <v>0</v>
      </c>
      <c r="K33" s="51"/>
      <c r="M33" s="83"/>
    </row>
    <row r="34" spans="1:13" ht="15" customHeight="1">
      <c r="A34" s="77"/>
      <c r="B34" s="57"/>
      <c r="C34" s="57"/>
      <c r="D34" s="78"/>
      <c r="E34" s="39"/>
      <c r="F34" s="79"/>
      <c r="G34" s="79"/>
      <c r="H34" s="80"/>
      <c r="I34" s="81"/>
      <c r="J34" s="82">
        <f t="shared" si="0"/>
        <v>0</v>
      </c>
      <c r="K34" s="51"/>
      <c r="M34" s="83"/>
    </row>
    <row r="35" spans="1:13" ht="15" customHeight="1">
      <c r="A35" s="77"/>
      <c r="B35" s="57"/>
      <c r="C35" s="57"/>
      <c r="D35" s="78"/>
      <c r="E35" s="39"/>
      <c r="F35" s="79"/>
      <c r="G35" s="79"/>
      <c r="H35" s="80"/>
      <c r="I35" s="81"/>
      <c r="J35" s="82">
        <f t="shared" si="0"/>
        <v>0</v>
      </c>
      <c r="K35" s="51"/>
      <c r="M35" s="83"/>
    </row>
    <row r="36" spans="1:13" ht="15" customHeight="1">
      <c r="A36" s="77"/>
      <c r="B36" s="57"/>
      <c r="C36" s="57"/>
      <c r="D36" s="78"/>
      <c r="E36" s="39"/>
      <c r="F36" s="79"/>
      <c r="G36" s="79"/>
      <c r="H36" s="80"/>
      <c r="I36" s="81"/>
      <c r="J36" s="82">
        <f t="shared" si="0"/>
        <v>0</v>
      </c>
      <c r="K36" s="51"/>
      <c r="M36" s="83"/>
    </row>
    <row r="37" spans="1:13" ht="15" customHeight="1">
      <c r="A37" s="77"/>
      <c r="B37" s="57"/>
      <c r="C37" s="57"/>
      <c r="D37" s="78"/>
      <c r="E37" s="39"/>
      <c r="F37" s="79"/>
      <c r="G37" s="79"/>
      <c r="H37" s="80"/>
      <c r="I37" s="81"/>
      <c r="J37" s="82">
        <f t="shared" si="0"/>
        <v>0</v>
      </c>
      <c r="K37" s="51"/>
      <c r="M37" s="83"/>
    </row>
    <row r="38" spans="1:13" ht="15" customHeight="1">
      <c r="A38" s="77"/>
      <c r="B38" s="57"/>
      <c r="C38" s="57"/>
      <c r="D38" s="78"/>
      <c r="E38" s="39"/>
      <c r="F38" s="79"/>
      <c r="G38" s="79"/>
      <c r="H38" s="80"/>
      <c r="I38" s="81"/>
      <c r="J38" s="82">
        <f t="shared" si="0"/>
        <v>0</v>
      </c>
      <c r="K38" s="51"/>
      <c r="M38" s="83"/>
    </row>
    <row r="39" spans="1:13" ht="15" customHeight="1">
      <c r="A39" s="77"/>
      <c r="B39" s="57"/>
      <c r="C39" s="57"/>
      <c r="D39" s="78"/>
      <c r="E39" s="39"/>
      <c r="F39" s="79"/>
      <c r="G39" s="79"/>
      <c r="H39" s="80"/>
      <c r="I39" s="81"/>
      <c r="J39" s="82">
        <f t="shared" si="0"/>
        <v>0</v>
      </c>
      <c r="K39" s="51"/>
      <c r="M39" s="83"/>
    </row>
    <row r="40" spans="1:13" ht="15" customHeight="1">
      <c r="A40" s="77"/>
      <c r="B40" s="57"/>
      <c r="C40" s="57"/>
      <c r="D40" s="78"/>
      <c r="E40" s="39"/>
      <c r="F40" s="79"/>
      <c r="G40" s="79"/>
      <c r="H40" s="80"/>
      <c r="I40" s="81"/>
      <c r="J40" s="82">
        <f t="shared" si="0"/>
        <v>0</v>
      </c>
      <c r="K40" s="51"/>
      <c r="M40" s="83"/>
    </row>
    <row r="41" spans="1:13" ht="15" customHeight="1">
      <c r="A41" s="77"/>
      <c r="B41" s="57"/>
      <c r="C41" s="57"/>
      <c r="D41" s="78"/>
      <c r="E41" s="39"/>
      <c r="F41" s="79"/>
      <c r="G41" s="79"/>
      <c r="H41" s="80"/>
      <c r="I41" s="81"/>
      <c r="J41" s="82">
        <f t="shared" si="0"/>
        <v>0</v>
      </c>
      <c r="K41" s="51"/>
      <c r="M41" s="83"/>
    </row>
    <row r="42" spans="1:13" ht="15" customHeight="1">
      <c r="A42" s="77"/>
      <c r="B42" s="57"/>
      <c r="C42" s="57"/>
      <c r="D42" s="78"/>
      <c r="E42" s="39"/>
      <c r="F42" s="79"/>
      <c r="G42" s="79"/>
      <c r="H42" s="80"/>
      <c r="I42" s="81"/>
      <c r="J42" s="82">
        <f t="shared" si="0"/>
        <v>0</v>
      </c>
      <c r="K42" s="51"/>
      <c r="M42" s="83"/>
    </row>
    <row r="43" spans="1:13" ht="15" customHeight="1">
      <c r="A43" s="77"/>
      <c r="B43" s="57"/>
      <c r="C43" s="57"/>
      <c r="D43" s="78"/>
      <c r="E43" s="39"/>
      <c r="F43" s="79"/>
      <c r="G43" s="79"/>
      <c r="H43" s="80"/>
      <c r="I43" s="81"/>
      <c r="J43" s="82">
        <f t="shared" si="0"/>
        <v>0</v>
      </c>
      <c r="K43" s="51"/>
      <c r="M43" s="83"/>
    </row>
    <row r="44" spans="1:13" ht="15" customHeight="1">
      <c r="A44" s="77"/>
      <c r="B44" s="57"/>
      <c r="C44" s="57"/>
      <c r="D44" s="78"/>
      <c r="E44" s="39"/>
      <c r="F44" s="79"/>
      <c r="G44" s="79"/>
      <c r="H44" s="80"/>
      <c r="I44" s="81"/>
      <c r="J44" s="82">
        <f t="shared" si="0"/>
        <v>0</v>
      </c>
      <c r="K44" s="51"/>
      <c r="M44" s="83"/>
    </row>
    <row r="45" spans="1:13" ht="15" customHeight="1">
      <c r="A45" s="77"/>
      <c r="B45" s="57"/>
      <c r="C45" s="57"/>
      <c r="D45" s="78"/>
      <c r="E45" s="39"/>
      <c r="F45" s="79"/>
      <c r="G45" s="79"/>
      <c r="H45" s="80"/>
      <c r="I45" s="81"/>
      <c r="J45" s="82">
        <f t="shared" si="0"/>
        <v>0</v>
      </c>
      <c r="K45" s="51"/>
      <c r="M45" s="83"/>
    </row>
    <row r="46" spans="1:13" ht="15" customHeight="1">
      <c r="A46" s="77"/>
      <c r="B46" s="57"/>
      <c r="C46" s="57"/>
      <c r="D46" s="78"/>
      <c r="E46" s="39"/>
      <c r="F46" s="79"/>
      <c r="G46" s="79"/>
      <c r="H46" s="80"/>
      <c r="I46" s="81"/>
      <c r="J46" s="82">
        <f t="shared" si="0"/>
        <v>0</v>
      </c>
      <c r="K46" s="51"/>
      <c r="M46" s="83"/>
    </row>
    <row r="47" spans="1:13" ht="15" customHeight="1">
      <c r="A47" s="77"/>
      <c r="B47" s="57"/>
      <c r="C47" s="57"/>
      <c r="D47" s="78"/>
      <c r="E47" s="39"/>
      <c r="F47" s="79"/>
      <c r="G47" s="79"/>
      <c r="H47" s="80"/>
      <c r="I47" s="81"/>
      <c r="J47" s="82">
        <f t="shared" si="0"/>
        <v>0</v>
      </c>
      <c r="K47" s="51"/>
      <c r="M47" s="83"/>
    </row>
    <row r="48" spans="1:13" ht="15" customHeight="1">
      <c r="A48" s="77"/>
      <c r="B48" s="57"/>
      <c r="C48" s="57"/>
      <c r="D48" s="78"/>
      <c r="E48" s="39"/>
      <c r="F48" s="79"/>
      <c r="G48" s="79"/>
      <c r="H48" s="80"/>
      <c r="I48" s="81"/>
      <c r="J48" s="82">
        <f t="shared" si="0"/>
        <v>0</v>
      </c>
      <c r="K48" s="51"/>
      <c r="M48" s="83"/>
    </row>
    <row r="49" spans="1:13" ht="15" customHeight="1">
      <c r="A49" s="77"/>
      <c r="B49" s="57"/>
      <c r="C49" s="57"/>
      <c r="D49" s="78"/>
      <c r="E49" s="39"/>
      <c r="F49" s="79"/>
      <c r="G49" s="79"/>
      <c r="H49" s="80"/>
      <c r="I49" s="81"/>
      <c r="J49" s="82">
        <f t="shared" si="0"/>
        <v>0</v>
      </c>
      <c r="K49" s="51"/>
      <c r="M49" s="83"/>
    </row>
    <row r="50" spans="1:13" ht="15" customHeight="1">
      <c r="A50" s="77"/>
      <c r="B50" s="57"/>
      <c r="C50" s="57"/>
      <c r="D50" s="78"/>
      <c r="E50" s="39"/>
      <c r="F50" s="79"/>
      <c r="G50" s="79"/>
      <c r="H50" s="80"/>
      <c r="I50" s="81"/>
      <c r="J50" s="82">
        <f t="shared" si="0"/>
        <v>0</v>
      </c>
      <c r="K50" s="51"/>
      <c r="M50" s="83"/>
    </row>
    <row r="51" spans="1:13" ht="15" customHeight="1">
      <c r="A51" s="77"/>
      <c r="B51" s="57"/>
      <c r="C51" s="57"/>
      <c r="D51" s="78"/>
      <c r="E51" s="39"/>
      <c r="F51" s="79"/>
      <c r="G51" s="79"/>
      <c r="H51" s="80"/>
      <c r="I51" s="81"/>
      <c r="J51" s="82">
        <f t="shared" si="0"/>
        <v>0</v>
      </c>
      <c r="K51" s="51"/>
      <c r="M51" s="83"/>
    </row>
    <row r="52" spans="1:13" ht="15" customHeight="1">
      <c r="A52" s="77"/>
      <c r="B52" s="57"/>
      <c r="C52" s="57"/>
      <c r="D52" s="78"/>
      <c r="E52" s="39"/>
      <c r="F52" s="79"/>
      <c r="G52" s="79"/>
      <c r="H52" s="80"/>
      <c r="I52" s="81"/>
      <c r="J52" s="82">
        <f t="shared" si="0"/>
        <v>0</v>
      </c>
      <c r="K52" s="51"/>
      <c r="M52" s="83"/>
    </row>
    <row r="53" spans="1:13" ht="15" customHeight="1">
      <c r="A53" s="77"/>
      <c r="B53" s="57"/>
      <c r="C53" s="57"/>
      <c r="D53" s="78"/>
      <c r="E53" s="39"/>
      <c r="F53" s="79"/>
      <c r="G53" s="79"/>
      <c r="H53" s="80"/>
      <c r="I53" s="81"/>
      <c r="J53" s="82">
        <f t="shared" si="0"/>
        <v>0</v>
      </c>
      <c r="K53" s="51"/>
      <c r="M53" s="83"/>
    </row>
    <row r="54" spans="1:13" ht="15" customHeight="1">
      <c r="A54" s="77"/>
      <c r="B54" s="57"/>
      <c r="C54" s="57"/>
      <c r="D54" s="78"/>
      <c r="E54" s="39"/>
      <c r="F54" s="79"/>
      <c r="G54" s="79"/>
      <c r="H54" s="80"/>
      <c r="I54" s="81"/>
      <c r="J54" s="82">
        <f t="shared" si="0"/>
        <v>0</v>
      </c>
      <c r="K54" s="51"/>
      <c r="M54" s="83"/>
    </row>
    <row r="55" spans="1:13" ht="15" customHeight="1">
      <c r="A55" s="77"/>
      <c r="B55" s="57"/>
      <c r="C55" s="57"/>
      <c r="D55" s="78"/>
      <c r="E55" s="39"/>
      <c r="F55" s="79"/>
      <c r="G55" s="79"/>
      <c r="H55" s="80"/>
      <c r="I55" s="81"/>
      <c r="J55" s="82">
        <f t="shared" si="0"/>
        <v>0</v>
      </c>
      <c r="K55" s="51"/>
      <c r="M55" s="83"/>
    </row>
    <row r="56" spans="1:13" ht="15" customHeight="1">
      <c r="A56" s="77"/>
      <c r="B56" s="57"/>
      <c r="C56" s="57"/>
      <c r="D56" s="78"/>
      <c r="E56" s="39"/>
      <c r="F56" s="79"/>
      <c r="G56" s="79"/>
      <c r="H56" s="80"/>
      <c r="I56" s="81"/>
      <c r="J56" s="82">
        <f t="shared" si="0"/>
        <v>0</v>
      </c>
      <c r="K56" s="51"/>
      <c r="M56" s="83"/>
    </row>
    <row r="57" spans="1:13" ht="15" customHeight="1">
      <c r="A57" s="77"/>
      <c r="B57" s="57"/>
      <c r="C57" s="57"/>
      <c r="D57" s="78"/>
      <c r="E57" s="39"/>
      <c r="F57" s="79"/>
      <c r="G57" s="79"/>
      <c r="H57" s="80"/>
      <c r="I57" s="81"/>
      <c r="J57" s="82">
        <f t="shared" si="0"/>
        <v>0</v>
      </c>
      <c r="K57" s="51"/>
      <c r="M57" s="83"/>
    </row>
    <row r="58" spans="1:13" ht="15" customHeight="1">
      <c r="A58" s="77"/>
      <c r="B58" s="57"/>
      <c r="C58" s="57"/>
      <c r="D58" s="78"/>
      <c r="E58" s="39"/>
      <c r="F58" s="79"/>
      <c r="G58" s="79"/>
      <c r="H58" s="80"/>
      <c r="I58" s="81"/>
      <c r="J58" s="82">
        <f t="shared" si="0"/>
        <v>0</v>
      </c>
      <c r="K58" s="51"/>
      <c r="M58" s="83"/>
    </row>
    <row r="59" spans="1:13" ht="15" customHeight="1">
      <c r="A59" s="77"/>
      <c r="B59" s="57"/>
      <c r="C59" s="57"/>
      <c r="D59" s="78"/>
      <c r="E59" s="39"/>
      <c r="F59" s="79"/>
      <c r="G59" s="79"/>
      <c r="H59" s="80"/>
      <c r="I59" s="81"/>
      <c r="J59" s="82">
        <f t="shared" si="0"/>
        <v>0</v>
      </c>
      <c r="K59" s="51"/>
      <c r="M59" s="83"/>
    </row>
    <row r="60" spans="1:13" ht="15" customHeight="1">
      <c r="A60" s="77"/>
      <c r="B60" s="57"/>
      <c r="C60" s="57"/>
      <c r="D60" s="78"/>
      <c r="E60" s="39"/>
      <c r="F60" s="79"/>
      <c r="G60" s="79"/>
      <c r="H60" s="80"/>
      <c r="I60" s="81"/>
      <c r="J60" s="82">
        <f t="shared" si="0"/>
        <v>0</v>
      </c>
      <c r="K60" s="51"/>
      <c r="M60" s="83"/>
    </row>
    <row r="61" spans="1:13" ht="15" customHeight="1" thickBot="1">
      <c r="A61" s="77"/>
      <c r="B61" s="84"/>
      <c r="C61" s="39"/>
      <c r="D61" s="85" t="s">
        <v>50</v>
      </c>
      <c r="E61" s="85"/>
      <c r="F61" s="86"/>
      <c r="G61" s="87"/>
      <c r="H61" s="88"/>
      <c r="I61" s="89"/>
      <c r="J61" s="90">
        <f>SUM(J27:J60)</f>
        <v>0</v>
      </c>
      <c r="K61" s="51">
        <f>SUM(K27:K60)</f>
        <v>0</v>
      </c>
    </row>
    <row r="62" spans="1:13" ht="15" customHeight="1" thickTop="1">
      <c r="A62" s="9" t="s">
        <v>58</v>
      </c>
      <c r="B62" s="84"/>
      <c r="C62" s="57"/>
      <c r="D62" s="57" t="s">
        <v>59</v>
      </c>
      <c r="E62" s="57"/>
      <c r="F62" s="50" t="s">
        <v>60</v>
      </c>
      <c r="G62" s="50"/>
      <c r="H62" s="91"/>
      <c r="I62" s="92"/>
      <c r="J62" s="93"/>
    </row>
    <row r="63" spans="1:13" ht="99.95" customHeight="1">
      <c r="A63" s="253"/>
      <c r="B63" s="254"/>
      <c r="C63" s="255"/>
      <c r="D63" s="256"/>
      <c r="E63" s="257"/>
      <c r="F63" s="258"/>
      <c r="G63" s="259"/>
      <c r="H63" s="259"/>
      <c r="I63" s="259"/>
      <c r="J63" s="259"/>
      <c r="K63" s="260"/>
    </row>
    <row r="64" spans="1:13" ht="99.95" customHeight="1">
      <c r="A64" s="253"/>
      <c r="B64" s="254"/>
      <c r="C64" s="255"/>
      <c r="D64" s="256"/>
      <c r="E64" s="257"/>
      <c r="F64" s="258"/>
      <c r="G64" s="259"/>
      <c r="H64" s="259"/>
      <c r="I64" s="259"/>
      <c r="J64" s="259"/>
      <c r="K64" s="260"/>
    </row>
    <row r="65" spans="1:11" ht="99.95" customHeight="1">
      <c r="A65" s="253"/>
      <c r="B65" s="254"/>
      <c r="C65" s="255"/>
      <c r="D65" s="256"/>
      <c r="E65" s="257"/>
      <c r="F65" s="258"/>
      <c r="G65" s="259"/>
      <c r="H65" s="259"/>
      <c r="I65" s="259"/>
      <c r="J65" s="259"/>
      <c r="K65" s="260"/>
    </row>
    <row r="66" spans="1:11" ht="99.95" customHeight="1">
      <c r="A66" s="253"/>
      <c r="B66" s="254"/>
      <c r="C66" s="255"/>
      <c r="D66" s="256"/>
      <c r="E66" s="257"/>
      <c r="F66" s="258"/>
      <c r="G66" s="259"/>
      <c r="H66" s="259"/>
      <c r="I66" s="259"/>
      <c r="J66" s="259"/>
      <c r="K66" s="260"/>
    </row>
    <row r="67" spans="1:11" ht="99.95" customHeight="1">
      <c r="A67" s="253"/>
      <c r="B67" s="254"/>
      <c r="C67" s="255"/>
      <c r="D67" s="256"/>
      <c r="E67" s="257"/>
      <c r="F67" s="258"/>
      <c r="G67" s="259"/>
      <c r="H67" s="259"/>
      <c r="I67" s="259"/>
      <c r="J67" s="259"/>
      <c r="K67" s="260"/>
    </row>
    <row r="68" spans="1:11" ht="99.95" customHeight="1">
      <c r="A68" s="253"/>
      <c r="B68" s="254"/>
      <c r="C68" s="255"/>
      <c r="D68" s="256"/>
      <c r="E68" s="257"/>
      <c r="F68" s="258"/>
      <c r="G68" s="259"/>
      <c r="H68" s="259"/>
      <c r="I68" s="259"/>
      <c r="J68" s="259"/>
      <c r="K68" s="260"/>
    </row>
    <row r="69" spans="1:11" ht="99.95" customHeight="1">
      <c r="A69" s="253"/>
      <c r="B69" s="254"/>
      <c r="C69" s="255"/>
      <c r="D69" s="256"/>
      <c r="E69" s="257"/>
      <c r="F69" s="258"/>
      <c r="G69" s="259"/>
      <c r="H69" s="259"/>
      <c r="I69" s="259"/>
      <c r="J69" s="259"/>
      <c r="K69" s="260"/>
    </row>
    <row r="70" spans="1:11" ht="99.95" customHeight="1">
      <c r="A70" s="253"/>
      <c r="B70" s="254"/>
      <c r="C70" s="255"/>
      <c r="D70" s="256"/>
      <c r="E70" s="257"/>
      <c r="F70" s="258"/>
      <c r="G70" s="259"/>
      <c r="H70" s="259"/>
      <c r="I70" s="259"/>
      <c r="J70" s="259"/>
      <c r="K70" s="260"/>
    </row>
    <row r="71" spans="1:11" ht="99.95" customHeight="1">
      <c r="A71" s="253"/>
      <c r="B71" s="254"/>
      <c r="C71" s="255"/>
      <c r="D71" s="256"/>
      <c r="E71" s="257"/>
      <c r="F71" s="258"/>
      <c r="G71" s="259"/>
      <c r="H71" s="259"/>
      <c r="I71" s="259"/>
      <c r="J71" s="259"/>
      <c r="K71" s="260"/>
    </row>
    <row r="72" spans="1:11" ht="99.95" customHeight="1">
      <c r="A72" s="253"/>
      <c r="B72" s="254"/>
      <c r="C72" s="255"/>
      <c r="D72" s="256"/>
      <c r="E72" s="257"/>
      <c r="F72" s="258"/>
      <c r="G72" s="259"/>
      <c r="H72" s="259"/>
      <c r="I72" s="259"/>
      <c r="J72" s="259"/>
      <c r="K72" s="260"/>
    </row>
    <row r="73" spans="1:11" ht="99.95" customHeight="1">
      <c r="A73" s="253"/>
      <c r="B73" s="254"/>
      <c r="C73" s="255"/>
      <c r="D73" s="256"/>
      <c r="E73" s="257"/>
      <c r="F73" s="258"/>
      <c r="G73" s="259"/>
      <c r="H73" s="259"/>
      <c r="I73" s="259"/>
      <c r="J73" s="259"/>
      <c r="K73" s="260"/>
    </row>
    <row r="74" spans="1:11" ht="99.95" customHeight="1">
      <c r="A74" s="253"/>
      <c r="B74" s="254"/>
      <c r="C74" s="255"/>
      <c r="D74" s="256"/>
      <c r="E74" s="257"/>
      <c r="F74" s="258"/>
      <c r="G74" s="259"/>
      <c r="H74" s="259"/>
      <c r="I74" s="259"/>
      <c r="J74" s="259"/>
      <c r="K74" s="260"/>
    </row>
    <row r="75" spans="1:11" ht="99.95" customHeight="1">
      <c r="A75" s="253"/>
      <c r="B75" s="254"/>
      <c r="C75" s="255"/>
      <c r="D75" s="256"/>
      <c r="E75" s="257"/>
      <c r="F75" s="258"/>
      <c r="G75" s="259"/>
      <c r="H75" s="259"/>
      <c r="I75" s="259"/>
      <c r="J75" s="259"/>
      <c r="K75" s="260"/>
    </row>
    <row r="76" spans="1:11" ht="99.95" customHeight="1">
      <c r="A76" s="253"/>
      <c r="B76" s="254"/>
      <c r="C76" s="255"/>
      <c r="D76" s="256"/>
      <c r="E76" s="257"/>
      <c r="F76" s="258"/>
      <c r="G76" s="259"/>
      <c r="H76" s="259"/>
      <c r="I76" s="259"/>
      <c r="J76" s="259"/>
      <c r="K76" s="260"/>
    </row>
    <row r="77" spans="1:11" ht="99.95" customHeight="1">
      <c r="A77" s="253"/>
      <c r="B77" s="254"/>
      <c r="C77" s="255"/>
      <c r="D77" s="256"/>
      <c r="E77" s="257"/>
      <c r="F77" s="258"/>
      <c r="G77" s="259"/>
      <c r="H77" s="259"/>
      <c r="I77" s="259"/>
      <c r="J77" s="259"/>
      <c r="K77" s="260"/>
    </row>
    <row r="78" spans="1:11" ht="99.95" customHeight="1">
      <c r="A78" s="253"/>
      <c r="B78" s="254"/>
      <c r="C78" s="255"/>
      <c r="D78" s="256"/>
      <c r="E78" s="257"/>
      <c r="F78" s="258"/>
      <c r="G78" s="259"/>
      <c r="H78" s="259"/>
      <c r="I78" s="259"/>
      <c r="J78" s="259"/>
      <c r="K78" s="260"/>
    </row>
    <row r="79" spans="1:11" ht="99.95" customHeight="1">
      <c r="A79" s="253"/>
      <c r="B79" s="254"/>
      <c r="C79" s="255"/>
      <c r="D79" s="256"/>
      <c r="E79" s="257"/>
      <c r="F79" s="258"/>
      <c r="G79" s="259"/>
      <c r="H79" s="259"/>
      <c r="I79" s="259"/>
      <c r="J79" s="259"/>
      <c r="K79" s="260"/>
    </row>
    <row r="80" spans="1:11" ht="99.95" customHeight="1">
      <c r="A80" s="253"/>
      <c r="B80" s="254"/>
      <c r="C80" s="255"/>
      <c r="D80" s="256"/>
      <c r="E80" s="257"/>
      <c r="F80" s="258"/>
      <c r="G80" s="259"/>
      <c r="H80" s="259"/>
      <c r="I80" s="259"/>
      <c r="J80" s="259"/>
      <c r="K80" s="260"/>
    </row>
    <row r="81" spans="1:11" ht="99.95" customHeight="1">
      <c r="A81" s="253"/>
      <c r="B81" s="254"/>
      <c r="C81" s="255"/>
      <c r="D81" s="256"/>
      <c r="E81" s="257"/>
      <c r="F81" s="258"/>
      <c r="G81" s="259"/>
      <c r="H81" s="259"/>
      <c r="I81" s="259"/>
      <c r="J81" s="259"/>
      <c r="K81" s="260"/>
    </row>
    <row r="82" spans="1:11" ht="99.95" customHeight="1">
      <c r="A82" s="253"/>
      <c r="B82" s="254"/>
      <c r="C82" s="255"/>
      <c r="D82" s="256"/>
      <c r="E82" s="257"/>
      <c r="F82" s="258"/>
      <c r="G82" s="259"/>
      <c r="H82" s="259"/>
      <c r="I82" s="259"/>
      <c r="J82" s="259"/>
      <c r="K82" s="260"/>
    </row>
    <row r="83" spans="1:11" ht="99.95" customHeight="1">
      <c r="A83" s="253"/>
      <c r="B83" s="254"/>
      <c r="C83" s="255"/>
      <c r="D83" s="256"/>
      <c r="E83" s="257"/>
      <c r="F83" s="258"/>
      <c r="G83" s="259"/>
      <c r="H83" s="259"/>
      <c r="I83" s="259"/>
      <c r="J83" s="259"/>
      <c r="K83" s="260"/>
    </row>
    <row r="84" spans="1:11" ht="99.95" customHeight="1">
      <c r="A84" s="253"/>
      <c r="B84" s="254"/>
      <c r="C84" s="255"/>
      <c r="D84" s="256"/>
      <c r="E84" s="257"/>
      <c r="F84" s="258"/>
      <c r="G84" s="259"/>
      <c r="H84" s="259"/>
      <c r="I84" s="259"/>
      <c r="J84" s="259"/>
      <c r="K84" s="260"/>
    </row>
    <row r="85" spans="1:11" ht="99.95" customHeight="1">
      <c r="A85" s="253"/>
      <c r="B85" s="254"/>
      <c r="C85" s="255"/>
      <c r="D85" s="256"/>
      <c r="E85" s="257"/>
      <c r="F85" s="258"/>
      <c r="G85" s="259"/>
      <c r="H85" s="259"/>
      <c r="I85" s="259"/>
      <c r="J85" s="259"/>
      <c r="K85" s="260"/>
    </row>
    <row r="86" spans="1:11" ht="99.95" customHeight="1">
      <c r="A86" s="253"/>
      <c r="B86" s="254"/>
      <c r="C86" s="255"/>
      <c r="D86" s="256"/>
      <c r="E86" s="257"/>
      <c r="F86" s="258"/>
      <c r="G86" s="259"/>
      <c r="H86" s="259"/>
      <c r="I86" s="259"/>
      <c r="J86" s="259"/>
      <c r="K86" s="260"/>
    </row>
    <row r="87" spans="1:11" ht="99.95" customHeight="1">
      <c r="A87" s="253"/>
      <c r="B87" s="254"/>
      <c r="C87" s="255"/>
      <c r="D87" s="256"/>
      <c r="E87" s="257"/>
      <c r="F87" s="258"/>
      <c r="G87" s="259"/>
      <c r="H87" s="259"/>
      <c r="I87" s="259"/>
      <c r="J87" s="259"/>
      <c r="K87" s="260"/>
    </row>
    <row r="88" spans="1:11" ht="99.95" customHeight="1">
      <c r="A88" s="253"/>
      <c r="B88" s="254"/>
      <c r="C88" s="255"/>
      <c r="D88" s="256"/>
      <c r="E88" s="257"/>
      <c r="F88" s="258"/>
      <c r="G88" s="259"/>
      <c r="H88" s="259"/>
      <c r="I88" s="259"/>
      <c r="J88" s="259"/>
      <c r="K88" s="260"/>
    </row>
    <row r="89" spans="1:11" ht="99.95" customHeight="1">
      <c r="A89" s="253"/>
      <c r="B89" s="254"/>
      <c r="C89" s="255"/>
      <c r="D89" s="256"/>
      <c r="E89" s="257"/>
      <c r="F89" s="258"/>
      <c r="G89" s="259"/>
      <c r="H89" s="259"/>
      <c r="I89" s="259"/>
      <c r="J89" s="259"/>
      <c r="K89" s="260"/>
    </row>
    <row r="90" spans="1:11" ht="99.95" customHeight="1">
      <c r="A90" s="253"/>
      <c r="B90" s="254"/>
      <c r="C90" s="255"/>
      <c r="D90" s="256"/>
      <c r="E90" s="257"/>
      <c r="F90" s="258"/>
      <c r="G90" s="259"/>
      <c r="H90" s="259"/>
      <c r="I90" s="259"/>
      <c r="J90" s="259"/>
      <c r="K90" s="260"/>
    </row>
    <row r="91" spans="1:11" ht="99.95" customHeight="1">
      <c r="A91" s="253"/>
      <c r="B91" s="254"/>
      <c r="C91" s="255"/>
      <c r="D91" s="256"/>
      <c r="E91" s="257"/>
      <c r="F91" s="258"/>
      <c r="G91" s="259"/>
      <c r="H91" s="259"/>
      <c r="I91" s="259"/>
      <c r="J91" s="259"/>
      <c r="K91" s="260"/>
    </row>
    <row r="92" spans="1:11" ht="99.95" customHeight="1">
      <c r="A92" s="253"/>
      <c r="B92" s="254"/>
      <c r="C92" s="255"/>
      <c r="D92" s="256"/>
      <c r="E92" s="257"/>
      <c r="F92" s="258"/>
      <c r="G92" s="259"/>
      <c r="H92" s="259"/>
      <c r="I92" s="259"/>
      <c r="J92" s="259"/>
      <c r="K92" s="260"/>
    </row>
    <row r="93" spans="1:11" ht="99.95" customHeight="1">
      <c r="A93" s="253"/>
      <c r="B93" s="254"/>
      <c r="C93" s="255"/>
      <c r="D93" s="256"/>
      <c r="E93" s="257"/>
      <c r="F93" s="258"/>
      <c r="G93" s="259"/>
      <c r="H93" s="259"/>
      <c r="I93" s="259"/>
      <c r="J93" s="259"/>
      <c r="K93" s="260"/>
    </row>
    <row r="94" spans="1:11" ht="99.95" customHeight="1">
      <c r="A94" s="253"/>
      <c r="B94" s="254"/>
      <c r="C94" s="255"/>
      <c r="D94" s="256"/>
      <c r="E94" s="257"/>
      <c r="F94" s="258"/>
      <c r="G94" s="259"/>
      <c r="H94" s="259"/>
      <c r="I94" s="259"/>
      <c r="J94" s="259"/>
      <c r="K94" s="260"/>
    </row>
    <row r="95" spans="1:11" ht="99.95" customHeight="1">
      <c r="A95" s="253"/>
      <c r="B95" s="254"/>
      <c r="C95" s="255"/>
      <c r="D95" s="256"/>
      <c r="E95" s="257"/>
      <c r="F95" s="258"/>
      <c r="G95" s="259"/>
      <c r="H95" s="259"/>
      <c r="I95" s="259"/>
      <c r="J95" s="259"/>
      <c r="K95" s="260"/>
    </row>
    <row r="96" spans="1:11" ht="99.95" customHeight="1">
      <c r="A96" s="253"/>
      <c r="B96" s="254"/>
      <c r="C96" s="255"/>
      <c r="D96" s="256"/>
      <c r="E96" s="257"/>
      <c r="F96" s="258"/>
      <c r="G96" s="259"/>
      <c r="H96" s="259"/>
      <c r="I96" s="259"/>
      <c r="J96" s="259"/>
      <c r="K96" s="260"/>
    </row>
    <row r="97" spans="1:11" ht="15" customHeight="1"/>
    <row r="98" spans="1:11" ht="15" customHeight="1"/>
    <row r="99" spans="1:11" ht="15" customHeight="1"/>
    <row r="100" spans="1:11" ht="15" customHeight="1"/>
    <row r="101" spans="1:11" ht="15" customHeight="1"/>
    <row r="102" spans="1:11" ht="15" customHeight="1">
      <c r="A102" s="31" t="s">
        <v>51</v>
      </c>
      <c r="B102" s="31"/>
      <c r="C102" s="31"/>
      <c r="D102" s="31"/>
      <c r="E102" s="31"/>
      <c r="F102" s="31"/>
    </row>
    <row r="103" spans="1:11" ht="15" customHeight="1">
      <c r="A103" s="31" t="s">
        <v>53</v>
      </c>
      <c r="B103" s="31"/>
      <c r="C103" s="31"/>
      <c r="H103" s="99" t="s">
        <v>54</v>
      </c>
      <c r="I103" s="53"/>
      <c r="J103" s="53"/>
      <c r="K103" s="53"/>
    </row>
  </sheetData>
  <mergeCells count="110">
    <mergeCell ref="A63:C63"/>
    <mergeCell ref="D63:E63"/>
    <mergeCell ref="F63:K63"/>
    <mergeCell ref="A64:C64"/>
    <mergeCell ref="D64:E64"/>
    <mergeCell ref="F64:K64"/>
    <mergeCell ref="A1:K1"/>
    <mergeCell ref="A18:C18"/>
    <mergeCell ref="D18:F18"/>
    <mergeCell ref="A21:C21"/>
    <mergeCell ref="D21:F21"/>
    <mergeCell ref="A22:C22"/>
    <mergeCell ref="D22:F22"/>
    <mergeCell ref="G22:H22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3"/>
  <sheetViews>
    <sheetView showGridLines="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1500/324106.53*J61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J61*1.1*0.026%</f>
        <v>0</v>
      </c>
      <c r="K14" s="58"/>
      <c r="L14" s="51"/>
    </row>
    <row r="15" spans="1:13" ht="15" customHeight="1">
      <c r="F15" s="38"/>
      <c r="H15" s="64"/>
      <c r="I15" s="65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68">
        <f>K61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68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100" t="s">
        <v>55</v>
      </c>
      <c r="E26" s="100"/>
      <c r="F26" s="100"/>
      <c r="G26" s="100" t="s">
        <v>5</v>
      </c>
      <c r="H26" s="100" t="s">
        <v>6</v>
      </c>
      <c r="I26" s="100" t="s">
        <v>56</v>
      </c>
      <c r="J26" s="100" t="s">
        <v>57</v>
      </c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>
        <f t="shared" ref="J27:J60" si="0">G27*I27</f>
        <v>0</v>
      </c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>
        <f t="shared" si="0"/>
        <v>0</v>
      </c>
      <c r="K28" s="51"/>
      <c r="M28" s="83"/>
    </row>
    <row r="29" spans="1:13" ht="15" customHeight="1">
      <c r="A29" s="77"/>
      <c r="B29" s="57"/>
      <c r="C29" s="57"/>
      <c r="D29" s="78"/>
      <c r="E29" s="39"/>
      <c r="F29" s="79"/>
      <c r="G29" s="79"/>
      <c r="H29" s="80"/>
      <c r="I29" s="81"/>
      <c r="J29" s="82">
        <f t="shared" si="0"/>
        <v>0</v>
      </c>
      <c r="K29" s="51"/>
      <c r="M29" s="83"/>
    </row>
    <row r="30" spans="1:13" ht="15" customHeight="1">
      <c r="A30" s="77"/>
      <c r="B30" s="57"/>
      <c r="C30" s="57"/>
      <c r="D30" s="78"/>
      <c r="E30" s="39"/>
      <c r="F30" s="79"/>
      <c r="G30" s="79"/>
      <c r="H30" s="80"/>
      <c r="I30" s="81"/>
      <c r="J30" s="82">
        <f t="shared" si="0"/>
        <v>0</v>
      </c>
      <c r="K30" s="51"/>
      <c r="M30" s="83"/>
    </row>
    <row r="31" spans="1:13" ht="15" customHeight="1">
      <c r="A31" s="77"/>
      <c r="B31" s="57"/>
      <c r="C31" s="57"/>
      <c r="D31" s="78"/>
      <c r="E31" s="39"/>
      <c r="F31" s="79"/>
      <c r="G31" s="79"/>
      <c r="H31" s="80"/>
      <c r="I31" s="81"/>
      <c r="J31" s="82">
        <f t="shared" si="0"/>
        <v>0</v>
      </c>
      <c r="K31" s="51"/>
      <c r="M31" s="83"/>
    </row>
    <row r="32" spans="1:13" ht="15" customHeight="1">
      <c r="A32" s="77"/>
      <c r="B32" s="57"/>
      <c r="C32" s="57"/>
      <c r="D32" s="78"/>
      <c r="E32" s="39"/>
      <c r="F32" s="79"/>
      <c r="G32" s="79"/>
      <c r="H32" s="80"/>
      <c r="I32" s="81"/>
      <c r="J32" s="82">
        <f t="shared" si="0"/>
        <v>0</v>
      </c>
      <c r="K32" s="51"/>
      <c r="M32" s="83"/>
    </row>
    <row r="33" spans="1:13" ht="15" customHeight="1">
      <c r="A33" s="77"/>
      <c r="B33" s="57"/>
      <c r="C33" s="57"/>
      <c r="D33" s="78"/>
      <c r="E33" s="39"/>
      <c r="F33" s="79"/>
      <c r="G33" s="79"/>
      <c r="H33" s="80"/>
      <c r="I33" s="81"/>
      <c r="J33" s="82">
        <f t="shared" si="0"/>
        <v>0</v>
      </c>
      <c r="K33" s="51"/>
      <c r="M33" s="83"/>
    </row>
    <row r="34" spans="1:13" ht="15" customHeight="1">
      <c r="A34" s="77"/>
      <c r="B34" s="57"/>
      <c r="C34" s="57"/>
      <c r="D34" s="78"/>
      <c r="E34" s="39"/>
      <c r="F34" s="79"/>
      <c r="G34" s="79"/>
      <c r="H34" s="80"/>
      <c r="I34" s="81"/>
      <c r="J34" s="82">
        <f t="shared" si="0"/>
        <v>0</v>
      </c>
      <c r="K34" s="51"/>
      <c r="M34" s="83"/>
    </row>
    <row r="35" spans="1:13" ht="15" customHeight="1">
      <c r="A35" s="77"/>
      <c r="B35" s="57"/>
      <c r="C35" s="57"/>
      <c r="D35" s="78"/>
      <c r="E35" s="39"/>
      <c r="F35" s="79"/>
      <c r="G35" s="79"/>
      <c r="H35" s="80"/>
      <c r="I35" s="81"/>
      <c r="J35" s="82">
        <f t="shared" si="0"/>
        <v>0</v>
      </c>
      <c r="K35" s="51"/>
      <c r="M35" s="83"/>
    </row>
    <row r="36" spans="1:13" ht="15" customHeight="1">
      <c r="A36" s="77"/>
      <c r="B36" s="57"/>
      <c r="C36" s="57"/>
      <c r="D36" s="78"/>
      <c r="E36" s="39"/>
      <c r="F36" s="79"/>
      <c r="G36" s="79"/>
      <c r="H36" s="80"/>
      <c r="I36" s="81"/>
      <c r="J36" s="82">
        <f t="shared" si="0"/>
        <v>0</v>
      </c>
      <c r="K36" s="51"/>
      <c r="M36" s="83"/>
    </row>
    <row r="37" spans="1:13" ht="15" customHeight="1">
      <c r="A37" s="77"/>
      <c r="B37" s="57"/>
      <c r="C37" s="57"/>
      <c r="D37" s="78"/>
      <c r="E37" s="39"/>
      <c r="F37" s="79"/>
      <c r="G37" s="79"/>
      <c r="H37" s="80"/>
      <c r="I37" s="81"/>
      <c r="J37" s="82">
        <f t="shared" si="0"/>
        <v>0</v>
      </c>
      <c r="K37" s="51"/>
      <c r="M37" s="83"/>
    </row>
    <row r="38" spans="1:13" ht="15" customHeight="1">
      <c r="A38" s="77"/>
      <c r="B38" s="57"/>
      <c r="C38" s="57"/>
      <c r="D38" s="78"/>
      <c r="E38" s="39"/>
      <c r="F38" s="79"/>
      <c r="G38" s="79"/>
      <c r="H38" s="80"/>
      <c r="I38" s="81"/>
      <c r="J38" s="82">
        <f t="shared" si="0"/>
        <v>0</v>
      </c>
      <c r="K38" s="51"/>
      <c r="M38" s="83"/>
    </row>
    <row r="39" spans="1:13" ht="15" customHeight="1">
      <c r="A39" s="77"/>
      <c r="B39" s="57"/>
      <c r="C39" s="57"/>
      <c r="D39" s="78"/>
      <c r="E39" s="39"/>
      <c r="F39" s="79"/>
      <c r="G39" s="79"/>
      <c r="H39" s="80"/>
      <c r="I39" s="81"/>
      <c r="J39" s="82">
        <f t="shared" si="0"/>
        <v>0</v>
      </c>
      <c r="K39" s="51"/>
      <c r="M39" s="83"/>
    </row>
    <row r="40" spans="1:13" ht="15" customHeight="1">
      <c r="A40" s="77"/>
      <c r="B40" s="57"/>
      <c r="C40" s="57"/>
      <c r="D40" s="78"/>
      <c r="E40" s="39"/>
      <c r="F40" s="79"/>
      <c r="G40" s="79"/>
      <c r="H40" s="80"/>
      <c r="I40" s="81"/>
      <c r="J40" s="82">
        <f t="shared" si="0"/>
        <v>0</v>
      </c>
      <c r="K40" s="51"/>
      <c r="M40" s="83"/>
    </row>
    <row r="41" spans="1:13" ht="15" customHeight="1">
      <c r="A41" s="77"/>
      <c r="B41" s="57"/>
      <c r="C41" s="57"/>
      <c r="D41" s="78"/>
      <c r="E41" s="39"/>
      <c r="F41" s="79"/>
      <c r="G41" s="79"/>
      <c r="H41" s="80"/>
      <c r="I41" s="81"/>
      <c r="J41" s="82">
        <f t="shared" si="0"/>
        <v>0</v>
      </c>
      <c r="K41" s="51"/>
      <c r="M41" s="83"/>
    </row>
    <row r="42" spans="1:13" ht="15" customHeight="1">
      <c r="A42" s="77"/>
      <c r="B42" s="57"/>
      <c r="C42" s="57"/>
      <c r="D42" s="78"/>
      <c r="E42" s="39"/>
      <c r="F42" s="79"/>
      <c r="G42" s="79"/>
      <c r="H42" s="80"/>
      <c r="I42" s="81"/>
      <c r="J42" s="82">
        <f t="shared" si="0"/>
        <v>0</v>
      </c>
      <c r="K42" s="51"/>
      <c r="M42" s="83"/>
    </row>
    <row r="43" spans="1:13" ht="15" customHeight="1">
      <c r="A43" s="77"/>
      <c r="B43" s="57"/>
      <c r="C43" s="57"/>
      <c r="D43" s="78"/>
      <c r="E43" s="39"/>
      <c r="F43" s="79"/>
      <c r="G43" s="79"/>
      <c r="H43" s="80"/>
      <c r="I43" s="81"/>
      <c r="J43" s="82">
        <f t="shared" si="0"/>
        <v>0</v>
      </c>
      <c r="K43" s="51"/>
      <c r="M43" s="83"/>
    </row>
    <row r="44" spans="1:13" ht="15" customHeight="1">
      <c r="A44" s="77"/>
      <c r="B44" s="57"/>
      <c r="C44" s="57"/>
      <c r="D44" s="78"/>
      <c r="E44" s="39"/>
      <c r="F44" s="79"/>
      <c r="G44" s="79"/>
      <c r="H44" s="80"/>
      <c r="I44" s="81"/>
      <c r="J44" s="82">
        <f t="shared" si="0"/>
        <v>0</v>
      </c>
      <c r="K44" s="51"/>
      <c r="M44" s="83"/>
    </row>
    <row r="45" spans="1:13" ht="15" customHeight="1">
      <c r="A45" s="77"/>
      <c r="B45" s="57"/>
      <c r="C45" s="57"/>
      <c r="D45" s="78"/>
      <c r="E45" s="39"/>
      <c r="F45" s="79"/>
      <c r="G45" s="79"/>
      <c r="H45" s="80"/>
      <c r="I45" s="81"/>
      <c r="J45" s="82">
        <f t="shared" si="0"/>
        <v>0</v>
      </c>
      <c r="K45" s="51"/>
      <c r="M45" s="83"/>
    </row>
    <row r="46" spans="1:13" ht="15" customHeight="1">
      <c r="A46" s="77"/>
      <c r="B46" s="57"/>
      <c r="C46" s="57"/>
      <c r="D46" s="78"/>
      <c r="E46" s="39"/>
      <c r="F46" s="79"/>
      <c r="G46" s="79"/>
      <c r="H46" s="80"/>
      <c r="I46" s="81"/>
      <c r="J46" s="82">
        <f t="shared" si="0"/>
        <v>0</v>
      </c>
      <c r="K46" s="51"/>
      <c r="M46" s="83"/>
    </row>
    <row r="47" spans="1:13" ht="15" customHeight="1">
      <c r="A47" s="77"/>
      <c r="B47" s="57"/>
      <c r="C47" s="57"/>
      <c r="D47" s="78"/>
      <c r="E47" s="39"/>
      <c r="F47" s="79"/>
      <c r="G47" s="79"/>
      <c r="H47" s="80"/>
      <c r="I47" s="81"/>
      <c r="J47" s="82">
        <f t="shared" si="0"/>
        <v>0</v>
      </c>
      <c r="K47" s="51"/>
      <c r="M47" s="83"/>
    </row>
    <row r="48" spans="1:13" ht="15" customHeight="1">
      <c r="A48" s="77"/>
      <c r="B48" s="57"/>
      <c r="C48" s="57"/>
      <c r="D48" s="78"/>
      <c r="E48" s="39"/>
      <c r="F48" s="79"/>
      <c r="G48" s="79"/>
      <c r="H48" s="80"/>
      <c r="I48" s="81"/>
      <c r="J48" s="82">
        <f t="shared" si="0"/>
        <v>0</v>
      </c>
      <c r="K48" s="51"/>
      <c r="M48" s="83"/>
    </row>
    <row r="49" spans="1:13" ht="15" customHeight="1">
      <c r="A49" s="77"/>
      <c r="B49" s="57"/>
      <c r="C49" s="57"/>
      <c r="D49" s="78"/>
      <c r="E49" s="39"/>
      <c r="F49" s="79"/>
      <c r="G49" s="79"/>
      <c r="H49" s="80"/>
      <c r="I49" s="81"/>
      <c r="J49" s="82">
        <f t="shared" si="0"/>
        <v>0</v>
      </c>
      <c r="K49" s="51"/>
      <c r="M49" s="83"/>
    </row>
    <row r="50" spans="1:13" ht="15" customHeight="1">
      <c r="A50" s="77"/>
      <c r="B50" s="57"/>
      <c r="C50" s="57"/>
      <c r="D50" s="78"/>
      <c r="E50" s="39"/>
      <c r="F50" s="79"/>
      <c r="G50" s="79"/>
      <c r="H50" s="80"/>
      <c r="I50" s="81"/>
      <c r="J50" s="82">
        <f t="shared" si="0"/>
        <v>0</v>
      </c>
      <c r="K50" s="51"/>
      <c r="M50" s="83"/>
    </row>
    <row r="51" spans="1:13" ht="15" customHeight="1">
      <c r="A51" s="77"/>
      <c r="B51" s="57"/>
      <c r="C51" s="57"/>
      <c r="D51" s="78"/>
      <c r="E51" s="39"/>
      <c r="F51" s="79"/>
      <c r="G51" s="79"/>
      <c r="H51" s="80"/>
      <c r="I51" s="81"/>
      <c r="J51" s="82">
        <f t="shared" si="0"/>
        <v>0</v>
      </c>
      <c r="K51" s="51"/>
      <c r="M51" s="83"/>
    </row>
    <row r="52" spans="1:13" ht="15" customHeight="1">
      <c r="A52" s="77"/>
      <c r="B52" s="57"/>
      <c r="C52" s="57"/>
      <c r="D52" s="78"/>
      <c r="E52" s="39"/>
      <c r="F52" s="79"/>
      <c r="G52" s="79"/>
      <c r="H52" s="80"/>
      <c r="I52" s="81"/>
      <c r="J52" s="82">
        <f t="shared" si="0"/>
        <v>0</v>
      </c>
      <c r="K52" s="51"/>
      <c r="M52" s="83"/>
    </row>
    <row r="53" spans="1:13" ht="15" customHeight="1">
      <c r="A53" s="77"/>
      <c r="B53" s="57"/>
      <c r="C53" s="57"/>
      <c r="D53" s="78"/>
      <c r="E53" s="39"/>
      <c r="F53" s="79"/>
      <c r="G53" s="79"/>
      <c r="H53" s="80"/>
      <c r="I53" s="81"/>
      <c r="J53" s="82">
        <f t="shared" si="0"/>
        <v>0</v>
      </c>
      <c r="K53" s="51"/>
      <c r="M53" s="83"/>
    </row>
    <row r="54" spans="1:13" ht="15" customHeight="1">
      <c r="A54" s="77"/>
      <c r="B54" s="57"/>
      <c r="C54" s="57"/>
      <c r="D54" s="78"/>
      <c r="E54" s="39"/>
      <c r="F54" s="79"/>
      <c r="G54" s="79"/>
      <c r="H54" s="80"/>
      <c r="I54" s="81"/>
      <c r="J54" s="82">
        <f t="shared" si="0"/>
        <v>0</v>
      </c>
      <c r="K54" s="51"/>
      <c r="M54" s="83"/>
    </row>
    <row r="55" spans="1:13" ht="15" customHeight="1">
      <c r="A55" s="77"/>
      <c r="B55" s="57"/>
      <c r="C55" s="57"/>
      <c r="D55" s="78"/>
      <c r="E55" s="39"/>
      <c r="F55" s="79"/>
      <c r="G55" s="79"/>
      <c r="H55" s="80"/>
      <c r="I55" s="81"/>
      <c r="J55" s="82">
        <f t="shared" si="0"/>
        <v>0</v>
      </c>
      <c r="K55" s="51"/>
      <c r="M55" s="83"/>
    </row>
    <row r="56" spans="1:13" ht="15" customHeight="1">
      <c r="A56" s="77"/>
      <c r="B56" s="57"/>
      <c r="C56" s="57"/>
      <c r="D56" s="78"/>
      <c r="E56" s="39"/>
      <c r="F56" s="79"/>
      <c r="G56" s="79"/>
      <c r="H56" s="80"/>
      <c r="I56" s="81"/>
      <c r="J56" s="82">
        <f t="shared" si="0"/>
        <v>0</v>
      </c>
      <c r="K56" s="51"/>
      <c r="M56" s="83"/>
    </row>
    <row r="57" spans="1:13" ht="15" customHeight="1">
      <c r="A57" s="77"/>
      <c r="B57" s="57"/>
      <c r="C57" s="57"/>
      <c r="D57" s="78"/>
      <c r="E57" s="39"/>
      <c r="F57" s="79"/>
      <c r="G57" s="79"/>
      <c r="H57" s="80"/>
      <c r="I57" s="81"/>
      <c r="J57" s="82">
        <f t="shared" si="0"/>
        <v>0</v>
      </c>
      <c r="K57" s="51"/>
      <c r="M57" s="83"/>
    </row>
    <row r="58" spans="1:13" ht="15" customHeight="1">
      <c r="A58" s="77"/>
      <c r="B58" s="57"/>
      <c r="C58" s="57"/>
      <c r="D58" s="78"/>
      <c r="E58" s="39"/>
      <c r="F58" s="79"/>
      <c r="G58" s="79"/>
      <c r="H58" s="80"/>
      <c r="I58" s="81"/>
      <c r="J58" s="82">
        <f t="shared" si="0"/>
        <v>0</v>
      </c>
      <c r="K58" s="51"/>
      <c r="M58" s="83"/>
    </row>
    <row r="59" spans="1:13" ht="15" customHeight="1">
      <c r="A59" s="77"/>
      <c r="B59" s="57"/>
      <c r="C59" s="57"/>
      <c r="D59" s="78"/>
      <c r="E59" s="39"/>
      <c r="F59" s="79"/>
      <c r="G59" s="79"/>
      <c r="H59" s="80"/>
      <c r="I59" s="81"/>
      <c r="J59" s="82">
        <f t="shared" si="0"/>
        <v>0</v>
      </c>
      <c r="K59" s="51"/>
      <c r="M59" s="83"/>
    </row>
    <row r="60" spans="1:13" ht="15" customHeight="1">
      <c r="A60" s="77"/>
      <c r="B60" s="57"/>
      <c r="C60" s="57"/>
      <c r="D60" s="78"/>
      <c r="E60" s="39"/>
      <c r="F60" s="79"/>
      <c r="G60" s="79"/>
      <c r="H60" s="80"/>
      <c r="I60" s="81"/>
      <c r="J60" s="82">
        <f t="shared" si="0"/>
        <v>0</v>
      </c>
      <c r="K60" s="51"/>
      <c r="M60" s="83"/>
    </row>
    <row r="61" spans="1:13" ht="15" customHeight="1" thickBot="1">
      <c r="A61" s="77"/>
      <c r="B61" s="84"/>
      <c r="C61" s="39"/>
      <c r="D61" s="85" t="s">
        <v>50</v>
      </c>
      <c r="E61" s="85"/>
      <c r="F61" s="86"/>
      <c r="G61" s="87"/>
      <c r="H61" s="88"/>
      <c r="I61" s="89"/>
      <c r="J61" s="90">
        <f>SUM(J27:J60)</f>
        <v>0</v>
      </c>
      <c r="K61" s="51">
        <f>SUM(K27:K60)</f>
        <v>0</v>
      </c>
    </row>
    <row r="62" spans="1:13" ht="15" customHeight="1" thickTop="1">
      <c r="A62" s="9" t="s">
        <v>58</v>
      </c>
      <c r="B62" s="84"/>
      <c r="C62" s="57"/>
      <c r="D62" s="57" t="s">
        <v>59</v>
      </c>
      <c r="E62" s="57"/>
      <c r="F62" s="50" t="s">
        <v>60</v>
      </c>
      <c r="G62" s="50"/>
      <c r="H62" s="91"/>
      <c r="I62" s="92"/>
      <c r="J62" s="93"/>
    </row>
    <row r="63" spans="1:13" ht="99.95" customHeight="1">
      <c r="A63" s="253"/>
      <c r="B63" s="254"/>
      <c r="C63" s="255"/>
      <c r="D63" s="256"/>
      <c r="E63" s="257"/>
      <c r="F63" s="258"/>
      <c r="G63" s="259"/>
      <c r="H63" s="259"/>
      <c r="I63" s="259"/>
      <c r="J63" s="259"/>
      <c r="K63" s="260"/>
    </row>
    <row r="64" spans="1:13" ht="99.95" customHeight="1">
      <c r="A64" s="253"/>
      <c r="B64" s="254"/>
      <c r="C64" s="255"/>
      <c r="D64" s="256"/>
      <c r="E64" s="257"/>
      <c r="F64" s="258"/>
      <c r="G64" s="259"/>
      <c r="H64" s="259"/>
      <c r="I64" s="259"/>
      <c r="J64" s="259"/>
      <c r="K64" s="260"/>
    </row>
    <row r="65" spans="1:11" ht="99.95" customHeight="1">
      <c r="A65" s="253"/>
      <c r="B65" s="254"/>
      <c r="C65" s="255"/>
      <c r="D65" s="256"/>
      <c r="E65" s="257"/>
      <c r="F65" s="258"/>
      <c r="G65" s="259"/>
      <c r="H65" s="259"/>
      <c r="I65" s="259"/>
      <c r="J65" s="259"/>
      <c r="K65" s="260"/>
    </row>
    <row r="66" spans="1:11" ht="99.95" customHeight="1">
      <c r="A66" s="253"/>
      <c r="B66" s="254"/>
      <c r="C66" s="255"/>
      <c r="D66" s="256"/>
      <c r="E66" s="257"/>
      <c r="F66" s="258"/>
      <c r="G66" s="259"/>
      <c r="H66" s="259"/>
      <c r="I66" s="259"/>
      <c r="J66" s="259"/>
      <c r="K66" s="260"/>
    </row>
    <row r="67" spans="1:11" ht="99.95" customHeight="1">
      <c r="A67" s="253"/>
      <c r="B67" s="254"/>
      <c r="C67" s="255"/>
      <c r="D67" s="256"/>
      <c r="E67" s="257"/>
      <c r="F67" s="258"/>
      <c r="G67" s="259"/>
      <c r="H67" s="259"/>
      <c r="I67" s="259"/>
      <c r="J67" s="259"/>
      <c r="K67" s="260"/>
    </row>
    <row r="68" spans="1:11" ht="99.95" customHeight="1">
      <c r="A68" s="253"/>
      <c r="B68" s="254"/>
      <c r="C68" s="255"/>
      <c r="D68" s="256"/>
      <c r="E68" s="257"/>
      <c r="F68" s="258"/>
      <c r="G68" s="259"/>
      <c r="H68" s="259"/>
      <c r="I68" s="259"/>
      <c r="J68" s="259"/>
      <c r="K68" s="260"/>
    </row>
    <row r="69" spans="1:11" ht="99.95" customHeight="1">
      <c r="A69" s="253"/>
      <c r="B69" s="254"/>
      <c r="C69" s="255"/>
      <c r="D69" s="256"/>
      <c r="E69" s="257"/>
      <c r="F69" s="258"/>
      <c r="G69" s="259"/>
      <c r="H69" s="259"/>
      <c r="I69" s="259"/>
      <c r="J69" s="259"/>
      <c r="K69" s="260"/>
    </row>
    <row r="70" spans="1:11" ht="99.95" customHeight="1">
      <c r="A70" s="253"/>
      <c r="B70" s="254"/>
      <c r="C70" s="255"/>
      <c r="D70" s="256"/>
      <c r="E70" s="257"/>
      <c r="F70" s="258"/>
      <c r="G70" s="259"/>
      <c r="H70" s="259"/>
      <c r="I70" s="259"/>
      <c r="J70" s="259"/>
      <c r="K70" s="260"/>
    </row>
    <row r="71" spans="1:11" ht="99.95" customHeight="1">
      <c r="A71" s="253"/>
      <c r="B71" s="254"/>
      <c r="C71" s="255"/>
      <c r="D71" s="256"/>
      <c r="E71" s="257"/>
      <c r="F71" s="258"/>
      <c r="G71" s="259"/>
      <c r="H71" s="259"/>
      <c r="I71" s="259"/>
      <c r="J71" s="259"/>
      <c r="K71" s="260"/>
    </row>
    <row r="72" spans="1:11" ht="99.95" customHeight="1">
      <c r="A72" s="253"/>
      <c r="B72" s="254"/>
      <c r="C72" s="255"/>
      <c r="D72" s="256"/>
      <c r="E72" s="257"/>
      <c r="F72" s="258"/>
      <c r="G72" s="259"/>
      <c r="H72" s="259"/>
      <c r="I72" s="259"/>
      <c r="J72" s="259"/>
      <c r="K72" s="260"/>
    </row>
    <row r="73" spans="1:11" ht="99.95" customHeight="1">
      <c r="A73" s="253"/>
      <c r="B73" s="254"/>
      <c r="C73" s="255"/>
      <c r="D73" s="256"/>
      <c r="E73" s="257"/>
      <c r="F73" s="258"/>
      <c r="G73" s="259"/>
      <c r="H73" s="259"/>
      <c r="I73" s="259"/>
      <c r="J73" s="259"/>
      <c r="K73" s="260"/>
    </row>
    <row r="74" spans="1:11" ht="99.95" customHeight="1">
      <c r="A74" s="253"/>
      <c r="B74" s="254"/>
      <c r="C74" s="255"/>
      <c r="D74" s="256"/>
      <c r="E74" s="257"/>
      <c r="F74" s="258"/>
      <c r="G74" s="259"/>
      <c r="H74" s="259"/>
      <c r="I74" s="259"/>
      <c r="J74" s="259"/>
      <c r="K74" s="260"/>
    </row>
    <row r="75" spans="1:11" ht="99.95" customHeight="1">
      <c r="A75" s="253"/>
      <c r="B75" s="254"/>
      <c r="C75" s="255"/>
      <c r="D75" s="256"/>
      <c r="E75" s="257"/>
      <c r="F75" s="258"/>
      <c r="G75" s="259"/>
      <c r="H75" s="259"/>
      <c r="I75" s="259"/>
      <c r="J75" s="259"/>
      <c r="K75" s="260"/>
    </row>
    <row r="76" spans="1:11" ht="99.95" customHeight="1">
      <c r="A76" s="253"/>
      <c r="B76" s="254"/>
      <c r="C76" s="255"/>
      <c r="D76" s="256"/>
      <c r="E76" s="257"/>
      <c r="F76" s="258"/>
      <c r="G76" s="259"/>
      <c r="H76" s="259"/>
      <c r="I76" s="259"/>
      <c r="J76" s="259"/>
      <c r="K76" s="260"/>
    </row>
    <row r="77" spans="1:11" ht="99.95" customHeight="1">
      <c r="A77" s="253"/>
      <c r="B77" s="254"/>
      <c r="C77" s="255"/>
      <c r="D77" s="256"/>
      <c r="E77" s="257"/>
      <c r="F77" s="258"/>
      <c r="G77" s="259"/>
      <c r="H77" s="259"/>
      <c r="I77" s="259"/>
      <c r="J77" s="259"/>
      <c r="K77" s="260"/>
    </row>
    <row r="78" spans="1:11" ht="99.95" customHeight="1">
      <c r="A78" s="253"/>
      <c r="B78" s="254"/>
      <c r="C78" s="255"/>
      <c r="D78" s="256"/>
      <c r="E78" s="257"/>
      <c r="F78" s="258"/>
      <c r="G78" s="259"/>
      <c r="H78" s="259"/>
      <c r="I78" s="259"/>
      <c r="J78" s="259"/>
      <c r="K78" s="260"/>
    </row>
    <row r="79" spans="1:11" ht="99.95" customHeight="1">
      <c r="A79" s="253"/>
      <c r="B79" s="254"/>
      <c r="C79" s="255"/>
      <c r="D79" s="256"/>
      <c r="E79" s="257"/>
      <c r="F79" s="258"/>
      <c r="G79" s="259"/>
      <c r="H79" s="259"/>
      <c r="I79" s="259"/>
      <c r="J79" s="259"/>
      <c r="K79" s="260"/>
    </row>
    <row r="80" spans="1:11" ht="99.95" customHeight="1">
      <c r="A80" s="253"/>
      <c r="B80" s="254"/>
      <c r="C80" s="255"/>
      <c r="D80" s="256"/>
      <c r="E80" s="257"/>
      <c r="F80" s="258"/>
      <c r="G80" s="259"/>
      <c r="H80" s="259"/>
      <c r="I80" s="259"/>
      <c r="J80" s="259"/>
      <c r="K80" s="260"/>
    </row>
    <row r="81" spans="1:11" ht="99.95" customHeight="1">
      <c r="A81" s="253"/>
      <c r="B81" s="254"/>
      <c r="C81" s="255"/>
      <c r="D81" s="256"/>
      <c r="E81" s="257"/>
      <c r="F81" s="258"/>
      <c r="G81" s="259"/>
      <c r="H81" s="259"/>
      <c r="I81" s="259"/>
      <c r="J81" s="259"/>
      <c r="K81" s="260"/>
    </row>
    <row r="82" spans="1:11" ht="99.95" customHeight="1">
      <c r="A82" s="253"/>
      <c r="B82" s="254"/>
      <c r="C82" s="255"/>
      <c r="D82" s="256"/>
      <c r="E82" s="257"/>
      <c r="F82" s="258"/>
      <c r="G82" s="259"/>
      <c r="H82" s="259"/>
      <c r="I82" s="259"/>
      <c r="J82" s="259"/>
      <c r="K82" s="260"/>
    </row>
    <row r="83" spans="1:11" ht="99.95" customHeight="1">
      <c r="A83" s="253"/>
      <c r="B83" s="254"/>
      <c r="C83" s="255"/>
      <c r="D83" s="256"/>
      <c r="E83" s="257"/>
      <c r="F83" s="258"/>
      <c r="G83" s="259"/>
      <c r="H83" s="259"/>
      <c r="I83" s="259"/>
      <c r="J83" s="259"/>
      <c r="K83" s="260"/>
    </row>
    <row r="84" spans="1:11" ht="99.95" customHeight="1">
      <c r="A84" s="253"/>
      <c r="B84" s="254"/>
      <c r="C84" s="255"/>
      <c r="D84" s="256"/>
      <c r="E84" s="257"/>
      <c r="F84" s="258"/>
      <c r="G84" s="259"/>
      <c r="H84" s="259"/>
      <c r="I84" s="259"/>
      <c r="J84" s="259"/>
      <c r="K84" s="260"/>
    </row>
    <row r="85" spans="1:11" ht="99.95" customHeight="1">
      <c r="A85" s="253"/>
      <c r="B85" s="254"/>
      <c r="C85" s="255"/>
      <c r="D85" s="256"/>
      <c r="E85" s="257"/>
      <c r="F85" s="258"/>
      <c r="G85" s="259"/>
      <c r="H85" s="259"/>
      <c r="I85" s="259"/>
      <c r="J85" s="259"/>
      <c r="K85" s="260"/>
    </row>
    <row r="86" spans="1:11" ht="99.95" customHeight="1">
      <c r="A86" s="253"/>
      <c r="B86" s="254"/>
      <c r="C86" s="255"/>
      <c r="D86" s="256"/>
      <c r="E86" s="257"/>
      <c r="F86" s="258"/>
      <c r="G86" s="259"/>
      <c r="H86" s="259"/>
      <c r="I86" s="259"/>
      <c r="J86" s="259"/>
      <c r="K86" s="260"/>
    </row>
    <row r="87" spans="1:11" ht="99.95" customHeight="1">
      <c r="A87" s="253"/>
      <c r="B87" s="254"/>
      <c r="C87" s="255"/>
      <c r="D87" s="256"/>
      <c r="E87" s="257"/>
      <c r="F87" s="258"/>
      <c r="G87" s="259"/>
      <c r="H87" s="259"/>
      <c r="I87" s="259"/>
      <c r="J87" s="259"/>
      <c r="K87" s="260"/>
    </row>
    <row r="88" spans="1:11" ht="99.95" customHeight="1">
      <c r="A88" s="253"/>
      <c r="B88" s="254"/>
      <c r="C88" s="255"/>
      <c r="D88" s="256"/>
      <c r="E88" s="257"/>
      <c r="F88" s="258"/>
      <c r="G88" s="259"/>
      <c r="H88" s="259"/>
      <c r="I88" s="259"/>
      <c r="J88" s="259"/>
      <c r="K88" s="260"/>
    </row>
    <row r="89" spans="1:11" ht="99.95" customHeight="1">
      <c r="A89" s="253"/>
      <c r="B89" s="254"/>
      <c r="C89" s="255"/>
      <c r="D89" s="256"/>
      <c r="E89" s="257"/>
      <c r="F89" s="258"/>
      <c r="G89" s="259"/>
      <c r="H89" s="259"/>
      <c r="I89" s="259"/>
      <c r="J89" s="259"/>
      <c r="K89" s="260"/>
    </row>
    <row r="90" spans="1:11" ht="99.95" customHeight="1">
      <c r="A90" s="253"/>
      <c r="B90" s="254"/>
      <c r="C90" s="255"/>
      <c r="D90" s="256"/>
      <c r="E90" s="257"/>
      <c r="F90" s="258"/>
      <c r="G90" s="259"/>
      <c r="H90" s="259"/>
      <c r="I90" s="259"/>
      <c r="J90" s="259"/>
      <c r="K90" s="260"/>
    </row>
    <row r="91" spans="1:11" ht="99.95" customHeight="1">
      <c r="A91" s="253"/>
      <c r="B91" s="254"/>
      <c r="C91" s="255"/>
      <c r="D91" s="256"/>
      <c r="E91" s="257"/>
      <c r="F91" s="258"/>
      <c r="G91" s="259"/>
      <c r="H91" s="259"/>
      <c r="I91" s="259"/>
      <c r="J91" s="259"/>
      <c r="K91" s="260"/>
    </row>
    <row r="92" spans="1:11" ht="99.95" customHeight="1">
      <c r="A92" s="253"/>
      <c r="B92" s="254"/>
      <c r="C92" s="255"/>
      <c r="D92" s="256"/>
      <c r="E92" s="257"/>
      <c r="F92" s="258"/>
      <c r="G92" s="259"/>
      <c r="H92" s="259"/>
      <c r="I92" s="259"/>
      <c r="J92" s="259"/>
      <c r="K92" s="260"/>
    </row>
    <row r="93" spans="1:11" ht="99.95" customHeight="1">
      <c r="A93" s="253"/>
      <c r="B93" s="254"/>
      <c r="C93" s="255"/>
      <c r="D93" s="256"/>
      <c r="E93" s="257"/>
      <c r="F93" s="258"/>
      <c r="G93" s="259"/>
      <c r="H93" s="259"/>
      <c r="I93" s="259"/>
      <c r="J93" s="259"/>
      <c r="K93" s="260"/>
    </row>
    <row r="94" spans="1:11" ht="99.95" customHeight="1">
      <c r="A94" s="253"/>
      <c r="B94" s="254"/>
      <c r="C94" s="255"/>
      <c r="D94" s="256"/>
      <c r="E94" s="257"/>
      <c r="F94" s="258"/>
      <c r="G94" s="259"/>
      <c r="H94" s="259"/>
      <c r="I94" s="259"/>
      <c r="J94" s="259"/>
      <c r="K94" s="260"/>
    </row>
    <row r="95" spans="1:11" ht="99.95" customHeight="1">
      <c r="A95" s="253"/>
      <c r="B95" s="254"/>
      <c r="C95" s="255"/>
      <c r="D95" s="256"/>
      <c r="E95" s="257"/>
      <c r="F95" s="258"/>
      <c r="G95" s="259"/>
      <c r="H95" s="259"/>
      <c r="I95" s="259"/>
      <c r="J95" s="259"/>
      <c r="K95" s="260"/>
    </row>
    <row r="96" spans="1:11" ht="99.95" customHeight="1">
      <c r="A96" s="253"/>
      <c r="B96" s="254"/>
      <c r="C96" s="255"/>
      <c r="D96" s="256"/>
      <c r="E96" s="257"/>
      <c r="F96" s="258"/>
      <c r="G96" s="259"/>
      <c r="H96" s="259"/>
      <c r="I96" s="259"/>
      <c r="J96" s="259"/>
      <c r="K96" s="260"/>
    </row>
    <row r="97" spans="1:11" ht="15" customHeight="1"/>
    <row r="98" spans="1:11" ht="15" customHeight="1"/>
    <row r="99" spans="1:11" ht="15" customHeight="1"/>
    <row r="100" spans="1:11" ht="15" customHeight="1"/>
    <row r="101" spans="1:11" ht="15" customHeight="1"/>
    <row r="102" spans="1:11" ht="15" customHeight="1">
      <c r="A102" s="31" t="s">
        <v>51</v>
      </c>
      <c r="B102" s="31"/>
      <c r="C102" s="31"/>
      <c r="D102" s="31"/>
      <c r="E102" s="31"/>
      <c r="F102" s="31"/>
    </row>
    <row r="103" spans="1:11" ht="15" customHeight="1">
      <c r="A103" s="31" t="s">
        <v>53</v>
      </c>
      <c r="B103" s="31"/>
      <c r="C103" s="31"/>
      <c r="H103" s="99" t="s">
        <v>54</v>
      </c>
      <c r="I103" s="53"/>
      <c r="J103" s="53"/>
      <c r="K103" s="53"/>
    </row>
  </sheetData>
  <mergeCells count="110"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63:C63"/>
    <mergeCell ref="D63:E63"/>
    <mergeCell ref="F63:K63"/>
    <mergeCell ref="A64:C64"/>
    <mergeCell ref="D64:E64"/>
    <mergeCell ref="F64:K64"/>
    <mergeCell ref="A1:K1"/>
    <mergeCell ref="A18:C18"/>
    <mergeCell ref="D18:F18"/>
    <mergeCell ref="A21:C21"/>
    <mergeCell ref="D21:F21"/>
    <mergeCell ref="A22:C22"/>
    <mergeCell ref="D22:F22"/>
    <mergeCell ref="G22:H22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3"/>
  <sheetViews>
    <sheetView showGridLines="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1500/324106.53*J61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J61*1.1*0.026%</f>
        <v>0</v>
      </c>
      <c r="K14" s="58"/>
      <c r="L14" s="51"/>
    </row>
    <row r="15" spans="1:13" ht="15" customHeight="1">
      <c r="F15" s="38"/>
      <c r="H15" s="64"/>
      <c r="I15" s="65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68">
        <f>K61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68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100" t="s">
        <v>55</v>
      </c>
      <c r="E26" s="100"/>
      <c r="F26" s="100"/>
      <c r="G26" s="100" t="s">
        <v>5</v>
      </c>
      <c r="H26" s="100" t="s">
        <v>6</v>
      </c>
      <c r="I26" s="100" t="s">
        <v>56</v>
      </c>
      <c r="J26" s="100" t="s">
        <v>57</v>
      </c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>
        <f t="shared" ref="J27:J60" si="0">G27*I27</f>
        <v>0</v>
      </c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>
        <f t="shared" si="0"/>
        <v>0</v>
      </c>
      <c r="K28" s="51"/>
      <c r="M28" s="83"/>
    </row>
    <row r="29" spans="1:13" ht="15" customHeight="1">
      <c r="A29" s="77"/>
      <c r="B29" s="57"/>
      <c r="C29" s="57"/>
      <c r="D29" s="78"/>
      <c r="E29" s="39"/>
      <c r="F29" s="79"/>
      <c r="G29" s="79"/>
      <c r="H29" s="80"/>
      <c r="I29" s="81"/>
      <c r="J29" s="82">
        <f t="shared" si="0"/>
        <v>0</v>
      </c>
      <c r="K29" s="51"/>
      <c r="M29" s="83"/>
    </row>
    <row r="30" spans="1:13" ht="15" customHeight="1">
      <c r="A30" s="77"/>
      <c r="B30" s="57"/>
      <c r="C30" s="57"/>
      <c r="D30" s="78"/>
      <c r="E30" s="39"/>
      <c r="F30" s="79"/>
      <c r="G30" s="79"/>
      <c r="H30" s="80"/>
      <c r="I30" s="81"/>
      <c r="J30" s="82">
        <f t="shared" si="0"/>
        <v>0</v>
      </c>
      <c r="K30" s="51"/>
      <c r="M30" s="83"/>
    </row>
    <row r="31" spans="1:13" ht="15" customHeight="1">
      <c r="A31" s="77"/>
      <c r="B31" s="57"/>
      <c r="C31" s="57"/>
      <c r="D31" s="78"/>
      <c r="E31" s="39"/>
      <c r="F31" s="79"/>
      <c r="G31" s="79"/>
      <c r="H31" s="80"/>
      <c r="I31" s="81"/>
      <c r="J31" s="82">
        <f t="shared" si="0"/>
        <v>0</v>
      </c>
      <c r="K31" s="51"/>
      <c r="M31" s="83"/>
    </row>
    <row r="32" spans="1:13" ht="15" customHeight="1">
      <c r="A32" s="77"/>
      <c r="B32" s="57"/>
      <c r="C32" s="57"/>
      <c r="D32" s="78"/>
      <c r="E32" s="39"/>
      <c r="F32" s="79"/>
      <c r="G32" s="79"/>
      <c r="H32" s="80"/>
      <c r="I32" s="81"/>
      <c r="J32" s="82">
        <f t="shared" si="0"/>
        <v>0</v>
      </c>
      <c r="K32" s="51"/>
      <c r="M32" s="83"/>
    </row>
    <row r="33" spans="1:13" ht="15" customHeight="1">
      <c r="A33" s="77"/>
      <c r="B33" s="57"/>
      <c r="C33" s="57"/>
      <c r="D33" s="78"/>
      <c r="E33" s="39"/>
      <c r="F33" s="79"/>
      <c r="G33" s="79"/>
      <c r="H33" s="80"/>
      <c r="I33" s="81"/>
      <c r="J33" s="82">
        <f t="shared" si="0"/>
        <v>0</v>
      </c>
      <c r="K33" s="51"/>
      <c r="M33" s="83"/>
    </row>
    <row r="34" spans="1:13" ht="15" customHeight="1">
      <c r="A34" s="77"/>
      <c r="B34" s="57"/>
      <c r="C34" s="57"/>
      <c r="D34" s="78"/>
      <c r="E34" s="39"/>
      <c r="F34" s="79"/>
      <c r="G34" s="79"/>
      <c r="H34" s="80"/>
      <c r="I34" s="81"/>
      <c r="J34" s="82">
        <f t="shared" si="0"/>
        <v>0</v>
      </c>
      <c r="K34" s="51"/>
      <c r="M34" s="83"/>
    </row>
    <row r="35" spans="1:13" ht="15" customHeight="1">
      <c r="A35" s="77"/>
      <c r="B35" s="57"/>
      <c r="C35" s="57"/>
      <c r="D35" s="78"/>
      <c r="E35" s="39"/>
      <c r="F35" s="79"/>
      <c r="G35" s="79"/>
      <c r="H35" s="80"/>
      <c r="I35" s="81"/>
      <c r="J35" s="82">
        <f t="shared" si="0"/>
        <v>0</v>
      </c>
      <c r="K35" s="51"/>
      <c r="M35" s="83"/>
    </row>
    <row r="36" spans="1:13" ht="15" customHeight="1">
      <c r="A36" s="77"/>
      <c r="B36" s="57"/>
      <c r="C36" s="57"/>
      <c r="D36" s="78"/>
      <c r="E36" s="39"/>
      <c r="F36" s="79"/>
      <c r="G36" s="79"/>
      <c r="H36" s="80"/>
      <c r="I36" s="81"/>
      <c r="J36" s="82">
        <f t="shared" si="0"/>
        <v>0</v>
      </c>
      <c r="K36" s="51"/>
      <c r="M36" s="83"/>
    </row>
    <row r="37" spans="1:13" ht="15" customHeight="1">
      <c r="A37" s="77"/>
      <c r="B37" s="57"/>
      <c r="C37" s="57"/>
      <c r="D37" s="78"/>
      <c r="E37" s="39"/>
      <c r="F37" s="79"/>
      <c r="G37" s="79"/>
      <c r="H37" s="80"/>
      <c r="I37" s="81"/>
      <c r="J37" s="82">
        <f t="shared" si="0"/>
        <v>0</v>
      </c>
      <c r="K37" s="51"/>
      <c r="M37" s="83"/>
    </row>
    <row r="38" spans="1:13" ht="15" customHeight="1">
      <c r="A38" s="77"/>
      <c r="B38" s="57"/>
      <c r="C38" s="57"/>
      <c r="D38" s="78"/>
      <c r="E38" s="39"/>
      <c r="F38" s="79"/>
      <c r="G38" s="79"/>
      <c r="H38" s="80"/>
      <c r="I38" s="81"/>
      <c r="J38" s="82">
        <f t="shared" si="0"/>
        <v>0</v>
      </c>
      <c r="K38" s="51"/>
      <c r="M38" s="83"/>
    </row>
    <row r="39" spans="1:13" ht="15" customHeight="1">
      <c r="A39" s="77"/>
      <c r="B39" s="57"/>
      <c r="C39" s="57"/>
      <c r="D39" s="78"/>
      <c r="E39" s="39"/>
      <c r="F39" s="79"/>
      <c r="G39" s="79"/>
      <c r="H39" s="80"/>
      <c r="I39" s="81"/>
      <c r="J39" s="82">
        <f t="shared" si="0"/>
        <v>0</v>
      </c>
      <c r="K39" s="51"/>
      <c r="M39" s="83"/>
    </row>
    <row r="40" spans="1:13" ht="15" customHeight="1">
      <c r="A40" s="77"/>
      <c r="B40" s="57"/>
      <c r="C40" s="57"/>
      <c r="D40" s="78"/>
      <c r="E40" s="39"/>
      <c r="F40" s="79"/>
      <c r="G40" s="79"/>
      <c r="H40" s="80"/>
      <c r="I40" s="81"/>
      <c r="J40" s="82">
        <f t="shared" si="0"/>
        <v>0</v>
      </c>
      <c r="K40" s="51"/>
      <c r="M40" s="83"/>
    </row>
    <row r="41" spans="1:13" ht="15" customHeight="1">
      <c r="A41" s="77"/>
      <c r="B41" s="57"/>
      <c r="C41" s="57"/>
      <c r="D41" s="78"/>
      <c r="E41" s="39"/>
      <c r="F41" s="79"/>
      <c r="G41" s="79"/>
      <c r="H41" s="80"/>
      <c r="I41" s="81"/>
      <c r="J41" s="82">
        <f t="shared" si="0"/>
        <v>0</v>
      </c>
      <c r="K41" s="51"/>
      <c r="M41" s="83"/>
    </row>
    <row r="42" spans="1:13" ht="15" customHeight="1">
      <c r="A42" s="77"/>
      <c r="B42" s="57"/>
      <c r="C42" s="57"/>
      <c r="D42" s="78"/>
      <c r="E42" s="39"/>
      <c r="F42" s="79"/>
      <c r="G42" s="79"/>
      <c r="H42" s="80"/>
      <c r="I42" s="81"/>
      <c r="J42" s="82">
        <f t="shared" si="0"/>
        <v>0</v>
      </c>
      <c r="K42" s="51"/>
      <c r="M42" s="83"/>
    </row>
    <row r="43" spans="1:13" ht="15" customHeight="1">
      <c r="A43" s="77"/>
      <c r="B43" s="57"/>
      <c r="C43" s="57"/>
      <c r="D43" s="78"/>
      <c r="E43" s="39"/>
      <c r="F43" s="79"/>
      <c r="G43" s="79"/>
      <c r="H43" s="80"/>
      <c r="I43" s="81"/>
      <c r="J43" s="82">
        <f t="shared" si="0"/>
        <v>0</v>
      </c>
      <c r="K43" s="51"/>
      <c r="M43" s="83"/>
    </row>
    <row r="44" spans="1:13" ht="15" customHeight="1">
      <c r="A44" s="77"/>
      <c r="B44" s="57"/>
      <c r="C44" s="57"/>
      <c r="D44" s="78"/>
      <c r="E44" s="39"/>
      <c r="F44" s="79"/>
      <c r="G44" s="79"/>
      <c r="H44" s="80"/>
      <c r="I44" s="81"/>
      <c r="J44" s="82">
        <f t="shared" si="0"/>
        <v>0</v>
      </c>
      <c r="K44" s="51"/>
      <c r="M44" s="83"/>
    </row>
    <row r="45" spans="1:13" ht="15" customHeight="1">
      <c r="A45" s="77"/>
      <c r="B45" s="57"/>
      <c r="C45" s="57"/>
      <c r="D45" s="78"/>
      <c r="E45" s="39"/>
      <c r="F45" s="79"/>
      <c r="G45" s="79"/>
      <c r="H45" s="80"/>
      <c r="I45" s="81"/>
      <c r="J45" s="82">
        <f t="shared" si="0"/>
        <v>0</v>
      </c>
      <c r="K45" s="51"/>
      <c r="M45" s="83"/>
    </row>
    <row r="46" spans="1:13" ht="15" customHeight="1">
      <c r="A46" s="77"/>
      <c r="B46" s="57"/>
      <c r="C46" s="57"/>
      <c r="D46" s="78"/>
      <c r="E46" s="39"/>
      <c r="F46" s="79"/>
      <c r="G46" s="79"/>
      <c r="H46" s="80"/>
      <c r="I46" s="81"/>
      <c r="J46" s="82">
        <f t="shared" si="0"/>
        <v>0</v>
      </c>
      <c r="K46" s="51"/>
      <c r="M46" s="83"/>
    </row>
    <row r="47" spans="1:13" ht="15" customHeight="1">
      <c r="A47" s="77"/>
      <c r="B47" s="57"/>
      <c r="C47" s="57"/>
      <c r="D47" s="78"/>
      <c r="E47" s="39"/>
      <c r="F47" s="79"/>
      <c r="G47" s="79"/>
      <c r="H47" s="80"/>
      <c r="I47" s="81"/>
      <c r="J47" s="82">
        <f t="shared" si="0"/>
        <v>0</v>
      </c>
      <c r="K47" s="51"/>
      <c r="M47" s="83"/>
    </row>
    <row r="48" spans="1:13" ht="15" customHeight="1">
      <c r="A48" s="77"/>
      <c r="B48" s="57"/>
      <c r="C48" s="57"/>
      <c r="D48" s="78"/>
      <c r="E48" s="39"/>
      <c r="F48" s="79"/>
      <c r="G48" s="79"/>
      <c r="H48" s="80"/>
      <c r="I48" s="81"/>
      <c r="J48" s="82">
        <f t="shared" si="0"/>
        <v>0</v>
      </c>
      <c r="K48" s="51"/>
      <c r="M48" s="83"/>
    </row>
    <row r="49" spans="1:13" ht="15" customHeight="1">
      <c r="A49" s="77"/>
      <c r="B49" s="57"/>
      <c r="C49" s="57"/>
      <c r="D49" s="78"/>
      <c r="E49" s="39"/>
      <c r="F49" s="79"/>
      <c r="G49" s="79"/>
      <c r="H49" s="80"/>
      <c r="I49" s="81"/>
      <c r="J49" s="82">
        <f t="shared" si="0"/>
        <v>0</v>
      </c>
      <c r="K49" s="51"/>
      <c r="M49" s="83"/>
    </row>
    <row r="50" spans="1:13" ht="15" customHeight="1">
      <c r="A50" s="77"/>
      <c r="B50" s="57"/>
      <c r="C50" s="57"/>
      <c r="D50" s="78"/>
      <c r="E50" s="39"/>
      <c r="F50" s="79"/>
      <c r="G50" s="79"/>
      <c r="H50" s="80"/>
      <c r="I50" s="81"/>
      <c r="J50" s="82">
        <f t="shared" si="0"/>
        <v>0</v>
      </c>
      <c r="K50" s="51"/>
      <c r="M50" s="83"/>
    </row>
    <row r="51" spans="1:13" ht="15" customHeight="1">
      <c r="A51" s="77"/>
      <c r="B51" s="57"/>
      <c r="C51" s="57"/>
      <c r="D51" s="78"/>
      <c r="E51" s="39"/>
      <c r="F51" s="79"/>
      <c r="G51" s="79"/>
      <c r="H51" s="80"/>
      <c r="I51" s="81"/>
      <c r="J51" s="82">
        <f t="shared" si="0"/>
        <v>0</v>
      </c>
      <c r="K51" s="51"/>
      <c r="M51" s="83"/>
    </row>
    <row r="52" spans="1:13" ht="15" customHeight="1">
      <c r="A52" s="77"/>
      <c r="B52" s="57"/>
      <c r="C52" s="57"/>
      <c r="D52" s="78"/>
      <c r="E52" s="39"/>
      <c r="F52" s="79"/>
      <c r="G52" s="79"/>
      <c r="H52" s="80"/>
      <c r="I52" s="81"/>
      <c r="J52" s="82">
        <f t="shared" si="0"/>
        <v>0</v>
      </c>
      <c r="K52" s="51"/>
      <c r="M52" s="83"/>
    </row>
    <row r="53" spans="1:13" ht="15" customHeight="1">
      <c r="A53" s="77"/>
      <c r="B53" s="57"/>
      <c r="C53" s="57"/>
      <c r="D53" s="78"/>
      <c r="E53" s="39"/>
      <c r="F53" s="79"/>
      <c r="G53" s="79"/>
      <c r="H53" s="80"/>
      <c r="I53" s="81"/>
      <c r="J53" s="82">
        <f t="shared" si="0"/>
        <v>0</v>
      </c>
      <c r="K53" s="51"/>
      <c r="M53" s="83"/>
    </row>
    <row r="54" spans="1:13" ht="15" customHeight="1">
      <c r="A54" s="77"/>
      <c r="B54" s="57"/>
      <c r="C54" s="57"/>
      <c r="D54" s="78"/>
      <c r="E54" s="39"/>
      <c r="F54" s="79"/>
      <c r="G54" s="79"/>
      <c r="H54" s="80"/>
      <c r="I54" s="81"/>
      <c r="J54" s="82">
        <f t="shared" si="0"/>
        <v>0</v>
      </c>
      <c r="K54" s="51"/>
      <c r="M54" s="83"/>
    </row>
    <row r="55" spans="1:13" ht="15" customHeight="1">
      <c r="A55" s="77"/>
      <c r="B55" s="57"/>
      <c r="C55" s="57"/>
      <c r="D55" s="78"/>
      <c r="E55" s="39"/>
      <c r="F55" s="79"/>
      <c r="G55" s="79"/>
      <c r="H55" s="80"/>
      <c r="I55" s="81"/>
      <c r="J55" s="82">
        <f t="shared" si="0"/>
        <v>0</v>
      </c>
      <c r="K55" s="51"/>
      <c r="M55" s="83"/>
    </row>
    <row r="56" spans="1:13" ht="15" customHeight="1">
      <c r="A56" s="77"/>
      <c r="B56" s="57"/>
      <c r="C56" s="57"/>
      <c r="D56" s="78"/>
      <c r="E56" s="39"/>
      <c r="F56" s="79"/>
      <c r="G56" s="79"/>
      <c r="H56" s="80"/>
      <c r="I56" s="81"/>
      <c r="J56" s="82">
        <f t="shared" si="0"/>
        <v>0</v>
      </c>
      <c r="K56" s="51"/>
      <c r="M56" s="83"/>
    </row>
    <row r="57" spans="1:13" ht="15" customHeight="1">
      <c r="A57" s="77"/>
      <c r="B57" s="57"/>
      <c r="C57" s="57"/>
      <c r="D57" s="78"/>
      <c r="E57" s="39"/>
      <c r="F57" s="79"/>
      <c r="G57" s="79"/>
      <c r="H57" s="80"/>
      <c r="I57" s="81"/>
      <c r="J57" s="82">
        <f t="shared" si="0"/>
        <v>0</v>
      </c>
      <c r="K57" s="51"/>
      <c r="M57" s="83"/>
    </row>
    <row r="58" spans="1:13" ht="15" customHeight="1">
      <c r="A58" s="77"/>
      <c r="B58" s="57"/>
      <c r="C58" s="57"/>
      <c r="D58" s="78"/>
      <c r="E58" s="39"/>
      <c r="F58" s="79"/>
      <c r="G58" s="79"/>
      <c r="H58" s="80"/>
      <c r="I58" s="81"/>
      <c r="J58" s="82">
        <f t="shared" si="0"/>
        <v>0</v>
      </c>
      <c r="K58" s="51"/>
      <c r="M58" s="83"/>
    </row>
    <row r="59" spans="1:13" ht="15" customHeight="1">
      <c r="A59" s="77"/>
      <c r="B59" s="57"/>
      <c r="C59" s="57"/>
      <c r="D59" s="78"/>
      <c r="E59" s="39"/>
      <c r="F59" s="79"/>
      <c r="G59" s="79"/>
      <c r="H59" s="80"/>
      <c r="I59" s="81"/>
      <c r="J59" s="82">
        <f t="shared" si="0"/>
        <v>0</v>
      </c>
      <c r="K59" s="51"/>
      <c r="M59" s="83"/>
    </row>
    <row r="60" spans="1:13" ht="15" customHeight="1">
      <c r="A60" s="77"/>
      <c r="B60" s="57"/>
      <c r="C60" s="57"/>
      <c r="D60" s="78"/>
      <c r="E60" s="39"/>
      <c r="F60" s="79"/>
      <c r="G60" s="79"/>
      <c r="H60" s="80"/>
      <c r="I60" s="81"/>
      <c r="J60" s="82">
        <f t="shared" si="0"/>
        <v>0</v>
      </c>
      <c r="K60" s="51"/>
      <c r="M60" s="83"/>
    </row>
    <row r="61" spans="1:13" ht="15" customHeight="1" thickBot="1">
      <c r="A61" s="77"/>
      <c r="B61" s="84"/>
      <c r="C61" s="39"/>
      <c r="D61" s="85" t="s">
        <v>50</v>
      </c>
      <c r="E61" s="85"/>
      <c r="F61" s="86"/>
      <c r="G61" s="87"/>
      <c r="H61" s="88"/>
      <c r="I61" s="89"/>
      <c r="J61" s="90">
        <f>SUM(J27:J60)</f>
        <v>0</v>
      </c>
      <c r="K61" s="51">
        <f>SUM(K27:K60)</f>
        <v>0</v>
      </c>
    </row>
    <row r="62" spans="1:13" ht="15" customHeight="1" thickTop="1">
      <c r="A62" s="9" t="s">
        <v>58</v>
      </c>
      <c r="B62" s="84"/>
      <c r="C62" s="57"/>
      <c r="D62" s="57" t="s">
        <v>59</v>
      </c>
      <c r="E62" s="57"/>
      <c r="F62" s="50" t="s">
        <v>60</v>
      </c>
      <c r="G62" s="50"/>
      <c r="H62" s="91"/>
      <c r="I62" s="92"/>
      <c r="J62" s="93"/>
    </row>
    <row r="63" spans="1:13" ht="99.95" customHeight="1">
      <c r="A63" s="253"/>
      <c r="B63" s="254"/>
      <c r="C63" s="255"/>
      <c r="D63" s="256"/>
      <c r="E63" s="257"/>
      <c r="F63" s="258"/>
      <c r="G63" s="259"/>
      <c r="H63" s="259"/>
      <c r="I63" s="259"/>
      <c r="J63" s="259"/>
      <c r="K63" s="260"/>
    </row>
    <row r="64" spans="1:13" ht="99.95" customHeight="1">
      <c r="A64" s="253"/>
      <c r="B64" s="254"/>
      <c r="C64" s="255"/>
      <c r="D64" s="256"/>
      <c r="E64" s="257"/>
      <c r="F64" s="258"/>
      <c r="G64" s="259"/>
      <c r="H64" s="259"/>
      <c r="I64" s="259"/>
      <c r="J64" s="259"/>
      <c r="K64" s="260"/>
    </row>
    <row r="65" spans="1:11" ht="99.95" customHeight="1">
      <c r="A65" s="253"/>
      <c r="B65" s="254"/>
      <c r="C65" s="255"/>
      <c r="D65" s="256"/>
      <c r="E65" s="257"/>
      <c r="F65" s="258"/>
      <c r="G65" s="259"/>
      <c r="H65" s="259"/>
      <c r="I65" s="259"/>
      <c r="J65" s="259"/>
      <c r="K65" s="260"/>
    </row>
    <row r="66" spans="1:11" ht="99.95" customHeight="1">
      <c r="A66" s="253"/>
      <c r="B66" s="254"/>
      <c r="C66" s="255"/>
      <c r="D66" s="256"/>
      <c r="E66" s="257"/>
      <c r="F66" s="258"/>
      <c r="G66" s="259"/>
      <c r="H66" s="259"/>
      <c r="I66" s="259"/>
      <c r="J66" s="259"/>
      <c r="K66" s="260"/>
    </row>
    <row r="67" spans="1:11" ht="99.95" customHeight="1">
      <c r="A67" s="253"/>
      <c r="B67" s="254"/>
      <c r="C67" s="255"/>
      <c r="D67" s="256"/>
      <c r="E67" s="257"/>
      <c r="F67" s="258"/>
      <c r="G67" s="259"/>
      <c r="H67" s="259"/>
      <c r="I67" s="259"/>
      <c r="J67" s="259"/>
      <c r="K67" s="260"/>
    </row>
    <row r="68" spans="1:11" ht="99.95" customHeight="1">
      <c r="A68" s="253"/>
      <c r="B68" s="254"/>
      <c r="C68" s="255"/>
      <c r="D68" s="256"/>
      <c r="E68" s="257"/>
      <c r="F68" s="258"/>
      <c r="G68" s="259"/>
      <c r="H68" s="259"/>
      <c r="I68" s="259"/>
      <c r="J68" s="259"/>
      <c r="K68" s="260"/>
    </row>
    <row r="69" spans="1:11" ht="99.95" customHeight="1">
      <c r="A69" s="253"/>
      <c r="B69" s="254"/>
      <c r="C69" s="255"/>
      <c r="D69" s="256"/>
      <c r="E69" s="257"/>
      <c r="F69" s="258"/>
      <c r="G69" s="259"/>
      <c r="H69" s="259"/>
      <c r="I69" s="259"/>
      <c r="J69" s="259"/>
      <c r="K69" s="260"/>
    </row>
    <row r="70" spans="1:11" ht="99.95" customHeight="1">
      <c r="A70" s="253"/>
      <c r="B70" s="254"/>
      <c r="C70" s="255"/>
      <c r="D70" s="256"/>
      <c r="E70" s="257"/>
      <c r="F70" s="258"/>
      <c r="G70" s="259"/>
      <c r="H70" s="259"/>
      <c r="I70" s="259"/>
      <c r="J70" s="259"/>
      <c r="K70" s="260"/>
    </row>
    <row r="71" spans="1:11" ht="99.95" customHeight="1">
      <c r="A71" s="253"/>
      <c r="B71" s="254"/>
      <c r="C71" s="255"/>
      <c r="D71" s="256"/>
      <c r="E71" s="257"/>
      <c r="F71" s="258"/>
      <c r="G71" s="259"/>
      <c r="H71" s="259"/>
      <c r="I71" s="259"/>
      <c r="J71" s="259"/>
      <c r="K71" s="260"/>
    </row>
    <row r="72" spans="1:11" ht="99.95" customHeight="1">
      <c r="A72" s="253"/>
      <c r="B72" s="254"/>
      <c r="C72" s="255"/>
      <c r="D72" s="256"/>
      <c r="E72" s="257"/>
      <c r="F72" s="258"/>
      <c r="G72" s="259"/>
      <c r="H72" s="259"/>
      <c r="I72" s="259"/>
      <c r="J72" s="259"/>
      <c r="K72" s="260"/>
    </row>
    <row r="73" spans="1:11" ht="99.95" customHeight="1">
      <c r="A73" s="253"/>
      <c r="B73" s="254"/>
      <c r="C73" s="255"/>
      <c r="D73" s="256"/>
      <c r="E73" s="257"/>
      <c r="F73" s="258"/>
      <c r="G73" s="259"/>
      <c r="H73" s="259"/>
      <c r="I73" s="259"/>
      <c r="J73" s="259"/>
      <c r="K73" s="260"/>
    </row>
    <row r="74" spans="1:11" ht="99.95" customHeight="1">
      <c r="A74" s="253"/>
      <c r="B74" s="254"/>
      <c r="C74" s="255"/>
      <c r="D74" s="256"/>
      <c r="E74" s="257"/>
      <c r="F74" s="258"/>
      <c r="G74" s="259"/>
      <c r="H74" s="259"/>
      <c r="I74" s="259"/>
      <c r="J74" s="259"/>
      <c r="K74" s="260"/>
    </row>
    <row r="75" spans="1:11" ht="99.95" customHeight="1">
      <c r="A75" s="253"/>
      <c r="B75" s="254"/>
      <c r="C75" s="255"/>
      <c r="D75" s="256"/>
      <c r="E75" s="257"/>
      <c r="F75" s="258"/>
      <c r="G75" s="259"/>
      <c r="H75" s="259"/>
      <c r="I75" s="259"/>
      <c r="J75" s="259"/>
      <c r="K75" s="260"/>
    </row>
    <row r="76" spans="1:11" ht="99.95" customHeight="1">
      <c r="A76" s="253"/>
      <c r="B76" s="254"/>
      <c r="C76" s="255"/>
      <c r="D76" s="256"/>
      <c r="E76" s="257"/>
      <c r="F76" s="258"/>
      <c r="G76" s="259"/>
      <c r="H76" s="259"/>
      <c r="I76" s="259"/>
      <c r="J76" s="259"/>
      <c r="K76" s="260"/>
    </row>
    <row r="77" spans="1:11" ht="99.95" customHeight="1">
      <c r="A77" s="253"/>
      <c r="B77" s="254"/>
      <c r="C77" s="255"/>
      <c r="D77" s="256"/>
      <c r="E77" s="257"/>
      <c r="F77" s="258"/>
      <c r="G77" s="259"/>
      <c r="H77" s="259"/>
      <c r="I77" s="259"/>
      <c r="J77" s="259"/>
      <c r="K77" s="260"/>
    </row>
    <row r="78" spans="1:11" ht="99.95" customHeight="1">
      <c r="A78" s="253"/>
      <c r="B78" s="254"/>
      <c r="C78" s="255"/>
      <c r="D78" s="256"/>
      <c r="E78" s="257"/>
      <c r="F78" s="258"/>
      <c r="G78" s="259"/>
      <c r="H78" s="259"/>
      <c r="I78" s="259"/>
      <c r="J78" s="259"/>
      <c r="K78" s="260"/>
    </row>
    <row r="79" spans="1:11" ht="99.95" customHeight="1">
      <c r="A79" s="253"/>
      <c r="B79" s="254"/>
      <c r="C79" s="255"/>
      <c r="D79" s="256"/>
      <c r="E79" s="257"/>
      <c r="F79" s="258"/>
      <c r="G79" s="259"/>
      <c r="H79" s="259"/>
      <c r="I79" s="259"/>
      <c r="J79" s="259"/>
      <c r="K79" s="260"/>
    </row>
    <row r="80" spans="1:11" ht="99.95" customHeight="1">
      <c r="A80" s="253"/>
      <c r="B80" s="254"/>
      <c r="C80" s="255"/>
      <c r="D80" s="256"/>
      <c r="E80" s="257"/>
      <c r="F80" s="258"/>
      <c r="G80" s="259"/>
      <c r="H80" s="259"/>
      <c r="I80" s="259"/>
      <c r="J80" s="259"/>
      <c r="K80" s="260"/>
    </row>
    <row r="81" spans="1:11" ht="99.95" customHeight="1">
      <c r="A81" s="253"/>
      <c r="B81" s="254"/>
      <c r="C81" s="255"/>
      <c r="D81" s="256"/>
      <c r="E81" s="257"/>
      <c r="F81" s="258"/>
      <c r="G81" s="259"/>
      <c r="H81" s="259"/>
      <c r="I81" s="259"/>
      <c r="J81" s="259"/>
      <c r="K81" s="260"/>
    </row>
    <row r="82" spans="1:11" ht="99.95" customHeight="1">
      <c r="A82" s="253"/>
      <c r="B82" s="254"/>
      <c r="C82" s="255"/>
      <c r="D82" s="256"/>
      <c r="E82" s="257"/>
      <c r="F82" s="258"/>
      <c r="G82" s="259"/>
      <c r="H82" s="259"/>
      <c r="I82" s="259"/>
      <c r="J82" s="259"/>
      <c r="K82" s="260"/>
    </row>
    <row r="83" spans="1:11" ht="99.95" customHeight="1">
      <c r="A83" s="253"/>
      <c r="B83" s="254"/>
      <c r="C83" s="255"/>
      <c r="D83" s="256"/>
      <c r="E83" s="257"/>
      <c r="F83" s="258"/>
      <c r="G83" s="259"/>
      <c r="H83" s="259"/>
      <c r="I83" s="259"/>
      <c r="J83" s="259"/>
      <c r="K83" s="260"/>
    </row>
    <row r="84" spans="1:11" ht="99.95" customHeight="1">
      <c r="A84" s="253"/>
      <c r="B84" s="254"/>
      <c r="C84" s="255"/>
      <c r="D84" s="256"/>
      <c r="E84" s="257"/>
      <c r="F84" s="258"/>
      <c r="G84" s="259"/>
      <c r="H84" s="259"/>
      <c r="I84" s="259"/>
      <c r="J84" s="259"/>
      <c r="K84" s="260"/>
    </row>
    <row r="85" spans="1:11" ht="99.95" customHeight="1">
      <c r="A85" s="253"/>
      <c r="B85" s="254"/>
      <c r="C85" s="255"/>
      <c r="D85" s="256"/>
      <c r="E85" s="257"/>
      <c r="F85" s="258"/>
      <c r="G85" s="259"/>
      <c r="H85" s="259"/>
      <c r="I85" s="259"/>
      <c r="J85" s="259"/>
      <c r="K85" s="260"/>
    </row>
    <row r="86" spans="1:11" ht="99.95" customHeight="1">
      <c r="A86" s="253"/>
      <c r="B86" s="254"/>
      <c r="C86" s="255"/>
      <c r="D86" s="256"/>
      <c r="E86" s="257"/>
      <c r="F86" s="258"/>
      <c r="G86" s="259"/>
      <c r="H86" s="259"/>
      <c r="I86" s="259"/>
      <c r="J86" s="259"/>
      <c r="K86" s="260"/>
    </row>
    <row r="87" spans="1:11" ht="99.95" customHeight="1">
      <c r="A87" s="253"/>
      <c r="B87" s="254"/>
      <c r="C87" s="255"/>
      <c r="D87" s="256"/>
      <c r="E87" s="257"/>
      <c r="F87" s="258"/>
      <c r="G87" s="259"/>
      <c r="H87" s="259"/>
      <c r="I87" s="259"/>
      <c r="J87" s="259"/>
      <c r="K87" s="260"/>
    </row>
    <row r="88" spans="1:11" ht="99.95" customHeight="1">
      <c r="A88" s="253"/>
      <c r="B88" s="254"/>
      <c r="C88" s="255"/>
      <c r="D88" s="256"/>
      <c r="E88" s="257"/>
      <c r="F88" s="258"/>
      <c r="G88" s="259"/>
      <c r="H88" s="259"/>
      <c r="I88" s="259"/>
      <c r="J88" s="259"/>
      <c r="K88" s="260"/>
    </row>
    <row r="89" spans="1:11" ht="99.95" customHeight="1">
      <c r="A89" s="253"/>
      <c r="B89" s="254"/>
      <c r="C89" s="255"/>
      <c r="D89" s="256"/>
      <c r="E89" s="257"/>
      <c r="F89" s="258"/>
      <c r="G89" s="259"/>
      <c r="H89" s="259"/>
      <c r="I89" s="259"/>
      <c r="J89" s="259"/>
      <c r="K89" s="260"/>
    </row>
    <row r="90" spans="1:11" ht="99.95" customHeight="1">
      <c r="A90" s="253"/>
      <c r="B90" s="254"/>
      <c r="C90" s="255"/>
      <c r="D90" s="256"/>
      <c r="E90" s="257"/>
      <c r="F90" s="258"/>
      <c r="G90" s="259"/>
      <c r="H90" s="259"/>
      <c r="I90" s="259"/>
      <c r="J90" s="259"/>
      <c r="K90" s="260"/>
    </row>
    <row r="91" spans="1:11" ht="99.95" customHeight="1">
      <c r="A91" s="253"/>
      <c r="B91" s="254"/>
      <c r="C91" s="255"/>
      <c r="D91" s="256"/>
      <c r="E91" s="257"/>
      <c r="F91" s="258"/>
      <c r="G91" s="259"/>
      <c r="H91" s="259"/>
      <c r="I91" s="259"/>
      <c r="J91" s="259"/>
      <c r="K91" s="260"/>
    </row>
    <row r="92" spans="1:11" ht="99.95" customHeight="1">
      <c r="A92" s="253"/>
      <c r="B92" s="254"/>
      <c r="C92" s="255"/>
      <c r="D92" s="256"/>
      <c r="E92" s="257"/>
      <c r="F92" s="258"/>
      <c r="G92" s="259"/>
      <c r="H92" s="259"/>
      <c r="I92" s="259"/>
      <c r="J92" s="259"/>
      <c r="K92" s="260"/>
    </row>
    <row r="93" spans="1:11" ht="99.95" customHeight="1">
      <c r="A93" s="253"/>
      <c r="B93" s="254"/>
      <c r="C93" s="255"/>
      <c r="D93" s="256"/>
      <c r="E93" s="257"/>
      <c r="F93" s="258"/>
      <c r="G93" s="259"/>
      <c r="H93" s="259"/>
      <c r="I93" s="259"/>
      <c r="J93" s="259"/>
      <c r="K93" s="260"/>
    </row>
    <row r="94" spans="1:11" ht="99.95" customHeight="1">
      <c r="A94" s="253"/>
      <c r="B94" s="254"/>
      <c r="C94" s="255"/>
      <c r="D94" s="256"/>
      <c r="E94" s="257"/>
      <c r="F94" s="258"/>
      <c r="G94" s="259"/>
      <c r="H94" s="259"/>
      <c r="I94" s="259"/>
      <c r="J94" s="259"/>
      <c r="K94" s="260"/>
    </row>
    <row r="95" spans="1:11" ht="99.95" customHeight="1">
      <c r="A95" s="253"/>
      <c r="B95" s="254"/>
      <c r="C95" s="255"/>
      <c r="D95" s="256"/>
      <c r="E95" s="257"/>
      <c r="F95" s="258"/>
      <c r="G95" s="259"/>
      <c r="H95" s="259"/>
      <c r="I95" s="259"/>
      <c r="J95" s="259"/>
      <c r="K95" s="260"/>
    </row>
    <row r="96" spans="1:11" ht="99.95" customHeight="1">
      <c r="A96" s="253"/>
      <c r="B96" s="254"/>
      <c r="C96" s="255"/>
      <c r="D96" s="256"/>
      <c r="E96" s="257"/>
      <c r="F96" s="258"/>
      <c r="G96" s="259"/>
      <c r="H96" s="259"/>
      <c r="I96" s="259"/>
      <c r="J96" s="259"/>
      <c r="K96" s="260"/>
    </row>
    <row r="97" spans="1:11" ht="15" customHeight="1"/>
    <row r="98" spans="1:11" ht="15" customHeight="1"/>
    <row r="99" spans="1:11" ht="15" customHeight="1"/>
    <row r="100" spans="1:11" ht="15" customHeight="1"/>
    <row r="101" spans="1:11" ht="15" customHeight="1"/>
    <row r="102" spans="1:11" ht="15" customHeight="1">
      <c r="A102" s="31" t="s">
        <v>51</v>
      </c>
      <c r="B102" s="31"/>
      <c r="C102" s="31"/>
      <c r="D102" s="31"/>
      <c r="E102" s="31"/>
      <c r="F102" s="31"/>
    </row>
    <row r="103" spans="1:11" ht="15" customHeight="1">
      <c r="A103" s="31" t="s">
        <v>53</v>
      </c>
      <c r="B103" s="31"/>
      <c r="C103" s="31"/>
      <c r="H103" s="99" t="s">
        <v>54</v>
      </c>
      <c r="I103" s="53"/>
      <c r="J103" s="53"/>
      <c r="K103" s="53"/>
    </row>
  </sheetData>
  <mergeCells count="110"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63:C63"/>
    <mergeCell ref="D63:E63"/>
    <mergeCell ref="F63:K63"/>
    <mergeCell ref="A64:C64"/>
    <mergeCell ref="D64:E64"/>
    <mergeCell ref="F64:K64"/>
    <mergeCell ref="A1:K1"/>
    <mergeCell ref="A18:C18"/>
    <mergeCell ref="D18:F18"/>
    <mergeCell ref="A21:C21"/>
    <mergeCell ref="D21:F21"/>
    <mergeCell ref="A22:C22"/>
    <mergeCell ref="D22:F22"/>
    <mergeCell ref="G22:H22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3"/>
  <sheetViews>
    <sheetView showGridLines="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1500/324106.53*J61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J61*1.1*0.026%</f>
        <v>0</v>
      </c>
      <c r="K14" s="58"/>
      <c r="L14" s="51"/>
    </row>
    <row r="15" spans="1:13" ht="15" customHeight="1">
      <c r="F15" s="38"/>
      <c r="H15" s="64"/>
      <c r="I15" s="65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68">
        <f>K61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68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100" t="s">
        <v>55</v>
      </c>
      <c r="E26" s="100"/>
      <c r="F26" s="100"/>
      <c r="G26" s="100" t="s">
        <v>5</v>
      </c>
      <c r="H26" s="100" t="s">
        <v>6</v>
      </c>
      <c r="I26" s="100" t="s">
        <v>56</v>
      </c>
      <c r="J26" s="100" t="s">
        <v>57</v>
      </c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>
        <f t="shared" ref="J27:J60" si="0">G27*I27</f>
        <v>0</v>
      </c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>
        <f t="shared" si="0"/>
        <v>0</v>
      </c>
      <c r="K28" s="51"/>
      <c r="M28" s="83"/>
    </row>
    <row r="29" spans="1:13" ht="15" customHeight="1">
      <c r="A29" s="77"/>
      <c r="B29" s="57"/>
      <c r="C29" s="57"/>
      <c r="D29" s="78"/>
      <c r="E29" s="39"/>
      <c r="F29" s="79"/>
      <c r="G29" s="79"/>
      <c r="H29" s="80"/>
      <c r="I29" s="81"/>
      <c r="J29" s="82">
        <f t="shared" si="0"/>
        <v>0</v>
      </c>
      <c r="K29" s="51"/>
      <c r="M29" s="83"/>
    </row>
    <row r="30" spans="1:13" ht="15" customHeight="1">
      <c r="A30" s="77"/>
      <c r="B30" s="57"/>
      <c r="C30" s="57"/>
      <c r="D30" s="78"/>
      <c r="E30" s="39"/>
      <c r="F30" s="79"/>
      <c r="G30" s="79"/>
      <c r="H30" s="80"/>
      <c r="I30" s="81"/>
      <c r="J30" s="82">
        <f t="shared" si="0"/>
        <v>0</v>
      </c>
      <c r="K30" s="51"/>
      <c r="M30" s="83"/>
    </row>
    <row r="31" spans="1:13" ht="15" customHeight="1">
      <c r="A31" s="77"/>
      <c r="B31" s="57"/>
      <c r="C31" s="57"/>
      <c r="D31" s="78"/>
      <c r="E31" s="39"/>
      <c r="F31" s="79"/>
      <c r="G31" s="79"/>
      <c r="H31" s="80"/>
      <c r="I31" s="81"/>
      <c r="J31" s="82">
        <f t="shared" si="0"/>
        <v>0</v>
      </c>
      <c r="K31" s="51"/>
      <c r="M31" s="83"/>
    </row>
    <row r="32" spans="1:13" ht="15" customHeight="1">
      <c r="A32" s="77"/>
      <c r="B32" s="57"/>
      <c r="C32" s="57"/>
      <c r="D32" s="78"/>
      <c r="E32" s="39"/>
      <c r="F32" s="79"/>
      <c r="G32" s="79"/>
      <c r="H32" s="80"/>
      <c r="I32" s="81"/>
      <c r="J32" s="82">
        <f t="shared" si="0"/>
        <v>0</v>
      </c>
      <c r="K32" s="51"/>
      <c r="M32" s="83"/>
    </row>
    <row r="33" spans="1:13" ht="15" customHeight="1">
      <c r="A33" s="77"/>
      <c r="B33" s="57"/>
      <c r="C33" s="57"/>
      <c r="D33" s="78"/>
      <c r="E33" s="39"/>
      <c r="F33" s="79"/>
      <c r="G33" s="79"/>
      <c r="H33" s="80"/>
      <c r="I33" s="81"/>
      <c r="J33" s="82">
        <f t="shared" si="0"/>
        <v>0</v>
      </c>
      <c r="K33" s="51"/>
      <c r="M33" s="83"/>
    </row>
    <row r="34" spans="1:13" ht="15" customHeight="1">
      <c r="A34" s="77"/>
      <c r="B34" s="57"/>
      <c r="C34" s="57"/>
      <c r="D34" s="78"/>
      <c r="E34" s="39"/>
      <c r="F34" s="79"/>
      <c r="G34" s="79"/>
      <c r="H34" s="80"/>
      <c r="I34" s="81"/>
      <c r="J34" s="82">
        <f t="shared" si="0"/>
        <v>0</v>
      </c>
      <c r="K34" s="51"/>
      <c r="M34" s="83"/>
    </row>
    <row r="35" spans="1:13" ht="15" customHeight="1">
      <c r="A35" s="77"/>
      <c r="B35" s="57"/>
      <c r="C35" s="57"/>
      <c r="D35" s="78"/>
      <c r="E35" s="39"/>
      <c r="F35" s="79"/>
      <c r="G35" s="79"/>
      <c r="H35" s="80"/>
      <c r="I35" s="81"/>
      <c r="J35" s="82">
        <f t="shared" si="0"/>
        <v>0</v>
      </c>
      <c r="K35" s="51"/>
      <c r="M35" s="83"/>
    </row>
    <row r="36" spans="1:13" ht="15" customHeight="1">
      <c r="A36" s="77"/>
      <c r="B36" s="57"/>
      <c r="C36" s="57"/>
      <c r="D36" s="78"/>
      <c r="E36" s="39"/>
      <c r="F36" s="79"/>
      <c r="G36" s="79"/>
      <c r="H36" s="80"/>
      <c r="I36" s="81"/>
      <c r="J36" s="82">
        <f t="shared" si="0"/>
        <v>0</v>
      </c>
      <c r="K36" s="51"/>
      <c r="M36" s="83"/>
    </row>
    <row r="37" spans="1:13" ht="15" customHeight="1">
      <c r="A37" s="77"/>
      <c r="B37" s="57"/>
      <c r="C37" s="57"/>
      <c r="D37" s="78"/>
      <c r="E37" s="39"/>
      <c r="F37" s="79"/>
      <c r="G37" s="79"/>
      <c r="H37" s="80"/>
      <c r="I37" s="81"/>
      <c r="J37" s="82">
        <f t="shared" si="0"/>
        <v>0</v>
      </c>
      <c r="K37" s="51"/>
      <c r="M37" s="83"/>
    </row>
    <row r="38" spans="1:13" ht="15" customHeight="1">
      <c r="A38" s="77"/>
      <c r="B38" s="57"/>
      <c r="C38" s="57"/>
      <c r="D38" s="78"/>
      <c r="E38" s="39"/>
      <c r="F38" s="79"/>
      <c r="G38" s="79"/>
      <c r="H38" s="80"/>
      <c r="I38" s="81"/>
      <c r="J38" s="82">
        <f t="shared" si="0"/>
        <v>0</v>
      </c>
      <c r="K38" s="51"/>
      <c r="M38" s="83"/>
    </row>
    <row r="39" spans="1:13" ht="15" customHeight="1">
      <c r="A39" s="77"/>
      <c r="B39" s="57"/>
      <c r="C39" s="57"/>
      <c r="D39" s="78"/>
      <c r="E39" s="39"/>
      <c r="F39" s="79"/>
      <c r="G39" s="79"/>
      <c r="H39" s="80"/>
      <c r="I39" s="81"/>
      <c r="J39" s="82">
        <f t="shared" si="0"/>
        <v>0</v>
      </c>
      <c r="K39" s="51"/>
      <c r="M39" s="83"/>
    </row>
    <row r="40" spans="1:13" ht="15" customHeight="1">
      <c r="A40" s="77"/>
      <c r="B40" s="57"/>
      <c r="C40" s="57"/>
      <c r="D40" s="78"/>
      <c r="E40" s="39"/>
      <c r="F40" s="79"/>
      <c r="G40" s="79"/>
      <c r="H40" s="80"/>
      <c r="I40" s="81"/>
      <c r="J40" s="82">
        <f t="shared" si="0"/>
        <v>0</v>
      </c>
      <c r="K40" s="51"/>
      <c r="M40" s="83"/>
    </row>
    <row r="41" spans="1:13" ht="15" customHeight="1">
      <c r="A41" s="77"/>
      <c r="B41" s="57"/>
      <c r="C41" s="57"/>
      <c r="D41" s="78"/>
      <c r="E41" s="39"/>
      <c r="F41" s="79"/>
      <c r="G41" s="79"/>
      <c r="H41" s="80"/>
      <c r="I41" s="81"/>
      <c r="J41" s="82">
        <f t="shared" si="0"/>
        <v>0</v>
      </c>
      <c r="K41" s="51"/>
      <c r="M41" s="83"/>
    </row>
    <row r="42" spans="1:13" ht="15" customHeight="1">
      <c r="A42" s="77"/>
      <c r="B42" s="57"/>
      <c r="C42" s="57"/>
      <c r="D42" s="78"/>
      <c r="E42" s="39"/>
      <c r="F42" s="79"/>
      <c r="G42" s="79"/>
      <c r="H42" s="80"/>
      <c r="I42" s="81"/>
      <c r="J42" s="82">
        <f t="shared" si="0"/>
        <v>0</v>
      </c>
      <c r="K42" s="51"/>
      <c r="M42" s="83"/>
    </row>
    <row r="43" spans="1:13" ht="15" customHeight="1">
      <c r="A43" s="77"/>
      <c r="B43" s="57"/>
      <c r="C43" s="57"/>
      <c r="D43" s="78"/>
      <c r="E43" s="39"/>
      <c r="F43" s="79"/>
      <c r="G43" s="79"/>
      <c r="H43" s="80"/>
      <c r="I43" s="81"/>
      <c r="J43" s="82">
        <f t="shared" si="0"/>
        <v>0</v>
      </c>
      <c r="K43" s="51"/>
      <c r="M43" s="83"/>
    </row>
    <row r="44" spans="1:13" ht="15" customHeight="1">
      <c r="A44" s="77"/>
      <c r="B44" s="57"/>
      <c r="C44" s="57"/>
      <c r="D44" s="78"/>
      <c r="E44" s="39"/>
      <c r="F44" s="79"/>
      <c r="G44" s="79"/>
      <c r="H44" s="80"/>
      <c r="I44" s="81"/>
      <c r="J44" s="82">
        <f t="shared" si="0"/>
        <v>0</v>
      </c>
      <c r="K44" s="51"/>
      <c r="M44" s="83"/>
    </row>
    <row r="45" spans="1:13" ht="15" customHeight="1">
      <c r="A45" s="77"/>
      <c r="B45" s="57"/>
      <c r="C45" s="57"/>
      <c r="D45" s="78"/>
      <c r="E45" s="39"/>
      <c r="F45" s="79"/>
      <c r="G45" s="79"/>
      <c r="H45" s="80"/>
      <c r="I45" s="81"/>
      <c r="J45" s="82">
        <f t="shared" si="0"/>
        <v>0</v>
      </c>
      <c r="K45" s="51"/>
      <c r="M45" s="83"/>
    </row>
    <row r="46" spans="1:13" ht="15" customHeight="1">
      <c r="A46" s="77"/>
      <c r="B46" s="57"/>
      <c r="C46" s="57"/>
      <c r="D46" s="78"/>
      <c r="E46" s="39"/>
      <c r="F46" s="79"/>
      <c r="G46" s="79"/>
      <c r="H46" s="80"/>
      <c r="I46" s="81"/>
      <c r="J46" s="82">
        <f t="shared" si="0"/>
        <v>0</v>
      </c>
      <c r="K46" s="51"/>
      <c r="M46" s="83"/>
    </row>
    <row r="47" spans="1:13" ht="15" customHeight="1">
      <c r="A47" s="77"/>
      <c r="B47" s="57"/>
      <c r="C47" s="57"/>
      <c r="D47" s="78"/>
      <c r="E47" s="39"/>
      <c r="F47" s="79"/>
      <c r="G47" s="79"/>
      <c r="H47" s="80"/>
      <c r="I47" s="81"/>
      <c r="J47" s="82">
        <f t="shared" si="0"/>
        <v>0</v>
      </c>
      <c r="K47" s="51"/>
      <c r="M47" s="83"/>
    </row>
    <row r="48" spans="1:13" ht="15" customHeight="1">
      <c r="A48" s="77"/>
      <c r="B48" s="57"/>
      <c r="C48" s="57"/>
      <c r="D48" s="78"/>
      <c r="E48" s="39"/>
      <c r="F48" s="79"/>
      <c r="G48" s="79"/>
      <c r="H48" s="80"/>
      <c r="I48" s="81"/>
      <c r="J48" s="82">
        <f t="shared" si="0"/>
        <v>0</v>
      </c>
      <c r="K48" s="51"/>
      <c r="M48" s="83"/>
    </row>
    <row r="49" spans="1:13" ht="15" customHeight="1">
      <c r="A49" s="77"/>
      <c r="B49" s="57"/>
      <c r="C49" s="57"/>
      <c r="D49" s="78"/>
      <c r="E49" s="39"/>
      <c r="F49" s="79"/>
      <c r="G49" s="79"/>
      <c r="H49" s="80"/>
      <c r="I49" s="81"/>
      <c r="J49" s="82">
        <f t="shared" si="0"/>
        <v>0</v>
      </c>
      <c r="K49" s="51"/>
      <c r="M49" s="83"/>
    </row>
    <row r="50" spans="1:13" ht="15" customHeight="1">
      <c r="A50" s="77"/>
      <c r="B50" s="57"/>
      <c r="C50" s="57"/>
      <c r="D50" s="78"/>
      <c r="E50" s="39"/>
      <c r="F50" s="79"/>
      <c r="G50" s="79"/>
      <c r="H50" s="80"/>
      <c r="I50" s="81"/>
      <c r="J50" s="82">
        <f t="shared" si="0"/>
        <v>0</v>
      </c>
      <c r="K50" s="51"/>
      <c r="M50" s="83"/>
    </row>
    <row r="51" spans="1:13" ht="15" customHeight="1">
      <c r="A51" s="77"/>
      <c r="B51" s="57"/>
      <c r="C51" s="57"/>
      <c r="D51" s="78"/>
      <c r="E51" s="39"/>
      <c r="F51" s="79"/>
      <c r="G51" s="79"/>
      <c r="H51" s="80"/>
      <c r="I51" s="81"/>
      <c r="J51" s="82">
        <f t="shared" si="0"/>
        <v>0</v>
      </c>
      <c r="K51" s="51"/>
      <c r="M51" s="83"/>
    </row>
    <row r="52" spans="1:13" ht="15" customHeight="1">
      <c r="A52" s="77"/>
      <c r="B52" s="57"/>
      <c r="C52" s="57"/>
      <c r="D52" s="78"/>
      <c r="E52" s="39"/>
      <c r="F52" s="79"/>
      <c r="G52" s="79"/>
      <c r="H52" s="80"/>
      <c r="I52" s="81"/>
      <c r="J52" s="82">
        <f t="shared" si="0"/>
        <v>0</v>
      </c>
      <c r="K52" s="51"/>
      <c r="M52" s="83"/>
    </row>
    <row r="53" spans="1:13" ht="15" customHeight="1">
      <c r="A53" s="77"/>
      <c r="B53" s="57"/>
      <c r="C53" s="57"/>
      <c r="D53" s="78"/>
      <c r="E53" s="39"/>
      <c r="F53" s="79"/>
      <c r="G53" s="79"/>
      <c r="H53" s="80"/>
      <c r="I53" s="81"/>
      <c r="J53" s="82">
        <f t="shared" si="0"/>
        <v>0</v>
      </c>
      <c r="K53" s="51"/>
      <c r="M53" s="83"/>
    </row>
    <row r="54" spans="1:13" ht="15" customHeight="1">
      <c r="A54" s="77"/>
      <c r="B54" s="57"/>
      <c r="C54" s="57"/>
      <c r="D54" s="78"/>
      <c r="E54" s="39"/>
      <c r="F54" s="79"/>
      <c r="G54" s="79"/>
      <c r="H54" s="80"/>
      <c r="I54" s="81"/>
      <c r="J54" s="82">
        <f t="shared" si="0"/>
        <v>0</v>
      </c>
      <c r="K54" s="51"/>
      <c r="M54" s="83"/>
    </row>
    <row r="55" spans="1:13" ht="15" customHeight="1">
      <c r="A55" s="77"/>
      <c r="B55" s="57"/>
      <c r="C55" s="57"/>
      <c r="D55" s="78"/>
      <c r="E55" s="39"/>
      <c r="F55" s="79"/>
      <c r="G55" s="79"/>
      <c r="H55" s="80"/>
      <c r="I55" s="81"/>
      <c r="J55" s="82">
        <f t="shared" si="0"/>
        <v>0</v>
      </c>
      <c r="K55" s="51"/>
      <c r="M55" s="83"/>
    </row>
    <row r="56" spans="1:13" ht="15" customHeight="1">
      <c r="A56" s="77"/>
      <c r="B56" s="57"/>
      <c r="C56" s="57"/>
      <c r="D56" s="78"/>
      <c r="E56" s="39"/>
      <c r="F56" s="79"/>
      <c r="G56" s="79"/>
      <c r="H56" s="80"/>
      <c r="I56" s="81"/>
      <c r="J56" s="82">
        <f t="shared" si="0"/>
        <v>0</v>
      </c>
      <c r="K56" s="51"/>
      <c r="M56" s="83"/>
    </row>
    <row r="57" spans="1:13" ht="15" customHeight="1">
      <c r="A57" s="77"/>
      <c r="B57" s="57"/>
      <c r="C57" s="57"/>
      <c r="D57" s="78"/>
      <c r="E57" s="39"/>
      <c r="F57" s="79"/>
      <c r="G57" s="79"/>
      <c r="H57" s="80"/>
      <c r="I57" s="81"/>
      <c r="J57" s="82">
        <f t="shared" si="0"/>
        <v>0</v>
      </c>
      <c r="K57" s="51"/>
      <c r="M57" s="83"/>
    </row>
    <row r="58" spans="1:13" ht="15" customHeight="1">
      <c r="A58" s="77"/>
      <c r="B58" s="57"/>
      <c r="C58" s="57"/>
      <c r="D58" s="78"/>
      <c r="E58" s="39"/>
      <c r="F58" s="79"/>
      <c r="G58" s="79"/>
      <c r="H58" s="80"/>
      <c r="I58" s="81"/>
      <c r="J58" s="82">
        <f t="shared" si="0"/>
        <v>0</v>
      </c>
      <c r="K58" s="51"/>
      <c r="M58" s="83"/>
    </row>
    <row r="59" spans="1:13" ht="15" customHeight="1">
      <c r="A59" s="77"/>
      <c r="B59" s="57"/>
      <c r="C59" s="57"/>
      <c r="D59" s="78"/>
      <c r="E59" s="39"/>
      <c r="F59" s="79"/>
      <c r="G59" s="79"/>
      <c r="H59" s="80"/>
      <c r="I59" s="81"/>
      <c r="J59" s="82">
        <f t="shared" si="0"/>
        <v>0</v>
      </c>
      <c r="K59" s="51"/>
      <c r="M59" s="83"/>
    </row>
    <row r="60" spans="1:13" ht="15" customHeight="1">
      <c r="A60" s="77"/>
      <c r="B60" s="57"/>
      <c r="C60" s="57"/>
      <c r="D60" s="78"/>
      <c r="E60" s="39"/>
      <c r="F60" s="79"/>
      <c r="G60" s="79"/>
      <c r="H60" s="80"/>
      <c r="I60" s="81"/>
      <c r="J60" s="82">
        <f t="shared" si="0"/>
        <v>0</v>
      </c>
      <c r="K60" s="51"/>
      <c r="M60" s="83"/>
    </row>
    <row r="61" spans="1:13" ht="15" customHeight="1" thickBot="1">
      <c r="A61" s="77"/>
      <c r="B61" s="84"/>
      <c r="C61" s="39"/>
      <c r="D61" s="85" t="s">
        <v>50</v>
      </c>
      <c r="E61" s="85"/>
      <c r="F61" s="86"/>
      <c r="G61" s="87"/>
      <c r="H61" s="88"/>
      <c r="I61" s="89"/>
      <c r="J61" s="90">
        <f>SUM(J27:J60)</f>
        <v>0</v>
      </c>
      <c r="K61" s="51">
        <f>SUM(K27:K60)</f>
        <v>0</v>
      </c>
    </row>
    <row r="62" spans="1:13" ht="15" customHeight="1" thickTop="1">
      <c r="A62" s="9" t="s">
        <v>58</v>
      </c>
      <c r="B62" s="84"/>
      <c r="C62" s="57"/>
      <c r="D62" s="57" t="s">
        <v>59</v>
      </c>
      <c r="E62" s="57"/>
      <c r="F62" s="50" t="s">
        <v>60</v>
      </c>
      <c r="G62" s="50"/>
      <c r="H62" s="91"/>
      <c r="I62" s="92"/>
      <c r="J62" s="93"/>
    </row>
    <row r="63" spans="1:13" ht="99.95" customHeight="1">
      <c r="A63" s="253"/>
      <c r="B63" s="254"/>
      <c r="C63" s="255"/>
      <c r="D63" s="256"/>
      <c r="E63" s="257"/>
      <c r="F63" s="258"/>
      <c r="G63" s="259"/>
      <c r="H63" s="259"/>
      <c r="I63" s="259"/>
      <c r="J63" s="259"/>
      <c r="K63" s="260"/>
    </row>
    <row r="64" spans="1:13" ht="99.95" customHeight="1">
      <c r="A64" s="253"/>
      <c r="B64" s="254"/>
      <c r="C64" s="255"/>
      <c r="D64" s="256"/>
      <c r="E64" s="257"/>
      <c r="F64" s="258"/>
      <c r="G64" s="259"/>
      <c r="H64" s="259"/>
      <c r="I64" s="259"/>
      <c r="J64" s="259"/>
      <c r="K64" s="260"/>
    </row>
    <row r="65" spans="1:11" ht="99.95" customHeight="1">
      <c r="A65" s="253"/>
      <c r="B65" s="254"/>
      <c r="C65" s="255"/>
      <c r="D65" s="256"/>
      <c r="E65" s="257"/>
      <c r="F65" s="258"/>
      <c r="G65" s="259"/>
      <c r="H65" s="259"/>
      <c r="I65" s="259"/>
      <c r="J65" s="259"/>
      <c r="K65" s="260"/>
    </row>
    <row r="66" spans="1:11" ht="99.95" customHeight="1">
      <c r="A66" s="253"/>
      <c r="B66" s="254"/>
      <c r="C66" s="255"/>
      <c r="D66" s="256"/>
      <c r="E66" s="257"/>
      <c r="F66" s="258"/>
      <c r="G66" s="259"/>
      <c r="H66" s="259"/>
      <c r="I66" s="259"/>
      <c r="J66" s="259"/>
      <c r="K66" s="260"/>
    </row>
    <row r="67" spans="1:11" ht="99.95" customHeight="1">
      <c r="A67" s="253"/>
      <c r="B67" s="254"/>
      <c r="C67" s="255"/>
      <c r="D67" s="256"/>
      <c r="E67" s="257"/>
      <c r="F67" s="258"/>
      <c r="G67" s="259"/>
      <c r="H67" s="259"/>
      <c r="I67" s="259"/>
      <c r="J67" s="259"/>
      <c r="K67" s="260"/>
    </row>
    <row r="68" spans="1:11" ht="99.95" customHeight="1">
      <c r="A68" s="253"/>
      <c r="B68" s="254"/>
      <c r="C68" s="255"/>
      <c r="D68" s="256"/>
      <c r="E68" s="257"/>
      <c r="F68" s="258"/>
      <c r="G68" s="259"/>
      <c r="H68" s="259"/>
      <c r="I68" s="259"/>
      <c r="J68" s="259"/>
      <c r="K68" s="260"/>
    </row>
    <row r="69" spans="1:11" ht="99.95" customHeight="1">
      <c r="A69" s="253"/>
      <c r="B69" s="254"/>
      <c r="C69" s="255"/>
      <c r="D69" s="256"/>
      <c r="E69" s="257"/>
      <c r="F69" s="258"/>
      <c r="G69" s="259"/>
      <c r="H69" s="259"/>
      <c r="I69" s="259"/>
      <c r="J69" s="259"/>
      <c r="K69" s="260"/>
    </row>
    <row r="70" spans="1:11" ht="99.95" customHeight="1">
      <c r="A70" s="253"/>
      <c r="B70" s="254"/>
      <c r="C70" s="255"/>
      <c r="D70" s="256"/>
      <c r="E70" s="257"/>
      <c r="F70" s="258"/>
      <c r="G70" s="259"/>
      <c r="H70" s="259"/>
      <c r="I70" s="259"/>
      <c r="J70" s="259"/>
      <c r="K70" s="260"/>
    </row>
    <row r="71" spans="1:11" ht="99.95" customHeight="1">
      <c r="A71" s="253"/>
      <c r="B71" s="254"/>
      <c r="C71" s="255"/>
      <c r="D71" s="256"/>
      <c r="E71" s="257"/>
      <c r="F71" s="258"/>
      <c r="G71" s="259"/>
      <c r="H71" s="259"/>
      <c r="I71" s="259"/>
      <c r="J71" s="259"/>
      <c r="K71" s="260"/>
    </row>
    <row r="72" spans="1:11" ht="99.95" customHeight="1">
      <c r="A72" s="253"/>
      <c r="B72" s="254"/>
      <c r="C72" s="255"/>
      <c r="D72" s="256"/>
      <c r="E72" s="257"/>
      <c r="F72" s="258"/>
      <c r="G72" s="259"/>
      <c r="H72" s="259"/>
      <c r="I72" s="259"/>
      <c r="J72" s="259"/>
      <c r="K72" s="260"/>
    </row>
    <row r="73" spans="1:11" ht="99.95" customHeight="1">
      <c r="A73" s="253"/>
      <c r="B73" s="254"/>
      <c r="C73" s="255"/>
      <c r="D73" s="256"/>
      <c r="E73" s="257"/>
      <c r="F73" s="258"/>
      <c r="G73" s="259"/>
      <c r="H73" s="259"/>
      <c r="I73" s="259"/>
      <c r="J73" s="259"/>
      <c r="K73" s="260"/>
    </row>
    <row r="74" spans="1:11" ht="99.95" customHeight="1">
      <c r="A74" s="253"/>
      <c r="B74" s="254"/>
      <c r="C74" s="255"/>
      <c r="D74" s="256"/>
      <c r="E74" s="257"/>
      <c r="F74" s="258"/>
      <c r="G74" s="259"/>
      <c r="H74" s="259"/>
      <c r="I74" s="259"/>
      <c r="J74" s="259"/>
      <c r="K74" s="260"/>
    </row>
    <row r="75" spans="1:11" ht="99.95" customHeight="1">
      <c r="A75" s="253"/>
      <c r="B75" s="254"/>
      <c r="C75" s="255"/>
      <c r="D75" s="256"/>
      <c r="E75" s="257"/>
      <c r="F75" s="258"/>
      <c r="G75" s="259"/>
      <c r="H75" s="259"/>
      <c r="I75" s="259"/>
      <c r="J75" s="259"/>
      <c r="K75" s="260"/>
    </row>
    <row r="76" spans="1:11" ht="99.95" customHeight="1">
      <c r="A76" s="253"/>
      <c r="B76" s="254"/>
      <c r="C76" s="255"/>
      <c r="D76" s="256"/>
      <c r="E76" s="257"/>
      <c r="F76" s="258"/>
      <c r="G76" s="259"/>
      <c r="H76" s="259"/>
      <c r="I76" s="259"/>
      <c r="J76" s="259"/>
      <c r="K76" s="260"/>
    </row>
    <row r="77" spans="1:11" ht="99.95" customHeight="1">
      <c r="A77" s="253"/>
      <c r="B77" s="254"/>
      <c r="C77" s="255"/>
      <c r="D77" s="256"/>
      <c r="E77" s="257"/>
      <c r="F77" s="258"/>
      <c r="G77" s="259"/>
      <c r="H77" s="259"/>
      <c r="I77" s="259"/>
      <c r="J77" s="259"/>
      <c r="K77" s="260"/>
    </row>
    <row r="78" spans="1:11" ht="99.95" customHeight="1">
      <c r="A78" s="253"/>
      <c r="B78" s="254"/>
      <c r="C78" s="255"/>
      <c r="D78" s="256"/>
      <c r="E78" s="257"/>
      <c r="F78" s="258"/>
      <c r="G78" s="259"/>
      <c r="H78" s="259"/>
      <c r="I78" s="259"/>
      <c r="J78" s="259"/>
      <c r="K78" s="260"/>
    </row>
    <row r="79" spans="1:11" ht="99.95" customHeight="1">
      <c r="A79" s="253"/>
      <c r="B79" s="254"/>
      <c r="C79" s="255"/>
      <c r="D79" s="256"/>
      <c r="E79" s="257"/>
      <c r="F79" s="258"/>
      <c r="G79" s="259"/>
      <c r="H79" s="259"/>
      <c r="I79" s="259"/>
      <c r="J79" s="259"/>
      <c r="K79" s="260"/>
    </row>
    <row r="80" spans="1:11" ht="99.95" customHeight="1">
      <c r="A80" s="253"/>
      <c r="B80" s="254"/>
      <c r="C80" s="255"/>
      <c r="D80" s="256"/>
      <c r="E80" s="257"/>
      <c r="F80" s="258"/>
      <c r="G80" s="259"/>
      <c r="H80" s="259"/>
      <c r="I80" s="259"/>
      <c r="J80" s="259"/>
      <c r="K80" s="260"/>
    </row>
    <row r="81" spans="1:11" ht="99.95" customHeight="1">
      <c r="A81" s="253"/>
      <c r="B81" s="254"/>
      <c r="C81" s="255"/>
      <c r="D81" s="256"/>
      <c r="E81" s="257"/>
      <c r="F81" s="258"/>
      <c r="G81" s="259"/>
      <c r="H81" s="259"/>
      <c r="I81" s="259"/>
      <c r="J81" s="259"/>
      <c r="K81" s="260"/>
    </row>
    <row r="82" spans="1:11" ht="99.95" customHeight="1">
      <c r="A82" s="253"/>
      <c r="B82" s="254"/>
      <c r="C82" s="255"/>
      <c r="D82" s="256"/>
      <c r="E82" s="257"/>
      <c r="F82" s="258"/>
      <c r="G82" s="259"/>
      <c r="H82" s="259"/>
      <c r="I82" s="259"/>
      <c r="J82" s="259"/>
      <c r="K82" s="260"/>
    </row>
    <row r="83" spans="1:11" ht="99.95" customHeight="1">
      <c r="A83" s="253"/>
      <c r="B83" s="254"/>
      <c r="C83" s="255"/>
      <c r="D83" s="256"/>
      <c r="E83" s="257"/>
      <c r="F83" s="258"/>
      <c r="G83" s="259"/>
      <c r="H83" s="259"/>
      <c r="I83" s="259"/>
      <c r="J83" s="259"/>
      <c r="K83" s="260"/>
    </row>
    <row r="84" spans="1:11" ht="99.95" customHeight="1">
      <c r="A84" s="253"/>
      <c r="B84" s="254"/>
      <c r="C84" s="255"/>
      <c r="D84" s="256"/>
      <c r="E84" s="257"/>
      <c r="F84" s="258"/>
      <c r="G84" s="259"/>
      <c r="H84" s="259"/>
      <c r="I84" s="259"/>
      <c r="J84" s="259"/>
      <c r="K84" s="260"/>
    </row>
    <row r="85" spans="1:11" ht="99.95" customHeight="1">
      <c r="A85" s="253"/>
      <c r="B85" s="254"/>
      <c r="C85" s="255"/>
      <c r="D85" s="256"/>
      <c r="E85" s="257"/>
      <c r="F85" s="258"/>
      <c r="G85" s="259"/>
      <c r="H85" s="259"/>
      <c r="I85" s="259"/>
      <c r="J85" s="259"/>
      <c r="K85" s="260"/>
    </row>
    <row r="86" spans="1:11" ht="99.95" customHeight="1">
      <c r="A86" s="253"/>
      <c r="B86" s="254"/>
      <c r="C86" s="255"/>
      <c r="D86" s="256"/>
      <c r="E86" s="257"/>
      <c r="F86" s="258"/>
      <c r="G86" s="259"/>
      <c r="H86" s="259"/>
      <c r="I86" s="259"/>
      <c r="J86" s="259"/>
      <c r="K86" s="260"/>
    </row>
    <row r="87" spans="1:11" ht="99.95" customHeight="1">
      <c r="A87" s="253"/>
      <c r="B87" s="254"/>
      <c r="C87" s="255"/>
      <c r="D87" s="256"/>
      <c r="E87" s="257"/>
      <c r="F87" s="258"/>
      <c r="G87" s="259"/>
      <c r="H87" s="259"/>
      <c r="I87" s="259"/>
      <c r="J87" s="259"/>
      <c r="K87" s="260"/>
    </row>
    <row r="88" spans="1:11" ht="99.95" customHeight="1">
      <c r="A88" s="253"/>
      <c r="B88" s="254"/>
      <c r="C88" s="255"/>
      <c r="D88" s="256"/>
      <c r="E88" s="257"/>
      <c r="F88" s="258"/>
      <c r="G88" s="259"/>
      <c r="H88" s="259"/>
      <c r="I88" s="259"/>
      <c r="J88" s="259"/>
      <c r="K88" s="260"/>
    </row>
    <row r="89" spans="1:11" ht="99.95" customHeight="1">
      <c r="A89" s="253"/>
      <c r="B89" s="254"/>
      <c r="C89" s="255"/>
      <c r="D89" s="256"/>
      <c r="E89" s="257"/>
      <c r="F89" s="258"/>
      <c r="G89" s="259"/>
      <c r="H89" s="259"/>
      <c r="I89" s="259"/>
      <c r="J89" s="259"/>
      <c r="K89" s="260"/>
    </row>
    <row r="90" spans="1:11" ht="99.95" customHeight="1">
      <c r="A90" s="253"/>
      <c r="B90" s="254"/>
      <c r="C90" s="255"/>
      <c r="D90" s="256"/>
      <c r="E90" s="257"/>
      <c r="F90" s="258"/>
      <c r="G90" s="259"/>
      <c r="H90" s="259"/>
      <c r="I90" s="259"/>
      <c r="J90" s="259"/>
      <c r="K90" s="260"/>
    </row>
    <row r="91" spans="1:11" ht="99.95" customHeight="1">
      <c r="A91" s="253"/>
      <c r="B91" s="254"/>
      <c r="C91" s="255"/>
      <c r="D91" s="256"/>
      <c r="E91" s="257"/>
      <c r="F91" s="258"/>
      <c r="G91" s="259"/>
      <c r="H91" s="259"/>
      <c r="I91" s="259"/>
      <c r="J91" s="259"/>
      <c r="K91" s="260"/>
    </row>
    <row r="92" spans="1:11" ht="99.95" customHeight="1">
      <c r="A92" s="253"/>
      <c r="B92" s="254"/>
      <c r="C92" s="255"/>
      <c r="D92" s="256"/>
      <c r="E92" s="257"/>
      <c r="F92" s="258"/>
      <c r="G92" s="259"/>
      <c r="H92" s="259"/>
      <c r="I92" s="259"/>
      <c r="J92" s="259"/>
      <c r="K92" s="260"/>
    </row>
    <row r="93" spans="1:11" ht="99.95" customHeight="1">
      <c r="A93" s="253"/>
      <c r="B93" s="254"/>
      <c r="C93" s="255"/>
      <c r="D93" s="256"/>
      <c r="E93" s="257"/>
      <c r="F93" s="258"/>
      <c r="G93" s="259"/>
      <c r="H93" s="259"/>
      <c r="I93" s="259"/>
      <c r="J93" s="259"/>
      <c r="K93" s="260"/>
    </row>
    <row r="94" spans="1:11" ht="99.95" customHeight="1">
      <c r="A94" s="253"/>
      <c r="B94" s="254"/>
      <c r="C94" s="255"/>
      <c r="D94" s="256"/>
      <c r="E94" s="257"/>
      <c r="F94" s="258"/>
      <c r="G94" s="259"/>
      <c r="H94" s="259"/>
      <c r="I94" s="259"/>
      <c r="J94" s="259"/>
      <c r="K94" s="260"/>
    </row>
    <row r="95" spans="1:11" ht="99.95" customHeight="1">
      <c r="A95" s="253"/>
      <c r="B95" s="254"/>
      <c r="C95" s="255"/>
      <c r="D95" s="256"/>
      <c r="E95" s="257"/>
      <c r="F95" s="258"/>
      <c r="G95" s="259"/>
      <c r="H95" s="259"/>
      <c r="I95" s="259"/>
      <c r="J95" s="259"/>
      <c r="K95" s="260"/>
    </row>
    <row r="96" spans="1:11" ht="99.95" customHeight="1">
      <c r="A96" s="253"/>
      <c r="B96" s="254"/>
      <c r="C96" s="255"/>
      <c r="D96" s="256"/>
      <c r="E96" s="257"/>
      <c r="F96" s="258"/>
      <c r="G96" s="259"/>
      <c r="H96" s="259"/>
      <c r="I96" s="259"/>
      <c r="J96" s="259"/>
      <c r="K96" s="260"/>
    </row>
    <row r="97" spans="1:11" ht="15" customHeight="1"/>
    <row r="98" spans="1:11" ht="15" customHeight="1"/>
    <row r="99" spans="1:11" ht="15" customHeight="1"/>
    <row r="100" spans="1:11" ht="15" customHeight="1"/>
    <row r="101" spans="1:11" ht="15" customHeight="1"/>
    <row r="102" spans="1:11" ht="15" customHeight="1">
      <c r="A102" s="31" t="s">
        <v>51</v>
      </c>
      <c r="B102" s="31"/>
      <c r="C102" s="31"/>
      <c r="D102" s="31"/>
      <c r="E102" s="31"/>
      <c r="F102" s="31"/>
    </row>
    <row r="103" spans="1:11" ht="15" customHeight="1">
      <c r="A103" s="31" t="s">
        <v>53</v>
      </c>
      <c r="B103" s="31"/>
      <c r="C103" s="31"/>
      <c r="H103" s="99" t="s">
        <v>54</v>
      </c>
      <c r="I103" s="53"/>
      <c r="J103" s="53"/>
      <c r="K103" s="53"/>
    </row>
  </sheetData>
  <mergeCells count="110"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63:C63"/>
    <mergeCell ref="D63:E63"/>
    <mergeCell ref="F63:K63"/>
    <mergeCell ref="A64:C64"/>
    <mergeCell ref="D64:E64"/>
    <mergeCell ref="F64:K64"/>
    <mergeCell ref="A1:K1"/>
    <mergeCell ref="A18:C18"/>
    <mergeCell ref="D18:F18"/>
    <mergeCell ref="A21:C21"/>
    <mergeCell ref="D21:F21"/>
    <mergeCell ref="A22:C22"/>
    <mergeCell ref="D22:F22"/>
    <mergeCell ref="G22:H22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3"/>
  <sheetViews>
    <sheetView showGridLines="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1500/324106.53*J61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J61*1.1*0.026%</f>
        <v>0</v>
      </c>
      <c r="K14" s="58"/>
      <c r="L14" s="51"/>
    </row>
    <row r="15" spans="1:13" ht="15" customHeight="1">
      <c r="F15" s="38"/>
      <c r="H15" s="64"/>
      <c r="I15" s="65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68">
        <f>K61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68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100" t="s">
        <v>55</v>
      </c>
      <c r="E26" s="100"/>
      <c r="F26" s="100"/>
      <c r="G26" s="100" t="s">
        <v>5</v>
      </c>
      <c r="H26" s="100" t="s">
        <v>6</v>
      </c>
      <c r="I26" s="100" t="s">
        <v>56</v>
      </c>
      <c r="J26" s="100" t="s">
        <v>57</v>
      </c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>
        <f t="shared" ref="J27:J60" si="0">G27*I27</f>
        <v>0</v>
      </c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>
        <f t="shared" si="0"/>
        <v>0</v>
      </c>
      <c r="K28" s="51"/>
      <c r="M28" s="83"/>
    </row>
    <row r="29" spans="1:13" ht="15" customHeight="1">
      <c r="A29" s="77"/>
      <c r="B29" s="57"/>
      <c r="C29" s="57"/>
      <c r="D29" s="78"/>
      <c r="E29" s="39"/>
      <c r="F29" s="79"/>
      <c r="G29" s="79"/>
      <c r="H29" s="80"/>
      <c r="I29" s="81"/>
      <c r="J29" s="82">
        <f t="shared" si="0"/>
        <v>0</v>
      </c>
      <c r="K29" s="51"/>
      <c r="M29" s="83"/>
    </row>
    <row r="30" spans="1:13" ht="15" customHeight="1">
      <c r="A30" s="77"/>
      <c r="B30" s="57"/>
      <c r="C30" s="57"/>
      <c r="D30" s="78"/>
      <c r="E30" s="39"/>
      <c r="F30" s="79"/>
      <c r="G30" s="79"/>
      <c r="H30" s="80"/>
      <c r="I30" s="81"/>
      <c r="J30" s="82">
        <f t="shared" si="0"/>
        <v>0</v>
      </c>
      <c r="K30" s="51"/>
      <c r="M30" s="83"/>
    </row>
    <row r="31" spans="1:13" ht="15" customHeight="1">
      <c r="A31" s="77"/>
      <c r="B31" s="57"/>
      <c r="C31" s="57"/>
      <c r="D31" s="78"/>
      <c r="E31" s="39"/>
      <c r="F31" s="79"/>
      <c r="G31" s="79"/>
      <c r="H31" s="80"/>
      <c r="I31" s="81"/>
      <c r="J31" s="82">
        <f t="shared" si="0"/>
        <v>0</v>
      </c>
      <c r="K31" s="51"/>
      <c r="M31" s="83"/>
    </row>
    <row r="32" spans="1:13" ht="15" customHeight="1">
      <c r="A32" s="77"/>
      <c r="B32" s="57"/>
      <c r="C32" s="57"/>
      <c r="D32" s="78"/>
      <c r="E32" s="39"/>
      <c r="F32" s="79"/>
      <c r="G32" s="79"/>
      <c r="H32" s="80"/>
      <c r="I32" s="81"/>
      <c r="J32" s="82">
        <f t="shared" si="0"/>
        <v>0</v>
      </c>
      <c r="K32" s="51"/>
      <c r="M32" s="83"/>
    </row>
    <row r="33" spans="1:13" ht="15" customHeight="1">
      <c r="A33" s="77"/>
      <c r="B33" s="57"/>
      <c r="C33" s="57"/>
      <c r="D33" s="78"/>
      <c r="E33" s="39"/>
      <c r="F33" s="79"/>
      <c r="G33" s="79"/>
      <c r="H33" s="80"/>
      <c r="I33" s="81"/>
      <c r="J33" s="82">
        <f t="shared" si="0"/>
        <v>0</v>
      </c>
      <c r="K33" s="51"/>
      <c r="M33" s="83"/>
    </row>
    <row r="34" spans="1:13" ht="15" customHeight="1">
      <c r="A34" s="77"/>
      <c r="B34" s="57"/>
      <c r="C34" s="57"/>
      <c r="D34" s="78"/>
      <c r="E34" s="39"/>
      <c r="F34" s="79"/>
      <c r="G34" s="79"/>
      <c r="H34" s="80"/>
      <c r="I34" s="81"/>
      <c r="J34" s="82">
        <f t="shared" si="0"/>
        <v>0</v>
      </c>
      <c r="K34" s="51"/>
      <c r="M34" s="83"/>
    </row>
    <row r="35" spans="1:13" ht="15" customHeight="1">
      <c r="A35" s="77"/>
      <c r="B35" s="57"/>
      <c r="C35" s="57"/>
      <c r="D35" s="78"/>
      <c r="E35" s="39"/>
      <c r="F35" s="79"/>
      <c r="G35" s="79"/>
      <c r="H35" s="80"/>
      <c r="I35" s="81"/>
      <c r="J35" s="82">
        <f t="shared" si="0"/>
        <v>0</v>
      </c>
      <c r="K35" s="51"/>
      <c r="M35" s="83"/>
    </row>
    <row r="36" spans="1:13" ht="15" customHeight="1">
      <c r="A36" s="77"/>
      <c r="B36" s="57"/>
      <c r="C36" s="57"/>
      <c r="D36" s="78"/>
      <c r="E36" s="39"/>
      <c r="F36" s="79"/>
      <c r="G36" s="79"/>
      <c r="H36" s="80"/>
      <c r="I36" s="81"/>
      <c r="J36" s="82">
        <f t="shared" si="0"/>
        <v>0</v>
      </c>
      <c r="K36" s="51"/>
      <c r="M36" s="83"/>
    </row>
    <row r="37" spans="1:13" ht="15" customHeight="1">
      <c r="A37" s="77"/>
      <c r="B37" s="57"/>
      <c r="C37" s="57"/>
      <c r="D37" s="78"/>
      <c r="E37" s="39"/>
      <c r="F37" s="79"/>
      <c r="G37" s="79"/>
      <c r="H37" s="80"/>
      <c r="I37" s="81"/>
      <c r="J37" s="82">
        <f t="shared" si="0"/>
        <v>0</v>
      </c>
      <c r="K37" s="51"/>
      <c r="M37" s="83"/>
    </row>
    <row r="38" spans="1:13" ht="15" customHeight="1">
      <c r="A38" s="77"/>
      <c r="B38" s="57"/>
      <c r="C38" s="57"/>
      <c r="D38" s="78"/>
      <c r="E38" s="39"/>
      <c r="F38" s="79"/>
      <c r="G38" s="79"/>
      <c r="H38" s="80"/>
      <c r="I38" s="81"/>
      <c r="J38" s="82">
        <f t="shared" si="0"/>
        <v>0</v>
      </c>
      <c r="K38" s="51"/>
      <c r="M38" s="83"/>
    </row>
    <row r="39" spans="1:13" ht="15" customHeight="1">
      <c r="A39" s="77"/>
      <c r="B39" s="57"/>
      <c r="C39" s="57"/>
      <c r="D39" s="78"/>
      <c r="E39" s="39"/>
      <c r="F39" s="79"/>
      <c r="G39" s="79"/>
      <c r="H39" s="80"/>
      <c r="I39" s="81"/>
      <c r="J39" s="82">
        <f t="shared" si="0"/>
        <v>0</v>
      </c>
      <c r="K39" s="51"/>
      <c r="M39" s="83"/>
    </row>
    <row r="40" spans="1:13" ht="15" customHeight="1">
      <c r="A40" s="77"/>
      <c r="B40" s="57"/>
      <c r="C40" s="57"/>
      <c r="D40" s="78"/>
      <c r="E40" s="39"/>
      <c r="F40" s="79"/>
      <c r="G40" s="79"/>
      <c r="H40" s="80"/>
      <c r="I40" s="81"/>
      <c r="J40" s="82">
        <f t="shared" si="0"/>
        <v>0</v>
      </c>
      <c r="K40" s="51"/>
      <c r="M40" s="83"/>
    </row>
    <row r="41" spans="1:13" ht="15" customHeight="1">
      <c r="A41" s="77"/>
      <c r="B41" s="57"/>
      <c r="C41" s="57"/>
      <c r="D41" s="78"/>
      <c r="E41" s="39"/>
      <c r="F41" s="79"/>
      <c r="G41" s="79"/>
      <c r="H41" s="80"/>
      <c r="I41" s="81"/>
      <c r="J41" s="82">
        <f t="shared" si="0"/>
        <v>0</v>
      </c>
      <c r="K41" s="51"/>
      <c r="M41" s="83"/>
    </row>
    <row r="42" spans="1:13" ht="15" customHeight="1">
      <c r="A42" s="77"/>
      <c r="B42" s="57"/>
      <c r="C42" s="57"/>
      <c r="D42" s="78"/>
      <c r="E42" s="39"/>
      <c r="F42" s="79"/>
      <c r="G42" s="79"/>
      <c r="H42" s="80"/>
      <c r="I42" s="81"/>
      <c r="J42" s="82">
        <f t="shared" si="0"/>
        <v>0</v>
      </c>
      <c r="K42" s="51"/>
      <c r="M42" s="83"/>
    </row>
    <row r="43" spans="1:13" ht="15" customHeight="1">
      <c r="A43" s="77"/>
      <c r="B43" s="57"/>
      <c r="C43" s="57"/>
      <c r="D43" s="78"/>
      <c r="E43" s="39"/>
      <c r="F43" s="79"/>
      <c r="G43" s="79"/>
      <c r="H43" s="80"/>
      <c r="I43" s="81"/>
      <c r="J43" s="82">
        <f t="shared" si="0"/>
        <v>0</v>
      </c>
      <c r="K43" s="51"/>
      <c r="M43" s="83"/>
    </row>
    <row r="44" spans="1:13" ht="15" customHeight="1">
      <c r="A44" s="77"/>
      <c r="B44" s="57"/>
      <c r="C44" s="57"/>
      <c r="D44" s="78"/>
      <c r="E44" s="39"/>
      <c r="F44" s="79"/>
      <c r="G44" s="79"/>
      <c r="H44" s="80"/>
      <c r="I44" s="81"/>
      <c r="J44" s="82">
        <f t="shared" si="0"/>
        <v>0</v>
      </c>
      <c r="K44" s="51"/>
      <c r="M44" s="83"/>
    </row>
    <row r="45" spans="1:13" ht="15" customHeight="1">
      <c r="A45" s="77"/>
      <c r="B45" s="57"/>
      <c r="C45" s="57"/>
      <c r="D45" s="78"/>
      <c r="E45" s="39"/>
      <c r="F45" s="79"/>
      <c r="G45" s="79"/>
      <c r="H45" s="80"/>
      <c r="I45" s="81"/>
      <c r="J45" s="82">
        <f t="shared" si="0"/>
        <v>0</v>
      </c>
      <c r="K45" s="51"/>
      <c r="M45" s="83"/>
    </row>
    <row r="46" spans="1:13" ht="15" customHeight="1">
      <c r="A46" s="77"/>
      <c r="B46" s="57"/>
      <c r="C46" s="57"/>
      <c r="D46" s="78"/>
      <c r="E46" s="39"/>
      <c r="F46" s="79"/>
      <c r="G46" s="79"/>
      <c r="H46" s="80"/>
      <c r="I46" s="81"/>
      <c r="J46" s="82">
        <f t="shared" si="0"/>
        <v>0</v>
      </c>
      <c r="K46" s="51"/>
      <c r="M46" s="83"/>
    </row>
    <row r="47" spans="1:13" ht="15" customHeight="1">
      <c r="A47" s="77"/>
      <c r="B47" s="57"/>
      <c r="C47" s="57"/>
      <c r="D47" s="78"/>
      <c r="E47" s="39"/>
      <c r="F47" s="79"/>
      <c r="G47" s="79"/>
      <c r="H47" s="80"/>
      <c r="I47" s="81"/>
      <c r="J47" s="82">
        <f t="shared" si="0"/>
        <v>0</v>
      </c>
      <c r="K47" s="51"/>
      <c r="M47" s="83"/>
    </row>
    <row r="48" spans="1:13" ht="15" customHeight="1">
      <c r="A48" s="77"/>
      <c r="B48" s="57"/>
      <c r="C48" s="57"/>
      <c r="D48" s="78"/>
      <c r="E48" s="39"/>
      <c r="F48" s="79"/>
      <c r="G48" s="79"/>
      <c r="H48" s="80"/>
      <c r="I48" s="81"/>
      <c r="J48" s="82">
        <f t="shared" si="0"/>
        <v>0</v>
      </c>
      <c r="K48" s="51"/>
      <c r="M48" s="83"/>
    </row>
    <row r="49" spans="1:13" ht="15" customHeight="1">
      <c r="A49" s="77"/>
      <c r="B49" s="57"/>
      <c r="C49" s="57"/>
      <c r="D49" s="78"/>
      <c r="E49" s="39"/>
      <c r="F49" s="79"/>
      <c r="G49" s="79"/>
      <c r="H49" s="80"/>
      <c r="I49" s="81"/>
      <c r="J49" s="82">
        <f t="shared" si="0"/>
        <v>0</v>
      </c>
      <c r="K49" s="51"/>
      <c r="M49" s="83"/>
    </row>
    <row r="50" spans="1:13" ht="15" customHeight="1">
      <c r="A50" s="77"/>
      <c r="B50" s="57"/>
      <c r="C50" s="57"/>
      <c r="D50" s="78"/>
      <c r="E50" s="39"/>
      <c r="F50" s="79"/>
      <c r="G50" s="79"/>
      <c r="H50" s="80"/>
      <c r="I50" s="81"/>
      <c r="J50" s="82">
        <f t="shared" si="0"/>
        <v>0</v>
      </c>
      <c r="K50" s="51"/>
      <c r="M50" s="83"/>
    </row>
    <row r="51" spans="1:13" ht="15" customHeight="1">
      <c r="A51" s="77"/>
      <c r="B51" s="57"/>
      <c r="C51" s="57"/>
      <c r="D51" s="78"/>
      <c r="E51" s="39"/>
      <c r="F51" s="79"/>
      <c r="G51" s="79"/>
      <c r="H51" s="80"/>
      <c r="I51" s="81"/>
      <c r="J51" s="82">
        <f t="shared" si="0"/>
        <v>0</v>
      </c>
      <c r="K51" s="51"/>
      <c r="M51" s="83"/>
    </row>
    <row r="52" spans="1:13" ht="15" customHeight="1">
      <c r="A52" s="77"/>
      <c r="B52" s="57"/>
      <c r="C52" s="57"/>
      <c r="D52" s="78"/>
      <c r="E52" s="39"/>
      <c r="F52" s="79"/>
      <c r="G52" s="79"/>
      <c r="H52" s="80"/>
      <c r="I52" s="81"/>
      <c r="J52" s="82">
        <f t="shared" si="0"/>
        <v>0</v>
      </c>
      <c r="K52" s="51"/>
      <c r="M52" s="83"/>
    </row>
    <row r="53" spans="1:13" ht="15" customHeight="1">
      <c r="A53" s="77"/>
      <c r="B53" s="57"/>
      <c r="C53" s="57"/>
      <c r="D53" s="78"/>
      <c r="E53" s="39"/>
      <c r="F53" s="79"/>
      <c r="G53" s="79"/>
      <c r="H53" s="80"/>
      <c r="I53" s="81"/>
      <c r="J53" s="82">
        <f t="shared" si="0"/>
        <v>0</v>
      </c>
      <c r="K53" s="51"/>
      <c r="M53" s="83"/>
    </row>
    <row r="54" spans="1:13" ht="15" customHeight="1">
      <c r="A54" s="77"/>
      <c r="B54" s="57"/>
      <c r="C54" s="57"/>
      <c r="D54" s="78"/>
      <c r="E54" s="39"/>
      <c r="F54" s="79"/>
      <c r="G54" s="79"/>
      <c r="H54" s="80"/>
      <c r="I54" s="81"/>
      <c r="J54" s="82">
        <f t="shared" si="0"/>
        <v>0</v>
      </c>
      <c r="K54" s="51"/>
      <c r="M54" s="83"/>
    </row>
    <row r="55" spans="1:13" ht="15" customHeight="1">
      <c r="A55" s="77"/>
      <c r="B55" s="57"/>
      <c r="C55" s="57"/>
      <c r="D55" s="78"/>
      <c r="E55" s="39"/>
      <c r="F55" s="79"/>
      <c r="G55" s="79"/>
      <c r="H55" s="80"/>
      <c r="I55" s="81"/>
      <c r="J55" s="82">
        <f t="shared" si="0"/>
        <v>0</v>
      </c>
      <c r="K55" s="51"/>
      <c r="M55" s="83"/>
    </row>
    <row r="56" spans="1:13" ht="15" customHeight="1">
      <c r="A56" s="77"/>
      <c r="B56" s="57"/>
      <c r="C56" s="57"/>
      <c r="D56" s="78"/>
      <c r="E56" s="39"/>
      <c r="F56" s="79"/>
      <c r="G56" s="79"/>
      <c r="H56" s="80"/>
      <c r="I56" s="81"/>
      <c r="J56" s="82">
        <f t="shared" si="0"/>
        <v>0</v>
      </c>
      <c r="K56" s="51"/>
      <c r="M56" s="83"/>
    </row>
    <row r="57" spans="1:13" ht="15" customHeight="1">
      <c r="A57" s="77"/>
      <c r="B57" s="57"/>
      <c r="C57" s="57"/>
      <c r="D57" s="78"/>
      <c r="E57" s="39"/>
      <c r="F57" s="79"/>
      <c r="G57" s="79"/>
      <c r="H57" s="80"/>
      <c r="I57" s="81"/>
      <c r="J57" s="82">
        <f t="shared" si="0"/>
        <v>0</v>
      </c>
      <c r="K57" s="51"/>
      <c r="M57" s="83"/>
    </row>
    <row r="58" spans="1:13" ht="15" customHeight="1">
      <c r="A58" s="77"/>
      <c r="B58" s="57"/>
      <c r="C58" s="57"/>
      <c r="D58" s="78"/>
      <c r="E58" s="39"/>
      <c r="F58" s="79"/>
      <c r="G58" s="79"/>
      <c r="H58" s="80"/>
      <c r="I58" s="81"/>
      <c r="J58" s="82">
        <f t="shared" si="0"/>
        <v>0</v>
      </c>
      <c r="K58" s="51"/>
      <c r="M58" s="83"/>
    </row>
    <row r="59" spans="1:13" ht="15" customHeight="1">
      <c r="A59" s="77"/>
      <c r="B59" s="57"/>
      <c r="C59" s="57"/>
      <c r="D59" s="78"/>
      <c r="E59" s="39"/>
      <c r="F59" s="79"/>
      <c r="G59" s="79"/>
      <c r="H59" s="80"/>
      <c r="I59" s="81"/>
      <c r="J59" s="82">
        <f t="shared" si="0"/>
        <v>0</v>
      </c>
      <c r="K59" s="51"/>
      <c r="M59" s="83"/>
    </row>
    <row r="60" spans="1:13" ht="15" customHeight="1">
      <c r="A60" s="77"/>
      <c r="B60" s="57"/>
      <c r="C60" s="57"/>
      <c r="D60" s="78"/>
      <c r="E60" s="39"/>
      <c r="F60" s="79"/>
      <c r="G60" s="79"/>
      <c r="H60" s="80"/>
      <c r="I60" s="81"/>
      <c r="J60" s="82">
        <f t="shared" si="0"/>
        <v>0</v>
      </c>
      <c r="K60" s="51"/>
      <c r="M60" s="83"/>
    </row>
    <row r="61" spans="1:13" ht="15" customHeight="1" thickBot="1">
      <c r="A61" s="77"/>
      <c r="B61" s="84"/>
      <c r="C61" s="39"/>
      <c r="D61" s="85" t="s">
        <v>50</v>
      </c>
      <c r="E61" s="85"/>
      <c r="F61" s="86"/>
      <c r="G61" s="87"/>
      <c r="H61" s="88"/>
      <c r="I61" s="89"/>
      <c r="J61" s="90">
        <f>SUM(J27:J60)</f>
        <v>0</v>
      </c>
      <c r="K61" s="51">
        <f>SUM(K27:K60)</f>
        <v>0</v>
      </c>
    </row>
    <row r="62" spans="1:13" ht="15" customHeight="1" thickTop="1">
      <c r="A62" s="9" t="s">
        <v>58</v>
      </c>
      <c r="B62" s="84"/>
      <c r="C62" s="57"/>
      <c r="D62" s="57" t="s">
        <v>59</v>
      </c>
      <c r="E62" s="57"/>
      <c r="F62" s="50" t="s">
        <v>60</v>
      </c>
      <c r="G62" s="50"/>
      <c r="H62" s="91"/>
      <c r="I62" s="92"/>
      <c r="J62" s="93"/>
    </row>
    <row r="63" spans="1:13" ht="99.95" customHeight="1">
      <c r="A63" s="253"/>
      <c r="B63" s="254"/>
      <c r="C63" s="255"/>
      <c r="D63" s="256"/>
      <c r="E63" s="257"/>
      <c r="F63" s="258"/>
      <c r="G63" s="259"/>
      <c r="H63" s="259"/>
      <c r="I63" s="259"/>
      <c r="J63" s="259"/>
      <c r="K63" s="260"/>
    </row>
    <row r="64" spans="1:13" ht="99.95" customHeight="1">
      <c r="A64" s="253"/>
      <c r="B64" s="254"/>
      <c r="C64" s="255"/>
      <c r="D64" s="256"/>
      <c r="E64" s="257"/>
      <c r="F64" s="258"/>
      <c r="G64" s="259"/>
      <c r="H64" s="259"/>
      <c r="I64" s="259"/>
      <c r="J64" s="259"/>
      <c r="K64" s="260"/>
    </row>
    <row r="65" spans="1:11" ht="99.95" customHeight="1">
      <c r="A65" s="253"/>
      <c r="B65" s="254"/>
      <c r="C65" s="255"/>
      <c r="D65" s="256"/>
      <c r="E65" s="257"/>
      <c r="F65" s="258"/>
      <c r="G65" s="259"/>
      <c r="H65" s="259"/>
      <c r="I65" s="259"/>
      <c r="J65" s="259"/>
      <c r="K65" s="260"/>
    </row>
    <row r="66" spans="1:11" ht="99.95" customHeight="1">
      <c r="A66" s="253"/>
      <c r="B66" s="254"/>
      <c r="C66" s="255"/>
      <c r="D66" s="256"/>
      <c r="E66" s="257"/>
      <c r="F66" s="258"/>
      <c r="G66" s="259"/>
      <c r="H66" s="259"/>
      <c r="I66" s="259"/>
      <c r="J66" s="259"/>
      <c r="K66" s="260"/>
    </row>
    <row r="67" spans="1:11" ht="99.95" customHeight="1">
      <c r="A67" s="253"/>
      <c r="B67" s="254"/>
      <c r="C67" s="255"/>
      <c r="D67" s="256"/>
      <c r="E67" s="257"/>
      <c r="F67" s="258"/>
      <c r="G67" s="259"/>
      <c r="H67" s="259"/>
      <c r="I67" s="259"/>
      <c r="J67" s="259"/>
      <c r="K67" s="260"/>
    </row>
    <row r="68" spans="1:11" ht="99.95" customHeight="1">
      <c r="A68" s="253"/>
      <c r="B68" s="254"/>
      <c r="C68" s="255"/>
      <c r="D68" s="256"/>
      <c r="E68" s="257"/>
      <c r="F68" s="258"/>
      <c r="G68" s="259"/>
      <c r="H68" s="259"/>
      <c r="I68" s="259"/>
      <c r="J68" s="259"/>
      <c r="K68" s="260"/>
    </row>
    <row r="69" spans="1:11" ht="99.95" customHeight="1">
      <c r="A69" s="253"/>
      <c r="B69" s="254"/>
      <c r="C69" s="255"/>
      <c r="D69" s="256"/>
      <c r="E69" s="257"/>
      <c r="F69" s="258"/>
      <c r="G69" s="259"/>
      <c r="H69" s="259"/>
      <c r="I69" s="259"/>
      <c r="J69" s="259"/>
      <c r="K69" s="260"/>
    </row>
    <row r="70" spans="1:11" ht="99.95" customHeight="1">
      <c r="A70" s="253"/>
      <c r="B70" s="254"/>
      <c r="C70" s="255"/>
      <c r="D70" s="256"/>
      <c r="E70" s="257"/>
      <c r="F70" s="258"/>
      <c r="G70" s="259"/>
      <c r="H70" s="259"/>
      <c r="I70" s="259"/>
      <c r="J70" s="259"/>
      <c r="K70" s="260"/>
    </row>
    <row r="71" spans="1:11" ht="99.95" customHeight="1">
      <c r="A71" s="253"/>
      <c r="B71" s="254"/>
      <c r="C71" s="255"/>
      <c r="D71" s="256"/>
      <c r="E71" s="257"/>
      <c r="F71" s="258"/>
      <c r="G71" s="259"/>
      <c r="H71" s="259"/>
      <c r="I71" s="259"/>
      <c r="J71" s="259"/>
      <c r="K71" s="260"/>
    </row>
    <row r="72" spans="1:11" ht="99.95" customHeight="1">
      <c r="A72" s="253"/>
      <c r="B72" s="254"/>
      <c r="C72" s="255"/>
      <c r="D72" s="256"/>
      <c r="E72" s="257"/>
      <c r="F72" s="258"/>
      <c r="G72" s="259"/>
      <c r="H72" s="259"/>
      <c r="I72" s="259"/>
      <c r="J72" s="259"/>
      <c r="K72" s="260"/>
    </row>
    <row r="73" spans="1:11" ht="99.95" customHeight="1">
      <c r="A73" s="253"/>
      <c r="B73" s="254"/>
      <c r="C73" s="255"/>
      <c r="D73" s="256"/>
      <c r="E73" s="257"/>
      <c r="F73" s="258"/>
      <c r="G73" s="259"/>
      <c r="H73" s="259"/>
      <c r="I73" s="259"/>
      <c r="J73" s="259"/>
      <c r="K73" s="260"/>
    </row>
    <row r="74" spans="1:11" ht="99.95" customHeight="1">
      <c r="A74" s="253"/>
      <c r="B74" s="254"/>
      <c r="C74" s="255"/>
      <c r="D74" s="256"/>
      <c r="E74" s="257"/>
      <c r="F74" s="258"/>
      <c r="G74" s="259"/>
      <c r="H74" s="259"/>
      <c r="I74" s="259"/>
      <c r="J74" s="259"/>
      <c r="K74" s="260"/>
    </row>
    <row r="75" spans="1:11" ht="99.95" customHeight="1">
      <c r="A75" s="253"/>
      <c r="B75" s="254"/>
      <c r="C75" s="255"/>
      <c r="D75" s="256"/>
      <c r="E75" s="257"/>
      <c r="F75" s="258"/>
      <c r="G75" s="259"/>
      <c r="H75" s="259"/>
      <c r="I75" s="259"/>
      <c r="J75" s="259"/>
      <c r="K75" s="260"/>
    </row>
    <row r="76" spans="1:11" ht="99.95" customHeight="1">
      <c r="A76" s="253"/>
      <c r="B76" s="254"/>
      <c r="C76" s="255"/>
      <c r="D76" s="256"/>
      <c r="E76" s="257"/>
      <c r="F76" s="258"/>
      <c r="G76" s="259"/>
      <c r="H76" s="259"/>
      <c r="I76" s="259"/>
      <c r="J76" s="259"/>
      <c r="K76" s="260"/>
    </row>
    <row r="77" spans="1:11" ht="99.95" customHeight="1">
      <c r="A77" s="253"/>
      <c r="B77" s="254"/>
      <c r="C77" s="255"/>
      <c r="D77" s="256"/>
      <c r="E77" s="257"/>
      <c r="F77" s="258"/>
      <c r="G77" s="259"/>
      <c r="H77" s="259"/>
      <c r="I77" s="259"/>
      <c r="J77" s="259"/>
      <c r="K77" s="260"/>
    </row>
    <row r="78" spans="1:11" ht="99.95" customHeight="1">
      <c r="A78" s="253"/>
      <c r="B78" s="254"/>
      <c r="C78" s="255"/>
      <c r="D78" s="256"/>
      <c r="E78" s="257"/>
      <c r="F78" s="258"/>
      <c r="G78" s="259"/>
      <c r="H78" s="259"/>
      <c r="I78" s="259"/>
      <c r="J78" s="259"/>
      <c r="K78" s="260"/>
    </row>
    <row r="79" spans="1:11" ht="99.95" customHeight="1">
      <c r="A79" s="253"/>
      <c r="B79" s="254"/>
      <c r="C79" s="255"/>
      <c r="D79" s="256"/>
      <c r="E79" s="257"/>
      <c r="F79" s="258"/>
      <c r="G79" s="259"/>
      <c r="H79" s="259"/>
      <c r="I79" s="259"/>
      <c r="J79" s="259"/>
      <c r="K79" s="260"/>
    </row>
    <row r="80" spans="1:11" ht="99.95" customHeight="1">
      <c r="A80" s="253"/>
      <c r="B80" s="254"/>
      <c r="C80" s="255"/>
      <c r="D80" s="256"/>
      <c r="E80" s="257"/>
      <c r="F80" s="258"/>
      <c r="G80" s="259"/>
      <c r="H80" s="259"/>
      <c r="I80" s="259"/>
      <c r="J80" s="259"/>
      <c r="K80" s="260"/>
    </row>
    <row r="81" spans="1:11" ht="99.95" customHeight="1">
      <c r="A81" s="253"/>
      <c r="B81" s="254"/>
      <c r="C81" s="255"/>
      <c r="D81" s="256"/>
      <c r="E81" s="257"/>
      <c r="F81" s="258"/>
      <c r="G81" s="259"/>
      <c r="H81" s="259"/>
      <c r="I81" s="259"/>
      <c r="J81" s="259"/>
      <c r="K81" s="260"/>
    </row>
    <row r="82" spans="1:11" ht="99.95" customHeight="1">
      <c r="A82" s="253"/>
      <c r="B82" s="254"/>
      <c r="C82" s="255"/>
      <c r="D82" s="256"/>
      <c r="E82" s="257"/>
      <c r="F82" s="258"/>
      <c r="G82" s="259"/>
      <c r="H82" s="259"/>
      <c r="I82" s="259"/>
      <c r="J82" s="259"/>
      <c r="K82" s="260"/>
    </row>
    <row r="83" spans="1:11" ht="99.95" customHeight="1">
      <c r="A83" s="253"/>
      <c r="B83" s="254"/>
      <c r="C83" s="255"/>
      <c r="D83" s="256"/>
      <c r="E83" s="257"/>
      <c r="F83" s="258"/>
      <c r="G83" s="259"/>
      <c r="H83" s="259"/>
      <c r="I83" s="259"/>
      <c r="J83" s="259"/>
      <c r="K83" s="260"/>
    </row>
    <row r="84" spans="1:11" ht="99.95" customHeight="1">
      <c r="A84" s="253"/>
      <c r="B84" s="254"/>
      <c r="C84" s="255"/>
      <c r="D84" s="256"/>
      <c r="E84" s="257"/>
      <c r="F84" s="258"/>
      <c r="G84" s="259"/>
      <c r="H84" s="259"/>
      <c r="I84" s="259"/>
      <c r="J84" s="259"/>
      <c r="K84" s="260"/>
    </row>
    <row r="85" spans="1:11" ht="99.95" customHeight="1">
      <c r="A85" s="253"/>
      <c r="B85" s="254"/>
      <c r="C85" s="255"/>
      <c r="D85" s="256"/>
      <c r="E85" s="257"/>
      <c r="F85" s="258"/>
      <c r="G85" s="259"/>
      <c r="H85" s="259"/>
      <c r="I85" s="259"/>
      <c r="J85" s="259"/>
      <c r="K85" s="260"/>
    </row>
    <row r="86" spans="1:11" ht="99.95" customHeight="1">
      <c r="A86" s="253"/>
      <c r="B86" s="254"/>
      <c r="C86" s="255"/>
      <c r="D86" s="256"/>
      <c r="E86" s="257"/>
      <c r="F86" s="258"/>
      <c r="G86" s="259"/>
      <c r="H86" s="259"/>
      <c r="I86" s="259"/>
      <c r="J86" s="259"/>
      <c r="K86" s="260"/>
    </row>
    <row r="87" spans="1:11" ht="99.95" customHeight="1">
      <c r="A87" s="253"/>
      <c r="B87" s="254"/>
      <c r="C87" s="255"/>
      <c r="D87" s="256"/>
      <c r="E87" s="257"/>
      <c r="F87" s="258"/>
      <c r="G87" s="259"/>
      <c r="H87" s="259"/>
      <c r="I87" s="259"/>
      <c r="J87" s="259"/>
      <c r="K87" s="260"/>
    </row>
    <row r="88" spans="1:11" ht="99.95" customHeight="1">
      <c r="A88" s="253"/>
      <c r="B88" s="254"/>
      <c r="C88" s="255"/>
      <c r="D88" s="256"/>
      <c r="E88" s="257"/>
      <c r="F88" s="258"/>
      <c r="G88" s="259"/>
      <c r="H88" s="259"/>
      <c r="I88" s="259"/>
      <c r="J88" s="259"/>
      <c r="K88" s="260"/>
    </row>
    <row r="89" spans="1:11" ht="99.95" customHeight="1">
      <c r="A89" s="253"/>
      <c r="B89" s="254"/>
      <c r="C89" s="255"/>
      <c r="D89" s="256"/>
      <c r="E89" s="257"/>
      <c r="F89" s="258"/>
      <c r="G89" s="259"/>
      <c r="H89" s="259"/>
      <c r="I89" s="259"/>
      <c r="J89" s="259"/>
      <c r="K89" s="260"/>
    </row>
    <row r="90" spans="1:11" ht="99.95" customHeight="1">
      <c r="A90" s="253"/>
      <c r="B90" s="254"/>
      <c r="C90" s="255"/>
      <c r="D90" s="256"/>
      <c r="E90" s="257"/>
      <c r="F90" s="258"/>
      <c r="G90" s="259"/>
      <c r="H90" s="259"/>
      <c r="I90" s="259"/>
      <c r="J90" s="259"/>
      <c r="K90" s="260"/>
    </row>
    <row r="91" spans="1:11" ht="99.95" customHeight="1">
      <c r="A91" s="253"/>
      <c r="B91" s="254"/>
      <c r="C91" s="255"/>
      <c r="D91" s="256"/>
      <c r="E91" s="257"/>
      <c r="F91" s="258"/>
      <c r="G91" s="259"/>
      <c r="H91" s="259"/>
      <c r="I91" s="259"/>
      <c r="J91" s="259"/>
      <c r="K91" s="260"/>
    </row>
    <row r="92" spans="1:11" ht="99.95" customHeight="1">
      <c r="A92" s="253"/>
      <c r="B92" s="254"/>
      <c r="C92" s="255"/>
      <c r="D92" s="256"/>
      <c r="E92" s="257"/>
      <c r="F92" s="258"/>
      <c r="G92" s="259"/>
      <c r="H92" s="259"/>
      <c r="I92" s="259"/>
      <c r="J92" s="259"/>
      <c r="K92" s="260"/>
    </row>
    <row r="93" spans="1:11" ht="99.95" customHeight="1">
      <c r="A93" s="253"/>
      <c r="B93" s="254"/>
      <c r="C93" s="255"/>
      <c r="D93" s="256"/>
      <c r="E93" s="257"/>
      <c r="F93" s="258"/>
      <c r="G93" s="259"/>
      <c r="H93" s="259"/>
      <c r="I93" s="259"/>
      <c r="J93" s="259"/>
      <c r="K93" s="260"/>
    </row>
    <row r="94" spans="1:11" ht="99.95" customHeight="1">
      <c r="A94" s="253"/>
      <c r="B94" s="254"/>
      <c r="C94" s="255"/>
      <c r="D94" s="256"/>
      <c r="E94" s="257"/>
      <c r="F94" s="258"/>
      <c r="G94" s="259"/>
      <c r="H94" s="259"/>
      <c r="I94" s="259"/>
      <c r="J94" s="259"/>
      <c r="K94" s="260"/>
    </row>
    <row r="95" spans="1:11" ht="99.95" customHeight="1">
      <c r="A95" s="253"/>
      <c r="B95" s="254"/>
      <c r="C95" s="255"/>
      <c r="D95" s="256"/>
      <c r="E95" s="257"/>
      <c r="F95" s="258"/>
      <c r="G95" s="259"/>
      <c r="H95" s="259"/>
      <c r="I95" s="259"/>
      <c r="J95" s="259"/>
      <c r="K95" s="260"/>
    </row>
    <row r="96" spans="1:11" ht="99.95" customHeight="1">
      <c r="A96" s="253"/>
      <c r="B96" s="254"/>
      <c r="C96" s="255"/>
      <c r="D96" s="256"/>
      <c r="E96" s="257"/>
      <c r="F96" s="258"/>
      <c r="G96" s="259"/>
      <c r="H96" s="259"/>
      <c r="I96" s="259"/>
      <c r="J96" s="259"/>
      <c r="K96" s="260"/>
    </row>
    <row r="97" spans="1:11" ht="15" customHeight="1"/>
    <row r="98" spans="1:11" ht="15" customHeight="1"/>
    <row r="99" spans="1:11" ht="15" customHeight="1"/>
    <row r="100" spans="1:11" ht="15" customHeight="1"/>
    <row r="101" spans="1:11" ht="15" customHeight="1"/>
    <row r="102" spans="1:11" ht="15" customHeight="1">
      <c r="A102" s="31" t="s">
        <v>51</v>
      </c>
      <c r="B102" s="31"/>
      <c r="C102" s="31"/>
      <c r="D102" s="31"/>
      <c r="E102" s="31"/>
      <c r="F102" s="31"/>
    </row>
    <row r="103" spans="1:11" ht="15" customHeight="1">
      <c r="A103" s="31" t="s">
        <v>53</v>
      </c>
      <c r="B103" s="31"/>
      <c r="C103" s="31"/>
      <c r="H103" s="99" t="s">
        <v>54</v>
      </c>
      <c r="I103" s="53"/>
      <c r="J103" s="53"/>
      <c r="K103" s="53"/>
    </row>
  </sheetData>
  <mergeCells count="110"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63:C63"/>
    <mergeCell ref="D63:E63"/>
    <mergeCell ref="F63:K63"/>
    <mergeCell ref="A64:C64"/>
    <mergeCell ref="D64:E64"/>
    <mergeCell ref="F64:K64"/>
    <mergeCell ref="A1:K1"/>
    <mergeCell ref="A18:C18"/>
    <mergeCell ref="D18:F18"/>
    <mergeCell ref="A21:C21"/>
    <mergeCell ref="D21:F21"/>
    <mergeCell ref="A22:C22"/>
    <mergeCell ref="D22:F22"/>
    <mergeCell ref="G22:H22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3"/>
  <sheetViews>
    <sheetView showGridLines="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39"/>
      <c r="J3" s="39"/>
      <c r="K3" s="40"/>
    </row>
    <row r="4" spans="1:13" ht="15" customHeight="1">
      <c r="A4" s="41" t="s">
        <v>18</v>
      </c>
      <c r="B4" s="41"/>
      <c r="C4" s="41"/>
      <c r="F4" s="38"/>
      <c r="G4" s="42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39"/>
      <c r="H6" s="39"/>
      <c r="I6" s="39"/>
      <c r="J6" s="39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39"/>
      <c r="H12" s="57"/>
      <c r="K12" s="58"/>
    </row>
    <row r="13" spans="1:13" ht="15" customHeight="1">
      <c r="A13" s="31" t="s">
        <v>27</v>
      </c>
      <c r="F13" s="38"/>
      <c r="G13" s="39"/>
      <c r="H13" s="57"/>
      <c r="I13" s="59" t="s">
        <v>28</v>
      </c>
      <c r="J13" s="60">
        <f>1500/324106.53*J61</f>
        <v>0</v>
      </c>
      <c r="K13" s="58"/>
    </row>
    <row r="14" spans="1:13" ht="15" customHeight="1">
      <c r="A14" s="61" t="s">
        <v>29</v>
      </c>
      <c r="B14" s="61"/>
      <c r="F14" s="38"/>
      <c r="H14" s="57"/>
      <c r="I14" s="62" t="s">
        <v>30</v>
      </c>
      <c r="J14" s="63">
        <f>J61*1.1*0.026%</f>
        <v>0</v>
      </c>
      <c r="K14" s="58"/>
      <c r="L14" s="51"/>
    </row>
    <row r="15" spans="1:13" ht="15" customHeight="1">
      <c r="F15" s="38"/>
      <c r="H15" s="64"/>
      <c r="I15" s="65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39"/>
      <c r="H16" s="59" t="s">
        <v>34</v>
      </c>
      <c r="I16" s="45" t="s">
        <v>35</v>
      </c>
      <c r="J16" s="37" t="s">
        <v>36</v>
      </c>
      <c r="K16" s="58"/>
    </row>
    <row r="17" spans="1:13" ht="15" customHeight="1">
      <c r="D17" s="67" t="s">
        <v>24</v>
      </c>
      <c r="E17" s="42"/>
      <c r="F17" s="38"/>
      <c r="H17" s="62" t="s">
        <v>37</v>
      </c>
      <c r="I17" s="68">
        <f>K61</f>
        <v>0</v>
      </c>
      <c r="J17" s="37" t="s">
        <v>38</v>
      </c>
      <c r="K17" s="58"/>
    </row>
    <row r="18" spans="1:13" ht="15" customHeight="1">
      <c r="A18" s="243" t="s">
        <v>39</v>
      </c>
      <c r="B18" s="243"/>
      <c r="C18" s="244"/>
      <c r="D18" s="245" t="s">
        <v>40</v>
      </c>
      <c r="E18" s="246"/>
      <c r="F18" s="247"/>
      <c r="H18" s="62" t="s">
        <v>41</v>
      </c>
      <c r="I18" s="68">
        <f>I17*1.1</f>
        <v>0</v>
      </c>
      <c r="J18" s="37" t="s">
        <v>38</v>
      </c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57" t="s">
        <v>24</v>
      </c>
      <c r="C23" s="38"/>
      <c r="F23" s="38"/>
      <c r="H23" s="38"/>
      <c r="I23" s="38"/>
    </row>
    <row r="24" spans="1:13" ht="15" customHeight="1">
      <c r="A24" s="57" t="s">
        <v>24</v>
      </c>
      <c r="G24" s="72" t="s">
        <v>49</v>
      </c>
      <c r="H24" s="72"/>
      <c r="I24" s="72"/>
    </row>
    <row r="25" spans="1:13" ht="15" customHeight="1">
      <c r="A25" s="73"/>
      <c r="B25" s="57"/>
      <c r="C25" s="39"/>
      <c r="D25" s="57"/>
      <c r="E25" s="57"/>
      <c r="F25" s="39"/>
      <c r="G25" s="39"/>
      <c r="H25" s="39"/>
      <c r="I25" s="39"/>
      <c r="J25" s="39"/>
      <c r="K25" s="74"/>
    </row>
    <row r="26" spans="1:13" ht="15" customHeight="1">
      <c r="A26" s="75"/>
      <c r="B26" s="57"/>
      <c r="C26" s="39"/>
      <c r="D26" s="100" t="s">
        <v>55</v>
      </c>
      <c r="E26" s="100"/>
      <c r="F26" s="100"/>
      <c r="G26" s="100" t="s">
        <v>5</v>
      </c>
      <c r="H26" s="100" t="s">
        <v>6</v>
      </c>
      <c r="I26" s="100" t="s">
        <v>56</v>
      </c>
      <c r="J26" s="100" t="s">
        <v>57</v>
      </c>
      <c r="K26" s="51"/>
    </row>
    <row r="27" spans="1:13" ht="15" customHeight="1">
      <c r="A27" s="77"/>
      <c r="B27" s="57"/>
      <c r="D27" s="78"/>
      <c r="E27" s="39"/>
      <c r="F27" s="79"/>
      <c r="G27" s="79"/>
      <c r="H27" s="80"/>
      <c r="I27" s="81"/>
      <c r="J27" s="82">
        <f t="shared" ref="J27:J60" si="0">G27*I27</f>
        <v>0</v>
      </c>
      <c r="K27" s="51"/>
    </row>
    <row r="28" spans="1:13" ht="15" customHeight="1">
      <c r="A28" s="77"/>
      <c r="B28" s="57"/>
      <c r="C28" s="57"/>
      <c r="D28" s="78"/>
      <c r="E28" s="39"/>
      <c r="F28" s="79"/>
      <c r="G28" s="79"/>
      <c r="H28" s="80"/>
      <c r="I28" s="81"/>
      <c r="J28" s="82">
        <f t="shared" si="0"/>
        <v>0</v>
      </c>
      <c r="K28" s="51"/>
      <c r="M28" s="83"/>
    </row>
    <row r="29" spans="1:13" ht="15" customHeight="1">
      <c r="A29" s="77"/>
      <c r="B29" s="57"/>
      <c r="C29" s="57"/>
      <c r="D29" s="78"/>
      <c r="E29" s="39"/>
      <c r="F29" s="79"/>
      <c r="G29" s="79"/>
      <c r="H29" s="80"/>
      <c r="I29" s="81"/>
      <c r="J29" s="82">
        <f t="shared" si="0"/>
        <v>0</v>
      </c>
      <c r="K29" s="51"/>
      <c r="M29" s="83"/>
    </row>
    <row r="30" spans="1:13" ht="15" customHeight="1">
      <c r="A30" s="77"/>
      <c r="B30" s="57"/>
      <c r="C30" s="57"/>
      <c r="D30" s="78"/>
      <c r="E30" s="39"/>
      <c r="F30" s="79"/>
      <c r="G30" s="79"/>
      <c r="H30" s="80"/>
      <c r="I30" s="81"/>
      <c r="J30" s="82">
        <f t="shared" si="0"/>
        <v>0</v>
      </c>
      <c r="K30" s="51"/>
      <c r="M30" s="83"/>
    </row>
    <row r="31" spans="1:13" ht="15" customHeight="1">
      <c r="A31" s="77"/>
      <c r="B31" s="57"/>
      <c r="C31" s="57"/>
      <c r="D31" s="78"/>
      <c r="E31" s="39"/>
      <c r="F31" s="79"/>
      <c r="G31" s="79"/>
      <c r="H31" s="80"/>
      <c r="I31" s="81"/>
      <c r="J31" s="82">
        <f t="shared" si="0"/>
        <v>0</v>
      </c>
      <c r="K31" s="51"/>
      <c r="M31" s="83"/>
    </row>
    <row r="32" spans="1:13" ht="15" customHeight="1">
      <c r="A32" s="77"/>
      <c r="B32" s="57"/>
      <c r="C32" s="57"/>
      <c r="D32" s="78"/>
      <c r="E32" s="39"/>
      <c r="F32" s="79"/>
      <c r="G32" s="79"/>
      <c r="H32" s="80"/>
      <c r="I32" s="81"/>
      <c r="J32" s="82">
        <f t="shared" si="0"/>
        <v>0</v>
      </c>
      <c r="K32" s="51"/>
      <c r="M32" s="83"/>
    </row>
    <row r="33" spans="1:13" ht="15" customHeight="1">
      <c r="A33" s="77"/>
      <c r="B33" s="57"/>
      <c r="C33" s="57"/>
      <c r="D33" s="78"/>
      <c r="E33" s="39"/>
      <c r="F33" s="79"/>
      <c r="G33" s="79"/>
      <c r="H33" s="80"/>
      <c r="I33" s="81"/>
      <c r="J33" s="82">
        <f t="shared" si="0"/>
        <v>0</v>
      </c>
      <c r="K33" s="51"/>
      <c r="M33" s="83"/>
    </row>
    <row r="34" spans="1:13" ht="15" customHeight="1">
      <c r="A34" s="77"/>
      <c r="B34" s="57"/>
      <c r="C34" s="57"/>
      <c r="D34" s="78"/>
      <c r="E34" s="39"/>
      <c r="F34" s="79"/>
      <c r="G34" s="79"/>
      <c r="H34" s="80"/>
      <c r="I34" s="81"/>
      <c r="J34" s="82">
        <f t="shared" si="0"/>
        <v>0</v>
      </c>
      <c r="K34" s="51"/>
      <c r="M34" s="83"/>
    </row>
    <row r="35" spans="1:13" ht="15" customHeight="1">
      <c r="A35" s="77"/>
      <c r="B35" s="57"/>
      <c r="C35" s="57"/>
      <c r="D35" s="78"/>
      <c r="E35" s="39"/>
      <c r="F35" s="79"/>
      <c r="G35" s="79"/>
      <c r="H35" s="80"/>
      <c r="I35" s="81"/>
      <c r="J35" s="82">
        <f t="shared" si="0"/>
        <v>0</v>
      </c>
      <c r="K35" s="51"/>
      <c r="M35" s="83"/>
    </row>
    <row r="36" spans="1:13" ht="15" customHeight="1">
      <c r="A36" s="77"/>
      <c r="B36" s="57"/>
      <c r="C36" s="57"/>
      <c r="D36" s="78"/>
      <c r="E36" s="39"/>
      <c r="F36" s="79"/>
      <c r="G36" s="79"/>
      <c r="H36" s="80"/>
      <c r="I36" s="81"/>
      <c r="J36" s="82">
        <f t="shared" si="0"/>
        <v>0</v>
      </c>
      <c r="K36" s="51"/>
      <c r="M36" s="83"/>
    </row>
    <row r="37" spans="1:13" ht="15" customHeight="1">
      <c r="A37" s="77"/>
      <c r="B37" s="57"/>
      <c r="C37" s="57"/>
      <c r="D37" s="78"/>
      <c r="E37" s="39"/>
      <c r="F37" s="79"/>
      <c r="G37" s="79"/>
      <c r="H37" s="80"/>
      <c r="I37" s="81"/>
      <c r="J37" s="82">
        <f t="shared" si="0"/>
        <v>0</v>
      </c>
      <c r="K37" s="51"/>
      <c r="M37" s="83"/>
    </row>
    <row r="38" spans="1:13" ht="15" customHeight="1">
      <c r="A38" s="77"/>
      <c r="B38" s="57"/>
      <c r="C38" s="57"/>
      <c r="D38" s="78"/>
      <c r="E38" s="39"/>
      <c r="F38" s="79"/>
      <c r="G38" s="79"/>
      <c r="H38" s="80"/>
      <c r="I38" s="81"/>
      <c r="J38" s="82">
        <f t="shared" si="0"/>
        <v>0</v>
      </c>
      <c r="K38" s="51"/>
      <c r="M38" s="83"/>
    </row>
    <row r="39" spans="1:13" ht="15" customHeight="1">
      <c r="A39" s="77"/>
      <c r="B39" s="57"/>
      <c r="C39" s="57"/>
      <c r="D39" s="78"/>
      <c r="E39" s="39"/>
      <c r="F39" s="79"/>
      <c r="G39" s="79"/>
      <c r="H39" s="80"/>
      <c r="I39" s="81"/>
      <c r="J39" s="82">
        <f t="shared" si="0"/>
        <v>0</v>
      </c>
      <c r="K39" s="51"/>
      <c r="M39" s="83"/>
    </row>
    <row r="40" spans="1:13" ht="15" customHeight="1">
      <c r="A40" s="77"/>
      <c r="B40" s="57"/>
      <c r="C40" s="57"/>
      <c r="D40" s="78"/>
      <c r="E40" s="39"/>
      <c r="F40" s="79"/>
      <c r="G40" s="79"/>
      <c r="H40" s="80"/>
      <c r="I40" s="81"/>
      <c r="J40" s="82">
        <f t="shared" si="0"/>
        <v>0</v>
      </c>
      <c r="K40" s="51"/>
      <c r="M40" s="83"/>
    </row>
    <row r="41" spans="1:13" ht="15" customHeight="1">
      <c r="A41" s="77"/>
      <c r="B41" s="57"/>
      <c r="C41" s="57"/>
      <c r="D41" s="78"/>
      <c r="E41" s="39"/>
      <c r="F41" s="79"/>
      <c r="G41" s="79"/>
      <c r="H41" s="80"/>
      <c r="I41" s="81"/>
      <c r="J41" s="82">
        <f t="shared" si="0"/>
        <v>0</v>
      </c>
      <c r="K41" s="51"/>
      <c r="M41" s="83"/>
    </row>
    <row r="42" spans="1:13" ht="15" customHeight="1">
      <c r="A42" s="77"/>
      <c r="B42" s="57"/>
      <c r="C42" s="57"/>
      <c r="D42" s="78"/>
      <c r="E42" s="39"/>
      <c r="F42" s="79"/>
      <c r="G42" s="79"/>
      <c r="H42" s="80"/>
      <c r="I42" s="81"/>
      <c r="J42" s="82">
        <f t="shared" si="0"/>
        <v>0</v>
      </c>
      <c r="K42" s="51"/>
      <c r="M42" s="83"/>
    </row>
    <row r="43" spans="1:13" ht="15" customHeight="1">
      <c r="A43" s="77"/>
      <c r="B43" s="57"/>
      <c r="C43" s="57"/>
      <c r="D43" s="78"/>
      <c r="E43" s="39"/>
      <c r="F43" s="79"/>
      <c r="G43" s="79"/>
      <c r="H43" s="80"/>
      <c r="I43" s="81"/>
      <c r="J43" s="82">
        <f t="shared" si="0"/>
        <v>0</v>
      </c>
      <c r="K43" s="51"/>
      <c r="M43" s="83"/>
    </row>
    <row r="44" spans="1:13" ht="15" customHeight="1">
      <c r="A44" s="77"/>
      <c r="B44" s="57"/>
      <c r="C44" s="57"/>
      <c r="D44" s="78"/>
      <c r="E44" s="39"/>
      <c r="F44" s="79"/>
      <c r="G44" s="79"/>
      <c r="H44" s="80"/>
      <c r="I44" s="81"/>
      <c r="J44" s="82">
        <f t="shared" si="0"/>
        <v>0</v>
      </c>
      <c r="K44" s="51"/>
      <c r="M44" s="83"/>
    </row>
    <row r="45" spans="1:13" ht="15" customHeight="1">
      <c r="A45" s="77"/>
      <c r="B45" s="57"/>
      <c r="C45" s="57"/>
      <c r="D45" s="78"/>
      <c r="E45" s="39"/>
      <c r="F45" s="79"/>
      <c r="G45" s="79"/>
      <c r="H45" s="80"/>
      <c r="I45" s="81"/>
      <c r="J45" s="82">
        <f t="shared" si="0"/>
        <v>0</v>
      </c>
      <c r="K45" s="51"/>
      <c r="M45" s="83"/>
    </row>
    <row r="46" spans="1:13" ht="15" customHeight="1">
      <c r="A46" s="77"/>
      <c r="B46" s="57"/>
      <c r="C46" s="57"/>
      <c r="D46" s="78"/>
      <c r="E46" s="39"/>
      <c r="F46" s="79"/>
      <c r="G46" s="79"/>
      <c r="H46" s="80"/>
      <c r="I46" s="81"/>
      <c r="J46" s="82">
        <f t="shared" si="0"/>
        <v>0</v>
      </c>
      <c r="K46" s="51"/>
      <c r="M46" s="83"/>
    </row>
    <row r="47" spans="1:13" ht="15" customHeight="1">
      <c r="A47" s="77"/>
      <c r="B47" s="57"/>
      <c r="C47" s="57"/>
      <c r="D47" s="78"/>
      <c r="E47" s="39"/>
      <c r="F47" s="79"/>
      <c r="G47" s="79"/>
      <c r="H47" s="80"/>
      <c r="I47" s="81"/>
      <c r="J47" s="82">
        <f t="shared" si="0"/>
        <v>0</v>
      </c>
      <c r="K47" s="51"/>
      <c r="M47" s="83"/>
    </row>
    <row r="48" spans="1:13" ht="15" customHeight="1">
      <c r="A48" s="77"/>
      <c r="B48" s="57"/>
      <c r="C48" s="57"/>
      <c r="D48" s="78"/>
      <c r="E48" s="39"/>
      <c r="F48" s="79"/>
      <c r="G48" s="79"/>
      <c r="H48" s="80"/>
      <c r="I48" s="81"/>
      <c r="J48" s="82">
        <f t="shared" si="0"/>
        <v>0</v>
      </c>
      <c r="K48" s="51"/>
      <c r="M48" s="83"/>
    </row>
    <row r="49" spans="1:13" ht="15" customHeight="1">
      <c r="A49" s="77"/>
      <c r="B49" s="57"/>
      <c r="C49" s="57"/>
      <c r="D49" s="78"/>
      <c r="E49" s="39"/>
      <c r="F49" s="79"/>
      <c r="G49" s="79"/>
      <c r="H49" s="80"/>
      <c r="I49" s="81"/>
      <c r="J49" s="82">
        <f t="shared" si="0"/>
        <v>0</v>
      </c>
      <c r="K49" s="51"/>
      <c r="M49" s="83"/>
    </row>
    <row r="50" spans="1:13" ht="15" customHeight="1">
      <c r="A50" s="77"/>
      <c r="B50" s="57"/>
      <c r="C50" s="57"/>
      <c r="D50" s="78"/>
      <c r="E50" s="39"/>
      <c r="F50" s="79"/>
      <c r="G50" s="79"/>
      <c r="H50" s="80"/>
      <c r="I50" s="81"/>
      <c r="J50" s="82">
        <f t="shared" si="0"/>
        <v>0</v>
      </c>
      <c r="K50" s="51"/>
      <c r="M50" s="83"/>
    </row>
    <row r="51" spans="1:13" ht="15" customHeight="1">
      <c r="A51" s="77"/>
      <c r="B51" s="57"/>
      <c r="C51" s="57"/>
      <c r="D51" s="78"/>
      <c r="E51" s="39"/>
      <c r="F51" s="79"/>
      <c r="G51" s="79"/>
      <c r="H51" s="80"/>
      <c r="I51" s="81"/>
      <c r="J51" s="82">
        <f t="shared" si="0"/>
        <v>0</v>
      </c>
      <c r="K51" s="51"/>
      <c r="M51" s="83"/>
    </row>
    <row r="52" spans="1:13" ht="15" customHeight="1">
      <c r="A52" s="77"/>
      <c r="B52" s="57"/>
      <c r="C52" s="57"/>
      <c r="D52" s="78"/>
      <c r="E52" s="39"/>
      <c r="F52" s="79"/>
      <c r="G52" s="79"/>
      <c r="H52" s="80"/>
      <c r="I52" s="81"/>
      <c r="J52" s="82">
        <f t="shared" si="0"/>
        <v>0</v>
      </c>
      <c r="K52" s="51"/>
      <c r="M52" s="83"/>
    </row>
    <row r="53" spans="1:13" ht="15" customHeight="1">
      <c r="A53" s="77"/>
      <c r="B53" s="57"/>
      <c r="C53" s="57"/>
      <c r="D53" s="78"/>
      <c r="E53" s="39"/>
      <c r="F53" s="79"/>
      <c r="G53" s="79"/>
      <c r="H53" s="80"/>
      <c r="I53" s="81"/>
      <c r="J53" s="82">
        <f t="shared" si="0"/>
        <v>0</v>
      </c>
      <c r="K53" s="51"/>
      <c r="M53" s="83"/>
    </row>
    <row r="54" spans="1:13" ht="15" customHeight="1">
      <c r="A54" s="77"/>
      <c r="B54" s="57"/>
      <c r="C54" s="57"/>
      <c r="D54" s="78"/>
      <c r="E54" s="39"/>
      <c r="F54" s="79"/>
      <c r="G54" s="79"/>
      <c r="H54" s="80"/>
      <c r="I54" s="81"/>
      <c r="J54" s="82">
        <f t="shared" si="0"/>
        <v>0</v>
      </c>
      <c r="K54" s="51"/>
      <c r="M54" s="83"/>
    </row>
    <row r="55" spans="1:13" ht="15" customHeight="1">
      <c r="A55" s="77"/>
      <c r="B55" s="57"/>
      <c r="C55" s="57"/>
      <c r="D55" s="78"/>
      <c r="E55" s="39"/>
      <c r="F55" s="79"/>
      <c r="G55" s="79"/>
      <c r="H55" s="80"/>
      <c r="I55" s="81"/>
      <c r="J55" s="82">
        <f t="shared" si="0"/>
        <v>0</v>
      </c>
      <c r="K55" s="51"/>
      <c r="M55" s="83"/>
    </row>
    <row r="56" spans="1:13" ht="15" customHeight="1">
      <c r="A56" s="77"/>
      <c r="B56" s="57"/>
      <c r="C56" s="57"/>
      <c r="D56" s="78"/>
      <c r="E56" s="39"/>
      <c r="F56" s="79"/>
      <c r="G56" s="79"/>
      <c r="H56" s="80"/>
      <c r="I56" s="81"/>
      <c r="J56" s="82">
        <f t="shared" si="0"/>
        <v>0</v>
      </c>
      <c r="K56" s="51"/>
      <c r="M56" s="83"/>
    </row>
    <row r="57" spans="1:13" ht="15" customHeight="1">
      <c r="A57" s="77"/>
      <c r="B57" s="57"/>
      <c r="C57" s="57"/>
      <c r="D57" s="78"/>
      <c r="E57" s="39"/>
      <c r="F57" s="79"/>
      <c r="G57" s="79"/>
      <c r="H57" s="80"/>
      <c r="I57" s="81"/>
      <c r="J57" s="82">
        <f t="shared" si="0"/>
        <v>0</v>
      </c>
      <c r="K57" s="51"/>
      <c r="M57" s="83"/>
    </row>
    <row r="58" spans="1:13" ht="15" customHeight="1">
      <c r="A58" s="77"/>
      <c r="B58" s="57"/>
      <c r="C58" s="57"/>
      <c r="D58" s="78"/>
      <c r="E58" s="39"/>
      <c r="F58" s="79"/>
      <c r="G58" s="79"/>
      <c r="H58" s="80"/>
      <c r="I58" s="81"/>
      <c r="J58" s="82">
        <f t="shared" si="0"/>
        <v>0</v>
      </c>
      <c r="K58" s="51"/>
      <c r="M58" s="83"/>
    </row>
    <row r="59" spans="1:13" ht="15" customHeight="1">
      <c r="A59" s="77"/>
      <c r="B59" s="57"/>
      <c r="C59" s="57"/>
      <c r="D59" s="78"/>
      <c r="E59" s="39"/>
      <c r="F59" s="79"/>
      <c r="G59" s="79"/>
      <c r="H59" s="80"/>
      <c r="I59" s="81"/>
      <c r="J59" s="82">
        <f t="shared" si="0"/>
        <v>0</v>
      </c>
      <c r="K59" s="51"/>
      <c r="M59" s="83"/>
    </row>
    <row r="60" spans="1:13" ht="15" customHeight="1">
      <c r="A60" s="77"/>
      <c r="B60" s="57"/>
      <c r="C60" s="57"/>
      <c r="D60" s="78"/>
      <c r="E60" s="39"/>
      <c r="F60" s="79"/>
      <c r="G60" s="79"/>
      <c r="H60" s="80"/>
      <c r="I60" s="81"/>
      <c r="J60" s="82">
        <f t="shared" si="0"/>
        <v>0</v>
      </c>
      <c r="K60" s="51"/>
      <c r="M60" s="83"/>
    </row>
    <row r="61" spans="1:13" ht="15" customHeight="1" thickBot="1">
      <c r="A61" s="77"/>
      <c r="B61" s="84"/>
      <c r="C61" s="39"/>
      <c r="D61" s="85" t="s">
        <v>50</v>
      </c>
      <c r="E61" s="85"/>
      <c r="F61" s="86"/>
      <c r="G61" s="87"/>
      <c r="H61" s="88"/>
      <c r="I61" s="89"/>
      <c r="J61" s="90">
        <f>SUM(J27:J60)</f>
        <v>0</v>
      </c>
      <c r="K61" s="51">
        <f>SUM(K27:K60)</f>
        <v>0</v>
      </c>
    </row>
    <row r="62" spans="1:13" ht="15" customHeight="1" thickTop="1">
      <c r="A62" s="9" t="s">
        <v>58</v>
      </c>
      <c r="B62" s="84"/>
      <c r="C62" s="57"/>
      <c r="D62" s="57" t="s">
        <v>59</v>
      </c>
      <c r="E62" s="57"/>
      <c r="F62" s="50" t="s">
        <v>60</v>
      </c>
      <c r="G62" s="50"/>
      <c r="H62" s="91"/>
      <c r="I62" s="92"/>
      <c r="J62" s="93"/>
    </row>
    <row r="63" spans="1:13" ht="99.95" customHeight="1">
      <c r="A63" s="253"/>
      <c r="B63" s="254"/>
      <c r="C63" s="255"/>
      <c r="D63" s="256"/>
      <c r="E63" s="257"/>
      <c r="F63" s="258"/>
      <c r="G63" s="259"/>
      <c r="H63" s="259"/>
      <c r="I63" s="259"/>
      <c r="J63" s="259"/>
      <c r="K63" s="260"/>
    </row>
    <row r="64" spans="1:13" ht="99.95" customHeight="1">
      <c r="A64" s="253"/>
      <c r="B64" s="254"/>
      <c r="C64" s="255"/>
      <c r="D64" s="256"/>
      <c r="E64" s="257"/>
      <c r="F64" s="258"/>
      <c r="G64" s="259"/>
      <c r="H64" s="259"/>
      <c r="I64" s="259"/>
      <c r="J64" s="259"/>
      <c r="K64" s="260"/>
    </row>
    <row r="65" spans="1:11" ht="99.95" customHeight="1">
      <c r="A65" s="253"/>
      <c r="B65" s="254"/>
      <c r="C65" s="255"/>
      <c r="D65" s="256"/>
      <c r="E65" s="257"/>
      <c r="F65" s="258"/>
      <c r="G65" s="259"/>
      <c r="H65" s="259"/>
      <c r="I65" s="259"/>
      <c r="J65" s="259"/>
      <c r="K65" s="260"/>
    </row>
    <row r="66" spans="1:11" ht="99.95" customHeight="1">
      <c r="A66" s="253"/>
      <c r="B66" s="254"/>
      <c r="C66" s="255"/>
      <c r="D66" s="256"/>
      <c r="E66" s="257"/>
      <c r="F66" s="258"/>
      <c r="G66" s="259"/>
      <c r="H66" s="259"/>
      <c r="I66" s="259"/>
      <c r="J66" s="259"/>
      <c r="K66" s="260"/>
    </row>
    <row r="67" spans="1:11" ht="99.95" customHeight="1">
      <c r="A67" s="253"/>
      <c r="B67" s="254"/>
      <c r="C67" s="255"/>
      <c r="D67" s="256"/>
      <c r="E67" s="257"/>
      <c r="F67" s="258"/>
      <c r="G67" s="259"/>
      <c r="H67" s="259"/>
      <c r="I67" s="259"/>
      <c r="J67" s="259"/>
      <c r="K67" s="260"/>
    </row>
    <row r="68" spans="1:11" ht="99.95" customHeight="1">
      <c r="A68" s="253"/>
      <c r="B68" s="254"/>
      <c r="C68" s="255"/>
      <c r="D68" s="256"/>
      <c r="E68" s="257"/>
      <c r="F68" s="258"/>
      <c r="G68" s="259"/>
      <c r="H68" s="259"/>
      <c r="I68" s="259"/>
      <c r="J68" s="259"/>
      <c r="K68" s="260"/>
    </row>
    <row r="69" spans="1:11" ht="99.95" customHeight="1">
      <c r="A69" s="253"/>
      <c r="B69" s="254"/>
      <c r="C69" s="255"/>
      <c r="D69" s="256"/>
      <c r="E69" s="257"/>
      <c r="F69" s="258"/>
      <c r="G69" s="259"/>
      <c r="H69" s="259"/>
      <c r="I69" s="259"/>
      <c r="J69" s="259"/>
      <c r="K69" s="260"/>
    </row>
    <row r="70" spans="1:11" ht="99.95" customHeight="1">
      <c r="A70" s="253"/>
      <c r="B70" s="254"/>
      <c r="C70" s="255"/>
      <c r="D70" s="256"/>
      <c r="E70" s="257"/>
      <c r="F70" s="258"/>
      <c r="G70" s="259"/>
      <c r="H70" s="259"/>
      <c r="I70" s="259"/>
      <c r="J70" s="259"/>
      <c r="K70" s="260"/>
    </row>
    <row r="71" spans="1:11" ht="99.95" customHeight="1">
      <c r="A71" s="253"/>
      <c r="B71" s="254"/>
      <c r="C71" s="255"/>
      <c r="D71" s="256"/>
      <c r="E71" s="257"/>
      <c r="F71" s="258"/>
      <c r="G71" s="259"/>
      <c r="H71" s="259"/>
      <c r="I71" s="259"/>
      <c r="J71" s="259"/>
      <c r="K71" s="260"/>
    </row>
    <row r="72" spans="1:11" ht="99.95" customHeight="1">
      <c r="A72" s="253"/>
      <c r="B72" s="254"/>
      <c r="C72" s="255"/>
      <c r="D72" s="256"/>
      <c r="E72" s="257"/>
      <c r="F72" s="258"/>
      <c r="G72" s="259"/>
      <c r="H72" s="259"/>
      <c r="I72" s="259"/>
      <c r="J72" s="259"/>
      <c r="K72" s="260"/>
    </row>
    <row r="73" spans="1:11" ht="99.95" customHeight="1">
      <c r="A73" s="253"/>
      <c r="B73" s="254"/>
      <c r="C73" s="255"/>
      <c r="D73" s="256"/>
      <c r="E73" s="257"/>
      <c r="F73" s="258"/>
      <c r="G73" s="259"/>
      <c r="H73" s="259"/>
      <c r="I73" s="259"/>
      <c r="J73" s="259"/>
      <c r="K73" s="260"/>
    </row>
    <row r="74" spans="1:11" ht="99.95" customHeight="1">
      <c r="A74" s="253"/>
      <c r="B74" s="254"/>
      <c r="C74" s="255"/>
      <c r="D74" s="256"/>
      <c r="E74" s="257"/>
      <c r="F74" s="258"/>
      <c r="G74" s="259"/>
      <c r="H74" s="259"/>
      <c r="I74" s="259"/>
      <c r="J74" s="259"/>
      <c r="K74" s="260"/>
    </row>
    <row r="75" spans="1:11" ht="99.95" customHeight="1">
      <c r="A75" s="253"/>
      <c r="B75" s="254"/>
      <c r="C75" s="255"/>
      <c r="D75" s="256"/>
      <c r="E75" s="257"/>
      <c r="F75" s="258"/>
      <c r="G75" s="259"/>
      <c r="H75" s="259"/>
      <c r="I75" s="259"/>
      <c r="J75" s="259"/>
      <c r="K75" s="260"/>
    </row>
    <row r="76" spans="1:11" ht="99.95" customHeight="1">
      <c r="A76" s="253"/>
      <c r="B76" s="254"/>
      <c r="C76" s="255"/>
      <c r="D76" s="256"/>
      <c r="E76" s="257"/>
      <c r="F76" s="258"/>
      <c r="G76" s="259"/>
      <c r="H76" s="259"/>
      <c r="I76" s="259"/>
      <c r="J76" s="259"/>
      <c r="K76" s="260"/>
    </row>
    <row r="77" spans="1:11" ht="99.95" customHeight="1">
      <c r="A77" s="253"/>
      <c r="B77" s="254"/>
      <c r="C77" s="255"/>
      <c r="D77" s="256"/>
      <c r="E77" s="257"/>
      <c r="F77" s="258"/>
      <c r="G77" s="259"/>
      <c r="H77" s="259"/>
      <c r="I77" s="259"/>
      <c r="J77" s="259"/>
      <c r="K77" s="260"/>
    </row>
    <row r="78" spans="1:11" ht="99.95" customHeight="1">
      <c r="A78" s="253"/>
      <c r="B78" s="254"/>
      <c r="C78" s="255"/>
      <c r="D78" s="256"/>
      <c r="E78" s="257"/>
      <c r="F78" s="258"/>
      <c r="G78" s="259"/>
      <c r="H78" s="259"/>
      <c r="I78" s="259"/>
      <c r="J78" s="259"/>
      <c r="K78" s="260"/>
    </row>
    <row r="79" spans="1:11" ht="99.95" customHeight="1">
      <c r="A79" s="253"/>
      <c r="B79" s="254"/>
      <c r="C79" s="255"/>
      <c r="D79" s="256"/>
      <c r="E79" s="257"/>
      <c r="F79" s="258"/>
      <c r="G79" s="259"/>
      <c r="H79" s="259"/>
      <c r="I79" s="259"/>
      <c r="J79" s="259"/>
      <c r="K79" s="260"/>
    </row>
    <row r="80" spans="1:11" ht="99.95" customHeight="1">
      <c r="A80" s="253"/>
      <c r="B80" s="254"/>
      <c r="C80" s="255"/>
      <c r="D80" s="256"/>
      <c r="E80" s="257"/>
      <c r="F80" s="258"/>
      <c r="G80" s="259"/>
      <c r="H80" s="259"/>
      <c r="I80" s="259"/>
      <c r="J80" s="259"/>
      <c r="K80" s="260"/>
    </row>
    <row r="81" spans="1:11" ht="99.95" customHeight="1">
      <c r="A81" s="253"/>
      <c r="B81" s="254"/>
      <c r="C81" s="255"/>
      <c r="D81" s="256"/>
      <c r="E81" s="257"/>
      <c r="F81" s="258"/>
      <c r="G81" s="259"/>
      <c r="H81" s="259"/>
      <c r="I81" s="259"/>
      <c r="J81" s="259"/>
      <c r="K81" s="260"/>
    </row>
    <row r="82" spans="1:11" ht="99.95" customHeight="1">
      <c r="A82" s="253"/>
      <c r="B82" s="254"/>
      <c r="C82" s="255"/>
      <c r="D82" s="256"/>
      <c r="E82" s="257"/>
      <c r="F82" s="258"/>
      <c r="G82" s="259"/>
      <c r="H82" s="259"/>
      <c r="I82" s="259"/>
      <c r="J82" s="259"/>
      <c r="K82" s="260"/>
    </row>
    <row r="83" spans="1:11" ht="99.95" customHeight="1">
      <c r="A83" s="253"/>
      <c r="B83" s="254"/>
      <c r="C83" s="255"/>
      <c r="D83" s="256"/>
      <c r="E83" s="257"/>
      <c r="F83" s="258"/>
      <c r="G83" s="259"/>
      <c r="H83" s="259"/>
      <c r="I83" s="259"/>
      <c r="J83" s="259"/>
      <c r="K83" s="260"/>
    </row>
    <row r="84" spans="1:11" ht="99.95" customHeight="1">
      <c r="A84" s="253"/>
      <c r="B84" s="254"/>
      <c r="C84" s="255"/>
      <c r="D84" s="256"/>
      <c r="E84" s="257"/>
      <c r="F84" s="258"/>
      <c r="G84" s="259"/>
      <c r="H84" s="259"/>
      <c r="I84" s="259"/>
      <c r="J84" s="259"/>
      <c r="K84" s="260"/>
    </row>
    <row r="85" spans="1:11" ht="99.95" customHeight="1">
      <c r="A85" s="253"/>
      <c r="B85" s="254"/>
      <c r="C85" s="255"/>
      <c r="D85" s="256"/>
      <c r="E85" s="257"/>
      <c r="F85" s="258"/>
      <c r="G85" s="259"/>
      <c r="H85" s="259"/>
      <c r="I85" s="259"/>
      <c r="J85" s="259"/>
      <c r="K85" s="260"/>
    </row>
    <row r="86" spans="1:11" ht="99.95" customHeight="1">
      <c r="A86" s="253"/>
      <c r="B86" s="254"/>
      <c r="C86" s="255"/>
      <c r="D86" s="256"/>
      <c r="E86" s="257"/>
      <c r="F86" s="258"/>
      <c r="G86" s="259"/>
      <c r="H86" s="259"/>
      <c r="I86" s="259"/>
      <c r="J86" s="259"/>
      <c r="K86" s="260"/>
    </row>
    <row r="87" spans="1:11" ht="99.95" customHeight="1">
      <c r="A87" s="253"/>
      <c r="B87" s="254"/>
      <c r="C87" s="255"/>
      <c r="D87" s="256"/>
      <c r="E87" s="257"/>
      <c r="F87" s="258"/>
      <c r="G87" s="259"/>
      <c r="H87" s="259"/>
      <c r="I87" s="259"/>
      <c r="J87" s="259"/>
      <c r="K87" s="260"/>
    </row>
    <row r="88" spans="1:11" ht="99.95" customHeight="1">
      <c r="A88" s="253"/>
      <c r="B88" s="254"/>
      <c r="C88" s="255"/>
      <c r="D88" s="256"/>
      <c r="E88" s="257"/>
      <c r="F88" s="258"/>
      <c r="G88" s="259"/>
      <c r="H88" s="259"/>
      <c r="I88" s="259"/>
      <c r="J88" s="259"/>
      <c r="K88" s="260"/>
    </row>
    <row r="89" spans="1:11" ht="99.95" customHeight="1">
      <c r="A89" s="253"/>
      <c r="B89" s="254"/>
      <c r="C89" s="255"/>
      <c r="D89" s="256"/>
      <c r="E89" s="257"/>
      <c r="F89" s="258"/>
      <c r="G89" s="259"/>
      <c r="H89" s="259"/>
      <c r="I89" s="259"/>
      <c r="J89" s="259"/>
      <c r="K89" s="260"/>
    </row>
    <row r="90" spans="1:11" ht="99.95" customHeight="1">
      <c r="A90" s="253"/>
      <c r="B90" s="254"/>
      <c r="C90" s="255"/>
      <c r="D90" s="256"/>
      <c r="E90" s="257"/>
      <c r="F90" s="258"/>
      <c r="G90" s="259"/>
      <c r="H90" s="259"/>
      <c r="I90" s="259"/>
      <c r="J90" s="259"/>
      <c r="K90" s="260"/>
    </row>
    <row r="91" spans="1:11" ht="99.95" customHeight="1">
      <c r="A91" s="253"/>
      <c r="B91" s="254"/>
      <c r="C91" s="255"/>
      <c r="D91" s="256"/>
      <c r="E91" s="257"/>
      <c r="F91" s="258"/>
      <c r="G91" s="259"/>
      <c r="H91" s="259"/>
      <c r="I91" s="259"/>
      <c r="J91" s="259"/>
      <c r="K91" s="260"/>
    </row>
    <row r="92" spans="1:11" ht="99.95" customHeight="1">
      <c r="A92" s="253"/>
      <c r="B92" s="254"/>
      <c r="C92" s="255"/>
      <c r="D92" s="256"/>
      <c r="E92" s="257"/>
      <c r="F92" s="258"/>
      <c r="G92" s="259"/>
      <c r="H92" s="259"/>
      <c r="I92" s="259"/>
      <c r="J92" s="259"/>
      <c r="K92" s="260"/>
    </row>
    <row r="93" spans="1:11" ht="99.95" customHeight="1">
      <c r="A93" s="253"/>
      <c r="B93" s="254"/>
      <c r="C93" s="255"/>
      <c r="D93" s="256"/>
      <c r="E93" s="257"/>
      <c r="F93" s="258"/>
      <c r="G93" s="259"/>
      <c r="H93" s="259"/>
      <c r="I93" s="259"/>
      <c r="J93" s="259"/>
      <c r="K93" s="260"/>
    </row>
    <row r="94" spans="1:11" ht="99.95" customHeight="1">
      <c r="A94" s="253"/>
      <c r="B94" s="254"/>
      <c r="C94" s="255"/>
      <c r="D94" s="256"/>
      <c r="E94" s="257"/>
      <c r="F94" s="258"/>
      <c r="G94" s="259"/>
      <c r="H94" s="259"/>
      <c r="I94" s="259"/>
      <c r="J94" s="259"/>
      <c r="K94" s="260"/>
    </row>
    <row r="95" spans="1:11" ht="99.95" customHeight="1">
      <c r="A95" s="253"/>
      <c r="B95" s="254"/>
      <c r="C95" s="255"/>
      <c r="D95" s="256"/>
      <c r="E95" s="257"/>
      <c r="F95" s="258"/>
      <c r="G95" s="259"/>
      <c r="H95" s="259"/>
      <c r="I95" s="259"/>
      <c r="J95" s="259"/>
      <c r="K95" s="260"/>
    </row>
    <row r="96" spans="1:11" ht="99.95" customHeight="1">
      <c r="A96" s="253"/>
      <c r="B96" s="254"/>
      <c r="C96" s="255"/>
      <c r="D96" s="256"/>
      <c r="E96" s="257"/>
      <c r="F96" s="258"/>
      <c r="G96" s="259"/>
      <c r="H96" s="259"/>
      <c r="I96" s="259"/>
      <c r="J96" s="259"/>
      <c r="K96" s="260"/>
    </row>
    <row r="97" spans="1:11" ht="15" customHeight="1"/>
    <row r="98" spans="1:11" ht="15" customHeight="1"/>
    <row r="99" spans="1:11" ht="15" customHeight="1"/>
    <row r="100" spans="1:11" ht="15" customHeight="1"/>
    <row r="101" spans="1:11" ht="15" customHeight="1"/>
    <row r="102" spans="1:11" ht="15" customHeight="1">
      <c r="A102" s="31" t="s">
        <v>51</v>
      </c>
      <c r="B102" s="31"/>
      <c r="C102" s="31"/>
      <c r="D102" s="31"/>
      <c r="E102" s="31"/>
      <c r="F102" s="31"/>
    </row>
    <row r="103" spans="1:11" ht="15" customHeight="1">
      <c r="A103" s="31" t="s">
        <v>53</v>
      </c>
      <c r="B103" s="31"/>
      <c r="C103" s="31"/>
      <c r="H103" s="99" t="s">
        <v>54</v>
      </c>
      <c r="I103" s="53"/>
      <c r="J103" s="53"/>
      <c r="K103" s="53"/>
    </row>
  </sheetData>
  <mergeCells count="110"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63:C63"/>
    <mergeCell ref="D63:E63"/>
    <mergeCell ref="F63:K63"/>
    <mergeCell ref="A64:C64"/>
    <mergeCell ref="D64:E64"/>
    <mergeCell ref="F64:K64"/>
    <mergeCell ref="A1:K1"/>
    <mergeCell ref="A18:C18"/>
    <mergeCell ref="D18:F18"/>
    <mergeCell ref="A21:C21"/>
    <mergeCell ref="D21:F21"/>
    <mergeCell ref="A22:C22"/>
    <mergeCell ref="D22:F22"/>
    <mergeCell ref="G22:H22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"/>
  <sheetViews>
    <sheetView showGridLines="0" zoomScale="85" zoomScaleNormal="85" workbookViewId="0">
      <selection sqref="A1:I1"/>
    </sheetView>
  </sheetViews>
  <sheetFormatPr defaultRowHeight="12"/>
  <cols>
    <col min="1" max="1" width="19.88671875" style="101" customWidth="1"/>
    <col min="2" max="2" width="30.44140625" style="101" customWidth="1"/>
    <col min="3" max="3" width="23.21875" style="101" customWidth="1"/>
    <col min="4" max="4" width="28.44140625" style="101" customWidth="1"/>
    <col min="5" max="5" width="6.88671875" style="101" customWidth="1"/>
    <col min="6" max="6" width="8.5546875" style="101" customWidth="1"/>
    <col min="7" max="7" width="9.109375" style="101" customWidth="1"/>
    <col min="8" max="8" width="11.109375" style="101" customWidth="1"/>
    <col min="9" max="9" width="12.33203125" style="101" customWidth="1"/>
    <col min="10" max="16384" width="8.88671875" style="101"/>
  </cols>
  <sheetData>
    <row r="1" spans="1:10" ht="20.25">
      <c r="A1" s="261" t="s">
        <v>61</v>
      </c>
      <c r="B1" s="261"/>
      <c r="C1" s="261"/>
      <c r="D1" s="261"/>
      <c r="E1" s="261"/>
      <c r="F1" s="261"/>
      <c r="G1" s="261"/>
      <c r="H1" s="261"/>
      <c r="I1" s="261"/>
    </row>
    <row r="3" spans="1:10" s="103" customFormat="1">
      <c r="A3" s="104" t="s">
        <v>62</v>
      </c>
      <c r="B3" s="104" t="s">
        <v>63</v>
      </c>
      <c r="C3" s="105" t="s">
        <v>64</v>
      </c>
      <c r="D3" s="106" t="s">
        <v>65</v>
      </c>
      <c r="E3" s="105" t="s">
        <v>66</v>
      </c>
      <c r="F3" s="107" t="s">
        <v>67</v>
      </c>
      <c r="G3" s="107" t="s">
        <v>68</v>
      </c>
      <c r="H3" s="107" t="s">
        <v>69</v>
      </c>
      <c r="I3" s="107" t="s">
        <v>70</v>
      </c>
    </row>
    <row r="4" spans="1:10">
      <c r="A4" s="108"/>
      <c r="B4" s="108"/>
      <c r="C4" s="109"/>
      <c r="D4" s="110"/>
      <c r="E4" s="111"/>
      <c r="F4" s="112"/>
      <c r="G4" s="113"/>
      <c r="H4" s="114"/>
      <c r="I4" s="114"/>
    </row>
    <row r="5" spans="1:10">
      <c r="A5" s="115"/>
      <c r="B5" s="115"/>
      <c r="C5" s="116"/>
      <c r="D5" s="117"/>
      <c r="E5" s="118"/>
      <c r="F5" s="119"/>
      <c r="G5" s="120"/>
      <c r="H5" s="121"/>
      <c r="I5" s="121"/>
    </row>
    <row r="6" spans="1:10" ht="12.75" thickBot="1">
      <c r="A6" s="115"/>
      <c r="B6" s="115"/>
      <c r="C6" s="116"/>
      <c r="D6" s="117"/>
      <c r="E6" s="118"/>
      <c r="F6" s="119"/>
      <c r="G6" s="120"/>
      <c r="H6" s="121"/>
      <c r="I6" s="121"/>
    </row>
    <row r="7" spans="1:10" ht="12.75" thickBot="1">
      <c r="A7" s="122" t="s">
        <v>50</v>
      </c>
      <c r="B7" s="123" t="s">
        <v>71</v>
      </c>
      <c r="C7" s="124"/>
      <c r="D7" s="124"/>
      <c r="E7" s="124"/>
      <c r="F7" s="125">
        <f>SUM(F4:F6)</f>
        <v>0</v>
      </c>
      <c r="G7" s="126">
        <f>SUM(G4:G6)</f>
        <v>0</v>
      </c>
      <c r="H7" s="124"/>
      <c r="I7" s="124"/>
      <c r="J7" s="127"/>
    </row>
  </sheetData>
  <mergeCells count="1">
    <mergeCell ref="A1:I1"/>
  </mergeCells>
  <phoneticPr fontId="18" type="noConversion"/>
  <printOptions horizontalCentered="1"/>
  <pageMargins left="0.16" right="0.16" top="0.35" bottom="0.16" header="0.39" footer="0.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1"/>
  <sheetViews>
    <sheetView showGridLines="0" workbookViewId="0">
      <selection sqref="A1:K1"/>
    </sheetView>
  </sheetViews>
  <sheetFormatPr defaultRowHeight="12"/>
  <cols>
    <col min="1" max="4" width="7.77734375" style="9" customWidth="1"/>
    <col min="5" max="5" width="6.5546875" style="9" customWidth="1"/>
    <col min="6" max="6" width="7.77734375" style="9" customWidth="1"/>
    <col min="7" max="7" width="8" style="9" customWidth="1"/>
    <col min="8" max="8" width="7.44140625" style="9" customWidth="1"/>
    <col min="9" max="9" width="12.6640625" style="9" customWidth="1"/>
    <col min="10" max="10" width="14.77734375" style="9" customWidth="1"/>
    <col min="11" max="11" width="8.4414062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72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15</v>
      </c>
      <c r="B2" s="32"/>
      <c r="C2" s="32"/>
      <c r="F2" s="38"/>
      <c r="G2" s="35" t="s">
        <v>16</v>
      </c>
      <c r="H2" s="32"/>
      <c r="I2" s="32"/>
    </row>
    <row r="3" spans="1:13" ht="15" customHeight="1">
      <c r="A3" s="36" t="s">
        <v>17</v>
      </c>
      <c r="B3" s="36"/>
      <c r="C3" s="36"/>
      <c r="D3" s="36"/>
      <c r="E3" s="37"/>
      <c r="F3" s="38"/>
      <c r="G3" s="128"/>
      <c r="J3" s="128"/>
      <c r="K3" s="40"/>
    </row>
    <row r="4" spans="1:13" ht="15" customHeight="1">
      <c r="A4" s="41" t="s">
        <v>18</v>
      </c>
      <c r="B4" s="41"/>
      <c r="C4" s="41"/>
      <c r="F4" s="38"/>
      <c r="G4" s="129"/>
      <c r="J4" s="43"/>
      <c r="K4" s="43"/>
    </row>
    <row r="5" spans="1:13" ht="15" customHeight="1">
      <c r="A5" s="41" t="s">
        <v>20</v>
      </c>
      <c r="B5" s="41"/>
      <c r="C5" s="41"/>
      <c r="D5" s="41"/>
      <c r="E5" s="41"/>
      <c r="F5" s="38"/>
      <c r="G5" s="35" t="s">
        <v>21</v>
      </c>
      <c r="H5" s="32"/>
      <c r="I5" s="33"/>
    </row>
    <row r="6" spans="1:13" ht="15" customHeight="1">
      <c r="A6" s="41" t="s">
        <v>22</v>
      </c>
      <c r="B6" s="41"/>
      <c r="C6" s="41"/>
      <c r="D6" s="41"/>
      <c r="E6" s="41"/>
      <c r="F6" s="38"/>
      <c r="G6" s="128"/>
      <c r="H6" s="128"/>
      <c r="I6" s="128"/>
      <c r="J6" s="128"/>
      <c r="K6" s="46"/>
    </row>
    <row r="7" spans="1:13" ht="15" customHeight="1">
      <c r="A7" s="32" t="s">
        <v>23</v>
      </c>
      <c r="B7" s="32"/>
      <c r="C7" s="33"/>
      <c r="D7" s="33"/>
      <c r="E7" s="33"/>
      <c r="F7" s="34"/>
      <c r="H7" s="37"/>
      <c r="I7" s="37"/>
      <c r="J7" s="44" t="s">
        <v>24</v>
      </c>
      <c r="K7" s="47"/>
    </row>
    <row r="8" spans="1:13" ht="15" customHeight="1">
      <c r="A8" s="48" t="s">
        <v>112</v>
      </c>
      <c r="B8" s="48"/>
      <c r="C8" s="48"/>
      <c r="F8" s="38"/>
      <c r="G8" s="35" t="s">
        <v>25</v>
      </c>
      <c r="H8" s="32"/>
      <c r="I8" s="32"/>
      <c r="J8" s="33"/>
      <c r="K8" s="49"/>
    </row>
    <row r="9" spans="1:13" ht="15" customHeight="1">
      <c r="A9" s="50" t="s">
        <v>113</v>
      </c>
      <c r="B9" s="50"/>
      <c r="C9" s="50"/>
      <c r="D9" s="50"/>
      <c r="F9" s="38"/>
      <c r="G9" s="9" t="s">
        <v>24</v>
      </c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53" t="s">
        <v>24</v>
      </c>
      <c r="H10" s="53"/>
      <c r="I10" s="53"/>
      <c r="J10" s="53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35" t="s">
        <v>26</v>
      </c>
      <c r="H11" s="32"/>
      <c r="K11" s="56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128"/>
      <c r="H12" s="130"/>
      <c r="K12" s="58"/>
    </row>
    <row r="13" spans="1:13" ht="15" customHeight="1">
      <c r="A13" s="31" t="s">
        <v>27</v>
      </c>
      <c r="F13" s="38"/>
      <c r="G13" s="128"/>
      <c r="H13" s="130"/>
      <c r="I13" s="131"/>
      <c r="J13" s="132"/>
      <c r="K13" s="58"/>
    </row>
    <row r="14" spans="1:13" ht="15" customHeight="1">
      <c r="A14" s="133" t="s">
        <v>29</v>
      </c>
      <c r="B14" s="133"/>
      <c r="F14" s="38"/>
      <c r="H14" s="130"/>
      <c r="I14" s="62"/>
      <c r="J14" s="132"/>
      <c r="K14" s="58"/>
      <c r="L14" s="51"/>
    </row>
    <row r="15" spans="1:13" ht="15" customHeight="1">
      <c r="F15" s="38"/>
      <c r="H15" s="134"/>
      <c r="K15" s="58"/>
      <c r="L15" s="51"/>
    </row>
    <row r="16" spans="1:13" ht="15" customHeight="1">
      <c r="A16" s="32" t="s">
        <v>32</v>
      </c>
      <c r="B16" s="32"/>
      <c r="C16" s="34"/>
      <c r="D16" s="32" t="s">
        <v>33</v>
      </c>
      <c r="E16" s="32"/>
      <c r="F16" s="66"/>
      <c r="G16" s="128"/>
      <c r="H16" s="131"/>
      <c r="I16" s="45"/>
      <c r="J16" s="37"/>
      <c r="K16" s="58"/>
    </row>
    <row r="17" spans="1:13" ht="15" customHeight="1">
      <c r="D17" s="135" t="s">
        <v>24</v>
      </c>
      <c r="E17" s="129"/>
      <c r="F17" s="38"/>
      <c r="H17" s="62"/>
      <c r="I17" s="45"/>
      <c r="J17" s="37"/>
      <c r="K17" s="58"/>
    </row>
    <row r="18" spans="1:13" ht="15" customHeight="1">
      <c r="A18" s="243" t="s">
        <v>39</v>
      </c>
      <c r="B18" s="243"/>
      <c r="C18" s="244"/>
      <c r="D18" s="262" t="s">
        <v>40</v>
      </c>
      <c r="E18" s="263"/>
      <c r="F18" s="264"/>
      <c r="H18" s="62"/>
      <c r="I18" s="45"/>
      <c r="J18" s="37"/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66"/>
      <c r="K19" s="58"/>
    </row>
    <row r="20" spans="1:13" ht="15" customHeight="1">
      <c r="A20" s="9" t="s">
        <v>24</v>
      </c>
      <c r="C20" s="38"/>
      <c r="D20" s="9" t="s">
        <v>24</v>
      </c>
      <c r="F20" s="38"/>
      <c r="G20" s="9" t="s">
        <v>24</v>
      </c>
      <c r="K20" s="58"/>
    </row>
    <row r="21" spans="1:13" ht="15" customHeight="1">
      <c r="A21" s="248"/>
      <c r="B21" s="248"/>
      <c r="C21" s="249"/>
      <c r="D21" s="250"/>
      <c r="E21" s="251"/>
      <c r="F21" s="252"/>
      <c r="G21" s="53"/>
      <c r="H21" s="53"/>
      <c r="I21" s="53"/>
      <c r="J21" s="53"/>
      <c r="K21" s="69"/>
    </row>
    <row r="22" spans="1:13" s="70" customFormat="1" ht="15" customHeight="1">
      <c r="A22" s="239" t="s">
        <v>44</v>
      </c>
      <c r="B22" s="239"/>
      <c r="C22" s="240"/>
      <c r="D22" s="241" t="s">
        <v>45</v>
      </c>
      <c r="E22" s="239"/>
      <c r="F22" s="240"/>
      <c r="G22" s="241" t="s">
        <v>46</v>
      </c>
      <c r="H22" s="240"/>
      <c r="I22" s="71" t="s">
        <v>47</v>
      </c>
      <c r="J22" s="70" t="s">
        <v>48</v>
      </c>
    </row>
    <row r="23" spans="1:13" ht="15" customHeight="1">
      <c r="A23" s="130" t="s">
        <v>24</v>
      </c>
      <c r="C23" s="38"/>
      <c r="F23" s="38"/>
      <c r="H23" s="38"/>
      <c r="I23" s="38"/>
    </row>
    <row r="24" spans="1:13" ht="15" customHeight="1">
      <c r="A24" s="130" t="s">
        <v>24</v>
      </c>
      <c r="G24" s="72" t="s">
        <v>49</v>
      </c>
      <c r="H24" s="72"/>
      <c r="I24" s="72"/>
    </row>
    <row r="25" spans="1:13" ht="15" customHeight="1">
      <c r="A25" s="136" t="s">
        <v>73</v>
      </c>
      <c r="B25" s="130"/>
      <c r="C25" s="128"/>
      <c r="D25" s="130"/>
      <c r="E25" s="130"/>
      <c r="F25" s="128"/>
      <c r="G25" s="128"/>
      <c r="H25" s="128"/>
      <c r="I25" s="128"/>
      <c r="J25" s="128"/>
      <c r="K25" s="74"/>
    </row>
    <row r="26" spans="1:13" ht="15" customHeight="1">
      <c r="A26" s="137" t="s">
        <v>74</v>
      </c>
      <c r="B26" s="130"/>
      <c r="C26" s="128"/>
      <c r="D26" s="130"/>
      <c r="E26" s="130"/>
      <c r="F26" s="128"/>
      <c r="G26" s="128"/>
      <c r="H26" s="128"/>
      <c r="I26" s="128"/>
      <c r="J26" s="128"/>
      <c r="K26" s="51"/>
    </row>
    <row r="27" spans="1:13" ht="15" customHeight="1">
      <c r="A27" s="138"/>
      <c r="B27" s="130"/>
      <c r="D27" s="36" t="s">
        <v>75</v>
      </c>
      <c r="E27" s="36"/>
      <c r="F27" s="36"/>
      <c r="K27" s="51"/>
    </row>
    <row r="28" spans="1:13" ht="15" customHeight="1">
      <c r="A28" s="138" t="s">
        <v>76</v>
      </c>
      <c r="B28" s="130"/>
      <c r="C28" s="130"/>
      <c r="D28" s="130"/>
      <c r="E28" s="130"/>
      <c r="K28" s="51"/>
      <c r="M28" s="83"/>
    </row>
    <row r="29" spans="1:13" ht="15" customHeight="1">
      <c r="A29" s="138" t="s">
        <v>77</v>
      </c>
      <c r="B29" s="130"/>
      <c r="C29" s="130"/>
      <c r="D29" s="130"/>
      <c r="E29" s="130"/>
      <c r="F29" s="128"/>
      <c r="G29" s="139"/>
      <c r="H29" s="140"/>
      <c r="I29" s="141"/>
      <c r="J29" s="142"/>
    </row>
    <row r="30" spans="1:13" ht="15" customHeight="1">
      <c r="A30" s="138" t="s">
        <v>78</v>
      </c>
      <c r="B30" s="139"/>
      <c r="C30" s="130"/>
      <c r="D30" s="130"/>
      <c r="E30" s="130"/>
      <c r="F30" s="128"/>
      <c r="G30" s="139"/>
      <c r="H30" s="140"/>
      <c r="I30" s="141"/>
      <c r="J30" s="142"/>
    </row>
    <row r="31" spans="1:13" ht="15" customHeight="1" thickBot="1">
      <c r="A31" s="138" t="s">
        <v>79</v>
      </c>
      <c r="B31" s="139"/>
      <c r="C31" s="128"/>
      <c r="D31" s="143" t="s">
        <v>50</v>
      </c>
      <c r="E31" s="143"/>
      <c r="F31" s="144"/>
      <c r="G31" s="145"/>
      <c r="H31" s="146"/>
      <c r="I31" s="146"/>
      <c r="J31" s="234">
        <f>+D.INV!G12</f>
        <v>0</v>
      </c>
    </row>
    <row r="32" spans="1:13" ht="15" customHeight="1" thickTop="1">
      <c r="B32" s="139"/>
      <c r="C32" s="130"/>
      <c r="D32" s="130"/>
      <c r="E32" s="130"/>
      <c r="F32" s="128"/>
      <c r="G32" s="139"/>
      <c r="H32" s="140"/>
      <c r="I32" s="141"/>
      <c r="J32" s="93"/>
    </row>
    <row r="33" spans="1:11" ht="15" customHeight="1">
      <c r="B33" s="139"/>
      <c r="C33" s="130"/>
      <c r="D33" s="130"/>
      <c r="E33" s="130"/>
      <c r="F33" s="128"/>
      <c r="G33" s="139"/>
      <c r="H33" s="140"/>
      <c r="I33" s="141"/>
      <c r="J33" s="93"/>
    </row>
    <row r="34" spans="1:11" ht="15" customHeight="1">
      <c r="B34" s="139"/>
      <c r="C34" s="130"/>
      <c r="D34" s="130"/>
      <c r="E34" s="130"/>
      <c r="F34" s="128"/>
      <c r="G34" s="139"/>
      <c r="H34" s="140"/>
      <c r="I34" s="141"/>
      <c r="J34" s="93"/>
    </row>
    <row r="35" spans="1:11" ht="15" customHeight="1">
      <c r="B35" s="139"/>
      <c r="C35" s="130"/>
      <c r="D35" s="130"/>
      <c r="E35" s="130"/>
      <c r="F35" s="128"/>
      <c r="G35" s="139"/>
      <c r="H35" s="140"/>
      <c r="I35" s="141"/>
      <c r="J35" s="93"/>
    </row>
    <row r="36" spans="1:11" ht="15" customHeight="1"/>
    <row r="37" spans="1:11" ht="15" customHeight="1"/>
    <row r="38" spans="1:11" ht="15" customHeight="1"/>
    <row r="39" spans="1:11" ht="15" customHeight="1"/>
    <row r="40" spans="1:11" ht="15" customHeight="1">
      <c r="A40" s="31" t="s">
        <v>51</v>
      </c>
      <c r="B40" s="31"/>
      <c r="C40" s="31"/>
      <c r="D40" s="31"/>
      <c r="E40" s="31"/>
      <c r="F40" s="31"/>
    </row>
    <row r="41" spans="1:11" ht="15" customHeight="1">
      <c r="A41" s="31" t="s">
        <v>53</v>
      </c>
      <c r="B41" s="31"/>
      <c r="C41" s="31"/>
      <c r="H41" s="99" t="s">
        <v>54</v>
      </c>
      <c r="I41" s="53"/>
      <c r="J41" s="53"/>
      <c r="K41" s="53"/>
    </row>
  </sheetData>
  <mergeCells count="8">
    <mergeCell ref="A22:C22"/>
    <mergeCell ref="D22:F22"/>
    <mergeCell ref="G22:H22"/>
    <mergeCell ref="A1:K1"/>
    <mergeCell ref="A18:C18"/>
    <mergeCell ref="D18:F18"/>
    <mergeCell ref="A21:C21"/>
    <mergeCell ref="D21:F21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"/>
  <sheetViews>
    <sheetView showGridLines="0" zoomScaleNormal="100" workbookViewId="0">
      <selection sqref="A1:I1"/>
    </sheetView>
  </sheetViews>
  <sheetFormatPr defaultRowHeight="12"/>
  <cols>
    <col min="1" max="1" width="4.5546875" style="1" customWidth="1"/>
    <col min="2" max="2" width="15.109375" style="1" customWidth="1"/>
    <col min="3" max="3" width="26.44140625" style="1" customWidth="1"/>
    <col min="4" max="4" width="7.77734375" style="1" customWidth="1"/>
    <col min="5" max="5" width="9.6640625" style="1" customWidth="1"/>
    <col min="6" max="6" width="4.109375" style="1" customWidth="1"/>
    <col min="7" max="7" width="11.33203125" style="1" customWidth="1"/>
    <col min="8" max="9" width="9" style="1" customWidth="1"/>
    <col min="10" max="10" width="2.44140625" style="1" customWidth="1"/>
    <col min="11" max="11" width="7.88671875" style="1" customWidth="1"/>
    <col min="12" max="12" width="11.21875" style="1" customWidth="1"/>
    <col min="13" max="16384" width="8.88671875" style="1"/>
  </cols>
  <sheetData>
    <row r="1" spans="1:12" s="2" customFormat="1" ht="23.25" customHeight="1">
      <c r="A1" s="265" t="s">
        <v>80</v>
      </c>
      <c r="B1" s="265"/>
      <c r="C1" s="265"/>
      <c r="D1" s="265"/>
      <c r="E1" s="265"/>
      <c r="F1" s="265"/>
      <c r="G1" s="265"/>
      <c r="H1" s="265"/>
      <c r="I1" s="265"/>
      <c r="J1" s="3"/>
      <c r="K1" s="5"/>
    </row>
    <row r="2" spans="1:12" ht="12" customHeight="1">
      <c r="A2" s="7"/>
      <c r="B2" s="7"/>
      <c r="C2" s="7"/>
      <c r="D2" s="7"/>
      <c r="E2" s="7"/>
      <c r="F2" s="7"/>
      <c r="G2" s="7"/>
      <c r="H2" s="8"/>
      <c r="I2" s="3"/>
      <c r="J2" s="3"/>
    </row>
    <row r="3" spans="1:12" ht="12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1"/>
      <c r="K3" s="12" t="s">
        <v>10</v>
      </c>
      <c r="L3" s="12" t="s">
        <v>11</v>
      </c>
    </row>
    <row r="4" spans="1:12" ht="12" customHeight="1">
      <c r="A4" s="13"/>
      <c r="B4" s="14"/>
      <c r="C4" s="14"/>
      <c r="D4" s="15"/>
      <c r="E4" s="16"/>
      <c r="F4" s="17"/>
      <c r="G4" s="18"/>
      <c r="H4" s="19"/>
      <c r="I4" s="20"/>
      <c r="J4" s="21" t="s">
        <v>12</v>
      </c>
    </row>
    <row r="5" spans="1:12" ht="12" customHeight="1">
      <c r="A5" s="13"/>
      <c r="B5" s="14"/>
      <c r="C5" s="14"/>
      <c r="D5" s="15"/>
      <c r="E5" s="16"/>
      <c r="F5" s="17"/>
      <c r="G5" s="18"/>
      <c r="H5" s="19"/>
      <c r="I5" s="20"/>
      <c r="J5" s="21" t="s">
        <v>12</v>
      </c>
    </row>
    <row r="6" spans="1:12" ht="12" customHeight="1" thickBot="1">
      <c r="A6" s="22"/>
      <c r="B6" s="23" t="s">
        <v>13</v>
      </c>
      <c r="C6" s="23"/>
      <c r="D6" s="24"/>
      <c r="E6" s="25">
        <f>SUM(E4:E5)</f>
        <v>0</v>
      </c>
      <c r="F6" s="26"/>
      <c r="G6" s="27">
        <f>SUM(G4:G5)</f>
        <v>0</v>
      </c>
      <c r="H6" s="28"/>
      <c r="I6" s="29">
        <f>SUM(I4:I5)</f>
        <v>0</v>
      </c>
      <c r="J6" s="21" t="s">
        <v>12</v>
      </c>
      <c r="K6" s="30"/>
    </row>
    <row r="7" spans="1:12" ht="12" customHeight="1" thickTop="1"/>
  </sheetData>
  <mergeCells count="1">
    <mergeCell ref="A1:I1"/>
  </mergeCells>
  <phoneticPr fontId="18" type="noConversion"/>
  <printOptions horizontalCentered="1"/>
  <pageMargins left="0.16" right="0.16" top="0.71" bottom="0.43" header="0.51" footer="0.24"/>
  <headerFooter>
    <oddFooter>&amp;C&amp;P/&amp;N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"/>
  <sheetViews>
    <sheetView showGridLines="0" zoomScaleNormal="100" workbookViewId="0">
      <selection sqref="A1:G1"/>
    </sheetView>
  </sheetViews>
  <sheetFormatPr defaultRowHeight="12"/>
  <cols>
    <col min="1" max="1" width="4.6640625" style="102" customWidth="1"/>
    <col min="2" max="2" width="14.44140625" style="101" customWidth="1"/>
    <col min="3" max="3" width="25.6640625" style="101" customWidth="1"/>
    <col min="4" max="4" width="8.6640625" style="147" customWidth="1"/>
    <col min="5" max="5" width="8.77734375" style="148" customWidth="1"/>
    <col min="6" max="6" width="4.33203125" style="149" customWidth="1"/>
    <col min="7" max="7" width="11.44140625" style="101" customWidth="1"/>
    <col min="8" max="16384" width="8.88671875" style="101"/>
  </cols>
  <sheetData>
    <row r="1" spans="1:10" ht="23.25" customHeight="1">
      <c r="A1" s="266" t="s">
        <v>81</v>
      </c>
      <c r="B1" s="266"/>
      <c r="C1" s="266"/>
      <c r="D1" s="266"/>
      <c r="E1" s="266"/>
      <c r="F1" s="266"/>
      <c r="G1" s="266"/>
    </row>
    <row r="2" spans="1:10">
      <c r="A2" s="101"/>
      <c r="D2" s="150"/>
      <c r="E2" s="151"/>
      <c r="F2" s="151"/>
      <c r="G2" s="152"/>
    </row>
    <row r="3" spans="1:10" s="153" customFormat="1">
      <c r="A3" s="155" t="s">
        <v>82</v>
      </c>
      <c r="B3" s="155" t="s">
        <v>83</v>
      </c>
      <c r="C3" s="155" t="s">
        <v>84</v>
      </c>
      <c r="D3" s="225" t="s">
        <v>85</v>
      </c>
      <c r="E3" s="225" t="s">
        <v>66</v>
      </c>
      <c r="F3" s="267" t="s">
        <v>86</v>
      </c>
      <c r="G3" s="267"/>
    </row>
    <row r="4" spans="1:10">
      <c r="A4" s="157"/>
      <c r="B4" s="157"/>
      <c r="C4" s="158"/>
      <c r="D4" s="159"/>
      <c r="E4" s="156"/>
      <c r="F4" s="268"/>
      <c r="G4" s="268"/>
    </row>
    <row r="5" spans="1:10">
      <c r="A5" s="154"/>
      <c r="B5" s="157"/>
      <c r="C5" s="158"/>
      <c r="D5" s="159"/>
      <c r="E5" s="159"/>
      <c r="F5" s="270"/>
      <c r="G5" s="270"/>
    </row>
    <row r="6" spans="1:10">
      <c r="A6" s="154"/>
      <c r="B6" s="157"/>
      <c r="C6" s="158"/>
      <c r="D6" s="159"/>
      <c r="E6" s="159"/>
      <c r="F6" s="269"/>
      <c r="G6" s="269"/>
    </row>
    <row r="7" spans="1:10">
      <c r="A7" s="160"/>
      <c r="B7" s="160"/>
      <c r="C7" s="160"/>
      <c r="D7" s="161"/>
      <c r="E7" s="161"/>
      <c r="F7" s="161"/>
      <c r="G7" s="160"/>
      <c r="H7" s="162"/>
    </row>
    <row r="8" spans="1:10" s="102" customFormat="1">
      <c r="A8" s="163" t="s">
        <v>1</v>
      </c>
      <c r="B8" s="163" t="s">
        <v>2</v>
      </c>
      <c r="C8" s="163" t="s">
        <v>87</v>
      </c>
      <c r="D8" s="164" t="s">
        <v>4</v>
      </c>
      <c r="E8" s="164" t="s">
        <v>5</v>
      </c>
      <c r="F8" s="164" t="s">
        <v>6</v>
      </c>
      <c r="G8" s="163" t="s">
        <v>7</v>
      </c>
      <c r="H8" s="163" t="s">
        <v>8</v>
      </c>
      <c r="I8" s="163" t="s">
        <v>9</v>
      </c>
    </row>
    <row r="9" spans="1:10">
      <c r="G9" s="165">
        <v>0</v>
      </c>
      <c r="H9" s="166"/>
      <c r="J9" s="162" t="s">
        <v>88</v>
      </c>
    </row>
    <row r="10" spans="1:10">
      <c r="G10" s="165">
        <v>0</v>
      </c>
      <c r="H10" s="166"/>
      <c r="J10" s="101" t="s">
        <v>88</v>
      </c>
    </row>
    <row r="11" spans="1:10">
      <c r="G11" s="165">
        <v>0</v>
      </c>
      <c r="H11" s="166"/>
      <c r="J11" s="101" t="s">
        <v>88</v>
      </c>
    </row>
    <row r="12" spans="1:10" ht="12.75" thickBot="1">
      <c r="A12" s="167"/>
      <c r="B12" s="168" t="s">
        <v>13</v>
      </c>
      <c r="C12" s="168"/>
      <c r="D12" s="169"/>
      <c r="E12" s="170">
        <f>SUM(E9:E11)</f>
        <v>0</v>
      </c>
      <c r="F12" s="171"/>
      <c r="G12" s="172">
        <f>SUM(G9:G11)</f>
        <v>0</v>
      </c>
      <c r="H12" s="173"/>
      <c r="I12" s="168"/>
    </row>
    <row r="13" spans="1:10" ht="12.75" thickTop="1">
      <c r="G13" s="165"/>
    </row>
    <row r="14" spans="1:10">
      <c r="E14" s="174" t="s">
        <v>89</v>
      </c>
      <c r="F14" s="175"/>
      <c r="G14" s="176">
        <f>'C.INV'!J31</f>
        <v>0</v>
      </c>
    </row>
  </sheetData>
  <mergeCells count="5">
    <mergeCell ref="A1:G1"/>
    <mergeCell ref="F3:G3"/>
    <mergeCell ref="F4:G4"/>
    <mergeCell ref="F6:G6"/>
    <mergeCell ref="F5:G5"/>
  </mergeCells>
  <phoneticPr fontId="18" type="noConversion"/>
  <printOptions horizontalCentered="1"/>
  <pageMargins left="0.16" right="0.16" top="0.5" bottom="0.16" header="0.51" footer="0.1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2"/>
  <sheetViews>
    <sheetView showGridLines="0" tabSelected="1" workbookViewId="0">
      <selection activeCell="L21" sqref="L21"/>
    </sheetView>
  </sheetViews>
  <sheetFormatPr defaultRowHeight="12"/>
  <cols>
    <col min="1" max="6" width="7.77734375" style="9" customWidth="1"/>
    <col min="7" max="8" width="6.77734375" style="9" customWidth="1"/>
    <col min="9" max="11" width="10.77734375" style="9" customWidth="1"/>
    <col min="12" max="12" width="12" style="9" customWidth="1"/>
    <col min="13" max="13" width="8.5546875" style="9" customWidth="1"/>
    <col min="14" max="16384" width="8.88671875" style="9"/>
  </cols>
  <sheetData>
    <row r="1" spans="1:13" s="6" customFormat="1" ht="20.25">
      <c r="A1" s="242" t="s">
        <v>90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4"/>
    </row>
    <row r="2" spans="1:13" ht="15" customHeight="1">
      <c r="A2" s="32" t="s">
        <v>91</v>
      </c>
      <c r="B2" s="32"/>
      <c r="C2" s="32"/>
      <c r="D2" s="33"/>
      <c r="E2" s="33"/>
      <c r="F2" s="34"/>
      <c r="G2" s="35" t="s">
        <v>16</v>
      </c>
      <c r="H2" s="32"/>
      <c r="I2" s="32"/>
      <c r="J2" s="33"/>
      <c r="K2" s="33"/>
    </row>
    <row r="3" spans="1:13" ht="15" customHeight="1">
      <c r="A3" s="36" t="s">
        <v>17</v>
      </c>
      <c r="B3" s="36"/>
      <c r="C3" s="36"/>
      <c r="D3" s="36"/>
      <c r="E3" s="37"/>
      <c r="F3" s="38"/>
      <c r="G3" s="177"/>
      <c r="J3" s="40"/>
      <c r="K3" s="40"/>
    </row>
    <row r="4" spans="1:13" ht="15" customHeight="1">
      <c r="A4" s="41" t="s">
        <v>92</v>
      </c>
      <c r="B4" s="41"/>
      <c r="C4" s="41"/>
      <c r="F4" s="38"/>
      <c r="G4" s="178"/>
      <c r="H4" s="53"/>
      <c r="I4" s="53"/>
      <c r="J4" s="40"/>
      <c r="K4" s="43"/>
    </row>
    <row r="5" spans="1:13" ht="15" customHeight="1">
      <c r="A5" s="41" t="s">
        <v>93</v>
      </c>
      <c r="B5" s="41"/>
      <c r="C5" s="41"/>
      <c r="D5" s="41"/>
      <c r="E5" s="41"/>
      <c r="F5" s="38"/>
      <c r="G5" s="179" t="s">
        <v>94</v>
      </c>
      <c r="H5" s="31"/>
      <c r="J5" s="33"/>
    </row>
    <row r="6" spans="1:13" ht="15" customHeight="1">
      <c r="A6" s="41" t="s">
        <v>95</v>
      </c>
      <c r="B6" s="41"/>
      <c r="C6" s="41"/>
      <c r="D6" s="41"/>
      <c r="E6" s="41"/>
      <c r="G6" s="180"/>
      <c r="H6" s="181"/>
      <c r="I6" s="65"/>
      <c r="J6" s="46"/>
      <c r="K6" s="46"/>
    </row>
    <row r="7" spans="1:13" ht="15" customHeight="1">
      <c r="A7" s="32" t="s">
        <v>23</v>
      </c>
      <c r="B7" s="32"/>
      <c r="C7" s="33"/>
      <c r="D7" s="33"/>
      <c r="E7" s="33"/>
      <c r="F7" s="33"/>
      <c r="G7" s="180"/>
      <c r="H7" s="181"/>
      <c r="I7" s="182"/>
      <c r="J7" s="47"/>
      <c r="K7" s="47"/>
    </row>
    <row r="8" spans="1:13" ht="15" customHeight="1">
      <c r="A8" s="48" t="s">
        <v>112</v>
      </c>
      <c r="B8" s="48"/>
      <c r="C8" s="48"/>
      <c r="F8" s="38"/>
      <c r="G8" s="180"/>
      <c r="H8" s="181"/>
      <c r="I8" s="182"/>
      <c r="J8" s="47"/>
      <c r="K8" s="47"/>
    </row>
    <row r="9" spans="1:13" ht="15" customHeight="1">
      <c r="A9" s="50" t="s">
        <v>113</v>
      </c>
      <c r="B9" s="50"/>
      <c r="C9" s="50"/>
      <c r="D9" s="50"/>
      <c r="F9" s="38"/>
      <c r="G9" s="180"/>
      <c r="H9" s="181"/>
      <c r="I9" s="182"/>
      <c r="J9" s="47"/>
      <c r="K9" s="47"/>
      <c r="L9" s="51"/>
      <c r="M9" s="52"/>
    </row>
    <row r="10" spans="1:13" ht="15" customHeight="1">
      <c r="A10" s="50" t="s">
        <v>114</v>
      </c>
      <c r="B10" s="50"/>
      <c r="C10" s="50"/>
      <c r="F10" s="38"/>
      <c r="G10" s="180"/>
      <c r="H10" s="181"/>
      <c r="I10" s="182"/>
      <c r="J10" s="47"/>
      <c r="K10" s="47"/>
      <c r="L10" s="51"/>
      <c r="M10" s="54"/>
    </row>
    <row r="11" spans="1:13" ht="15" customHeight="1">
      <c r="A11" s="9" t="s">
        <v>115</v>
      </c>
      <c r="B11" s="235"/>
      <c r="C11" s="235"/>
      <c r="D11" s="235"/>
      <c r="E11" s="235"/>
      <c r="F11" s="38"/>
      <c r="G11" s="180"/>
      <c r="H11" s="181"/>
      <c r="I11" s="182"/>
      <c r="J11" s="58"/>
      <c r="K11" s="58"/>
      <c r="M11" s="54"/>
    </row>
    <row r="12" spans="1:13" ht="15" customHeight="1">
      <c r="A12" s="237" t="s">
        <v>116</v>
      </c>
      <c r="B12" s="236"/>
      <c r="C12" s="53"/>
      <c r="D12" s="53"/>
      <c r="E12" s="53"/>
      <c r="F12" s="55"/>
      <c r="G12" s="180"/>
      <c r="H12" s="181"/>
      <c r="I12" s="182"/>
      <c r="J12" s="58"/>
      <c r="K12" s="58"/>
    </row>
    <row r="13" spans="1:13" ht="15" customHeight="1">
      <c r="A13" s="31" t="s">
        <v>27</v>
      </c>
      <c r="F13" s="38"/>
      <c r="G13" s="180"/>
      <c r="H13" s="181"/>
      <c r="I13" s="182"/>
      <c r="J13" s="58"/>
      <c r="K13" s="58"/>
    </row>
    <row r="14" spans="1:13" ht="15" customHeight="1">
      <c r="A14" s="183" t="s">
        <v>96</v>
      </c>
      <c r="B14" s="183"/>
      <c r="C14" s="183"/>
      <c r="G14" s="180"/>
      <c r="H14" s="181"/>
      <c r="I14" s="182"/>
      <c r="J14" s="58"/>
      <c r="K14" s="58"/>
      <c r="L14" s="51"/>
    </row>
    <row r="15" spans="1:13" ht="15" customHeight="1">
      <c r="A15" s="53"/>
      <c r="B15" s="53"/>
      <c r="C15" s="53"/>
      <c r="D15" s="53"/>
      <c r="E15" s="53"/>
      <c r="F15" s="53"/>
      <c r="G15" s="180"/>
      <c r="H15" s="181"/>
      <c r="I15" s="182"/>
      <c r="J15" s="58"/>
      <c r="K15" s="58"/>
      <c r="L15" s="51"/>
    </row>
    <row r="16" spans="1:13" ht="15" customHeight="1">
      <c r="A16" s="32" t="s">
        <v>32</v>
      </c>
      <c r="B16" s="32"/>
      <c r="C16" s="38"/>
      <c r="D16" s="32" t="s">
        <v>33</v>
      </c>
      <c r="E16" s="32"/>
      <c r="F16" s="32"/>
      <c r="G16" s="180"/>
      <c r="H16" s="181"/>
      <c r="I16" s="182"/>
      <c r="J16" s="58"/>
      <c r="K16" s="58"/>
    </row>
    <row r="17" spans="1:13" ht="15" customHeight="1">
      <c r="A17" s="177"/>
      <c r="C17" s="38"/>
      <c r="D17" s="177"/>
      <c r="E17" s="177"/>
      <c r="G17" s="180"/>
      <c r="H17" s="181"/>
      <c r="I17" s="182"/>
      <c r="J17" s="58"/>
      <c r="K17" s="58"/>
    </row>
    <row r="18" spans="1:13" ht="15" customHeight="1">
      <c r="A18" s="243" t="s">
        <v>97</v>
      </c>
      <c r="B18" s="243"/>
      <c r="C18" s="244"/>
      <c r="D18" s="271" t="s">
        <v>40</v>
      </c>
      <c r="E18" s="272"/>
      <c r="F18" s="273"/>
      <c r="G18" s="180"/>
      <c r="H18" s="181"/>
      <c r="I18" s="182"/>
      <c r="J18" s="58"/>
      <c r="K18" s="58"/>
    </row>
    <row r="19" spans="1:13" ht="15" customHeight="1">
      <c r="A19" s="32" t="s">
        <v>42</v>
      </c>
      <c r="B19" s="32"/>
      <c r="C19" s="38"/>
      <c r="D19" s="32" t="s">
        <v>43</v>
      </c>
      <c r="E19" s="32"/>
      <c r="F19" s="32"/>
      <c r="G19" s="180"/>
      <c r="H19" s="181"/>
      <c r="I19" s="182"/>
      <c r="J19" s="58"/>
      <c r="K19" s="58"/>
    </row>
    <row r="20" spans="1:13" ht="15" customHeight="1">
      <c r="C20" s="38"/>
      <c r="D20" s="185" t="s">
        <v>24</v>
      </c>
      <c r="E20" s="185"/>
      <c r="G20" s="180"/>
      <c r="H20" s="181"/>
      <c r="I20" s="182"/>
      <c r="J20" s="58"/>
      <c r="K20" s="58"/>
    </row>
    <row r="21" spans="1:13" ht="15" customHeight="1">
      <c r="A21" s="243"/>
      <c r="B21" s="243"/>
      <c r="C21" s="244"/>
      <c r="D21" s="250"/>
      <c r="E21" s="251"/>
      <c r="F21" s="252"/>
      <c r="G21" s="186"/>
      <c r="H21" s="53"/>
      <c r="I21" s="187"/>
      <c r="J21" s="69"/>
      <c r="K21" s="69"/>
    </row>
    <row r="22" spans="1:13" s="70" customFormat="1" ht="15" customHeight="1">
      <c r="A22" s="239" t="s">
        <v>98</v>
      </c>
      <c r="B22" s="239"/>
      <c r="C22" s="240"/>
      <c r="D22" s="241" t="s">
        <v>99</v>
      </c>
      <c r="E22" s="239"/>
      <c r="F22" s="240"/>
      <c r="G22" s="241" t="s">
        <v>100</v>
      </c>
      <c r="H22" s="240"/>
      <c r="I22" s="71" t="s">
        <v>101</v>
      </c>
      <c r="J22" s="71" t="s">
        <v>102</v>
      </c>
      <c r="K22" s="70" t="s">
        <v>103</v>
      </c>
    </row>
    <row r="23" spans="1:13" ht="15" customHeight="1">
      <c r="A23" s="9" t="s">
        <v>24</v>
      </c>
      <c r="C23" s="38"/>
      <c r="G23" s="188"/>
      <c r="H23" s="38"/>
      <c r="I23" s="189" t="s">
        <v>9</v>
      </c>
      <c r="J23" s="189" t="s">
        <v>9</v>
      </c>
    </row>
    <row r="24" spans="1:13" ht="15" customHeight="1">
      <c r="A24" s="9" t="s">
        <v>24</v>
      </c>
    </row>
    <row r="25" spans="1:13" ht="15" customHeight="1">
      <c r="D25" s="37" t="s">
        <v>104</v>
      </c>
      <c r="E25" s="37"/>
      <c r="G25" s="274">
        <f>VLOOKUP("TOTAL",P!A:I,7,0)</f>
        <v>0</v>
      </c>
      <c r="H25" s="274"/>
      <c r="I25" s="190">
        <f>BVT.INV!I6</f>
        <v>0</v>
      </c>
      <c r="J25" s="191">
        <f>I25*1.1</f>
        <v>0</v>
      </c>
      <c r="K25" s="74">
        <f>J25/166</f>
        <v>0</v>
      </c>
    </row>
    <row r="26" spans="1:13" ht="15" customHeight="1">
      <c r="D26" s="192"/>
      <c r="E26" s="192"/>
      <c r="I26" s="193"/>
      <c r="J26" s="51"/>
      <c r="K26" s="51"/>
    </row>
    <row r="27" spans="1:13" ht="15" customHeight="1">
      <c r="A27" s="194" t="s">
        <v>73</v>
      </c>
      <c r="B27" s="194"/>
      <c r="D27" s="195"/>
      <c r="E27" s="195"/>
      <c r="F27" s="196"/>
      <c r="G27" s="195"/>
      <c r="I27" s="193"/>
      <c r="J27" s="51"/>
      <c r="K27" s="51"/>
    </row>
    <row r="28" spans="1:13" ht="15" customHeight="1">
      <c r="A28" s="184" t="s">
        <v>105</v>
      </c>
      <c r="D28" s="37"/>
      <c r="E28" s="195"/>
      <c r="F28" s="196"/>
      <c r="G28" s="195"/>
      <c r="I28" s="193"/>
      <c r="J28" s="51"/>
      <c r="K28" s="51"/>
      <c r="M28" s="83"/>
    </row>
    <row r="29" spans="1:13" ht="15" customHeight="1">
      <c r="A29" s="98"/>
      <c r="D29" s="36" t="s">
        <v>75</v>
      </c>
      <c r="E29" s="36"/>
      <c r="F29" s="36"/>
      <c r="G29" s="195"/>
      <c r="I29" s="51"/>
      <c r="J29" s="51"/>
      <c r="K29" s="51"/>
    </row>
    <row r="30" spans="1:13" ht="15" customHeight="1">
      <c r="A30" s="98" t="s">
        <v>106</v>
      </c>
      <c r="B30" s="98"/>
      <c r="G30" s="195"/>
      <c r="H30" s="96"/>
      <c r="I30" s="51"/>
      <c r="J30" s="191"/>
      <c r="K30" s="74"/>
    </row>
    <row r="31" spans="1:13" ht="15" customHeight="1">
      <c r="A31" s="98" t="s">
        <v>107</v>
      </c>
      <c r="B31" s="52"/>
    </row>
    <row r="32" spans="1:13" ht="15" customHeight="1">
      <c r="A32" s="98" t="s">
        <v>108</v>
      </c>
      <c r="B32" s="52"/>
      <c r="F32" s="98"/>
      <c r="G32" s="95"/>
      <c r="H32" s="96"/>
      <c r="J32" s="51"/>
    </row>
    <row r="33" spans="1:11" ht="15" customHeight="1" thickBot="1">
      <c r="A33" s="98" t="s">
        <v>109</v>
      </c>
      <c r="B33" s="52"/>
      <c r="D33" s="85" t="s">
        <v>50</v>
      </c>
      <c r="E33" s="197"/>
      <c r="F33" s="197"/>
      <c r="G33" s="198"/>
      <c r="H33" s="199"/>
      <c r="I33" s="197"/>
      <c r="J33" s="197"/>
      <c r="K33" s="197"/>
    </row>
    <row r="34" spans="1:11" ht="15" customHeight="1" thickTop="1">
      <c r="F34" s="37"/>
      <c r="J34" s="51"/>
    </row>
    <row r="35" spans="1:11" ht="15" customHeight="1">
      <c r="G35" s="95"/>
      <c r="H35" s="96"/>
    </row>
    <row r="36" spans="1:11" ht="15" customHeight="1">
      <c r="F36" s="37"/>
      <c r="G36" s="95"/>
      <c r="H36" s="96"/>
      <c r="J36" s="51"/>
    </row>
    <row r="37" spans="1:11" ht="15" customHeight="1"/>
    <row r="38" spans="1:11" ht="15" customHeight="1">
      <c r="D38" s="97"/>
      <c r="E38" s="97"/>
      <c r="G38" s="98"/>
    </row>
    <row r="39" spans="1:11" ht="15" customHeight="1">
      <c r="D39" s="97"/>
      <c r="E39" s="97"/>
      <c r="G39" s="98"/>
    </row>
    <row r="40" spans="1:11" ht="15" customHeight="1">
      <c r="D40" s="97"/>
      <c r="E40" s="97"/>
      <c r="G40" s="98"/>
    </row>
    <row r="41" spans="1:11" ht="15" customHeight="1">
      <c r="D41" s="97"/>
      <c r="E41" s="97"/>
      <c r="G41" s="98"/>
    </row>
    <row r="42" spans="1:11" ht="15" customHeight="1">
      <c r="D42" s="97"/>
      <c r="E42" s="97"/>
      <c r="G42" s="98"/>
    </row>
    <row r="43" spans="1:11" ht="15" customHeight="1">
      <c r="D43" s="97"/>
      <c r="E43" s="97"/>
      <c r="G43" s="98"/>
    </row>
    <row r="44" spans="1:11" ht="15" customHeight="1">
      <c r="D44" s="97"/>
      <c r="E44" s="97"/>
      <c r="G44" s="98"/>
    </row>
    <row r="45" spans="1:11" ht="15" customHeight="1">
      <c r="D45" s="97"/>
      <c r="E45" s="97"/>
      <c r="G45" s="98"/>
    </row>
    <row r="46" spans="1:11" ht="15" customHeight="1"/>
    <row r="47" spans="1:11" ht="15" customHeight="1"/>
    <row r="48" spans="1:11" ht="15" customHeight="1"/>
    <row r="49" spans="1:11" ht="15" customHeight="1"/>
    <row r="50" spans="1:11" ht="15" customHeight="1"/>
    <row r="51" spans="1:11" ht="15" customHeight="1">
      <c r="A51" s="31" t="s">
        <v>110</v>
      </c>
      <c r="B51" s="31"/>
      <c r="C51" s="31"/>
      <c r="D51" s="31"/>
      <c r="E51" s="31"/>
    </row>
    <row r="52" spans="1:11" ht="15" customHeight="1">
      <c r="A52" s="31" t="s">
        <v>52</v>
      </c>
      <c r="B52" s="31"/>
      <c r="C52" s="31"/>
      <c r="H52" s="99" t="s">
        <v>111</v>
      </c>
      <c r="I52" s="53"/>
      <c r="J52" s="53"/>
      <c r="K52" s="53"/>
    </row>
  </sheetData>
  <mergeCells count="9">
    <mergeCell ref="G25:H25"/>
    <mergeCell ref="A22:C22"/>
    <mergeCell ref="D22:F22"/>
    <mergeCell ref="G22:H22"/>
    <mergeCell ref="A1:K1"/>
    <mergeCell ref="A18:C18"/>
    <mergeCell ref="D18:F18"/>
    <mergeCell ref="A21:C21"/>
    <mergeCell ref="D21:F21"/>
  </mergeCells>
  <phoneticPr fontId="20" type="noConversion"/>
  <printOptions horizontalCentered="1"/>
  <pageMargins left="0.16" right="0.16" top="0.71" bottom="0.43" header="0.51" footer="0.24"/>
  <headerFooter>
    <oddFooter>&amp;C&amp;P/&amp;N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"/>
  <sheetViews>
    <sheetView showGridLines="0" zoomScale="85" zoomScaleNormal="85" workbookViewId="0">
      <selection activeCell="J24" sqref="J24"/>
    </sheetView>
  </sheetViews>
  <sheetFormatPr defaultRowHeight="12"/>
  <cols>
    <col min="1" max="1" width="19.88671875" style="101" customWidth="1"/>
    <col min="2" max="2" width="11.77734375" style="101" bestFit="1" customWidth="1"/>
    <col min="3" max="3" width="30.44140625" style="101" customWidth="1"/>
    <col min="4" max="4" width="23.21875" style="101" customWidth="1"/>
    <col min="5" max="5" width="28.44140625" style="101" customWidth="1"/>
    <col min="6" max="6" width="6.88671875" style="101" customWidth="1"/>
    <col min="7" max="7" width="8.5546875" style="101" customWidth="1"/>
    <col min="8" max="8" width="9.109375" style="101" customWidth="1"/>
    <col min="9" max="9" width="11.109375" style="101" customWidth="1"/>
    <col min="10" max="10" width="12.33203125" style="101" customWidth="1"/>
    <col min="11" max="16384" width="8.88671875" style="101"/>
  </cols>
  <sheetData>
    <row r="1" spans="1:11" ht="20.25">
      <c r="A1" s="261" t="s">
        <v>61</v>
      </c>
      <c r="B1" s="261"/>
      <c r="C1" s="261"/>
      <c r="D1" s="261"/>
      <c r="E1" s="261"/>
      <c r="F1" s="261"/>
      <c r="G1" s="261"/>
      <c r="H1" s="261"/>
      <c r="I1" s="261"/>
      <c r="J1" s="261"/>
    </row>
    <row r="3" spans="1:11" s="103" customFormat="1">
      <c r="A3" s="104" t="s">
        <v>62</v>
      </c>
      <c r="B3" s="104" t="s">
        <v>117</v>
      </c>
      <c r="C3" s="104" t="s">
        <v>63</v>
      </c>
      <c r="D3" s="105" t="s">
        <v>64</v>
      </c>
      <c r="E3" s="106" t="s">
        <v>65</v>
      </c>
      <c r="F3" s="105" t="s">
        <v>66</v>
      </c>
      <c r="G3" s="107" t="s">
        <v>67</v>
      </c>
      <c r="H3" s="107" t="s">
        <v>68</v>
      </c>
      <c r="I3" s="107" t="s">
        <v>69</v>
      </c>
      <c r="J3" s="107" t="s">
        <v>70</v>
      </c>
    </row>
    <row r="4" spans="1:11">
      <c r="A4" s="108"/>
      <c r="B4" s="108"/>
      <c r="C4" s="108"/>
      <c r="D4" s="109"/>
      <c r="E4" s="110"/>
      <c r="F4" s="111"/>
      <c r="G4" s="112"/>
      <c r="H4" s="113"/>
      <c r="I4" s="113"/>
      <c r="J4" s="200"/>
    </row>
    <row r="5" spans="1:11">
      <c r="A5" s="226"/>
      <c r="B5" s="226"/>
      <c r="C5" s="226"/>
      <c r="D5" s="227"/>
      <c r="E5" s="228"/>
      <c r="F5" s="229"/>
      <c r="G5" s="230"/>
      <c r="H5" s="231"/>
      <c r="I5" s="231"/>
      <c r="J5" s="232"/>
    </row>
    <row r="6" spans="1:11" ht="12.75" thickBot="1">
      <c r="A6" s="115"/>
      <c r="B6" s="115"/>
      <c r="C6" s="115"/>
      <c r="D6" s="116"/>
      <c r="E6" s="117"/>
      <c r="F6" s="118"/>
      <c r="G6" s="119"/>
      <c r="H6" s="120"/>
      <c r="I6" s="120"/>
      <c r="J6" s="120"/>
    </row>
    <row r="7" spans="1:11" ht="12.75" thickBot="1">
      <c r="A7" s="122" t="s">
        <v>50</v>
      </c>
      <c r="B7" s="123"/>
      <c r="C7" s="123" t="s">
        <v>71</v>
      </c>
      <c r="D7" s="124"/>
      <c r="E7" s="124"/>
      <c r="F7" s="124"/>
      <c r="G7" s="125">
        <f>SUM(G4:G6)</f>
        <v>0</v>
      </c>
      <c r="H7" s="126">
        <f>SUM(H4:H6)</f>
        <v>0</v>
      </c>
      <c r="I7" s="124"/>
      <c r="J7" s="124"/>
      <c r="K7" s="127"/>
    </row>
  </sheetData>
  <mergeCells count="1">
    <mergeCell ref="A1:J1"/>
  </mergeCells>
  <phoneticPr fontId="18" type="noConversion"/>
  <printOptions horizontalCentered="1"/>
  <pageMargins left="0.16" right="0.16" top="0.35" bottom="0.16" header="0.39" footer="0.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</vt:i4>
      </vt:variant>
    </vt:vector>
  </HeadingPairs>
  <TitlesOfParts>
    <vt:vector size="19" baseType="lpstr">
      <vt:lpstr>I</vt:lpstr>
      <vt:lpstr>SHINTS</vt:lpstr>
      <vt:lpstr>V1</vt:lpstr>
      <vt:lpstr>V2</vt:lpstr>
      <vt:lpstr>V3</vt:lpstr>
      <vt:lpstr>V4</vt:lpstr>
      <vt:lpstr>V5</vt:lpstr>
      <vt:lpstr>V6</vt:lpstr>
      <vt:lpstr>V7</vt:lpstr>
      <vt:lpstr>V8</vt:lpstr>
      <vt:lpstr>V9</vt:lpstr>
      <vt:lpstr>V10</vt:lpstr>
      <vt:lpstr>P</vt:lpstr>
      <vt:lpstr>C.INV</vt:lpstr>
      <vt:lpstr>BVT.INV</vt:lpstr>
      <vt:lpstr>D.INV</vt:lpstr>
      <vt:lpstr>PAC</vt:lpstr>
      <vt:lpstr>D.PAC</vt:lpstr>
      <vt:lpstr>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created xsi:type="dcterms:W3CDTF">2019-04-25T08:40:03Z</dcterms:created>
  <dcterms:modified xsi:type="dcterms:W3CDTF">2022-04-12T09:10:05Z</dcterms:modified>
</cp:coreProperties>
</file>