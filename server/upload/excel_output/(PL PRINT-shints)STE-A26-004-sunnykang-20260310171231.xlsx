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<sst xmlns="http://schemas.openxmlformats.org/spreadsheetml/2006/main" count="648" uniqueCount="168">
  <si>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</si>
  <si>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</si>
  <si>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</si>
  <si>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</si>
  <si>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</si>
  <si>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</si>
  <si>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</si>
  <si>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</si>
  <si>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</si>
  <si>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</si>
  <si>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</si>
  <si>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</si>
  <si>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6005.37-0000</t>
  </si>
  <si>
    <t>DH-183 (MICRO TRICOT)</t>
  </si>
  <si>
    <t>YD</t>
  </si>
  <si>
    <t>Korea</t>
  </si>
  <si>
    <t>kg</t>
  </si>
  <si>
    <t>58/60"</t>
  </si>
  <si>
    <t>POLYESTER 100%</t>
  </si>
  <si>
    <t>9607.19-1000</t>
  </si>
  <si>
    <t>#3 NY ZIP C/E(N) REVERSE DSBYG</t>
  </si>
  <si>
    <t>PC</t>
  </si>
  <si>
    <t/>
  </si>
  <si>
    <t>#5 PL ZIP O/E(N) DALH EF</t>
  </si>
  <si>
    <t>3921.19.4000</t>
  </si>
  <si>
    <t>(#8025599) DLRG print</t>
  </si>
  <si>
    <t>(#8025603) DLRG_kids_print</t>
  </si>
  <si>
    <t>3926.20-0000</t>
  </si>
  <si>
    <t>CQR LOGO 4 HOLE BUTTON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</si>
  <si>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</si>
  <si>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</si>
  <si>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</si>
  <si>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</si>
  <si>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</si>
  <si>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</si>
  <si>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</si>
  <si>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</si>
  <si>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</si>
  <si>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</si>
  <si>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</si>
  <si>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(CSK)천신산업</t>
  </si>
  <si>
    <t>LGR</t>
  </si>
  <si>
    <t>23 CM (only bottom stopper)</t>
  </si>
  <si>
    <t>BLACK</t>
  </si>
  <si>
    <t>22 CM (only bottom stopper)</t>
  </si>
  <si>
    <t>73 CM</t>
  </si>
  <si>
    <t>IMPORT-K(DAEHAN FABRIC)</t>
  </si>
  <si>
    <t>7M5436(DUW)</t>
  </si>
  <si>
    <t>box-20260310</t>
  </si>
  <si>
    <t>IMPORT-K(DAERIM LND)</t>
  </si>
  <si>
    <t>NEON YELLOW</t>
  </si>
  <si>
    <t>20L(12mm)</t>
  </si>
  <si>
    <t>IMPORT-K(INTERTEK)</t>
  </si>
  <si>
    <t>(#0000088) 5099</t>
  </si>
  <si>
    <t>420 MM</t>
  </si>
  <si>
    <t>280 MM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</si>
  <si>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</si>
  <si>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</si>
  <si>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</si>
  <si>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</si>
  <si>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</si>
  <si>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</si>
  <si>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</si>
  <si>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STE-A26-004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</si>
  <si>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</si>
  <si>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</si>
  <si>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</si>
  <si>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</si>
  <si>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</si>
  <si>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ETP GARMENT PLC  TIN:0040614058</t>
  </si>
  <si>
    <t>10) L/C issuing bank</t>
  </si>
  <si>
    <t>BOLE LEMI INDUSTRY PARK, BOLE LEMI,</t>
  </si>
  <si>
    <t>BOLE SUB-CITY, WOREDA 11, ADDIS ABABA, ETHIOPIA</t>
  </si>
  <si>
    <t>TEL :+251 118 29 83 07 FAX :+251 92 058 0957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</si>
  <si>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</si>
  <si>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</si>
  <si>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</si>
  <si>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</si>
  <si>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</si>
  <si>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</si>
  <si>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</si>
  <si>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ADDIS ABABA, ETHIOPIA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</si>
  <si>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</si>
  <si>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</si>
  <si>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</si>
  <si>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</si>
  <si>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</si>
  <si>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</si>
  <si>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</si>
  <si>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(CIF ADDIS ABABA, ETHIOIA)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</si>
  <si>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</si>
  <si>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</si>
  <si>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</si>
  <si>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</si>
  <si>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</si>
  <si>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</si>
  <si>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</si>
  <si>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</si>
  <si>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</si>
  <si>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</si>
  <si>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</si>
  <si>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</si>
  <si>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MESH TRICOT FABRIC</t>
  </si>
  <si>
    <t>PLASTIC/NYLON ZIPPER</t>
  </si>
  <si>
    <t>Hear transfer logo print</t>
  </si>
  <si>
    <t>PLASTIC ACCESSORY FOR GARMENTS</t>
  </si>
  <si>
    <t>PROFORMA INVOICE FOR EO25-0229GG</t>
  </si>
  <si>
    <t>No.</t>
  </si>
  <si>
    <t>ORDER No.</t>
  </si>
  <si>
    <t>STYLE</t>
  </si>
  <si>
    <t>QUANTITY</t>
  </si>
  <si>
    <t>DELIVERY</t>
  </si>
  <si>
    <t>GG25ED0127</t>
  </si>
  <si>
    <t>MSS 26SS M61001AJZ20 (김동욱) ETP</t>
  </si>
  <si>
    <t>HS No</t>
  </si>
  <si>
    <t>Hs Name</t>
  </si>
  <si>
    <t>PROFORMA INVOICE FOR EO25-0247SP</t>
  </si>
  <si>
    <t>SP25ED0329</t>
  </si>
  <si>
    <t>34 7738 DLRG  WS  Einsatzjacke U</t>
  </si>
  <si>
    <t>SP25ED0330</t>
  </si>
  <si>
    <t>34 7739 DLRG WS Einsatzweste U</t>
  </si>
  <si>
    <t>SP25ED0331</t>
  </si>
  <si>
    <t xml:space="preserve">35 7740 DLRG Softshelljacke Kids </t>
  </si>
  <si>
    <t>PROFORMA INVOICE FOR EO25-0248MY</t>
  </si>
  <si>
    <t>MY25ED0243</t>
  </si>
  <si>
    <t>CQ-TOK002 POLO SHIRT (안은지)</t>
  </si>
  <si>
    <t>MY25ED0252</t>
  </si>
  <si>
    <t>PROFORMA INVOICE FOR EO25-0295GG</t>
  </si>
  <si>
    <t>GG25ED0189</t>
  </si>
  <si>
    <t>MSS 26FW M63001AJP82 (김동욱)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</si>
  <si>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</si>
  <si>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</si>
  <si>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</si>
  <si>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</si>
  <si>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</si>
  <si>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</si>
  <si>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</si>
  <si>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</si>
  <si>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</si>
  <si>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</si>
  <si>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</si>
  <si>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</si>
  <si>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</si>
  <si>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</si>
  <si>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EO25-0229GG</t>
  </si>
  <si>
    <t>MATL CODE</t>
  </si>
  <si>
    <t>M25-03682</t>
  </si>
  <si>
    <t>DETAIL PACKING LIST FOR EO25-0247SP</t>
  </si>
  <si>
    <t>P25-93109</t>
  </si>
  <si>
    <t>P25-93110</t>
  </si>
  <si>
    <t>DETAIL PACKING LIST FOR EO25-0248MY</t>
  </si>
  <si>
    <t>S25-130135</t>
  </si>
  <si>
    <t>DETAIL PACKING LIST FOR EO25-0295GG</t>
  </si>
  <si>
    <t>S23-05129</t>
  </si>
  <si>
    <t>S23-05112</t>
  </si>
  <si>
    <t>S25-03042</t>
  </si>
  <si>
    <t>COMMERCIAL INVOICE</t>
  </si>
  <si>
    <t>FREIGHT CHARGE :</t>
  </si>
  <si>
    <t>INSURANCE CHARGE :</t>
  </si>
  <si>
    <t>제조자 미상</t>
  </si>
  <si>
    <t>Port of loading :</t>
  </si>
  <si>
    <t>C/T :</t>
  </si>
  <si>
    <t>CT</t>
  </si>
  <si>
    <t>NET :</t>
  </si>
  <si>
    <t>KGS</t>
  </si>
  <si>
    <t>GRS :</t>
  </si>
  <si>
    <t>Carrier</t>
  </si>
  <si>
    <t>* CIF : ADDIS ABABA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</si>
</sst>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0.74</v>
      </c>
      <c r="E4" s="14">
        <v>10</v>
      </c>
      <c r="F4" s="15" t="s">
        <v>14</v>
      </c>
      <c r="G4" s="13">
        <v>7.4</v>
      </c>
      <c r="H4" s="16" t="s">
        <v>15</v>
      </c>
      <c r="I4" s="17">
        <v>0.06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0.3207</v>
      </c>
      <c r="E5" s="14">
        <v>290</v>
      </c>
      <c r="F5" s="15" t="s">
        <v>21</v>
      </c>
      <c r="G5" s="13">
        <v>93</v>
      </c>
      <c r="H5" s="16" t="s">
        <v>15</v>
      </c>
      <c r="I5" s="17">
        <v>1.63</v>
      </c>
      <c r="J5" s="18" t="s">
        <v>16</v>
      </c>
      <c r="K5" s="1" t="s">
        <v>22</v>
      </c>
      <c r="L5" s="1" t="s">
        <v>22</v>
      </c>
    </row>
    <row r="6" ht="12" customHeight="1" spans="1:12" x14ac:dyDescent="0.25">
      <c r="A6" s="19">
        <v>3</v>
      </c>
      <c r="B6" s="12" t="s">
        <v>19</v>
      </c>
      <c r="C6" s="12" t="s">
        <v>23</v>
      </c>
      <c r="D6" s="13">
        <v>0.41</v>
      </c>
      <c r="E6" s="14">
        <v>5</v>
      </c>
      <c r="F6" s="15" t="s">
        <v>21</v>
      </c>
      <c r="G6" s="13">
        <v>2.05</v>
      </c>
      <c r="H6" s="16" t="s">
        <v>15</v>
      </c>
      <c r="I6" s="17">
        <v>0.03</v>
      </c>
      <c r="J6" s="18" t="s">
        <v>16</v>
      </c>
      <c r="K6" s="1" t="s">
        <v>22</v>
      </c>
      <c r="L6" s="1" t="s">
        <v>22</v>
      </c>
    </row>
    <row r="7" ht="12" customHeight="1" spans="1:12" x14ac:dyDescent="0.25">
      <c r="A7" s="19">
        <v>4</v>
      </c>
      <c r="B7" s="12" t="s">
        <v>24</v>
      </c>
      <c r="C7" s="12" t="s">
        <v>25</v>
      </c>
      <c r="D7" s="13">
        <v>0.01</v>
      </c>
      <c r="E7" s="14">
        <v>980</v>
      </c>
      <c r="F7" s="15" t="s">
        <v>21</v>
      </c>
      <c r="G7" s="13">
        <v>9.8</v>
      </c>
      <c r="H7" s="16" t="s">
        <v>15</v>
      </c>
      <c r="I7" s="17">
        <v>5.5</v>
      </c>
      <c r="J7" s="18" t="s">
        <v>16</v>
      </c>
      <c r="K7" s="1" t="s">
        <v>22</v>
      </c>
      <c r="L7" s="1" t="s">
        <v>22</v>
      </c>
    </row>
    <row r="8" ht="12" customHeight="1" spans="1:12" x14ac:dyDescent="0.25">
      <c r="A8" s="19">
        <v>5</v>
      </c>
      <c r="B8" s="12" t="s">
        <v>24</v>
      </c>
      <c r="C8" s="12" t="s">
        <v>26</v>
      </c>
      <c r="D8" s="13">
        <v>0.01</v>
      </c>
      <c r="E8" s="14">
        <v>600</v>
      </c>
      <c r="F8" s="15" t="s">
        <v>21</v>
      </c>
      <c r="G8" s="13">
        <v>6</v>
      </c>
      <c r="H8" s="16" t="s">
        <v>15</v>
      </c>
      <c r="I8" s="17">
        <v>3.37</v>
      </c>
      <c r="J8" s="18" t="s">
        <v>16</v>
      </c>
      <c r="K8" s="1" t="s">
        <v>22</v>
      </c>
      <c r="L8" s="1" t="s">
        <v>22</v>
      </c>
    </row>
    <row r="9" ht="12" customHeight="1" spans="1:12" x14ac:dyDescent="0.25">
      <c r="A9" s="19">
        <v>6</v>
      </c>
      <c r="B9" s="12" t="s">
        <v>27</v>
      </c>
      <c r="C9" s="12" t="s">
        <v>28</v>
      </c>
      <c r="D9" s="13">
        <v>0.01</v>
      </c>
      <c r="E9" s="14">
        <v>2118</v>
      </c>
      <c r="F9" s="15" t="s">
        <v>21</v>
      </c>
      <c r="G9" s="13">
        <v>21.18</v>
      </c>
      <c r="H9" s="16" t="s">
        <v>15</v>
      </c>
      <c r="I9" s="17">
        <v>11.879999999999995</v>
      </c>
      <c r="J9" s="18" t="s">
        <v>16</v>
      </c>
      <c r="K9" s="1" t="s">
        <v>22</v>
      </c>
      <c r="L9" s="1" t="s">
        <v>22</v>
      </c>
    </row>
    <row r="10" ht="12.75" customHeight="1" spans="1:11" x14ac:dyDescent="0.25">
      <c r="A10" s="20"/>
      <c r="B10" s="21" t="s">
        <v>29</v>
      </c>
      <c r="C10" s="21"/>
      <c r="D10" s="22"/>
      <c r="E10" s="23">
        <f>=SUM(E4:E9)</f>
      </c>
      <c r="F10" s="24"/>
      <c r="G10" s="25">
        <f>=SUM(G4:G9)</f>
      </c>
      <c r="H10" s="26"/>
      <c r="I10" s="27">
        <f>=SUM(I4:I9)</f>
      </c>
      <c r="J10" s="18" t="s">
        <v>16</v>
      </c>
      <c r="K10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30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31</v>
      </c>
      <c r="B3" s="31" t="s">
        <v>32</v>
      </c>
      <c r="C3" s="32" t="s">
        <v>33</v>
      </c>
      <c r="D3" s="33" t="s">
        <v>34</v>
      </c>
      <c r="E3" s="32" t="s">
        <v>35</v>
      </c>
      <c r="F3" s="34" t="s">
        <v>36</v>
      </c>
      <c r="G3" s="34" t="s">
        <v>37</v>
      </c>
      <c r="H3" s="34" t="s">
        <v>38</v>
      </c>
      <c r="I3" s="34" t="s">
        <v>39</v>
      </c>
    </row>
    <row r="4" ht="12.75" customHeight="1" spans="1:9" x14ac:dyDescent="0.25">
      <c r="A4" s="35" t="s">
        <v>40</v>
      </c>
      <c r="B4" s="35" t="s">
        <v>20</v>
      </c>
      <c r="C4" s="36" t="s">
        <v>41</v>
      </c>
      <c r="D4" s="37" t="s">
        <v>42</v>
      </c>
      <c r="E4" s="38" t="s">
        <v>21</v>
      </c>
      <c r="F4" s="39">
        <v>2</v>
      </c>
      <c r="G4" s="40">
        <v>1</v>
      </c>
      <c r="H4" s="41" t="s">
        <v>22</v>
      </c>
      <c r="I4" s="41" t="s">
        <v>22</v>
      </c>
    </row>
    <row r="5" ht="12.75" customHeight="1" spans="1:9" x14ac:dyDescent="0.25">
      <c r="A5" s="35" t="s">
        <v>40</v>
      </c>
      <c r="B5" s="35" t="s">
        <v>20</v>
      </c>
      <c r="C5" s="36" t="s">
        <v>43</v>
      </c>
      <c r="D5" s="37" t="s">
        <v>44</v>
      </c>
      <c r="E5" s="38" t="s">
        <v>21</v>
      </c>
      <c r="F5" s="39">
        <v>288</v>
      </c>
      <c r="G5" s="40"/>
      <c r="H5" s="41"/>
      <c r="I5" s="41"/>
    </row>
    <row r="6" ht="12.75" customHeight="1" spans="1:9" x14ac:dyDescent="0.25">
      <c r="A6" s="35" t="s">
        <v>40</v>
      </c>
      <c r="B6" s="35" t="s">
        <v>23</v>
      </c>
      <c r="C6" s="36" t="s">
        <v>41</v>
      </c>
      <c r="D6" s="37" t="s">
        <v>45</v>
      </c>
      <c r="E6" s="38" t="s">
        <v>21</v>
      </c>
      <c r="F6" s="39">
        <v>5</v>
      </c>
      <c r="G6" s="40"/>
      <c r="H6" s="41"/>
      <c r="I6" s="41"/>
    </row>
    <row r="7" ht="12.75" customHeight="1" spans="1:9" x14ac:dyDescent="0.25">
      <c r="A7" s="35" t="s">
        <v>46</v>
      </c>
      <c r="B7" s="35" t="s">
        <v>13</v>
      </c>
      <c r="C7" s="36" t="s">
        <v>47</v>
      </c>
      <c r="D7" s="37" t="s">
        <v>17</v>
      </c>
      <c r="E7" s="38" t="s">
        <v>14</v>
      </c>
      <c r="F7" s="39">
        <v>10</v>
      </c>
      <c r="G7" s="40">
        <v>1</v>
      </c>
      <c r="H7" s="41" t="s">
        <v>48</v>
      </c>
      <c r="I7" s="41" t="s">
        <v>22</v>
      </c>
    </row>
    <row r="8" ht="12.75" customHeight="1" spans="1:9" x14ac:dyDescent="0.25">
      <c r="A8" s="35" t="s">
        <v>49</v>
      </c>
      <c r="B8" s="35" t="s">
        <v>28</v>
      </c>
      <c r="C8" s="36" t="s">
        <v>50</v>
      </c>
      <c r="D8" s="37" t="s">
        <v>51</v>
      </c>
      <c r="E8" s="38" t="s">
        <v>21</v>
      </c>
      <c r="F8" s="39">
        <v>21</v>
      </c>
      <c r="G8" s="40">
        <v>1</v>
      </c>
      <c r="H8" s="41" t="s">
        <v>22</v>
      </c>
      <c r="I8" s="41" t="s">
        <v>22</v>
      </c>
    </row>
    <row r="9" ht="12.75" customHeight="1" spans="1:9" x14ac:dyDescent="0.25">
      <c r="A9" s="35" t="s">
        <v>49</v>
      </c>
      <c r="B9" s="35" t="s">
        <v>28</v>
      </c>
      <c r="C9" s="36" t="s">
        <v>50</v>
      </c>
      <c r="D9" s="37" t="s">
        <v>51</v>
      </c>
      <c r="E9" s="38" t="s">
        <v>21</v>
      </c>
      <c r="F9" s="39">
        <v>2097</v>
      </c>
      <c r="G9" s="40"/>
      <c r="H9" s="41"/>
      <c r="I9" s="41"/>
    </row>
    <row r="10" ht="12.75" customHeight="1" spans="1:9" x14ac:dyDescent="0.25">
      <c r="A10" s="35" t="s">
        <v>52</v>
      </c>
      <c r="B10" s="35" t="s">
        <v>25</v>
      </c>
      <c r="C10" s="36" t="s">
        <v>53</v>
      </c>
      <c r="D10" s="37" t="s">
        <v>54</v>
      </c>
      <c r="E10" s="38" t="s">
        <v>21</v>
      </c>
      <c r="F10" s="39">
        <v>980</v>
      </c>
      <c r="G10" s="40">
        <v>2</v>
      </c>
      <c r="H10" s="41" t="s">
        <v>48</v>
      </c>
      <c r="I10" s="41" t="s">
        <v>22</v>
      </c>
    </row>
    <row r="11" ht="12.75" customHeight="1" spans="1:9" x14ac:dyDescent="0.25">
      <c r="A11" s="35" t="s">
        <v>52</v>
      </c>
      <c r="B11" s="35" t="s">
        <v>26</v>
      </c>
      <c r="C11" s="36" t="s">
        <v>53</v>
      </c>
      <c r="D11" s="37" t="s">
        <v>55</v>
      </c>
      <c r="E11" s="38" t="s">
        <v>21</v>
      </c>
      <c r="F11" s="39">
        <v>600</v>
      </c>
      <c r="G11" s="40"/>
      <c r="H11" s="41"/>
      <c r="I11" s="41"/>
    </row>
    <row r="12" ht="12.75" customHeight="1" spans="1:9" x14ac:dyDescent="0.25">
      <c r="A12" s="42" t="s">
        <v>56</v>
      </c>
      <c r="B12" s="43" t="s">
        <v>57</v>
      </c>
      <c r="C12" s="44"/>
      <c r="D12" s="44"/>
      <c r="E12" s="44"/>
      <c r="F12" s="45">
        <f>=SUM(F4:F11)</f>
      </c>
      <c r="G12" s="46">
        <f>=SUM(G4:G11)</f>
      </c>
      <c r="H12" s="44"/>
      <c r="I12" s="44"/>
    </row>
  </sheetData>
  <mergeCells count="10">
    <mergeCell ref="A1:I1"/>
    <mergeCell ref="G4:G6"/>
    <mergeCell ref="H4:H6"/>
    <mergeCell ref="I4:I6"/>
    <mergeCell ref="G8:G9"/>
    <mergeCell ref="H8:H9"/>
    <mergeCell ref="I8:I9"/>
    <mergeCell ref="G10:G11"/>
    <mergeCell ref="H10:H11"/>
    <mergeCell ref="I10:I11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58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59</v>
      </c>
      <c r="B2" s="48"/>
      <c r="C2" s="48"/>
      <c r="F2" s="49"/>
      <c r="G2" s="50" t="s">
        <v>60</v>
      </c>
      <c r="H2" s="48"/>
      <c r="I2" s="48"/>
    </row>
    <row r="3" ht="15" customHeight="1" spans="1:11" x14ac:dyDescent="0.25">
      <c r="A3" s="51" t="s">
        <v>61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62</v>
      </c>
      <c r="F4" s="49"/>
      <c r="G4" s="53" t="s">
        <v>63</v>
      </c>
      <c r="J4" s="54"/>
      <c r="K4" s="54">
        <v>46096.625</v>
      </c>
    </row>
    <row r="5" ht="15" customHeight="1" spans="1:9" x14ac:dyDescent="0.25">
      <c r="A5" s="1" t="s">
        <v>64</v>
      </c>
      <c r="F5" s="49"/>
      <c r="G5" s="50" t="s">
        <v>65</v>
      </c>
      <c r="H5" s="48"/>
      <c r="I5" s="55"/>
    </row>
    <row r="6" ht="15" customHeight="1" spans="1:11" x14ac:dyDescent="0.25">
      <c r="A6" s="1" t="s">
        <v>66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67</v>
      </c>
      <c r="B7" s="48"/>
      <c r="C7" s="55"/>
      <c r="D7" s="55"/>
      <c r="E7" s="55"/>
      <c r="F7" s="57"/>
      <c r="H7" s="51"/>
      <c r="I7" s="51"/>
      <c r="J7" s="58" t="s">
        <v>68</v>
      </c>
      <c r="K7" s="59"/>
    </row>
    <row r="8" ht="15" customHeight="1" spans="1:11" x14ac:dyDescent="0.25">
      <c r="A8" s="51" t="s">
        <v>69</v>
      </c>
      <c r="B8" s="51"/>
      <c r="C8" s="51"/>
      <c r="F8" s="49"/>
      <c r="G8" s="50" t="s">
        <v>70</v>
      </c>
      <c r="H8" s="48"/>
      <c r="I8" s="48"/>
      <c r="J8" s="55"/>
      <c r="K8" s="60"/>
    </row>
    <row r="9" ht="15" customHeight="1" spans="1:11" x14ac:dyDescent="0.25">
      <c r="A9" s="1" t="s">
        <v>71</v>
      </c>
      <c r="F9" s="49"/>
      <c r="G9" s="1" t="s">
        <v>68</v>
      </c>
      <c r="K9" s="59"/>
    </row>
    <row r="10" ht="15" customHeight="1" spans="1:11" x14ac:dyDescent="0.25">
      <c r="A10" s="1" t="s">
        <v>72</v>
      </c>
      <c r="F10" s="49"/>
      <c r="G10" s="61" t="s">
        <v>68</v>
      </c>
      <c r="H10" s="61"/>
      <c r="I10" s="61"/>
      <c r="J10" s="61"/>
      <c r="K10" s="59"/>
    </row>
    <row r="11" ht="15" customHeight="1" spans="1:11" x14ac:dyDescent="0.25">
      <c r="A11" s="1" t="s">
        <v>73</v>
      </c>
      <c r="F11" s="49"/>
      <c r="G11" s="50" t="s">
        <v>74</v>
      </c>
      <c r="H11" s="48"/>
      <c r="K11" s="62"/>
    </row>
    <row r="12" ht="15" customHeight="1" spans="1:11" x14ac:dyDescent="0.25">
      <c r="A12" s="61" t="s">
        <v>75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76</v>
      </c>
      <c r="F13" s="49"/>
      <c r="G13" s="3"/>
      <c r="I13" s="67"/>
      <c r="J13" s="68"/>
      <c r="K13" s="65"/>
    </row>
    <row r="14" ht="15" customHeight="1" spans="1:11" x14ac:dyDescent="0.25">
      <c r="A14" s="69" t="s">
        <v>77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78</v>
      </c>
      <c r="B16" s="48"/>
      <c r="C16" s="57"/>
      <c r="D16" s="48" t="s">
        <v>79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68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80</v>
      </c>
      <c r="B18" s="73"/>
      <c r="C18" s="73"/>
      <c r="D18" s="74" t="s">
        <v>81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82</v>
      </c>
      <c r="B19" s="48"/>
      <c r="C19" s="49"/>
      <c r="D19" s="48" t="s">
        <v>83</v>
      </c>
      <c r="E19" s="48"/>
      <c r="F19" s="70"/>
      <c r="K19" s="65"/>
    </row>
    <row r="20" ht="15" customHeight="1" spans="1:11" x14ac:dyDescent="0.25">
      <c r="A20" s="1" t="s">
        <v>68</v>
      </c>
      <c r="C20" s="49"/>
      <c r="D20" s="1" t="s">
        <v>68</v>
      </c>
      <c r="F20" s="49"/>
      <c r="G20" s="1" t="s">
        <v>68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84</v>
      </c>
      <c r="B22" s="78"/>
      <c r="C22" s="78"/>
      <c r="D22" s="79" t="s">
        <v>85</v>
      </c>
      <c r="E22" s="79"/>
      <c r="F22" s="79"/>
      <c r="G22" s="79" t="s">
        <v>86</v>
      </c>
      <c r="H22" s="79"/>
      <c r="I22" s="80" t="s">
        <v>87</v>
      </c>
      <c r="J22" s="81" t="s">
        <v>88</v>
      </c>
      <c r="K22" s="81"/>
    </row>
    <row r="23" ht="15" customHeight="1" spans="1:9" x14ac:dyDescent="0.25">
      <c r="A23" s="1" t="s">
        <v>68</v>
      </c>
      <c r="C23" s="49"/>
      <c r="F23" s="49"/>
      <c r="H23" s="49"/>
      <c r="I23" s="49"/>
    </row>
    <row r="24" ht="15" customHeight="1" spans="1:9" x14ac:dyDescent="0.25">
      <c r="A24" s="1" t="s">
        <v>68</v>
      </c>
      <c r="G24" s="82" t="s">
        <v>89</v>
      </c>
      <c r="H24" s="82"/>
      <c r="I24" s="82"/>
    </row>
    <row r="25" ht="15" customHeight="1" spans="1:11" x14ac:dyDescent="0.25">
      <c r="A25" s="83" t="s">
        <v>90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91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92</v>
      </c>
      <c r="E27" s="51"/>
      <c r="F27" s="51"/>
      <c r="K27" s="86"/>
    </row>
    <row r="28" ht="15" customHeight="1" spans="1:11" x14ac:dyDescent="0.25">
      <c r="A28" s="87" t="s">
        <v>93</v>
      </c>
      <c r="K28" s="86"/>
    </row>
    <row r="29" ht="15" customHeight="1" spans="1:10" x14ac:dyDescent="0.25">
      <c r="A29" s="87" t="s">
        <v>94</v>
      </c>
      <c r="F29" s="3"/>
      <c r="G29" s="88"/>
      <c r="H29" s="89"/>
      <c r="I29" s="90"/>
      <c r="J29" s="91"/>
    </row>
    <row r="30" ht="15" customHeight="1" spans="1:10" x14ac:dyDescent="0.25">
      <c r="A30" s="87" t="s">
        <v>95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96</v>
      </c>
      <c r="B31" s="88"/>
      <c r="C31" s="3"/>
      <c r="D31" s="92" t="s">
        <v>56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97</v>
      </c>
      <c r="B40" s="66"/>
      <c r="C40" s="66"/>
      <c r="D40" s="66"/>
      <c r="E40" s="66"/>
      <c r="F40" s="66"/>
    </row>
    <row r="41" ht="15" customHeight="1" spans="1:11" x14ac:dyDescent="0.25">
      <c r="A41" s="66" t="s">
        <v>98</v>
      </c>
      <c r="B41" s="66"/>
      <c r="C41" s="66"/>
      <c r="H41" s="97" t="s">
        <v>99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100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101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0.74</v>
      </c>
      <c r="E4" s="111">
        <v>10</v>
      </c>
      <c r="F4" s="112" t="s">
        <v>14</v>
      </c>
      <c r="G4" s="110">
        <v>7.4</v>
      </c>
      <c r="H4" s="113" t="s">
        <v>15</v>
      </c>
      <c r="I4" s="114">
        <v>0.06</v>
      </c>
      <c r="J4" s="103" t="s">
        <v>16</v>
      </c>
      <c r="K4" s="98" t="s">
        <v>102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19</v>
      </c>
      <c r="C5" s="109" t="s">
        <v>20</v>
      </c>
      <c r="D5" s="110">
        <v>0.3207</v>
      </c>
      <c r="E5" s="111">
        <v>290</v>
      </c>
      <c r="F5" s="112" t="s">
        <v>21</v>
      </c>
      <c r="G5" s="110">
        <v>93</v>
      </c>
      <c r="H5" s="113" t="s">
        <v>15</v>
      </c>
      <c r="I5" s="114">
        <v>1.63</v>
      </c>
      <c r="J5" s="103" t="s">
        <v>16</v>
      </c>
      <c r="K5" s="98" t="s">
        <v>103</v>
      </c>
      <c r="L5" s="98" t="s">
        <v>22</v>
      </c>
      <c r="M5" s="98" t="s">
        <v>22</v>
      </c>
    </row>
    <row r="6" ht="12" customHeight="1" spans="1:13" x14ac:dyDescent="0.25">
      <c r="A6" s="108">
        <v>3</v>
      </c>
      <c r="B6" s="109" t="s">
        <v>19</v>
      </c>
      <c r="C6" s="109" t="s">
        <v>23</v>
      </c>
      <c r="D6" s="110">
        <v>0.41</v>
      </c>
      <c r="E6" s="111">
        <v>5</v>
      </c>
      <c r="F6" s="112" t="s">
        <v>21</v>
      </c>
      <c r="G6" s="110">
        <v>2.05</v>
      </c>
      <c r="H6" s="113" t="s">
        <v>15</v>
      </c>
      <c r="I6" s="114">
        <v>0.03</v>
      </c>
      <c r="J6" s="103" t="s">
        <v>16</v>
      </c>
      <c r="K6" s="98" t="s">
        <v>103</v>
      </c>
      <c r="L6" s="98" t="s">
        <v>22</v>
      </c>
      <c r="M6" s="98" t="s">
        <v>22</v>
      </c>
    </row>
    <row r="7" ht="12" customHeight="1" spans="1:13" x14ac:dyDescent="0.25">
      <c r="A7" s="108">
        <v>4</v>
      </c>
      <c r="B7" s="109" t="s">
        <v>24</v>
      </c>
      <c r="C7" s="109" t="s">
        <v>25</v>
      </c>
      <c r="D7" s="110">
        <v>0.01</v>
      </c>
      <c r="E7" s="111">
        <v>980</v>
      </c>
      <c r="F7" s="112" t="s">
        <v>21</v>
      </c>
      <c r="G7" s="110">
        <v>9.8</v>
      </c>
      <c r="H7" s="113" t="s">
        <v>15</v>
      </c>
      <c r="I7" s="114">
        <v>5.5</v>
      </c>
      <c r="J7" s="103" t="s">
        <v>16</v>
      </c>
      <c r="K7" s="98" t="s">
        <v>104</v>
      </c>
      <c r="L7" s="98" t="s">
        <v>22</v>
      </c>
      <c r="M7" s="98" t="s">
        <v>22</v>
      </c>
    </row>
    <row r="8" ht="12" customHeight="1" spans="1:13" x14ac:dyDescent="0.25">
      <c r="A8" s="108">
        <v>5</v>
      </c>
      <c r="B8" s="109" t="s">
        <v>24</v>
      </c>
      <c r="C8" s="109" t="s">
        <v>26</v>
      </c>
      <c r="D8" s="110">
        <v>0.01</v>
      </c>
      <c r="E8" s="111">
        <v>600</v>
      </c>
      <c r="F8" s="112" t="s">
        <v>21</v>
      </c>
      <c r="G8" s="110">
        <v>6</v>
      </c>
      <c r="H8" s="113" t="s">
        <v>15</v>
      </c>
      <c r="I8" s="114">
        <v>3.37</v>
      </c>
      <c r="J8" s="103" t="s">
        <v>16</v>
      </c>
      <c r="K8" s="98" t="s">
        <v>104</v>
      </c>
      <c r="L8" s="98" t="s">
        <v>22</v>
      </c>
      <c r="M8" s="98" t="s">
        <v>22</v>
      </c>
    </row>
    <row r="9" ht="12" customHeight="1" spans="1:13" x14ac:dyDescent="0.25">
      <c r="A9" s="108">
        <v>6</v>
      </c>
      <c r="B9" s="109" t="s">
        <v>27</v>
      </c>
      <c r="C9" s="109" t="s">
        <v>28</v>
      </c>
      <c r="D9" s="110">
        <v>0.01</v>
      </c>
      <c r="E9" s="111">
        <v>2118</v>
      </c>
      <c r="F9" s="112" t="s">
        <v>21</v>
      </c>
      <c r="G9" s="110">
        <v>21.18</v>
      </c>
      <c r="H9" s="113" t="s">
        <v>15</v>
      </c>
      <c r="I9" s="114">
        <v>11.879999999999995</v>
      </c>
      <c r="J9" s="103" t="s">
        <v>16</v>
      </c>
      <c r="K9" s="98" t="s">
        <v>105</v>
      </c>
      <c r="L9" s="98" t="s">
        <v>22</v>
      </c>
      <c r="M9" s="98" t="s">
        <v>22</v>
      </c>
    </row>
    <row r="10" ht="12.75" customHeight="1" spans="1:11" x14ac:dyDescent="0.25">
      <c r="A10" s="115"/>
      <c r="B10" s="116" t="s">
        <v>29</v>
      </c>
      <c r="C10" s="116"/>
      <c r="D10" s="117"/>
      <c r="E10" s="118">
        <f>=SUM(E4:E9)</f>
      </c>
      <c r="F10" s="119"/>
      <c r="G10" s="120">
        <f>=SUM(G4:G9)</f>
      </c>
      <c r="H10" s="121"/>
      <c r="I10" s="122">
        <f>=SUM(I4:I9)</f>
      </c>
      <c r="J10" s="103" t="s">
        <v>16</v>
      </c>
      <c r="K1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106</v>
      </c>
      <c r="B1" s="2"/>
      <c r="C1" s="2"/>
      <c r="D1" s="2"/>
      <c r="E1" s="2"/>
      <c r="F1" s="2"/>
      <c r="G1" s="2"/>
      <c r="H1" s="29"/>
      <c r="I1" s="29" t="s">
        <v>63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107</v>
      </c>
      <c r="B3" s="126" t="s">
        <v>108</v>
      </c>
      <c r="C3" s="126" t="s">
        <v>109</v>
      </c>
      <c r="D3" s="125" t="s">
        <v>110</v>
      </c>
      <c r="E3" s="125" t="s">
        <v>35</v>
      </c>
      <c r="F3" s="125" t="s">
        <v>111</v>
      </c>
      <c r="G3" s="127"/>
      <c r="H3" s="12"/>
      <c r="I3" s="12"/>
    </row>
    <row r="4" ht="12.75" customHeight="1" spans="1:13" x14ac:dyDescent="0.25">
      <c r="A4" s="11">
        <v>1</v>
      </c>
      <c r="B4" s="6" t="s">
        <v>112</v>
      </c>
      <c r="C4" s="128" t="s">
        <v>113</v>
      </c>
      <c r="D4" s="129">
        <v>1050</v>
      </c>
      <c r="E4" s="11"/>
      <c r="F4" s="130">
        <v>46096.625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107</v>
      </c>
      <c r="B6" s="133" t="s">
        <v>114</v>
      </c>
      <c r="C6" s="133" t="s">
        <v>115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12</v>
      </c>
      <c r="C7" s="134" t="s">
        <v>13</v>
      </c>
      <c r="D7" s="135">
        <v>0.74</v>
      </c>
      <c r="E7" s="135">
        <v>10</v>
      </c>
      <c r="F7" s="29" t="s">
        <v>14</v>
      </c>
      <c r="G7" s="135">
        <v>7.4</v>
      </c>
      <c r="H7" s="29" t="s">
        <v>15</v>
      </c>
      <c r="I7" s="135">
        <v>0.06</v>
      </c>
      <c r="J7" s="132" t="s">
        <v>16</v>
      </c>
      <c r="K7" s="132" t="s">
        <v>102</v>
      </c>
      <c r="L7" s="132" t="s">
        <v>17</v>
      </c>
      <c r="M7" s="132" t="s">
        <v>18</v>
      </c>
    </row>
    <row r="8" spans="1:13" x14ac:dyDescent="0.25">
      <c r="A8" s="136"/>
      <c r="B8" s="136" t="s">
        <v>29</v>
      </c>
      <c r="C8" s="136"/>
      <c r="D8" s="137"/>
      <c r="E8" s="138">
        <f>=SUM(E7:E7)</f>
      </c>
      <c r="F8" s="136"/>
      <c r="G8" s="138">
        <f>=SUM(G7:G7)</f>
      </c>
      <c r="H8" s="136"/>
      <c r="I8" s="136"/>
      <c r="J8" s="132"/>
      <c r="K8" s="132"/>
      <c r="L8" s="132"/>
      <c r="M8" s="132"/>
    </row>
    <row r="10" spans="1:9" x14ac:dyDescent="0.25">
      <c r="A10" s="3" t="s">
        <v>116</v>
      </c>
      <c r="B10" s="3" t="s">
        <v>106</v>
      </c>
      <c r="C10" s="3" t="s">
        <v>106</v>
      </c>
      <c r="D10" t="s">
        <v>106</v>
      </c>
      <c r="E10" s="3" t="s">
        <v>106</v>
      </c>
      <c r="F10" s="3" t="s">
        <v>106</v>
      </c>
      <c r="G10" s="3" t="s">
        <v>106</v>
      </c>
      <c r="I10" s="3" t="s">
        <v>22</v>
      </c>
    </row>
    <row r="12" spans="1:6" x14ac:dyDescent="0.25">
      <c r="A12" s="3" t="s">
        <v>107</v>
      </c>
      <c r="B12" s="3" t="s">
        <v>108</v>
      </c>
      <c r="C12" s="3" t="s">
        <v>109</v>
      </c>
      <c r="D12" t="s">
        <v>110</v>
      </c>
      <c r="E12" s="3" t="s">
        <v>35</v>
      </c>
      <c r="F12" s="3" t="s">
        <v>111</v>
      </c>
    </row>
    <row r="13" spans="1:13" x14ac:dyDescent="0.25">
      <c r="A13" s="29">
        <v>1</v>
      </c>
      <c r="B13" s="29" t="s">
        <v>117</v>
      </c>
      <c r="C13" s="134" t="s">
        <v>118</v>
      </c>
      <c r="D13" s="129">
        <v>5000</v>
      </c>
      <c r="E13" s="29"/>
      <c r="F13" s="139">
        <v>46096.625</v>
      </c>
      <c r="G13" s="29"/>
      <c r="H13" s="29"/>
      <c r="I13" s="29"/>
      <c r="J13" s="132"/>
      <c r="K13" s="132"/>
      <c r="L13" s="132"/>
      <c r="M13" s="132"/>
    </row>
    <row r="14" spans="1:13" x14ac:dyDescent="0.25">
      <c r="A14" s="29">
        <v>2</v>
      </c>
      <c r="B14" s="29" t="s">
        <v>119</v>
      </c>
      <c r="C14" s="134" t="s">
        <v>120</v>
      </c>
      <c r="D14" s="129">
        <v>1600</v>
      </c>
      <c r="E14" s="29"/>
      <c r="F14" s="139">
        <v>46096.625</v>
      </c>
      <c r="G14" s="29"/>
      <c r="H14" s="29"/>
      <c r="I14" s="29"/>
      <c r="J14" s="132"/>
      <c r="K14" s="132"/>
      <c r="L14" s="132"/>
      <c r="M14" s="132"/>
    </row>
    <row r="15" spans="1:13" x14ac:dyDescent="0.25">
      <c r="A15" s="29">
        <v>3</v>
      </c>
      <c r="B15" s="29" t="s">
        <v>121</v>
      </c>
      <c r="C15" s="134" t="s">
        <v>122</v>
      </c>
      <c r="D15" s="129">
        <v>530</v>
      </c>
      <c r="E15" s="29"/>
      <c r="F15" s="139">
        <v>46096.625</v>
      </c>
      <c r="G15" s="29"/>
      <c r="H15" s="29"/>
      <c r="I15" s="29"/>
      <c r="J15" s="132"/>
      <c r="K15" s="132"/>
      <c r="L15" s="132"/>
      <c r="M15" s="132"/>
    </row>
    <row r="17" spans="1:9" x14ac:dyDescent="0.25">
      <c r="A17" s="133" t="s">
        <v>107</v>
      </c>
      <c r="B17" s="133" t="s">
        <v>114</v>
      </c>
      <c r="C17" s="133" t="s">
        <v>115</v>
      </c>
      <c r="D17" s="133" t="s">
        <v>4</v>
      </c>
      <c r="E17" s="133" t="s">
        <v>5</v>
      </c>
      <c r="F17" s="133" t="s">
        <v>6</v>
      </c>
      <c r="G17" s="133" t="s">
        <v>7</v>
      </c>
      <c r="H17" s="133" t="s">
        <v>8</v>
      </c>
      <c r="I17" s="133" t="s">
        <v>9</v>
      </c>
    </row>
    <row r="18" spans="1:13" x14ac:dyDescent="0.25">
      <c r="A18" s="29">
        <v>1</v>
      </c>
      <c r="B18" s="29" t="s">
        <v>24</v>
      </c>
      <c r="C18" s="134" t="s">
        <v>25</v>
      </c>
      <c r="D18" s="135">
        <v>0.01</v>
      </c>
      <c r="E18" s="135">
        <v>980</v>
      </c>
      <c r="F18" s="29" t="s">
        <v>21</v>
      </c>
      <c r="G18" s="135">
        <v>9.8</v>
      </c>
      <c r="H18" s="29" t="s">
        <v>15</v>
      </c>
      <c r="I18" s="135">
        <v>5.5</v>
      </c>
      <c r="J18" s="132" t="s">
        <v>16</v>
      </c>
      <c r="K18" s="132" t="s">
        <v>104</v>
      </c>
      <c r="L18" s="132" t="s">
        <v>22</v>
      </c>
      <c r="M18" s="132" t="s">
        <v>22</v>
      </c>
    </row>
    <row r="19" spans="1:13" x14ac:dyDescent="0.25">
      <c r="A19" s="29">
        <v>2</v>
      </c>
      <c r="B19" s="29" t="s">
        <v>24</v>
      </c>
      <c r="C19" s="134" t="s">
        <v>26</v>
      </c>
      <c r="D19" s="135">
        <v>0.01</v>
      </c>
      <c r="E19" s="135">
        <v>600</v>
      </c>
      <c r="F19" s="29" t="s">
        <v>21</v>
      </c>
      <c r="G19" s="135">
        <v>6</v>
      </c>
      <c r="H19" s="29" t="s">
        <v>15</v>
      </c>
      <c r="I19" s="135">
        <v>3.37</v>
      </c>
      <c r="J19" s="132" t="s">
        <v>16</v>
      </c>
      <c r="K19" s="132" t="s">
        <v>104</v>
      </c>
      <c r="L19" s="132" t="s">
        <v>22</v>
      </c>
      <c r="M19" s="132" t="s">
        <v>22</v>
      </c>
    </row>
    <row r="20" spans="1:13" x14ac:dyDescent="0.25">
      <c r="A20" s="136"/>
      <c r="B20" s="136" t="s">
        <v>29</v>
      </c>
      <c r="C20" s="136"/>
      <c r="D20" s="137"/>
      <c r="E20" s="138">
        <f>=SUM(E18:E19)</f>
      </c>
      <c r="F20" s="136"/>
      <c r="G20" s="138">
        <f>=SUM(G18:G19)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123</v>
      </c>
      <c r="B22" s="3" t="s">
        <v>106</v>
      </c>
      <c r="C22" s="3" t="s">
        <v>106</v>
      </c>
      <c r="D22" t="s">
        <v>106</v>
      </c>
      <c r="E22" s="3" t="s">
        <v>106</v>
      </c>
      <c r="F22" s="3" t="s">
        <v>106</v>
      </c>
      <c r="G22" s="3" t="s">
        <v>106</v>
      </c>
      <c r="I22" s="3" t="s">
        <v>22</v>
      </c>
    </row>
    <row r="24" spans="1:6" x14ac:dyDescent="0.25">
      <c r="A24" s="3" t="s">
        <v>107</v>
      </c>
      <c r="B24" s="3" t="s">
        <v>108</v>
      </c>
      <c r="C24" s="3" t="s">
        <v>109</v>
      </c>
      <c r="D24" t="s">
        <v>110</v>
      </c>
      <c r="E24" s="3" t="s">
        <v>35</v>
      </c>
      <c r="F24" s="3" t="s">
        <v>111</v>
      </c>
    </row>
    <row r="25" spans="1:13" x14ac:dyDescent="0.25">
      <c r="A25" s="29">
        <v>1</v>
      </c>
      <c r="B25" s="29" t="s">
        <v>124</v>
      </c>
      <c r="C25" s="134" t="s">
        <v>125</v>
      </c>
      <c r="D25" s="129">
        <v>31635</v>
      </c>
      <c r="E25" s="29"/>
      <c r="F25" s="139">
        <v>46096.625</v>
      </c>
      <c r="G25" s="29"/>
      <c r="H25" s="29"/>
      <c r="I25" s="29"/>
      <c r="J25" s="132"/>
      <c r="K25" s="132"/>
      <c r="L25" s="132"/>
      <c r="M25" s="132"/>
    </row>
    <row r="26" spans="1:13" x14ac:dyDescent="0.25">
      <c r="A26" s="29">
        <v>2</v>
      </c>
      <c r="B26" s="29" t="s">
        <v>126</v>
      </c>
      <c r="C26" s="134" t="s">
        <v>125</v>
      </c>
      <c r="D26" s="129">
        <v>20374</v>
      </c>
      <c r="E26" s="29"/>
      <c r="F26" s="139">
        <v>46096.625</v>
      </c>
      <c r="G26" s="29"/>
      <c r="H26" s="29"/>
      <c r="I26" s="29"/>
      <c r="J26" s="132"/>
      <c r="K26" s="132"/>
      <c r="L26" s="132"/>
      <c r="M26" s="132"/>
    </row>
    <row r="28" spans="1:9" x14ac:dyDescent="0.25">
      <c r="A28" s="133" t="s">
        <v>107</v>
      </c>
      <c r="B28" s="133" t="s">
        <v>114</v>
      </c>
      <c r="C28" s="133" t="s">
        <v>115</v>
      </c>
      <c r="D28" s="133" t="s">
        <v>4</v>
      </c>
      <c r="E28" s="133" t="s">
        <v>5</v>
      </c>
      <c r="F28" s="133" t="s">
        <v>6</v>
      </c>
      <c r="G28" s="133" t="s">
        <v>7</v>
      </c>
      <c r="H28" s="133" t="s">
        <v>8</v>
      </c>
      <c r="I28" s="133" t="s">
        <v>9</v>
      </c>
    </row>
    <row r="29" spans="1:13" x14ac:dyDescent="0.25">
      <c r="A29" s="29">
        <v>1</v>
      </c>
      <c r="B29" s="29" t="s">
        <v>27</v>
      </c>
      <c r="C29" s="134" t="s">
        <v>28</v>
      </c>
      <c r="D29" s="135">
        <v>0.01</v>
      </c>
      <c r="E29" s="135">
        <v>21</v>
      </c>
      <c r="F29" s="29" t="s">
        <v>21</v>
      </c>
      <c r="G29" s="135">
        <v>0.21</v>
      </c>
      <c r="H29" s="29" t="s">
        <v>15</v>
      </c>
      <c r="I29" s="135">
        <v>0.12</v>
      </c>
      <c r="J29" s="132" t="s">
        <v>16</v>
      </c>
      <c r="K29" s="132" t="s">
        <v>105</v>
      </c>
      <c r="L29" s="132" t="s">
        <v>22</v>
      </c>
      <c r="M29" s="132" t="s">
        <v>22</v>
      </c>
    </row>
    <row r="30" spans="1:13" x14ac:dyDescent="0.25">
      <c r="A30" s="29">
        <v>2</v>
      </c>
      <c r="B30" s="29" t="s">
        <v>27</v>
      </c>
      <c r="C30" s="134" t="s">
        <v>28</v>
      </c>
      <c r="D30" s="135">
        <v>0.03</v>
      </c>
      <c r="E30" s="135">
        <v>2097</v>
      </c>
      <c r="F30" s="29" t="s">
        <v>21</v>
      </c>
      <c r="G30" s="135">
        <v>62.91</v>
      </c>
      <c r="H30" s="29" t="s">
        <v>15</v>
      </c>
      <c r="I30" s="135">
        <v>11.759999999999996</v>
      </c>
      <c r="J30" s="132" t="s">
        <v>16</v>
      </c>
      <c r="K30" s="132" t="s">
        <v>105</v>
      </c>
      <c r="L30" s="132" t="s">
        <v>22</v>
      </c>
      <c r="M30" s="132" t="s">
        <v>22</v>
      </c>
    </row>
    <row r="31" spans="1:13" x14ac:dyDescent="0.25">
      <c r="A31" s="136"/>
      <c r="B31" s="136" t="s">
        <v>29</v>
      </c>
      <c r="C31" s="136"/>
      <c r="D31" s="137"/>
      <c r="E31" s="138">
        <f>=SUM(E29:E30)</f>
      </c>
      <c r="F31" s="136"/>
      <c r="G31" s="138">
        <f>=SUM(G29:G30)</f>
      </c>
      <c r="H31" s="136"/>
      <c r="I31" s="136"/>
      <c r="J31" s="132"/>
      <c r="K31" s="132"/>
      <c r="L31" s="132"/>
      <c r="M31" s="132"/>
    </row>
    <row r="33" spans="1:9" x14ac:dyDescent="0.25">
      <c r="A33" s="3" t="s">
        <v>127</v>
      </c>
      <c r="B33" s="3" t="s">
        <v>106</v>
      </c>
      <c r="C33" s="3" t="s">
        <v>106</v>
      </c>
      <c r="D33" t="s">
        <v>106</v>
      </c>
      <c r="E33" s="3" t="s">
        <v>106</v>
      </c>
      <c r="F33" s="3" t="s">
        <v>106</v>
      </c>
      <c r="G33" s="3" t="s">
        <v>106</v>
      </c>
      <c r="I33" s="3" t="s">
        <v>22</v>
      </c>
    </row>
    <row r="35" spans="1:6" x14ac:dyDescent="0.25">
      <c r="A35" s="3" t="s">
        <v>107</v>
      </c>
      <c r="B35" s="3" t="s">
        <v>108</v>
      </c>
      <c r="C35" s="3" t="s">
        <v>109</v>
      </c>
      <c r="D35" t="s">
        <v>110</v>
      </c>
      <c r="E35" s="3" t="s">
        <v>35</v>
      </c>
      <c r="F35" s="3" t="s">
        <v>111</v>
      </c>
    </row>
    <row r="36" spans="1:13" x14ac:dyDescent="0.25">
      <c r="A36" s="29">
        <v>1</v>
      </c>
      <c r="B36" s="29" t="s">
        <v>128</v>
      </c>
      <c r="C36" s="134" t="s">
        <v>129</v>
      </c>
      <c r="D36" s="129">
        <v>3363</v>
      </c>
      <c r="E36" s="29"/>
      <c r="F36" s="139">
        <v>46096.625</v>
      </c>
      <c r="G36" s="29"/>
      <c r="H36" s="29"/>
      <c r="I36" s="29"/>
      <c r="J36" s="132"/>
      <c r="K36" s="132"/>
      <c r="L36" s="132"/>
      <c r="M36" s="132"/>
    </row>
    <row r="38" spans="1:9" x14ac:dyDescent="0.25">
      <c r="A38" s="133" t="s">
        <v>107</v>
      </c>
      <c r="B38" s="133" t="s">
        <v>114</v>
      </c>
      <c r="C38" s="133" t="s">
        <v>115</v>
      </c>
      <c r="D38" s="133" t="s">
        <v>4</v>
      </c>
      <c r="E38" s="133" t="s">
        <v>5</v>
      </c>
      <c r="F38" s="133" t="s">
        <v>6</v>
      </c>
      <c r="G38" s="133" t="s">
        <v>7</v>
      </c>
      <c r="H38" s="133" t="s">
        <v>8</v>
      </c>
      <c r="I38" s="133" t="s">
        <v>9</v>
      </c>
    </row>
    <row r="39" spans="1:13" x14ac:dyDescent="0.25">
      <c r="A39" s="29">
        <v>1</v>
      </c>
      <c r="B39" s="29" t="s">
        <v>19</v>
      </c>
      <c r="C39" s="134" t="s">
        <v>20</v>
      </c>
      <c r="D39" s="135">
        <v>0.2</v>
      </c>
      <c r="E39" s="135">
        <v>288</v>
      </c>
      <c r="F39" s="29" t="s">
        <v>21</v>
      </c>
      <c r="G39" s="135">
        <v>57.6</v>
      </c>
      <c r="H39" s="29" t="s">
        <v>15</v>
      </c>
      <c r="I39" s="135">
        <v>1.62</v>
      </c>
      <c r="J39" s="132" t="s">
        <v>16</v>
      </c>
      <c r="K39" s="132" t="s">
        <v>103</v>
      </c>
      <c r="L39" s="132" t="s">
        <v>22</v>
      </c>
      <c r="M39" s="132" t="s">
        <v>22</v>
      </c>
    </row>
    <row r="40" spans="1:13" x14ac:dyDescent="0.25">
      <c r="A40" s="29">
        <v>2</v>
      </c>
      <c r="B40" s="29" t="s">
        <v>19</v>
      </c>
      <c r="C40" s="134" t="s">
        <v>20</v>
      </c>
      <c r="D40" s="135">
        <v>17.7</v>
      </c>
      <c r="E40" s="135">
        <v>2</v>
      </c>
      <c r="F40" s="29" t="s">
        <v>21</v>
      </c>
      <c r="G40" s="135">
        <v>35.4</v>
      </c>
      <c r="H40" s="29" t="s">
        <v>15</v>
      </c>
      <c r="I40" s="135">
        <v>0.01</v>
      </c>
      <c r="J40" s="132" t="s">
        <v>16</v>
      </c>
      <c r="K40" s="132" t="s">
        <v>103</v>
      </c>
      <c r="L40" s="132" t="s">
        <v>22</v>
      </c>
      <c r="M40" s="132" t="s">
        <v>22</v>
      </c>
    </row>
    <row r="41" spans="1:13" x14ac:dyDescent="0.25">
      <c r="A41" s="29">
        <v>3</v>
      </c>
      <c r="B41" s="29" t="s">
        <v>19</v>
      </c>
      <c r="C41" s="134" t="s">
        <v>23</v>
      </c>
      <c r="D41" s="135">
        <v>0.41</v>
      </c>
      <c r="E41" s="135">
        <v>5</v>
      </c>
      <c r="F41" s="29" t="s">
        <v>21</v>
      </c>
      <c r="G41" s="135">
        <v>2.05</v>
      </c>
      <c r="H41" s="29" t="s">
        <v>15</v>
      </c>
      <c r="I41" s="135">
        <v>0.03</v>
      </c>
      <c r="J41" s="132" t="s">
        <v>16</v>
      </c>
      <c r="K41" s="132" t="s">
        <v>103</v>
      </c>
      <c r="L41" s="132" t="s">
        <v>22</v>
      </c>
      <c r="M41" s="132" t="s">
        <v>22</v>
      </c>
    </row>
    <row r="42" spans="1:13" x14ac:dyDescent="0.25">
      <c r="A42" s="136"/>
      <c r="B42" s="136" t="s">
        <v>29</v>
      </c>
      <c r="C42" s="136"/>
      <c r="D42" s="137"/>
      <c r="E42" s="138">
        <f>=SUM(E39:E41)</f>
      </c>
      <c r="F42" s="136"/>
      <c r="G42" s="138">
        <f>=SUM(G39:G41)</f>
      </c>
      <c r="H42" s="136"/>
      <c r="I42" s="136"/>
      <c r="J42" s="132"/>
      <c r="K42" s="132"/>
      <c r="L42" s="132"/>
      <c r="M42" s="132"/>
    </row>
    <row r="46" spans="5:7" x14ac:dyDescent="0.25">
      <c r="E46" s="3" t="s">
        <v>130</v>
      </c>
      <c r="G46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131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132</v>
      </c>
      <c r="B2" s="48"/>
      <c r="C2" s="48"/>
      <c r="D2" s="55"/>
      <c r="E2" s="55"/>
      <c r="F2" s="57"/>
      <c r="G2" s="50" t="s">
        <v>60</v>
      </c>
      <c r="H2" s="48"/>
      <c r="I2" s="48"/>
      <c r="J2" s="55"/>
      <c r="K2" s="55"/>
    </row>
    <row r="3" ht="15" customHeight="1" spans="1:11" x14ac:dyDescent="0.25">
      <c r="A3" s="51" t="s">
        <v>61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62</v>
      </c>
      <c r="F4" s="49"/>
      <c r="G4" s="141" t="s">
        <v>63</v>
      </c>
      <c r="H4" s="61"/>
      <c r="I4" s="61"/>
      <c r="J4" s="52"/>
      <c r="K4" s="54">
        <v>46096.625</v>
      </c>
    </row>
    <row r="5" ht="15" customHeight="1" spans="1:10" x14ac:dyDescent="0.25">
      <c r="A5" s="1" t="s">
        <v>64</v>
      </c>
      <c r="F5" s="49"/>
      <c r="G5" s="142" t="s">
        <v>133</v>
      </c>
      <c r="H5" s="66"/>
      <c r="J5" s="55"/>
    </row>
    <row r="6" ht="15" customHeight="1" spans="1:11" x14ac:dyDescent="0.25">
      <c r="A6" s="1" t="s">
        <v>66</v>
      </c>
      <c r="G6" s="143"/>
      <c r="H6" s="144"/>
      <c r="I6" s="145"/>
      <c r="J6" s="56"/>
      <c r="K6" s="56"/>
    </row>
    <row r="7" ht="15" customHeight="1" spans="1:11" x14ac:dyDescent="0.25">
      <c r="A7" s="48" t="s">
        <v>67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69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71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72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73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75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76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77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78</v>
      </c>
      <c r="B16" s="48"/>
      <c r="C16" s="49"/>
      <c r="D16" s="48" t="s">
        <v>79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80</v>
      </c>
      <c r="B18" s="73"/>
      <c r="C18" s="73"/>
      <c r="D18" s="148" t="s">
        <v>81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82</v>
      </c>
      <c r="B19" s="48"/>
      <c r="C19" s="49"/>
      <c r="D19" s="48" t="s">
        <v>83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68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134</v>
      </c>
      <c r="B22" s="78"/>
      <c r="C22" s="78"/>
      <c r="D22" s="79" t="s">
        <v>135</v>
      </c>
      <c r="E22" s="79"/>
      <c r="F22" s="79"/>
      <c r="G22" s="79" t="s">
        <v>136</v>
      </c>
      <c r="H22" s="79"/>
      <c r="I22" s="80" t="s">
        <v>137</v>
      </c>
      <c r="J22" s="80" t="s">
        <v>138</v>
      </c>
      <c r="K22" s="81" t="s">
        <v>139</v>
      </c>
    </row>
    <row r="23" ht="15" customHeight="1" spans="1:10" x14ac:dyDescent="0.25">
      <c r="A23" s="1" t="s">
        <v>68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68</v>
      </c>
      <c r="G24" s="1" t="s">
        <v>140</v>
      </c>
    </row>
    <row r="25" ht="15" customHeight="1" spans="4:11" x14ac:dyDescent="0.25">
      <c r="D25" s="51" t="s">
        <v>141</v>
      </c>
      <c r="E25" s="51"/>
      <c r="G25" s="154">
        <f>=VLOOKUP("TOTAL",P!A:I,7,0)</f>
      </c>
      <c r="H25" s="154"/>
      <c r="I25" s="155">
        <f>='BVT.INV'!I10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90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91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92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93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94</v>
      </c>
      <c r="B31" s="163"/>
    </row>
    <row r="32" ht="15" customHeight="1" spans="1:10" x14ac:dyDescent="0.25">
      <c r="A32" s="162" t="s">
        <v>95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96</v>
      </c>
      <c r="B33" s="163"/>
      <c r="D33" s="164" t="s">
        <v>56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142</v>
      </c>
      <c r="B51" s="66"/>
      <c r="C51" s="66"/>
      <c r="D51" s="66"/>
      <c r="E51" s="66"/>
    </row>
    <row r="52" ht="15" customHeight="1" spans="1:11" x14ac:dyDescent="0.25">
      <c r="A52" s="66" t="s">
        <v>98</v>
      </c>
      <c r="B52" s="66"/>
      <c r="C52" s="66"/>
      <c r="H52" s="97" t="s">
        <v>143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4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144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31</v>
      </c>
      <c r="B3" s="170" t="s">
        <v>145</v>
      </c>
      <c r="C3" s="170" t="s">
        <v>32</v>
      </c>
      <c r="D3" s="170" t="s">
        <v>33</v>
      </c>
      <c r="E3" s="170" t="s">
        <v>34</v>
      </c>
      <c r="F3" s="170" t="s">
        <v>35</v>
      </c>
      <c r="G3" s="170" t="s">
        <v>36</v>
      </c>
      <c r="H3" s="170" t="s">
        <v>37</v>
      </c>
      <c r="I3" s="170" t="s">
        <v>38</v>
      </c>
      <c r="J3" s="170" t="s">
        <v>39</v>
      </c>
    </row>
    <row r="4" spans="1:14" x14ac:dyDescent="0.25">
      <c r="A4" s="171" t="s">
        <v>46</v>
      </c>
      <c r="B4" s="171" t="s">
        <v>146</v>
      </c>
      <c r="C4" s="171" t="s">
        <v>13</v>
      </c>
      <c r="D4" s="171" t="s">
        <v>47</v>
      </c>
      <c r="E4" s="171" t="s">
        <v>17</v>
      </c>
      <c r="F4" s="171" t="s">
        <v>14</v>
      </c>
      <c r="G4" s="172">
        <v>10</v>
      </c>
      <c r="H4" s="173">
        <v>1</v>
      </c>
      <c r="I4" s="171" t="s">
        <v>48</v>
      </c>
      <c r="J4" s="171" t="s">
        <v>22</v>
      </c>
      <c r="K4" t="s">
        <v>12</v>
      </c>
      <c r="L4" t="s">
        <v>102</v>
      </c>
      <c r="N4" t="s">
        <v>18</v>
      </c>
    </row>
    <row r="5" spans="1:14" x14ac:dyDescent="0.25">
      <c r="A5" s="174" t="s">
        <v>56</v>
      </c>
      <c r="B5" s="174"/>
      <c r="C5" s="174" t="s">
        <v>57</v>
      </c>
      <c r="D5" s="174"/>
      <c r="E5" s="174"/>
      <c r="F5" s="174"/>
      <c r="G5" s="175">
        <f>=SUM(G4:G4)</f>
      </c>
      <c r="H5" s="176">
        <f>=SUM(H4:H4)</f>
      </c>
      <c r="I5" s="174" t="s">
        <v>22</v>
      </c>
      <c r="J5" s="174" t="s">
        <v>22</v>
      </c>
    </row>
    <row r="7" spans="1:10" x14ac:dyDescent="0.25">
      <c r="A7" s="169" t="s">
        <v>147</v>
      </c>
      <c r="B7" s="169"/>
      <c r="C7" s="169"/>
      <c r="D7" s="169"/>
      <c r="E7" s="169"/>
      <c r="F7" s="169"/>
      <c r="G7" s="169"/>
      <c r="H7" s="169"/>
      <c r="I7" s="169"/>
      <c r="J7" s="169"/>
    </row>
    <row r="8" spans="1:10" x14ac:dyDescent="0.25">
      <c r="A8" s="170" t="s">
        <v>31</v>
      </c>
      <c r="B8" s="170" t="s">
        <v>145</v>
      </c>
      <c r="C8" s="170" t="s">
        <v>32</v>
      </c>
      <c r="D8" s="170" t="s">
        <v>33</v>
      </c>
      <c r="E8" s="170" t="s">
        <v>34</v>
      </c>
      <c r="F8" s="170" t="s">
        <v>35</v>
      </c>
      <c r="G8" s="170" t="s">
        <v>36</v>
      </c>
      <c r="H8" s="170" t="s">
        <v>37</v>
      </c>
      <c r="I8" s="170" t="s">
        <v>38</v>
      </c>
      <c r="J8" s="170" t="s">
        <v>39</v>
      </c>
    </row>
    <row r="9" spans="1:14" x14ac:dyDescent="0.25">
      <c r="A9" s="171" t="s">
        <v>52</v>
      </c>
      <c r="B9" s="171" t="s">
        <v>148</v>
      </c>
      <c r="C9" s="171" t="s">
        <v>25</v>
      </c>
      <c r="D9" s="171" t="s">
        <v>53</v>
      </c>
      <c r="E9" s="171" t="s">
        <v>54</v>
      </c>
      <c r="F9" s="171" t="s">
        <v>21</v>
      </c>
      <c r="G9" s="172">
        <v>980</v>
      </c>
      <c r="H9" s="173">
        <v>2</v>
      </c>
      <c r="I9" s="171" t="s">
        <v>48</v>
      </c>
      <c r="J9" s="171" t="s">
        <v>22</v>
      </c>
      <c r="K9" t="s">
        <v>24</v>
      </c>
      <c r="L9" t="s">
        <v>104</v>
      </c>
      <c r="N9" t="s">
        <v>22</v>
      </c>
    </row>
    <row r="10" spans="1:14" x14ac:dyDescent="0.25">
      <c r="A10" s="171" t="s">
        <v>52</v>
      </c>
      <c r="B10" s="171" t="s">
        <v>149</v>
      </c>
      <c r="C10" s="171" t="s">
        <v>26</v>
      </c>
      <c r="D10" s="171" t="s">
        <v>53</v>
      </c>
      <c r="E10" s="171" t="s">
        <v>55</v>
      </c>
      <c r="F10" s="171" t="s">
        <v>21</v>
      </c>
      <c r="G10" s="172">
        <v>600</v>
      </c>
      <c r="H10" s="173">
        <v>0</v>
      </c>
      <c r="I10" s="171" t="s">
        <v>48</v>
      </c>
      <c r="J10" s="171" t="s">
        <v>22</v>
      </c>
      <c r="K10" t="s">
        <v>24</v>
      </c>
      <c r="L10" t="s">
        <v>104</v>
      </c>
      <c r="N10" t="s">
        <v>22</v>
      </c>
    </row>
    <row r="11" spans="1:14" x14ac:dyDescent="0.25">
      <c r="A11" s="174" t="s">
        <v>56</v>
      </c>
      <c r="B11" s="174"/>
      <c r="C11" s="174" t="s">
        <v>57</v>
      </c>
      <c r="D11" s="174"/>
      <c r="E11" s="174"/>
      <c r="F11" s="174"/>
      <c r="G11" s="175">
        <f>=SUM(G9:G10)</f>
      </c>
      <c r="H11" s="176">
        <f>=SUM(H9:H10)</f>
      </c>
      <c r="I11" s="174" t="s">
        <v>22</v>
      </c>
      <c r="J11" s="174" t="s">
        <v>22</v>
      </c>
    </row>
    <row r="13" spans="1:10" x14ac:dyDescent="0.25">
      <c r="A13" s="169" t="s">
        <v>150</v>
      </c>
      <c r="B13" s="169"/>
      <c r="C13" s="169"/>
      <c r="D13" s="169"/>
      <c r="E13" s="169"/>
      <c r="F13" s="169"/>
      <c r="G13" s="169"/>
      <c r="H13" s="169"/>
      <c r="I13" s="169"/>
      <c r="J13" s="169"/>
    </row>
    <row r="14" spans="1:10" x14ac:dyDescent="0.25">
      <c r="A14" s="170" t="s">
        <v>31</v>
      </c>
      <c r="B14" s="170" t="s">
        <v>145</v>
      </c>
      <c r="C14" s="170" t="s">
        <v>32</v>
      </c>
      <c r="D14" s="170" t="s">
        <v>33</v>
      </c>
      <c r="E14" s="170" t="s">
        <v>34</v>
      </c>
      <c r="F14" s="170" t="s">
        <v>35</v>
      </c>
      <c r="G14" s="170" t="s">
        <v>36</v>
      </c>
      <c r="H14" s="170" t="s">
        <v>37</v>
      </c>
      <c r="I14" s="170" t="s">
        <v>38</v>
      </c>
      <c r="J14" s="170" t="s">
        <v>39</v>
      </c>
    </row>
    <row r="15" spans="1:14" x14ac:dyDescent="0.25">
      <c r="A15" s="171" t="s">
        <v>49</v>
      </c>
      <c r="B15" s="171" t="s">
        <v>151</v>
      </c>
      <c r="C15" s="171" t="s">
        <v>28</v>
      </c>
      <c r="D15" s="171" t="s">
        <v>50</v>
      </c>
      <c r="E15" s="171" t="s">
        <v>51</v>
      </c>
      <c r="F15" s="171" t="s">
        <v>21</v>
      </c>
      <c r="G15" s="172">
        <v>21</v>
      </c>
      <c r="H15" s="173">
        <v>1</v>
      </c>
      <c r="I15" s="171" t="s">
        <v>22</v>
      </c>
      <c r="J15" s="171" t="s">
        <v>22</v>
      </c>
      <c r="K15" t="s">
        <v>27</v>
      </c>
      <c r="L15" t="s">
        <v>105</v>
      </c>
      <c r="N15" t="s">
        <v>22</v>
      </c>
    </row>
    <row r="16" spans="1:14" x14ac:dyDescent="0.25">
      <c r="A16" s="171" t="s">
        <v>49</v>
      </c>
      <c r="B16" s="171" t="s">
        <v>151</v>
      </c>
      <c r="C16" s="171" t="s">
        <v>28</v>
      </c>
      <c r="D16" s="171" t="s">
        <v>50</v>
      </c>
      <c r="E16" s="171" t="s">
        <v>51</v>
      </c>
      <c r="F16" s="171" t="s">
        <v>21</v>
      </c>
      <c r="G16" s="172">
        <v>2097</v>
      </c>
      <c r="H16" s="173">
        <v>0</v>
      </c>
      <c r="I16" s="171" t="s">
        <v>22</v>
      </c>
      <c r="J16" s="171" t="s">
        <v>22</v>
      </c>
      <c r="K16" t="s">
        <v>27</v>
      </c>
      <c r="L16" t="s">
        <v>105</v>
      </c>
      <c r="N16" t="s">
        <v>22</v>
      </c>
    </row>
    <row r="17" spans="1:14" x14ac:dyDescent="0.25">
      <c r="A17" s="174" t="s">
        <v>56</v>
      </c>
      <c r="B17" s="174"/>
      <c r="C17" s="174" t="s">
        <v>57</v>
      </c>
      <c r="D17" s="174"/>
      <c r="E17" s="174"/>
      <c r="F17" s="174"/>
      <c r="G17" s="175">
        <f>=SUM(G15:G16)</f>
      </c>
      <c r="H17" s="176">
        <f>=SUM(H15:H16)</f>
      </c>
      <c r="I17" s="174" t="s">
        <v>22</v>
      </c>
      <c r="J17" s="174" t="s">
        <v>22</v>
      </c>
    </row>
    <row r="19" spans="1:10" x14ac:dyDescent="0.25">
      <c r="A19" s="169" t="s">
        <v>152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31</v>
      </c>
      <c r="B20" s="170" t="s">
        <v>145</v>
      </c>
      <c r="C20" s="170" t="s">
        <v>32</v>
      </c>
      <c r="D20" s="170" t="s">
        <v>33</v>
      </c>
      <c r="E20" s="170" t="s">
        <v>34</v>
      </c>
      <c r="F20" s="170" t="s">
        <v>35</v>
      </c>
      <c r="G20" s="170" t="s">
        <v>36</v>
      </c>
      <c r="H20" s="170" t="s">
        <v>37</v>
      </c>
      <c r="I20" s="170" t="s">
        <v>38</v>
      </c>
      <c r="J20" s="170" t="s">
        <v>39</v>
      </c>
    </row>
    <row r="21" spans="1:14" x14ac:dyDescent="0.25">
      <c r="A21" s="171" t="s">
        <v>40</v>
      </c>
      <c r="B21" s="171" t="s">
        <v>153</v>
      </c>
      <c r="C21" s="171" t="s">
        <v>20</v>
      </c>
      <c r="D21" s="171" t="s">
        <v>41</v>
      </c>
      <c r="E21" s="171" t="s">
        <v>42</v>
      </c>
      <c r="F21" s="171" t="s">
        <v>21</v>
      </c>
      <c r="G21" s="172">
        <v>2</v>
      </c>
      <c r="H21" s="173">
        <v>1</v>
      </c>
      <c r="I21" s="171" t="s">
        <v>22</v>
      </c>
      <c r="J21" s="171" t="s">
        <v>22</v>
      </c>
      <c r="K21" t="s">
        <v>19</v>
      </c>
      <c r="L21" t="s">
        <v>103</v>
      </c>
      <c r="N21" t="s">
        <v>22</v>
      </c>
    </row>
    <row r="22" spans="1:14" x14ac:dyDescent="0.25">
      <c r="A22" s="171" t="s">
        <v>40</v>
      </c>
      <c r="B22" s="171" t="s">
        <v>154</v>
      </c>
      <c r="C22" s="171" t="s">
        <v>20</v>
      </c>
      <c r="D22" s="171" t="s">
        <v>43</v>
      </c>
      <c r="E22" s="171" t="s">
        <v>44</v>
      </c>
      <c r="F22" s="171" t="s">
        <v>21</v>
      </c>
      <c r="G22" s="172">
        <v>288</v>
      </c>
      <c r="H22" s="173">
        <v>0</v>
      </c>
      <c r="I22" s="171" t="s">
        <v>22</v>
      </c>
      <c r="J22" s="171" t="s">
        <v>22</v>
      </c>
      <c r="K22" t="s">
        <v>19</v>
      </c>
      <c r="L22" t="s">
        <v>103</v>
      </c>
      <c r="N22" t="s">
        <v>22</v>
      </c>
    </row>
    <row r="23" spans="1:14" x14ac:dyDescent="0.25">
      <c r="A23" s="171" t="s">
        <v>40</v>
      </c>
      <c r="B23" s="171" t="s">
        <v>155</v>
      </c>
      <c r="C23" s="171" t="s">
        <v>23</v>
      </c>
      <c r="D23" s="171" t="s">
        <v>41</v>
      </c>
      <c r="E23" s="171" t="s">
        <v>45</v>
      </c>
      <c r="F23" s="171" t="s">
        <v>21</v>
      </c>
      <c r="G23" s="172">
        <v>5</v>
      </c>
      <c r="H23" s="173"/>
      <c r="I23" s="171"/>
      <c r="J23" s="171"/>
      <c r="K23" t="s">
        <v>19</v>
      </c>
      <c r="L23" t="s">
        <v>103</v>
      </c>
      <c r="N23" t="s">
        <v>22</v>
      </c>
    </row>
    <row r="24" spans="1:14" x14ac:dyDescent="0.25">
      <c r="A24" s="174" t="s">
        <v>56</v>
      </c>
      <c r="B24" s="174"/>
      <c r="C24" s="174" t="s">
        <v>57</v>
      </c>
      <c r="D24" s="174"/>
      <c r="E24" s="174"/>
      <c r="F24" s="174"/>
      <c r="G24" s="175">
        <f>=SUM(G21:G23)</f>
      </c>
      <c r="H24" s="176">
        <f>=SUM(H21:H23)</f>
      </c>
      <c r="I24" s="174" t="s">
        <v>22</v>
      </c>
      <c r="J24" s="174" t="s">
        <v>22</v>
      </c>
    </row>
  </sheetData>
  <mergeCells count="7">
    <mergeCell ref="A2:J2"/>
    <mergeCell ref="A7:J7"/>
    <mergeCell ref="A13:J13"/>
    <mergeCell ref="A19:J19"/>
    <mergeCell ref="H22:H23"/>
    <mergeCell ref="I22:I23"/>
    <mergeCell ref="J22:J23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156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59</v>
      </c>
      <c r="B2" s="48"/>
      <c r="C2" s="48"/>
      <c r="D2" s="55"/>
      <c r="E2" s="55"/>
      <c r="F2" s="57"/>
      <c r="G2" s="50" t="s">
        <v>60</v>
      </c>
      <c r="H2" s="48"/>
      <c r="I2" s="48"/>
      <c r="J2" s="55"/>
      <c r="K2" s="55"/>
    </row>
    <row r="3" ht="15" customHeight="1" spans="1:11" x14ac:dyDescent="0.25">
      <c r="A3" s="51" t="s">
        <v>61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62</v>
      </c>
      <c r="F4" s="49"/>
      <c r="G4" s="53" t="s">
        <v>63</v>
      </c>
      <c r="J4" s="54"/>
      <c r="K4" s="54">
        <v>46096.625</v>
      </c>
    </row>
    <row r="5" ht="15" customHeight="1" spans="1:9" x14ac:dyDescent="0.25">
      <c r="A5" s="1" t="s">
        <v>64</v>
      </c>
      <c r="F5" s="49"/>
      <c r="G5" s="50" t="s">
        <v>65</v>
      </c>
      <c r="H5" s="48"/>
      <c r="I5" s="55"/>
    </row>
    <row r="6" ht="15" customHeight="1" spans="1:11" x14ac:dyDescent="0.25">
      <c r="A6" s="1" t="s">
        <v>66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67</v>
      </c>
      <c r="B7" s="48"/>
      <c r="C7" s="55"/>
      <c r="D7" s="55"/>
      <c r="E7" s="55"/>
      <c r="F7" s="57"/>
      <c r="H7" s="51"/>
      <c r="I7" s="51"/>
      <c r="J7" s="58" t="s">
        <v>68</v>
      </c>
      <c r="K7" s="59"/>
    </row>
    <row r="8" ht="15" customHeight="1" spans="1:11" x14ac:dyDescent="0.25">
      <c r="A8" s="51" t="s">
        <v>69</v>
      </c>
      <c r="B8" s="51"/>
      <c r="C8" s="51"/>
      <c r="F8" s="49"/>
      <c r="G8" s="50" t="s">
        <v>70</v>
      </c>
      <c r="H8" s="48"/>
      <c r="I8" s="48"/>
      <c r="J8" s="55"/>
      <c r="K8" s="60"/>
    </row>
    <row r="9" ht="15" customHeight="1" spans="1:11" x14ac:dyDescent="0.25">
      <c r="A9" s="1" t="s">
        <v>71</v>
      </c>
      <c r="F9" s="49"/>
      <c r="G9" s="1" t="s">
        <v>68</v>
      </c>
      <c r="K9" s="59"/>
    </row>
    <row r="10" ht="15" customHeight="1" spans="1:11" x14ac:dyDescent="0.25">
      <c r="A10" s="1" t="s">
        <v>72</v>
      </c>
      <c r="F10" s="49"/>
      <c r="G10" s="61" t="s">
        <v>68</v>
      </c>
      <c r="H10" s="61"/>
      <c r="I10" s="61"/>
      <c r="J10" s="61"/>
      <c r="K10" s="59"/>
    </row>
    <row r="11" ht="15" customHeight="1" spans="1:11" x14ac:dyDescent="0.25">
      <c r="A11" s="1" t="s">
        <v>73</v>
      </c>
      <c r="F11" s="49"/>
      <c r="G11" s="50" t="s">
        <v>74</v>
      </c>
      <c r="H11" s="48"/>
      <c r="K11" s="62"/>
    </row>
    <row r="12" ht="15" customHeight="1" spans="1:11" x14ac:dyDescent="0.25">
      <c r="A12" s="61" t="s">
        <v>22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22</v>
      </c>
      <c r="F13" s="49"/>
      <c r="G13" s="3"/>
      <c r="I13" s="67" t="s">
        <v>157</v>
      </c>
      <c r="J13" s="177">
        <f>=1500/139.43*J29</f>
      </c>
      <c r="K13" s="65"/>
    </row>
    <row r="14" ht="15" customHeight="1" spans="1:11" x14ac:dyDescent="0.25">
      <c r="A14" s="69" t="s">
        <v>22</v>
      </c>
      <c r="B14" s="69"/>
      <c r="F14" s="49"/>
      <c r="I14" s="67" t="s">
        <v>158</v>
      </c>
      <c r="J14" s="178">
        <f>=J29*1.1*0.026%</f>
      </c>
      <c r="K14" s="65"/>
    </row>
    <row r="15" ht="15" customHeight="1" spans="1:11" x14ac:dyDescent="0.25">
      <c r="A15" s="1" t="s">
        <v>22</v>
      </c>
      <c r="F15" s="49"/>
      <c r="H15" s="51"/>
      <c r="I15" s="145" t="s">
        <v>159</v>
      </c>
      <c r="K15" s="65"/>
    </row>
    <row r="16" ht="15" customHeight="1" spans="1:11" x14ac:dyDescent="0.25">
      <c r="A16" s="48" t="s">
        <v>160</v>
      </c>
      <c r="B16" s="48"/>
      <c r="C16" s="57"/>
      <c r="D16" s="48" t="s">
        <v>79</v>
      </c>
      <c r="E16" s="48"/>
      <c r="F16" s="70"/>
      <c r="G16" s="3"/>
      <c r="H16" s="67" t="s">
        <v>161</v>
      </c>
      <c r="I16" s="71">
        <v>5</v>
      </c>
      <c r="J16" s="51" t="s">
        <v>162</v>
      </c>
      <c r="K16" s="65"/>
    </row>
    <row r="17" ht="15" customHeight="1" spans="1:11" x14ac:dyDescent="0.25">
      <c r="A17" s="1" t="s">
        <v>22</v>
      </c>
      <c r="D17" s="72" t="s">
        <v>68</v>
      </c>
      <c r="E17" s="53"/>
      <c r="F17" s="49"/>
      <c r="H17" s="67" t="s">
        <v>163</v>
      </c>
      <c r="I17" s="179">
        <v>22.469999999999995</v>
      </c>
      <c r="J17" s="51" t="s">
        <v>164</v>
      </c>
      <c r="K17" s="65"/>
    </row>
    <row r="18" ht="15" customHeight="1" spans="1:11" x14ac:dyDescent="0.25">
      <c r="A18" s="73" t="s">
        <v>22</v>
      </c>
      <c r="B18" s="73"/>
      <c r="C18" s="73"/>
      <c r="D18" s="74" t="s">
        <v>81</v>
      </c>
      <c r="E18" s="74"/>
      <c r="F18" s="74"/>
      <c r="H18" s="67" t="s">
        <v>165</v>
      </c>
      <c r="I18" s="179">
        <v>24.716999999999995</v>
      </c>
      <c r="J18" s="51" t="s">
        <v>164</v>
      </c>
      <c r="K18" s="65"/>
    </row>
    <row r="19" ht="15" customHeight="1" spans="1:11" x14ac:dyDescent="0.25">
      <c r="A19" s="48" t="s">
        <v>166</v>
      </c>
      <c r="B19" s="48"/>
      <c r="C19" s="49"/>
      <c r="D19" s="48" t="s">
        <v>83</v>
      </c>
      <c r="E19" s="48"/>
      <c r="F19" s="70"/>
      <c r="K19" s="65"/>
    </row>
    <row r="20" ht="15" customHeight="1" spans="1:11" x14ac:dyDescent="0.25">
      <c r="A20" s="1" t="s">
        <v>22</v>
      </c>
      <c r="C20" s="49"/>
      <c r="D20" s="1" t="s">
        <v>68</v>
      </c>
      <c r="F20" s="49"/>
      <c r="G20" s="1" t="s">
        <v>68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84</v>
      </c>
      <c r="B22" s="78"/>
      <c r="C22" s="78"/>
      <c r="D22" s="79" t="s">
        <v>85</v>
      </c>
      <c r="E22" s="79"/>
      <c r="F22" s="79"/>
      <c r="G22" s="79" t="s">
        <v>86</v>
      </c>
      <c r="H22" s="79"/>
      <c r="I22" s="80" t="s">
        <v>87</v>
      </c>
      <c r="J22" s="81" t="s">
        <v>88</v>
      </c>
      <c r="K22" s="81"/>
    </row>
    <row r="23" ht="15" customHeight="1" spans="1:9" x14ac:dyDescent="0.25">
      <c r="A23" s="1" t="s">
        <v>68</v>
      </c>
      <c r="C23" s="49"/>
      <c r="F23" s="49"/>
      <c r="H23" s="49"/>
      <c r="I23" s="49"/>
    </row>
    <row r="24" ht="15" customHeight="1" spans="1:9" x14ac:dyDescent="0.25">
      <c r="A24" s="1" t="s">
        <v>68</v>
      </c>
      <c r="G24" s="82" t="s">
        <v>22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 t="s">
        <v>167</v>
      </c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56</v>
      </c>
      <c r="E29" s="164"/>
      <c r="F29" s="164"/>
      <c r="G29" s="184"/>
      <c r="H29" s="185"/>
      <c r="I29" s="186"/>
      <c r="J29" s="187">
        <f>'STS.INVOICE'!G10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97</v>
      </c>
      <c r="B42" s="66"/>
      <c r="C42" s="66"/>
      <c r="D42" s="66"/>
      <c r="E42" s="66"/>
      <c r="F42" s="66"/>
    </row>
    <row r="43" ht="15" customHeight="1" spans="1:11" x14ac:dyDescent="0.25">
      <c r="A43" s="66" t="s">
        <v>98</v>
      </c>
      <c r="B43" s="66"/>
      <c r="C43" s="66"/>
      <c r="H43" s="97" t="s">
        <v>99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