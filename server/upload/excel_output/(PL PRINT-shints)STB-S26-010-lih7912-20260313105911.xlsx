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  <sheet sheetId="9" name="IMPORT-K(SAMTEX)" state="visible" r:id="rId12"/>
    <sheet sheetId="10" name="IMPORT-K(BRISTEX)" state="visible" r:id="rId13"/>
    <sheet sheetId="11" name="IMPORT-K(TS COMPANY)" state="visible" r:id="rId14"/>
  </sheets>
  <calcPr calcId="171027"/>
</workbook>
</file>

<file path=xl/sharedStrings.xml><?xml version="1.0" encoding="utf-8"?>
<sst xmlns="http://schemas.openxmlformats.org/spreadsheetml/2006/main" count="9873" uniqueCount="889">
  <si>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</si>
  <si>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</si>
  <si>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</si>
  <si>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</si>
  <si>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</si>
  <si>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</si>
  <si>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</si>
  <si>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</si>
  <si>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</si>
  <si>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</si>
  <si>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</si>
  <si>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</si>
  <si>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</si>
  <si>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(11150-AOP) REC SM5242I-DC POLYESTER VERSION OF SM5242 - AOP</t>
  </si>
  <si>
    <t>YD</t>
  </si>
  <si>
    <t>Korea</t>
  </si>
  <si>
    <t>kg</t>
  </si>
  <si>
    <t/>
  </si>
  <si>
    <t>POLYESTER 100%</t>
  </si>
  <si>
    <t>6005.37-0000</t>
  </si>
  <si>
    <t>MESH (open)</t>
  </si>
  <si>
    <t xml:space="preserve">44/46", </t>
  </si>
  <si>
    <t>SU107W 2L</t>
  </si>
  <si>
    <t>SU10W 2L</t>
  </si>
  <si>
    <t>6004.10-0000</t>
  </si>
  <si>
    <t>POWER NET</t>
  </si>
  <si>
    <t>NYLON 84%/SPAN 16%</t>
  </si>
  <si>
    <t>LYCRA (FULL DULL SPANDEX)</t>
  </si>
  <si>
    <t xml:space="preserve">58/60" </t>
  </si>
  <si>
    <t>NYLON 80%/SPAN 20%</t>
  </si>
  <si>
    <t>9607.19-1000</t>
  </si>
  <si>
    <t>#5 PL ZIP O/E(N) ZA C6</t>
  </si>
  <si>
    <t>PC</t>
  </si>
  <si>
    <t>#5 PL ZIP O/E(N) ZA H3</t>
  </si>
  <si>
    <t>9606.29-9000</t>
  </si>
  <si>
    <t>(BUT SN7)(BUT SN7)SNAP A-HEAD</t>
  </si>
  <si>
    <t>(BUT SN7)SNAP B-SOCKET(RING)</t>
  </si>
  <si>
    <t>(BUT SN7)SNAP C-STUD(RING)</t>
  </si>
  <si>
    <t>(BUT SN7)SNAP D-POST(RING)</t>
  </si>
  <si>
    <t>4821.10-0000</t>
  </si>
  <si>
    <t>(MPHG140) Disclaimer leaflet new logo apparel</t>
  </si>
  <si>
    <t>3926.20-0000</t>
  </si>
  <si>
    <t>(MTHK005)GLOVE CLIP</t>
  </si>
  <si>
    <t xml:space="preserve">(MTHK007)PLASTIC HOOK </t>
  </si>
  <si>
    <t>8308.10-2000</t>
  </si>
  <si>
    <t>(MTVV004)EYELET(N)</t>
  </si>
  <si>
    <t>SET</t>
  </si>
  <si>
    <t xml:space="preserve">3923.50-0000 </t>
  </si>
  <si>
    <t>BEAD STOPPER</t>
  </si>
  <si>
    <t>6117.80-9000</t>
  </si>
  <si>
    <t>ELASTIC BIAS TAPE(접밴드)</t>
  </si>
  <si>
    <t>5607.50-0000</t>
  </si>
  <si>
    <t>ELASTIC NYLON STRING</t>
  </si>
  <si>
    <t>ELASTIC NYLON STRING 2MM</t>
  </si>
  <si>
    <t>EYELET(N)</t>
  </si>
  <si>
    <t>HIGG INDEX HANG TAG</t>
  </si>
  <si>
    <t>HOOK TYPE</t>
  </si>
  <si>
    <t>3215.11-4000</t>
  </si>
  <si>
    <t>INK FOR INK JET PLOTTER(구형기계용)</t>
  </si>
  <si>
    <t>ITALY INK FOR INK JET PLOTTER(신형기계용)</t>
  </si>
  <si>
    <t>9017.80-1000</t>
  </si>
  <si>
    <t>MEASURING TAPE(줄자) WITHOUT METAL TIP</t>
  </si>
  <si>
    <t>7616.99-9090</t>
  </si>
  <si>
    <t>MOMMYLOOM TENT POLE (AL POLE 8MM/9.5MM)</t>
  </si>
  <si>
    <t>MUSCOVY HANG TAG</t>
  </si>
  <si>
    <t>5807.10-1000</t>
  </si>
  <si>
    <t xml:space="preserve">NATIONAL GEOGRAPHIC CAUTION LABEL </t>
  </si>
  <si>
    <t>NATIONAL GEOGRAPHIC CAUTION TAG</t>
  </si>
  <si>
    <t>NATIONAL GEOGRAPHIC MAIN TAG</t>
  </si>
  <si>
    <t>3910.00-9020</t>
  </si>
  <si>
    <t>NATIONAL GEOGRAPHIC MAIN/SIZE LABEL</t>
  </si>
  <si>
    <t>NATIONAL GEOGRAPHIC POLYBAG SIZE STICKER</t>
  </si>
  <si>
    <t>NATIONAL GEOGRAPHIC SNAP</t>
  </si>
  <si>
    <t>NATIONAL GEOGRAPHIC TAG PIN</t>
  </si>
  <si>
    <t>3926.90-9000</t>
  </si>
  <si>
    <t>NATIONAL GEOGRAPHIC WAPPEN</t>
  </si>
  <si>
    <t>PL WASHER FOR SN11 PRESS SNAP</t>
  </si>
  <si>
    <t>PL WASHER FOR SN7 SNAP</t>
  </si>
  <si>
    <t>PL WASHER FOR SN9 SNAP</t>
  </si>
  <si>
    <t>PLASTIC STOPPER</t>
  </si>
  <si>
    <t>5903.10-0000</t>
  </si>
  <si>
    <t>PVC Memory form 1.8mm</t>
  </si>
  <si>
    <t>M</t>
  </si>
  <si>
    <t>PVC Memory form 3mm</t>
  </si>
  <si>
    <t>RDS DOWN TAG</t>
  </si>
  <si>
    <t>SALOMON LOGO BEAD STOPPER</t>
  </si>
  <si>
    <t>3919.10-0000</t>
  </si>
  <si>
    <t>SEALING TAPE A600</t>
  </si>
  <si>
    <t>STOPPER</t>
  </si>
  <si>
    <t>9607.20-9000</t>
  </si>
  <si>
    <t>STRING DIPPING ZIPPER PULLER</t>
  </si>
  <si>
    <t>3923.21-0000</t>
  </si>
  <si>
    <t>THISISNEVERTHAT POLY BAG</t>
  </si>
  <si>
    <t>4809.90-1000</t>
  </si>
  <si>
    <t>TRANSFER PAPER FOR PROTECTION</t>
  </si>
  <si>
    <t>RL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</si>
  <si>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</si>
  <si>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</si>
  <si>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</si>
  <si>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</si>
  <si>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</si>
  <si>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</si>
  <si>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</si>
  <si>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</si>
  <si>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</si>
  <si>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</si>
  <si>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</si>
  <si>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(BR)브래니티(구,인성클로웨어)</t>
  </si>
  <si>
    <t>BLACK</t>
  </si>
  <si>
    <t>XXXL, 115 (ML-08 for MEN TOP)</t>
  </si>
  <si>
    <t>box-20260311</t>
  </si>
  <si>
    <t>XXL, 110 (ML-08 for MEN TOP)</t>
  </si>
  <si>
    <t>S, 90 (ML-08 for MEN TOP)</t>
  </si>
  <si>
    <t>XL, 105 (ML-08 for MEN TOP)</t>
  </si>
  <si>
    <t>M, 95 (ML-08 for MEN TOP)</t>
  </si>
  <si>
    <t>L, 100 (ML-08 for MEN TOP)</t>
  </si>
  <si>
    <t>(HUG)지퍼백허그</t>
  </si>
  <si>
    <t>-</t>
  </si>
  <si>
    <t>T03 (from 24SS)</t>
  </si>
  <si>
    <t>box-20260310</t>
  </si>
  <si>
    <t>PO26-0181/PO26-0182/PO25-1844/PO26-0247 MIXED BOX</t>
  </si>
  <si>
    <t>T02 (from 24SS)</t>
  </si>
  <si>
    <t>(MARKET)한성비니루</t>
  </si>
  <si>
    <t>White</t>
  </si>
  <si>
    <t>140cm</t>
  </si>
  <si>
    <t>box-20260312</t>
  </si>
  <si>
    <t>(MB)엠비에프지</t>
  </si>
  <si>
    <t>15MM SG-04 (A+B+C+D part+washer)</t>
  </si>
  <si>
    <t>PO25-1517/PO25-1518/PO25-1519/PO25-1516 MIXED BOX</t>
  </si>
  <si>
    <t>B-MI/KHAKI</t>
  </si>
  <si>
    <t>11CM WP-89</t>
  </si>
  <si>
    <t>B-W/SAND</t>
  </si>
  <si>
    <t>#2 EY-01 (A+B+1washer)</t>
  </si>
  <si>
    <t>17MM SN-19 마이깡</t>
  </si>
  <si>
    <t>STORM BLUE</t>
  </si>
  <si>
    <t>SILVER BIRCH</t>
  </si>
  <si>
    <t>(MSG)엠에스지트레이딩</t>
  </si>
  <si>
    <t>52/54" DY-098 SP16/NY84mm</t>
  </si>
  <si>
    <t>(NA)나비드</t>
  </si>
  <si>
    <t>NV-ST-82 (대형비드)</t>
  </si>
  <si>
    <t>LBR</t>
  </si>
  <si>
    <t>20MM</t>
  </si>
  <si>
    <t>2MM</t>
  </si>
  <si>
    <t>GREEN(YKK#287)+3M DOT</t>
  </si>
  <si>
    <t>RED(YKK#820)</t>
  </si>
  <si>
    <t>GREEN(YKK#287)</t>
  </si>
  <si>
    <t>SM-NAVID-005 (S LOGO 삼각돌기비드)</t>
  </si>
  <si>
    <t>GREY(YKK#336)</t>
  </si>
  <si>
    <t>NV-ST-03 (원통형 스토퍼)</t>
  </si>
  <si>
    <t>(PC)플라스틱컴퍼니</t>
  </si>
  <si>
    <t>BD-05</t>
  </si>
  <si>
    <t>3MM 12본 ES-04 (NON LOGO)</t>
  </si>
  <si>
    <t>NAVY</t>
  </si>
  <si>
    <t>XXL (110, 91)</t>
  </si>
  <si>
    <t>PURPLE</t>
  </si>
  <si>
    <t>XXXL (115, 96)</t>
  </si>
  <si>
    <t>ORANGE</t>
  </si>
  <si>
    <t>S (90, 71, 70)</t>
  </si>
  <si>
    <t>BLUE</t>
  </si>
  <si>
    <t>XL (105, 86, 79)</t>
  </si>
  <si>
    <t>GREEN</t>
  </si>
  <si>
    <t>L (100, 81, 76)</t>
  </si>
  <si>
    <t>YELLOW</t>
  </si>
  <si>
    <t>M (95, 76, 73)</t>
  </si>
  <si>
    <t>17MM SP-28</t>
  </si>
  <si>
    <t>SP-29</t>
  </si>
  <si>
    <t>(SH)신한산업(NB)</t>
  </si>
  <si>
    <t>PSB</t>
  </si>
  <si>
    <t>54/56",P100% 126GSM</t>
  </si>
  <si>
    <t>PO26-0003/PO26-0094/PO26-0095 MIXED BOX</t>
  </si>
  <si>
    <t>58/60"</t>
  </si>
  <si>
    <t>(SW)서원양행</t>
  </si>
  <si>
    <t>IVORY(11-0907TCX)</t>
  </si>
  <si>
    <t>#6061 BABY PROTECT TENT POLE-A (SINGLE-Japan)(79cm*2,83cm*1,wavy 52.5cm*2)*2LINE=SET</t>
  </si>
  <si>
    <t>(TS)태성에프비</t>
  </si>
  <si>
    <t>2MM ZP-02</t>
  </si>
  <si>
    <t>(YS)유에스소프트</t>
  </si>
  <si>
    <t>(국내)</t>
  </si>
  <si>
    <t>PO25-1516/PO25-1517/PO25-1518/PO25-1519 MIXED BOX</t>
  </si>
  <si>
    <t>50X15 이염주의라벨</t>
  </si>
  <si>
    <t>단독세탁택</t>
  </si>
  <si>
    <t>50X15 취급주의라벨(FUR,DOWN)</t>
  </si>
  <si>
    <t>53X81 DOWN&amp;FUR 취급주의택(국내-KOR)</t>
  </si>
  <si>
    <t>53X81</t>
  </si>
  <si>
    <t>(ZE)제스트</t>
  </si>
  <si>
    <t>Key(black)</t>
  </si>
  <si>
    <t>SES-K IS-6700/KT6400 - INK 1L*12/1CT</t>
  </si>
  <si>
    <t>Magenta</t>
  </si>
  <si>
    <t>SES-M IS-6700/KT6400 - INK 1L*12/1CT</t>
  </si>
  <si>
    <t>Cyan</t>
  </si>
  <si>
    <t>SES-C IS-6700/KT6400 - INK 1L*12/1CT</t>
  </si>
  <si>
    <t>SI1000 EVO-C 1L*12/1CT</t>
  </si>
  <si>
    <t>Key(BLK)</t>
  </si>
  <si>
    <t>SI1000 EVO-K 1L*12/1CT</t>
  </si>
  <si>
    <t>20G, 1650MM X 1,020M 24RL/PL</t>
  </si>
  <si>
    <t>IMPORT-K(BMC)</t>
  </si>
  <si>
    <t>150CM WITH INCH</t>
  </si>
  <si>
    <t>IMPORT-K(BRISTEX)</t>
  </si>
  <si>
    <t>(MFWS005)(RIF09)BX-ESK1717-XPL</t>
  </si>
  <si>
    <t>44/?"</t>
  </si>
  <si>
    <t>PO25-1639/PO25-1633/PO25-1634 MIXED BOX</t>
  </si>
  <si>
    <t>(MFWS006)(RIF05)BX-ESK1717</t>
  </si>
  <si>
    <t>42/45", 61%NYLON 31%POLYESTER 8%SPANDEX,WOVEN</t>
  </si>
  <si>
    <t>IMPORT-K(DND KOREA)</t>
  </si>
  <si>
    <t>SILVER DULL</t>
  </si>
  <si>
    <t>13MM HEAD</t>
  </si>
  <si>
    <t>13MM SOCKET</t>
  </si>
  <si>
    <t>13MM STUD</t>
  </si>
  <si>
    <t>13MM POST</t>
  </si>
  <si>
    <t>BLK</t>
  </si>
  <si>
    <t>DGA-578</t>
  </si>
  <si>
    <t>#2(5MM/4MM)(+clear washer 1pc)</t>
  </si>
  <si>
    <t>CLEAR</t>
  </si>
  <si>
    <t>12MM,(A+B PART)</t>
  </si>
  <si>
    <t>10MM,(C+D PART)</t>
  </si>
  <si>
    <t>15MM(A+B part)</t>
  </si>
  <si>
    <t>10MM(C+D part)</t>
  </si>
  <si>
    <t>장갑고리-3</t>
  </si>
  <si>
    <t>for Lasportiva</t>
  </si>
  <si>
    <t>IMPORT-K(HIMEL)</t>
  </si>
  <si>
    <t>0000</t>
  </si>
  <si>
    <t>20 MM</t>
  </si>
  <si>
    <t>IMPORT-K(KOR YKK)</t>
  </si>
  <si>
    <t>#K2A19 O/WHITE</t>
  </si>
  <si>
    <t>71 CM</t>
  </si>
  <si>
    <t>#K3006 MOURNING BEIGE</t>
  </si>
  <si>
    <t>69.5 CM</t>
  </si>
  <si>
    <t>65 CM</t>
  </si>
  <si>
    <t>68 CM</t>
  </si>
  <si>
    <t>66.5 CM</t>
  </si>
  <si>
    <t>70.5 CM</t>
  </si>
  <si>
    <t>69 CM</t>
  </si>
  <si>
    <t>64.5 CM</t>
  </si>
  <si>
    <t>66 CM</t>
  </si>
  <si>
    <t>67.5 CM</t>
  </si>
  <si>
    <t>IMPORT-K(NEXON PRINTING)</t>
  </si>
  <si>
    <t>?</t>
  </si>
  <si>
    <t>IMPORT-K(SAMTEX)</t>
  </si>
  <si>
    <t>CH-31188-C0A2FLW(10K/10K)</t>
  </si>
  <si>
    <t xml:space="preserve">Smoked Pearl 18-0000 TCX </t>
  </si>
  <si>
    <t>54"(Cuttable), C0 DWR Version, 100%P, P 610D x P 610D, Dty</t>
  </si>
  <si>
    <t>PO25-1004/PO25-1005 MIXED BOX</t>
  </si>
  <si>
    <t>CH-31298-C0A2FLW(10K/10K)</t>
  </si>
  <si>
    <t>Very Berry 18- 2336 TCX  LD#A</t>
  </si>
  <si>
    <t>54"(Cuttable), 100% POLYESTER</t>
  </si>
  <si>
    <t xml:space="preserve">CH-32046- C0ADWRCIRE </t>
  </si>
  <si>
    <t>Sharkskin 17- 3914 TCX</t>
  </si>
  <si>
    <t>55"(Cuttable), 100% Polyester- C0 DWR (Samtex)</t>
  </si>
  <si>
    <t>SANDWICH AIR MESH (CH-31963-PD)</t>
  </si>
  <si>
    <t>52/54"</t>
  </si>
  <si>
    <t>PO26-0160/PO26S0162/PO26S0163/PO26S0164/PO26S0165/PO26S0166 MIXED BOX</t>
  </si>
  <si>
    <t>IMPORT-K(SG TEX)</t>
  </si>
  <si>
    <t>58/60" NYLON 80%, SPAN 20%,270G</t>
  </si>
  <si>
    <t>WHT</t>
  </si>
  <si>
    <t>44/46", for hood visor</t>
  </si>
  <si>
    <t>IMPORT-K(SHINHAN)</t>
  </si>
  <si>
    <t>B03 APRES CROSSED DEEP TEAL</t>
  </si>
  <si>
    <t>56/58"</t>
  </si>
  <si>
    <t>IMPORT-K(TP-CHUN-AN)</t>
  </si>
  <si>
    <t>(from 25FW instead of Blue sign h-tag)</t>
  </si>
  <si>
    <t>box-20260309</t>
  </si>
  <si>
    <t>60 x 120 MM</t>
  </si>
  <si>
    <t>IMPORT-K(TS COMPANY)</t>
  </si>
  <si>
    <t>(TSR-C7907) Rib 1X1</t>
  </si>
  <si>
    <t>Black 01001 (19-4005TCX)</t>
  </si>
  <si>
    <t>size S, 15.5x23cm (heighxwidth), 82%COTTON 14%POLYESTER 4%SPAN</t>
  </si>
  <si>
    <t>PO25-1696/PO25-1697 MIXED BOX</t>
  </si>
  <si>
    <t>size XL, 15.5x26cm (heighxwidth), 82%COTTON 14%POLYESTER 4%SPAN</t>
  </si>
  <si>
    <t>size 2XL, 15.5x27cm (heighxwidth), 82%COTTON 14%POLYESTER 4%SPAN</t>
  </si>
  <si>
    <t>size 3XL, 15.5x28cm (heighxwidth), 82%COTTON 14%POLYESTER 4%SPAN</t>
  </si>
  <si>
    <t>size XS, 15X22cm (heighxwidth), 82%COTTON 14%POLYESTER 4%SPAN</t>
  </si>
  <si>
    <t>size S, 15x23cm (heighxwidth), 82%COTTON 14%POLYESTER 4%SPAN</t>
  </si>
  <si>
    <t>Blue Navy 19-4029 TCX</t>
  </si>
  <si>
    <t>size XS, 15x21cm (heighxwidth), 82%COTTON 14%POLYESTER 4%SPAN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</si>
  <si>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</si>
  <si>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</si>
  <si>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</si>
  <si>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</si>
  <si>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</si>
  <si>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</si>
  <si>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</si>
  <si>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STB-S26-010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</si>
  <si>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</si>
  <si>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</si>
  <si>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</si>
  <si>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</si>
  <si>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</si>
  <si>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</si>
  <si>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</si>
  <si>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</si>
  <si>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</si>
  <si>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</si>
  <si>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</si>
  <si>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</si>
  <si>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</si>
  <si>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</si>
  <si>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</si>
  <si>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</si>
  <si>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</si>
  <si>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HAIPHONG,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</si>
  <si>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</si>
  <si>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</si>
  <si>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</si>
  <si>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</si>
  <si>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</si>
  <si>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</si>
  <si>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</si>
  <si>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</si>
  <si>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</si>
  <si>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</si>
  <si>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</si>
  <si>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</si>
  <si>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</si>
  <si>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</si>
  <si>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</si>
  <si>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</si>
  <si>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</si>
  <si>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</si>
  <si>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</si>
  <si>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</si>
  <si>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PU COATED FABRIC</t>
  </si>
  <si>
    <t>CH#3092-P2T</t>
  </si>
  <si>
    <t xml:space="preserve">54"(Cuttable), </t>
  </si>
  <si>
    <t>5407.69-2000</t>
  </si>
  <si>
    <t>PP TWILL PEACH</t>
  </si>
  <si>
    <t xml:space="preserve">55"(Cuttable), </t>
  </si>
  <si>
    <t>MESH(HANJU)</t>
  </si>
  <si>
    <t>6005.37.0000</t>
  </si>
  <si>
    <t>AIR MESH</t>
  </si>
  <si>
    <t>SPAN KNIT FABRIC</t>
  </si>
  <si>
    <t>5903.20-000</t>
  </si>
  <si>
    <t>BX-ESK1717-XPL</t>
  </si>
  <si>
    <t>42"</t>
  </si>
  <si>
    <t>NYLON 61%/POLYESTER 31%/SPAN 8%</t>
  </si>
  <si>
    <t>5407.42-0000</t>
  </si>
  <si>
    <t>Synthetic Woven Fabric</t>
  </si>
  <si>
    <t xml:space="preserve">42", </t>
  </si>
  <si>
    <t>6006.90-0000</t>
  </si>
  <si>
    <t>DRY ZONE II</t>
  </si>
  <si>
    <t>COTTON 82%/POLYESTER 14%/SPAN 4%</t>
  </si>
  <si>
    <t>PLASTIC/NYLON ZIPPER</t>
  </si>
  <si>
    <t>SNAP BUTTON</t>
  </si>
  <si>
    <t>HANG TAG</t>
  </si>
  <si>
    <t>PLASTIC ACCESSORY FOR GARMENTS</t>
  </si>
  <si>
    <t>METAL EYELET</t>
  </si>
  <si>
    <t>ELASTIC BIAS TAPE</t>
  </si>
  <si>
    <t>STRING</t>
  </si>
  <si>
    <t>SCREEN PRINT INK</t>
  </si>
  <si>
    <t>MEASURING TAPE</t>
  </si>
  <si>
    <t>TENT POLE</t>
  </si>
  <si>
    <t>WOVEN LABEL</t>
  </si>
  <si>
    <t>TRANSFER PRINT LABEL</t>
  </si>
  <si>
    <t>STICKER</t>
  </si>
  <si>
    <t>SILICON WAPPEN</t>
  </si>
  <si>
    <t>PVC</t>
  </si>
  <si>
    <t>SEAM SEALING TAPE</t>
  </si>
  <si>
    <t>ZIPPER PULL</t>
  </si>
  <si>
    <t>POLY(VINYL) BAG</t>
  </si>
  <si>
    <t>TRANSFER PAPER</t>
  </si>
  <si>
    <t>PROFORMA INVOICE FOR PF26S0080SB</t>
  </si>
  <si>
    <t>No.</t>
  </si>
  <si>
    <t>ORDER No.</t>
  </si>
  <si>
    <t>STYLE</t>
  </si>
  <si>
    <t>QUANTITY</t>
  </si>
  <si>
    <t>DELIVERY</t>
  </si>
  <si>
    <t>SB26-S0007</t>
  </si>
  <si>
    <t>SAMPLE</t>
  </si>
  <si>
    <t>HS No</t>
  </si>
  <si>
    <t>Hs Name</t>
  </si>
  <si>
    <t>PROFORMA INVOICE FOR PF26S0081SB</t>
  </si>
  <si>
    <t>SB26-S0008</t>
  </si>
  <si>
    <t>PROFORMA INVOICE FOR PF26S0084SB</t>
  </si>
  <si>
    <t>SB26-S0010</t>
  </si>
  <si>
    <t>PROFORMA INVOICE FOR PO25-1004PK</t>
  </si>
  <si>
    <t>PK25-D0015</t>
  </si>
  <si>
    <t>(2025) P1321-000 Men's Trailstar Jacket</t>
  </si>
  <si>
    <t>PK25-D0016</t>
  </si>
  <si>
    <t>(2025) P1322-000 Men's Trailstar Bib</t>
  </si>
  <si>
    <t>PK25-D0071</t>
  </si>
  <si>
    <t>(2025) P1348-000 Polaris Pit Coat</t>
  </si>
  <si>
    <t>PK25-D0017</t>
  </si>
  <si>
    <t>(2025) P297-003 Youth Ripper 2.0 Jacket</t>
  </si>
  <si>
    <t>PK25-D0018</t>
  </si>
  <si>
    <t>(2025) P299-003 Youth Ripper 2.0 Bib</t>
  </si>
  <si>
    <t>PK25-C0003</t>
  </si>
  <si>
    <t>(2026) P203-003 Men’s Switchback Jacket 2.0</t>
  </si>
  <si>
    <t>PK25-D0082</t>
  </si>
  <si>
    <t>(2026) P204-003 Men's Northstar 3.0 Jacket</t>
  </si>
  <si>
    <t>PK25-C0004</t>
  </si>
  <si>
    <t>(2026) P205-003 Women’s Switchback Jacket 2.0</t>
  </si>
  <si>
    <t>PK25-D0021</t>
  </si>
  <si>
    <t>(2026) P216-004 Men's Switchback Bib</t>
  </si>
  <si>
    <t>PK25-D0083</t>
  </si>
  <si>
    <t>(2026) P304-001 Women's Northstar 3.0 Jacket</t>
  </si>
  <si>
    <t>PROFORMA INVOICE FOR PO25-1005PK</t>
  </si>
  <si>
    <t>PK25-D0078</t>
  </si>
  <si>
    <t>(2026) P194-002 Men’s Softshell Jacket</t>
  </si>
  <si>
    <t>PK25-D0081</t>
  </si>
  <si>
    <t>(2026) P1266-000 Men’s Teton Uninsulated Monosuit</t>
  </si>
  <si>
    <t>PK25-D0084</t>
  </si>
  <si>
    <t>(2026) P305-000 Women's Northstar 2.0 Bib</t>
  </si>
  <si>
    <t>PK25-D0085</t>
  </si>
  <si>
    <t>(2026) P313-000 Men's Roseau Packable Puffer Jacket</t>
  </si>
  <si>
    <t>PK25-D0086</t>
  </si>
  <si>
    <t>(2026) P1140-001 Men's Roseau Quilted Vest</t>
  </si>
  <si>
    <t>PK25-D0087</t>
  </si>
  <si>
    <t>(2026) P314-000 Women's Roseau Packable Puffer Jacket</t>
  </si>
  <si>
    <t>PK25-D0088</t>
  </si>
  <si>
    <t>(2026) P195-001 Women’s Softshell Jacket</t>
  </si>
  <si>
    <t>PK25-D0089</t>
  </si>
  <si>
    <t>(2026) P1141-001 Women's Roseau Quilted Vest</t>
  </si>
  <si>
    <t>PROFORMA INVOICE FOR PO25-1516NE</t>
  </si>
  <si>
    <t>NE25-C0269</t>
  </si>
  <si>
    <t>NE 26SS  N262UJP100 (최유진) 샌드웨이브 후드 자켓</t>
  </si>
  <si>
    <t>PROFORMA INVOICE FOR PO25-1517NE</t>
  </si>
  <si>
    <t>NE25-C0270</t>
  </si>
  <si>
    <t xml:space="preserve">NE 26SS N262UJP110 (최유진) 샌드웨이브 카라 반팔 점퍼 </t>
  </si>
  <si>
    <t>PROFORMA INVOICE FOR PO25-1518NE</t>
  </si>
  <si>
    <t>NE25-C0271</t>
  </si>
  <si>
    <t>NE 26SS  N262UPT100 (최유진) 샌드웨이브 세미루즈핏 벨티드 팬츠</t>
  </si>
  <si>
    <t>PROFORMA INVOICE FOR PO25-1519NE</t>
  </si>
  <si>
    <t>NE25-C0272</t>
  </si>
  <si>
    <t xml:space="preserve">NE 26SS N262UHP110 (최유진) 샌드웨이브 카고포켓 5부 반바지 </t>
  </si>
  <si>
    <t>PROFORMA INVOICE FOR PO25-1632LS</t>
  </si>
  <si>
    <t>LS25-C0301</t>
  </si>
  <si>
    <t>ZACJ036 Opry Stretch Insulated JKT M (W26 BULK)</t>
  </si>
  <si>
    <t>LS25-C0302</t>
  </si>
  <si>
    <t>ZACJ037 Opry Stretch Insulated JKT W (W26 BULK)</t>
  </si>
  <si>
    <t>LS25-C0331</t>
  </si>
  <si>
    <t>ZARJ032 Koro JKT M (W26 BULK)</t>
  </si>
  <si>
    <t>LS25-D0354</t>
  </si>
  <si>
    <t>ZARJ03201 Koro JKT M (W26 SMU BULK)</t>
  </si>
  <si>
    <t>LS25-C0332</t>
  </si>
  <si>
    <t>ZARJ033 Koro JKT W (W26 BULK)</t>
  </si>
  <si>
    <t>LS25-D0355</t>
  </si>
  <si>
    <t>ZARJ03301 Koro JKT W (W26 SMU BULK)</t>
  </si>
  <si>
    <t>LS25-C0334</t>
  </si>
  <si>
    <t>ZARV020 Alya Vest M (W26 BULK)</t>
  </si>
  <si>
    <t>LS25-C0335</t>
  </si>
  <si>
    <t>ZARV021 Alya Vest W (W26 BULK)</t>
  </si>
  <si>
    <t>LS25-C0336</t>
  </si>
  <si>
    <t>ZARV022 Aero Tech Vest M (W26 BULK)</t>
  </si>
  <si>
    <t>LS25-C0337</t>
  </si>
  <si>
    <t>ZARV023 Aero Tech Vest W (W26 BULK)</t>
  </si>
  <si>
    <t>PROFORMA INVOICE FOR PO25-1633LS</t>
  </si>
  <si>
    <t>LS25-C0320</t>
  </si>
  <si>
    <t>ZAMJ100 Alpine Guide GTX Perfomance Jkt M (W26 BULK)</t>
  </si>
  <si>
    <t>LS25-C0321</t>
  </si>
  <si>
    <t>ZAMJ101 Alpine Guide GTX Performance Jkt W (W26 BULK)</t>
  </si>
  <si>
    <t>LS25-C0322</t>
  </si>
  <si>
    <t>ZAMJ102 Sender GTX Performance Jkt M (W26 BULK)</t>
  </si>
  <si>
    <t>LS25-C0323</t>
  </si>
  <si>
    <t>ZAMJ103 Sender GTX Performance Jkt W (W26 BULK)</t>
  </si>
  <si>
    <t>LS25-C0324</t>
  </si>
  <si>
    <t>ZAMP067 Alpine Guide GTX Performance Pants M (W26 BULK)</t>
  </si>
  <si>
    <t>LS25-C0325</t>
  </si>
  <si>
    <t>ZAMP068 Alpine Guide GTX Performance Pants W (W26 BULK)</t>
  </si>
  <si>
    <t>LS25-C0326</t>
  </si>
  <si>
    <t>ZAMP069 Sender GTX Performance Bib Pants M (W26 BULK)</t>
  </si>
  <si>
    <t>LS25-C0327</t>
  </si>
  <si>
    <t>ZAMP070 Sender GTX Performance Bib Pants W (W26 BULK)</t>
  </si>
  <si>
    <t>LS26-C0007</t>
  </si>
  <si>
    <t>ZARV020 Alya Vest FIEMME/Obereggen M (W26 BULK)</t>
  </si>
  <si>
    <t>LS26-C0008</t>
  </si>
  <si>
    <t>ZARV021 Alya Vest FIEMME/Obereggen W (W26 BULK)</t>
  </si>
  <si>
    <t>PROFORMA INVOICE FOR PO25-1634LS</t>
  </si>
  <si>
    <t>LS25-C0308</t>
  </si>
  <si>
    <t>ZAMJ081 S22 Helixir Shell Jkt M (W26 BULK)</t>
  </si>
  <si>
    <t>LS25-C0309</t>
  </si>
  <si>
    <t>ZAMJ082 T17 Helixir Shell Jkt W (W26 BULK)</t>
  </si>
  <si>
    <t>LS25-C0328</t>
  </si>
  <si>
    <t>ZAMP076 Helixir 3L Shell Pnt M (W26 BULK)</t>
  </si>
  <si>
    <t>LS25-C0362</t>
  </si>
  <si>
    <t>ZAMP077 Helixir 3L Shell Pnt W (W26 BULK)</t>
  </si>
  <si>
    <t>LS25-C0341</t>
  </si>
  <si>
    <t>ZASJ092 M53 CROSSRIDGE EVO SHELL JKT W (W26 BULK)</t>
  </si>
  <si>
    <t>LS25-C0342</t>
  </si>
  <si>
    <t>ZASJ094 L86 CROSSRIDGE EVO SHELL JKT M (W26 BULK)</t>
  </si>
  <si>
    <t>LS25-C0344</t>
  </si>
  <si>
    <t>ZASJ107 Crest Evo Shell Jkt W (W26 BULK)</t>
  </si>
  <si>
    <t>LS25-D0356</t>
  </si>
  <si>
    <t>ZASJ10701 Crest Evo Shell Jkt W (W26 SMU BULK)</t>
  </si>
  <si>
    <t>LS25-C0345</t>
  </si>
  <si>
    <t>ZASJ108 Crest Evo Shell Jkt M (W26 BULK)</t>
  </si>
  <si>
    <t>LS25-D0357</t>
  </si>
  <si>
    <t>ZASJ10801 Crest Evo Shell Jkt M (W26 SMU BULK)</t>
  </si>
  <si>
    <t>LS25-C0352</t>
  </si>
  <si>
    <t>ZASP081 Crest Evo Shell Pants W (W26 BULK)</t>
  </si>
  <si>
    <t>PROFORMA INVOICE FOR PO25-1639LS</t>
  </si>
  <si>
    <t>LS25-C0303</t>
  </si>
  <si>
    <t>ZACP099 Setter Bib Pant (W26 BULK)</t>
  </si>
  <si>
    <t>LS25-C0304</t>
  </si>
  <si>
    <t>ZACP100 Setter Pant M (W26 BULK)</t>
  </si>
  <si>
    <t>LS25-C0305</t>
  </si>
  <si>
    <t>ZACP101 Setter Pant W (W26 BULK)</t>
  </si>
  <si>
    <t>LS26-C0364</t>
  </si>
  <si>
    <t>ZAMP089 NORDEND INSULATION PANT W (W26 BULK)</t>
  </si>
  <si>
    <t>LS26-C0002</t>
  </si>
  <si>
    <t>ZASP054 L61 EXCELSIOR PANT M (W26 BULK)</t>
  </si>
  <si>
    <t>LS26-C0367</t>
  </si>
  <si>
    <t>ZASP063  L78 Kyril Pant M (W26 BULK)</t>
  </si>
  <si>
    <t>LS26-C0003</t>
  </si>
  <si>
    <t>ZASP064 M43 Kyril Pant W (W26 BULK)</t>
  </si>
  <si>
    <t>LS25-C0348</t>
  </si>
  <si>
    <t>ZASP073 L98 Ikarus Pant M (W26 BULK)</t>
  </si>
  <si>
    <t>LS25-C0349</t>
  </si>
  <si>
    <t>ZASP074  L99 Orizon Pant M (W26 BULK)</t>
  </si>
  <si>
    <t>LS25-C0350</t>
  </si>
  <si>
    <t>ZASP075  M61 Ikarus Pant W (W26 BULK)</t>
  </si>
  <si>
    <t>LS25-C0351</t>
  </si>
  <si>
    <t>ZASP077 M63 Crossridge Softshell Pant W (W26 BULK)</t>
  </si>
  <si>
    <t>PROFORMA INVOICE FOR PO25-1696PE</t>
  </si>
  <si>
    <t>PE25-D0216</t>
  </si>
  <si>
    <t>Alaska Recycled Insulated Parka - 00RGF (AW26)</t>
  </si>
  <si>
    <t>PE25-D0217</t>
  </si>
  <si>
    <t>PE25-D0218</t>
  </si>
  <si>
    <t>PE25-D0219</t>
  </si>
  <si>
    <t>Baltic Recycled Insulated Parka - 2CR6S (AW26)</t>
  </si>
  <si>
    <t>PROFORMA INVOICE FOR PO25-1697PE</t>
  </si>
  <si>
    <t>PE25-D0220</t>
  </si>
  <si>
    <t>Ashland Down Recycled Jacket - B30BE (AW26)</t>
  </si>
  <si>
    <t>PE25-D0223</t>
  </si>
  <si>
    <t>Lucia Sherpa Lined Bomber Jacket 2.0 - TWNOV (AW26)</t>
  </si>
  <si>
    <t>PE25-D0224</t>
  </si>
  <si>
    <t>PROFORMA INVOICE FOR PO25-1791RN</t>
  </si>
  <si>
    <t>RN25-C0165</t>
  </si>
  <si>
    <t>RLPMJ01 M STRAWPILE INSULATED SKI JACKET (FW26 BULK)</t>
  </si>
  <si>
    <t>RN25-C0167</t>
  </si>
  <si>
    <t>RLPMJ02 M SIZLE INSULATED SKI JACKET (FW26 BULK)</t>
  </si>
  <si>
    <t>RN25-C0178</t>
  </si>
  <si>
    <t>RLPMJ35 M EVADER 2.0 3L SHELL SKI JACKET (FW26 BULK)</t>
  </si>
  <si>
    <t>RN25-C0180</t>
  </si>
  <si>
    <t>RLPMJ37 M ABEL DOWN HOODIE JACKET (FW26 BULK)</t>
  </si>
  <si>
    <t>RN25-C0179</t>
  </si>
  <si>
    <t>RLPMJ38 M ABEL DOWN PARKA (FW26 BULK)</t>
  </si>
  <si>
    <t>RN25-C0166</t>
  </si>
  <si>
    <t>RLPMP03 M SNOWDAZZLE INSULATED SKI PANT (FW26 BULK)</t>
  </si>
  <si>
    <t>RN25-C0177</t>
  </si>
  <si>
    <t>RLPMP15 M EVADER 2.0 3L SHELL SKI PANT (FW26 BULK)</t>
  </si>
  <si>
    <t>RN25-C0148</t>
  </si>
  <si>
    <t>RLPWJ01 W STRAWPILE INSULATED SKI JACKET (FW26 BULK)</t>
  </si>
  <si>
    <t>RN25-C0156</t>
  </si>
  <si>
    <t>RLPWJ40 W ABEL DOWN HOODIE JACKET (FW26 BULK)</t>
  </si>
  <si>
    <t>RN25-C0157</t>
  </si>
  <si>
    <t>RLPWJ41 W ABEL BELTED DOWN PARKA (FW26 BULK)</t>
  </si>
  <si>
    <t>RN25-C0149</t>
  </si>
  <si>
    <t>RLPWP02 W SNOWDAZZLE INSULATED SKI PANT (FW26 BULK)</t>
  </si>
  <si>
    <t>PROFORMA INVOICE FOR PO25-1844TS</t>
  </si>
  <si>
    <t>TS25-D0461</t>
  </si>
  <si>
    <t>TS 26FW TN263OOWHS09 (이재열) PERTEX® Vik LT Down Jacket (based on TN253OOWHS10)</t>
  </si>
  <si>
    <t>TS25-D0460</t>
  </si>
  <si>
    <t>TS 26FW TN263OOWHS10 (이재열) PERTEX® VIK Hooded LT Down Jacket (based on TN253WOWHS09)</t>
  </si>
  <si>
    <t>PROFORMA INVOICE FOR PO25S1555MR</t>
  </si>
  <si>
    <t>MR25-S0004</t>
  </si>
  <si>
    <t>110127 Anvil Monosuit (FW26)</t>
  </si>
  <si>
    <t>MR25-S0005</t>
  </si>
  <si>
    <t>110227 Vise Monosuit (FW26)</t>
  </si>
  <si>
    <t>MR25-S0006</t>
  </si>
  <si>
    <t>120127 Wrench Jacket (FW26)</t>
  </si>
  <si>
    <t>MR25-S0007</t>
  </si>
  <si>
    <t>120227 Bolt Jacket (FW26)</t>
  </si>
  <si>
    <t>MR25-S0008</t>
  </si>
  <si>
    <t>130127 Rivet Bib (FW26)</t>
  </si>
  <si>
    <t>PROFORMA INVOICE FOR PO26-0003AK</t>
  </si>
  <si>
    <t>AK26-D0003</t>
  </si>
  <si>
    <t>SALOMON 26FW S263002HJK95 (이다해)</t>
  </si>
  <si>
    <t>PROFORMA INVOICE FOR PO26-0004AK</t>
  </si>
  <si>
    <t>AK26-D0004</t>
  </si>
  <si>
    <t>SALOMON 26FW S264001RPVN1 (이다해)</t>
  </si>
  <si>
    <t>PROFORMA INVOICE FOR PO26-0081NE</t>
  </si>
  <si>
    <t>NE26-D0282</t>
  </si>
  <si>
    <t>NE 26FW N254UFJ671 (최유진) 코스토니 스탠드넥 플리스 자켓</t>
  </si>
  <si>
    <t>PROFORMA INVOICE FOR PO26-0082NE</t>
  </si>
  <si>
    <t>NE26-D0285</t>
  </si>
  <si>
    <t>NE 26FW N254UFJ971 (최유진) (온) 코스토니스탠드넥플리스자켓</t>
  </si>
  <si>
    <t>PROFORMA INVOICE FOR PO26-0083NE</t>
  </si>
  <si>
    <t>NE26-D0283</t>
  </si>
  <si>
    <t>NE 26FW N254UFJ670 (윤현지) 코스토니후디플리스자켓</t>
  </si>
  <si>
    <t>PROFORMA INVOICE FOR PO26-0084NE</t>
  </si>
  <si>
    <t>NE26-D0284</t>
  </si>
  <si>
    <t>NE 26FW N254UFJ970 (윤현지) (온) 코스토니후디플리스자켓</t>
  </si>
  <si>
    <t>PROFORMA INVOICE FOR PO26-0094AK</t>
  </si>
  <si>
    <t>AK26-D0005</t>
  </si>
  <si>
    <t>AK SALOMON 26FW S264001HJK99 (김지민)</t>
  </si>
  <si>
    <t>PROFORMA INVOICE FOR PO26-0095AK</t>
  </si>
  <si>
    <t>AK26-D0006</t>
  </si>
  <si>
    <t>SALOMON 26FW S264002HSKO1 (김지민)</t>
  </si>
  <si>
    <t>PROFORMA INVOICE FOR PO26-0110RN</t>
  </si>
  <si>
    <t>RN25-D0238</t>
  </si>
  <si>
    <t>RLOWJ04 W ROCHRUN INSULATED JKT (FW26 BULK BUY3)</t>
  </si>
  <si>
    <t>RN25-D0237</t>
  </si>
  <si>
    <t>RLPMJ01 M STRAWPILE INSULATED SKI JACKET (FW26 BULK BUY3)</t>
  </si>
  <si>
    <t>RN25-D0233</t>
  </si>
  <si>
    <t>RLPMJ04 M HERO INSULATED SKI JACKET (FW26 BULK BUY3)</t>
  </si>
  <si>
    <t>RN25-D0235</t>
  </si>
  <si>
    <t>RLPMJ33 M HERO 4WS INSULATED SKI JACKET (FW26 BULK BUY3)</t>
  </si>
  <si>
    <t>RN25-D0232</t>
  </si>
  <si>
    <t>RLPMP02 M HERO INSULATED SKI PANT (FW26 BULK BUY3)</t>
  </si>
  <si>
    <t>RN25-D0236</t>
  </si>
  <si>
    <t>RLPMP03 M SNOWDAZZLE INSULATED SKI PANT (FW26 BULK BUY3)</t>
  </si>
  <si>
    <t>RN25-D0234</t>
  </si>
  <si>
    <t>RLPMP13 M HERO 4WS INSULATED SKI PANT (FW26 BULK BUY3)</t>
  </si>
  <si>
    <t>RN25-D0239</t>
  </si>
  <si>
    <t>RLPWJ01 W STRAWPILE INSULATED SKI JACKET (FW26 BULK BUY3)</t>
  </si>
  <si>
    <t>PROFORMA INVOICE FOR PO26-0160SC</t>
  </si>
  <si>
    <t>SC26-D0023</t>
  </si>
  <si>
    <t>427067 SCO Knee Guards Dust_SS27 BPRO</t>
  </si>
  <si>
    <t>SC26-D0024</t>
  </si>
  <si>
    <t>427068 SCO Knee Guards Bedrock_SS27 BPRO</t>
  </si>
  <si>
    <t>SC26-D0025</t>
  </si>
  <si>
    <t>427069 SCO Elbow Guards Bedrock_SS27 BPRO</t>
  </si>
  <si>
    <t>SC26-D0026</t>
  </si>
  <si>
    <t>427098 SCO Elbow Guards Dust_SS27 BPRO</t>
  </si>
  <si>
    <t>SC26-D0027</t>
  </si>
  <si>
    <t>427099 SCO Knee Guards Bedrock Jr_SS27 BPRO</t>
  </si>
  <si>
    <t>SC26-D0028</t>
  </si>
  <si>
    <t>427100 SCO Elbow Guards Bedrock Jr_SS27 BPRO</t>
  </si>
  <si>
    <t>PROFORMA INVOICE FOR PO26-0181TS</t>
  </si>
  <si>
    <t>TS26-D0023</t>
  </si>
  <si>
    <t>TS 26FW TN263WPAOP02 (이재열) Wind Pant</t>
  </si>
  <si>
    <t>PROFORMA INVOICE FOR PO26-0182TS</t>
  </si>
  <si>
    <t>TS26-D0029</t>
  </si>
  <si>
    <t>TS 26FW TN263OOWHS05 (이석훈) Skogar Hooded MID Down Jacket</t>
  </si>
  <si>
    <t>TS26-D0030</t>
  </si>
  <si>
    <t>TS 26FW TN263OOWHS06 (이석훈) Skogar MID Down Jacket</t>
  </si>
  <si>
    <t>PROFORMA INVOICE FOR PO26-0221CG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</si>
  <si>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</si>
  <si>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</si>
  <si>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</si>
  <si>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</si>
  <si>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</si>
  <si>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</si>
  <si>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</si>
  <si>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</si>
  <si>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</si>
  <si>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</si>
  <si>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</si>
  <si>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</si>
  <si>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</si>
  <si>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</si>
  <si>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</si>
  <si>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</si>
  <si>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PROFORMA INVOICE FOR PO26-0247TS</t>
  </si>
  <si>
    <t>TS26-D0053</t>
  </si>
  <si>
    <t>TS 26FW TN263OOWVH02 (이재열) PERTEX® VIK LT Down Vest (based on TN253OOWVH02)</t>
  </si>
  <si>
    <t>PROFORMA INVOICE FOR PO26-0251NE</t>
  </si>
  <si>
    <t>NE26-D0329</t>
  </si>
  <si>
    <t>NE 26SS N261UDW200-2 (최유진) 모션라이트 경량 구스다운 점퍼</t>
  </si>
  <si>
    <t>PROFORMA INVOICE FOR PO26-0276SF</t>
  </si>
  <si>
    <t>SF26-D0031</t>
  </si>
  <si>
    <t>22 23987 Egleton Lightweight Jacket (W26)</t>
  </si>
  <si>
    <t>PROFORMA INVOICE FOR PO26S0162SC</t>
  </si>
  <si>
    <t>SC26-S0029</t>
  </si>
  <si>
    <t>422391 SCO Body Armor Jr Airflow_SS27 BPRO</t>
  </si>
  <si>
    <t>SC26-S0030</t>
  </si>
  <si>
    <t>SC26-S0031</t>
  </si>
  <si>
    <t>SC26-S0032</t>
  </si>
  <si>
    <t>SC26-S0033</t>
  </si>
  <si>
    <t>SC26-S0034</t>
  </si>
  <si>
    <t>SC26-S0035</t>
  </si>
  <si>
    <t>SC26-S0036</t>
  </si>
  <si>
    <t>428090 SCO Body Armor Airflow_SS27 BPRO</t>
  </si>
  <si>
    <t>PROFORMA INVOICE FOR PO26S0163SC</t>
  </si>
  <si>
    <t>SC26-S0037</t>
  </si>
  <si>
    <t>SC26-S0038</t>
  </si>
  <si>
    <t>SC26-S0039</t>
  </si>
  <si>
    <t>SC26-S0040</t>
  </si>
  <si>
    <t>SC26-S0041</t>
  </si>
  <si>
    <t>SC26-S0042</t>
  </si>
  <si>
    <t>SC26-S0043</t>
  </si>
  <si>
    <t>SC26-S0044</t>
  </si>
  <si>
    <t>PROFORMA INVOICE FOR PO26S0164SC</t>
  </si>
  <si>
    <t>SC26-S0045</t>
  </si>
  <si>
    <t>SC26-S0046</t>
  </si>
  <si>
    <t>SC26-S0047</t>
  </si>
  <si>
    <t>SC26-S0048</t>
  </si>
  <si>
    <t>SC26-S0049</t>
  </si>
  <si>
    <t>SC26-S0050</t>
  </si>
  <si>
    <t>SC26-S0051</t>
  </si>
  <si>
    <t>SC26-S0052</t>
  </si>
  <si>
    <t>PROFORMA INVOICE FOR PO26S0165SC</t>
  </si>
  <si>
    <t>SC26-S0053</t>
  </si>
  <si>
    <t>SC26-S0054</t>
  </si>
  <si>
    <t>SC26-S0055</t>
  </si>
  <si>
    <t>SC26-S0056</t>
  </si>
  <si>
    <t>SC26-S0057</t>
  </si>
  <si>
    <t>SC26-S0058</t>
  </si>
  <si>
    <t>SC26-S0059</t>
  </si>
  <si>
    <t>SC26-S0060</t>
  </si>
  <si>
    <t>PROFORMA INVOICE FOR PO26S0166SC</t>
  </si>
  <si>
    <t>SC26-S0061</t>
  </si>
  <si>
    <t>SC26-S0062</t>
  </si>
  <si>
    <t>SC26-S0063</t>
  </si>
  <si>
    <t>SC26-S0064</t>
  </si>
  <si>
    <t>SC26-S0065</t>
  </si>
  <si>
    <t>SC26-S0066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</si>
  <si>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</si>
  <si>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</si>
  <si>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</si>
  <si>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</si>
  <si>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</si>
  <si>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</si>
  <si>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</si>
  <si>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</si>
  <si>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</si>
  <si>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</si>
  <si>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</si>
  <si>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</si>
  <si>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</si>
  <si>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</si>
  <si>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PF26S0080SB</t>
  </si>
  <si>
    <t>MATL CODE</t>
  </si>
  <si>
    <t>S24-26114</t>
  </si>
  <si>
    <t>S24-61567</t>
  </si>
  <si>
    <t>DETAIL PACKING LIST FOR PF26S0081SB</t>
  </si>
  <si>
    <t>A22-00044</t>
  </si>
  <si>
    <t>A22-00045</t>
  </si>
  <si>
    <t>A22-00047</t>
  </si>
  <si>
    <t>A22-00072</t>
  </si>
  <si>
    <t>A22-00073</t>
  </si>
  <si>
    <t>A22-00100</t>
  </si>
  <si>
    <t>DETAIL PACKING LIST FOR PF26S0084SB</t>
  </si>
  <si>
    <t>S23-38000</t>
  </si>
  <si>
    <t>DETAIL PACKING LIST FOR PO25-1004PK</t>
  </si>
  <si>
    <t>M23-02842</t>
  </si>
  <si>
    <t>M25-02987</t>
  </si>
  <si>
    <t>DETAIL PACKING LIST FOR PO25-1005PK</t>
  </si>
  <si>
    <t>M25-03000</t>
  </si>
  <si>
    <t>DETAIL PACKING LIST FOR PO25-1516NE</t>
  </si>
  <si>
    <t>S26-02841</t>
  </si>
  <si>
    <t>S26-07310</t>
  </si>
  <si>
    <t>S26-07311</t>
  </si>
  <si>
    <t>S24-66373</t>
  </si>
  <si>
    <t>S24-66374</t>
  </si>
  <si>
    <t>DETAIL PACKING LIST FOR PO25-1517NE</t>
  </si>
  <si>
    <t>S25-02703</t>
  </si>
  <si>
    <t>DETAIL PACKING LIST FOR PO25-1518NE</t>
  </si>
  <si>
    <t>S24-69794</t>
  </si>
  <si>
    <t>S24-69956</t>
  </si>
  <si>
    <t>DETAIL PACKING LIST FOR PO25-1519NE</t>
  </si>
  <si>
    <t>S26-02839</t>
  </si>
  <si>
    <t>DETAIL PACKING LIST FOR PO25-1632LS</t>
  </si>
  <si>
    <t>S26-04814</t>
  </si>
  <si>
    <t>DETAIL PACKING LIST FOR PO25-1633LS</t>
  </si>
  <si>
    <t>M18-02507</t>
  </si>
  <si>
    <t>S18-50118</t>
  </si>
  <si>
    <t>S18-50119</t>
  </si>
  <si>
    <t>S18-50120</t>
  </si>
  <si>
    <t>S18-50121</t>
  </si>
  <si>
    <t>S16-18161</t>
  </si>
  <si>
    <t>S18-50125</t>
  </si>
  <si>
    <t>S16-55506</t>
  </si>
  <si>
    <t>S16-69128</t>
  </si>
  <si>
    <t>S17-32826</t>
  </si>
  <si>
    <t>S17-32825</t>
  </si>
  <si>
    <t>DETAIL PACKING LIST FOR PO25-1634LS</t>
  </si>
  <si>
    <t>S16-18531</t>
  </si>
  <si>
    <t>DETAIL PACKING LIST FOR PO25-1639LS</t>
  </si>
  <si>
    <t>M15-01407</t>
  </si>
  <si>
    <t>S16-13976</t>
  </si>
  <si>
    <t>S16-35838</t>
  </si>
  <si>
    <t>DETAIL PACKING LIST FOR PO25-1696PE</t>
  </si>
  <si>
    <t>M26-00118</t>
  </si>
  <si>
    <t>M26-00121</t>
  </si>
  <si>
    <t>M26-00122</t>
  </si>
  <si>
    <t>M26-00123</t>
  </si>
  <si>
    <t>M25-05868</t>
  </si>
  <si>
    <t>M25-05869</t>
  </si>
  <si>
    <t>DETAIL PACKING LIST FOR PO25-1697PE</t>
  </si>
  <si>
    <t>M26-00366</t>
  </si>
  <si>
    <t>DETAIL PACKING LIST FOR PO25-1791RN</t>
  </si>
  <si>
    <t>M25-03063</t>
  </si>
  <si>
    <t>DETAIL PACKING LIST FOR PO25-1844TS</t>
  </si>
  <si>
    <t>S23-44258</t>
  </si>
  <si>
    <t>S24-74247</t>
  </si>
  <si>
    <t>S24-25365</t>
  </si>
  <si>
    <t>DETAIL PACKING LIST FOR PO25S1555MR</t>
  </si>
  <si>
    <t>M24-00964</t>
  </si>
  <si>
    <t>DETAIL PACKING LIST FOR PO26-0003AK</t>
  </si>
  <si>
    <t>M26-00013</t>
  </si>
  <si>
    <t>DETAIL PACKING LIST FOR PO26-0004AK</t>
  </si>
  <si>
    <t>M26-00640</t>
  </si>
  <si>
    <t>S25-76505</t>
  </si>
  <si>
    <t>S26-00717</t>
  </si>
  <si>
    <t>S25-76507</t>
  </si>
  <si>
    <t>S24-46313</t>
  </si>
  <si>
    <t>S26-00716</t>
  </si>
  <si>
    <t>S25-76570</t>
  </si>
  <si>
    <t>S26-00710</t>
  </si>
  <si>
    <t>S25-76513</t>
  </si>
  <si>
    <t>S25-76511</t>
  </si>
  <si>
    <t>DETAIL PACKING LIST FOR PO26-0081NE</t>
  </si>
  <si>
    <t>S26-07269</t>
  </si>
  <si>
    <t>S26-07264</t>
  </si>
  <si>
    <t>S26-07268</t>
  </si>
  <si>
    <t>S26-07265</t>
  </si>
  <si>
    <t>S26-07263</t>
  </si>
  <si>
    <t>S26-07261</t>
  </si>
  <si>
    <t>S26-07267</t>
  </si>
  <si>
    <t>S26-07262</t>
  </si>
  <si>
    <t>S26-07266</t>
  </si>
  <si>
    <t>DETAIL PACKING LIST FOR PO26-0082NE</t>
  </si>
  <si>
    <t>DETAIL PACKING LIST FOR PO26-0083NE</t>
  </si>
  <si>
    <t>S26-07258</t>
  </si>
  <si>
    <t>S26-07252</t>
  </si>
  <si>
    <t>S26-07257</t>
  </si>
  <si>
    <t>S26-07248</t>
  </si>
  <si>
    <t>S26-07256</t>
  </si>
  <si>
    <t>S26-07254</t>
  </si>
  <si>
    <t>S26-07251</t>
  </si>
  <si>
    <t>S26-07249</t>
  </si>
  <si>
    <t>S26-07250</t>
  </si>
  <si>
    <t>S26-07255</t>
  </si>
  <si>
    <t>DETAIL PACKING LIST FOR PO26-0084NE</t>
  </si>
  <si>
    <t>DETAIL PACKING LIST FOR PO26-0094AK</t>
  </si>
  <si>
    <t>M26-00391</t>
  </si>
  <si>
    <t>M26-00390</t>
  </si>
  <si>
    <t>DETAIL PACKING LIST FOR PO26-0095AK</t>
  </si>
  <si>
    <t>DETAIL PACKING LIST FOR PO26-0110RN</t>
  </si>
  <si>
    <t>M14-00420</t>
  </si>
  <si>
    <t>DETAIL PACKING LIST FOR PO26-0160SC</t>
  </si>
  <si>
    <t>M20-04695</t>
  </si>
  <si>
    <t>DETAIL PACKING LIST FOR PO26-0181TS</t>
  </si>
  <si>
    <t>S23-44257</t>
  </si>
  <si>
    <t>DETAIL PACKING LIST FOR PO26-0182TS</t>
  </si>
  <si>
    <t>DETAIL PACKING LIST FOR PO26-0221CG</t>
  </si>
  <si>
    <t>S25-116908</t>
  </si>
  <si>
    <t>DETAIL PACKING LIST FOR PO26-0247TS</t>
  </si>
  <si>
    <t>DETAIL PACKING LIST FOR PO26-0251NE</t>
  </si>
  <si>
    <t>S25-128094</t>
  </si>
  <si>
    <t>S25-128093</t>
  </si>
  <si>
    <t>S25-132709</t>
  </si>
  <si>
    <t>S25-121335</t>
  </si>
  <si>
    <t>S25-121333</t>
  </si>
  <si>
    <t>S25-121334</t>
  </si>
  <si>
    <t>S25-118505</t>
  </si>
  <si>
    <t>S25-113664</t>
  </si>
  <si>
    <t>S25-118499</t>
  </si>
  <si>
    <t>S25-113665</t>
  </si>
  <si>
    <t>S25-113821</t>
  </si>
  <si>
    <t>S25-108714</t>
  </si>
  <si>
    <t>S25-118502</t>
  </si>
  <si>
    <t>S25-113661</t>
  </si>
  <si>
    <t>S24-69329</t>
  </si>
  <si>
    <t>S24-69330</t>
  </si>
  <si>
    <t>S24-69325</t>
  </si>
  <si>
    <t>S24-69328</t>
  </si>
  <si>
    <t>S24-69327</t>
  </si>
  <si>
    <t>S24-69326</t>
  </si>
  <si>
    <t>S25-128082</t>
  </si>
  <si>
    <t>S25-128084</t>
  </si>
  <si>
    <t>S25-125367</t>
  </si>
  <si>
    <t>S25-121349</t>
  </si>
  <si>
    <t>S25-118970</t>
  </si>
  <si>
    <t>T25-01111</t>
  </si>
  <si>
    <t>S25-113883</t>
  </si>
  <si>
    <t>S25-80007</t>
  </si>
  <si>
    <t>S25-89743</t>
  </si>
  <si>
    <t>S25-85159</t>
  </si>
  <si>
    <t>DETAIL PACKING LIST FOR PO26-0276SF</t>
  </si>
  <si>
    <t>S23-67451</t>
  </si>
  <si>
    <t>DETAIL PACKING LIST FOR PO26S0162SC</t>
  </si>
  <si>
    <t>DETAIL PACKING LIST FOR PO26S0163SC</t>
  </si>
  <si>
    <t>DETAIL PACKING LIST FOR PO26S0164SC</t>
  </si>
  <si>
    <t>DETAIL PACKING LIST FOR PO26S0165SC</t>
  </si>
  <si>
    <t>DETAIL PACKING LIST FOR PO26S0166SC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</si>
  <si>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</si>
  <si>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</si>
  <si>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</si>
  <si>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</si>
  <si>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</si>
  <si>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</si>
  <si>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</si>
  <si>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</si>
  <si>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</si>
  <si>
    <t xml:space="preserve">  ( CIF  HAIPHONG, VIETNAM ) </t>
  </si>
  <si>
    <t>Desc</t>
  </si>
  <si>
    <t>Price</t>
  </si>
  <si>
    <t>Total</t>
  </si>
  <si>
    <t>DESC/SPEC</t>
  </si>
  <si>
    <t>HS CODE</t>
  </si>
  <si>
    <t>OFFER SPEC</t>
  </si>
  <si>
    <t xml:space="preserve">100% POLYESTER D.T.Y F.YARN WOVEN FABRIC
YARM SEPC : P/DTY 305 INVISTA 2PLY*P/DTY 305 INVISTA 2PLY
FINISHED : PD/C0 AWR/2LAYER WHITE LAMINATED(10K/10K)
WIDTH : 54"
WEIGHT : 351GR/YD
</t>
  </si>
  <si>
    <t xml:space="preserve">100%POLYESTR F.YARN WOVEN FABRIC
US 305D CORDURA 63" WITH IN GREY WOVEN BY SHUTTLESS LOOM
FINISH : PD/C0 ADWR/2 LAYER WHITE LAMINATION (10K/10K)
W/P : US P/DTY 305D BR 84E/INCH 174GR/YD
W/T : US P/DTY 305D BR 52P/INCH 105GR/YD
YARN WEIGHT : 279GR/YD
TOTAL WEIGHT : 327GR/YD
</t>
  </si>
  <si>
    <t>ITEM : CH-32046-C0ADWRCIRE PD/C0 DWR/CIRE YARN : POLY F.YARN 20D SD+POLY F.YARN 20D SD WIDTH : 55" TOTAL WEIGHT: 49GR/YD</t>
  </si>
  <si>
    <t xml:space="preserve">100% POLYESTER
P/D
YARN : P75D+P30D
WIDTH : 52/54"
TOTAL WEIGHT: 325GR/YD
</t>
  </si>
  <si>
    <t xml:space="preserve">61% NYLON 31% POLYESTER 8% SPANDEX 
WEAVE: RIPSTOP
WEIGHT: 245GSM,CUTTABLE WIDTH 44"
FINISHING: PFC FREE DWR, BLACK PU LAMINATION</t>
  </si>
  <si>
    <t xml:space="preserve">61$ NYLON 31% POLYESTER 8% SPANDEX
WEAVE: RIPSTOP
WEIGHT: 200GSM
CUTTABLE WIDTH 44"
FINISHING: PFCTREE DWR</t>
  </si>
  <si>
    <t>ITEM : TSR-C7907 RIB 1X1 RIB KNIT FABRIC 82%COTTON 14%POLYESTER  4%SPAN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</si>
</sst>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bottom"/>
    </xf>
    <xf numFmtId="165" fontId="9" fillId="0" borderId="0" xfId="0" applyNumberFormat="1" applyFont="1" applyAlignment="1">
      <alignment horizontal="left" vertical="bottom"/>
    </xf>
    <xf numFmtId="177" fontId="9" fillId="0" borderId="0" xfId="0" applyNumberFormat="1" applyFont="1" applyAlignment="1">
      <alignment vertical="bottom"/>
    </xf>
    <xf numFmtId="178" fontId="9" fillId="0" borderId="0" xfId="0" applyNumberFormat="1" applyFont="1" applyAlignment="1">
      <alignment vertical="bottom"/>
    </xf>
    <xf numFmtId="0" fontId="1" fillId="0" borderId="4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16</xdr:col>
      <xdr:colOff>0</xdr:colOff>
      <xdr:row>38</xdr:row>
      <xdr:rowOff>0</xdr:rowOff>
    </xdr:from>
    <xdr:ext cx="28575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16</xdr:col>
      <xdr:colOff>0</xdr:colOff>
      <xdr:row>38</xdr:row>
      <xdr:rowOff>0</xdr:rowOff>
    </xdr:from>
    <xdr:ext cx="28575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37</xdr:row>
      <xdr:rowOff>0</xdr:rowOff>
    </xdr:from>
    <xdr:ext cx="2857500" cy="2857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16</xdr:col>
      <xdr:colOff>0</xdr:colOff>
      <xdr:row>38</xdr:row>
      <xdr:rowOff>0</xdr:rowOff>
    </xdr:from>
    <xdr:ext cx="28575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41</xdr:row>
      <xdr:rowOff>0</xdr:rowOff>
    </xdr:from>
    <xdr:ext cx="2857500" cy="2857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5.85</v>
      </c>
      <c r="E4" s="14">
        <v>777</v>
      </c>
      <c r="F4" s="15" t="s">
        <v>14</v>
      </c>
      <c r="G4" s="13">
        <v>4545.45</v>
      </c>
      <c r="H4" s="16" t="s">
        <v>15</v>
      </c>
      <c r="I4" s="17">
        <v>4.94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2.8</v>
      </c>
      <c r="E5" s="14">
        <v>100</v>
      </c>
      <c r="F5" s="15" t="s">
        <v>14</v>
      </c>
      <c r="G5" s="13">
        <v>280</v>
      </c>
      <c r="H5" s="16" t="s">
        <v>15</v>
      </c>
      <c r="I5" s="17">
        <v>0.64</v>
      </c>
      <c r="J5" s="18" t="s">
        <v>16</v>
      </c>
      <c r="K5" s="1" t="s">
        <v>21</v>
      </c>
      <c r="L5" s="1" t="s">
        <v>18</v>
      </c>
    </row>
    <row r="6" ht="12" customHeight="1" spans="1:12" x14ac:dyDescent="0.25">
      <c r="A6" s="19">
        <v>3</v>
      </c>
      <c r="B6" s="12" t="s">
        <v>12</v>
      </c>
      <c r="C6" s="12" t="s">
        <v>22</v>
      </c>
      <c r="D6" s="13">
        <v>2.4491</v>
      </c>
      <c r="E6" s="14">
        <v>200</v>
      </c>
      <c r="F6" s="15" t="s">
        <v>14</v>
      </c>
      <c r="G6" s="13">
        <v>489.82</v>
      </c>
      <c r="H6" s="16" t="s">
        <v>15</v>
      </c>
      <c r="I6" s="17">
        <v>1.27</v>
      </c>
      <c r="J6" s="18" t="s">
        <v>16</v>
      </c>
      <c r="K6" s="1" t="s">
        <v>17</v>
      </c>
      <c r="L6" s="1" t="s">
        <v>18</v>
      </c>
    </row>
    <row r="7" ht="12" customHeight="1" spans="1:12" x14ac:dyDescent="0.25">
      <c r="A7" s="19">
        <v>4</v>
      </c>
      <c r="B7" s="12" t="s">
        <v>12</v>
      </c>
      <c r="C7" s="12" t="s">
        <v>23</v>
      </c>
      <c r="D7" s="13">
        <v>2.4524</v>
      </c>
      <c r="E7" s="14">
        <v>330</v>
      </c>
      <c r="F7" s="15" t="s">
        <v>14</v>
      </c>
      <c r="G7" s="13">
        <v>809.29</v>
      </c>
      <c r="H7" s="16" t="s">
        <v>15</v>
      </c>
      <c r="I7" s="17">
        <v>2.1</v>
      </c>
      <c r="J7" s="18" t="s">
        <v>16</v>
      </c>
      <c r="K7" s="1" t="s">
        <v>17</v>
      </c>
      <c r="L7" s="1" t="s">
        <v>18</v>
      </c>
    </row>
    <row r="8" ht="12" customHeight="1" spans="1:12" x14ac:dyDescent="0.25">
      <c r="A8" s="19">
        <v>5</v>
      </c>
      <c r="B8" s="12" t="s">
        <v>24</v>
      </c>
      <c r="C8" s="12" t="s">
        <v>25</v>
      </c>
      <c r="D8" s="13">
        <v>2.84</v>
      </c>
      <c r="E8" s="14">
        <v>363</v>
      </c>
      <c r="F8" s="15" t="s">
        <v>14</v>
      </c>
      <c r="G8" s="13">
        <v>1030.92</v>
      </c>
      <c r="H8" s="16" t="s">
        <v>15</v>
      </c>
      <c r="I8" s="17">
        <v>2.31</v>
      </c>
      <c r="J8" s="18" t="s">
        <v>16</v>
      </c>
      <c r="K8" s="1" t="s">
        <v>17</v>
      </c>
      <c r="L8" s="1" t="s">
        <v>26</v>
      </c>
    </row>
    <row r="9" ht="12" customHeight="1" spans="1:12" x14ac:dyDescent="0.25">
      <c r="A9" s="19">
        <v>6</v>
      </c>
      <c r="B9" s="12" t="s">
        <v>24</v>
      </c>
      <c r="C9" s="12" t="s">
        <v>27</v>
      </c>
      <c r="D9" s="13">
        <v>4.05</v>
      </c>
      <c r="E9" s="14">
        <v>531</v>
      </c>
      <c r="F9" s="15" t="s">
        <v>14</v>
      </c>
      <c r="G9" s="13">
        <v>2150.55</v>
      </c>
      <c r="H9" s="16" t="s">
        <v>15</v>
      </c>
      <c r="I9" s="17">
        <v>3.37</v>
      </c>
      <c r="J9" s="18" t="s">
        <v>16</v>
      </c>
      <c r="K9" s="1" t="s">
        <v>28</v>
      </c>
      <c r="L9" s="1" t="s">
        <v>29</v>
      </c>
    </row>
    <row r="10" ht="12" customHeight="1" spans="1:12" x14ac:dyDescent="0.25">
      <c r="A10" s="19">
        <v>7</v>
      </c>
      <c r="B10" s="12" t="s">
        <v>30</v>
      </c>
      <c r="C10" s="12" t="s">
        <v>31</v>
      </c>
      <c r="D10" s="13">
        <v>0.7314</v>
      </c>
      <c r="E10" s="14">
        <v>11078</v>
      </c>
      <c r="F10" s="15" t="s">
        <v>32</v>
      </c>
      <c r="G10" s="13">
        <v>8102.45</v>
      </c>
      <c r="H10" s="16" t="s">
        <v>15</v>
      </c>
      <c r="I10" s="17">
        <v>70.38</v>
      </c>
      <c r="J10" s="18" t="s">
        <v>16</v>
      </c>
      <c r="K10" s="1" t="s">
        <v>17</v>
      </c>
      <c r="L10" s="1" t="s">
        <v>17</v>
      </c>
    </row>
    <row r="11" ht="12" customHeight="1" spans="1:12" x14ac:dyDescent="0.25">
      <c r="A11" s="19">
        <v>8</v>
      </c>
      <c r="B11" s="12" t="s">
        <v>30</v>
      </c>
      <c r="C11" s="12" t="s">
        <v>33</v>
      </c>
      <c r="D11" s="13">
        <v>0.7328</v>
      </c>
      <c r="E11" s="14">
        <v>4468</v>
      </c>
      <c r="F11" s="15" t="s">
        <v>32</v>
      </c>
      <c r="G11" s="13">
        <v>3274.15</v>
      </c>
      <c r="H11" s="16" t="s">
        <v>15</v>
      </c>
      <c r="I11" s="17">
        <v>28.39</v>
      </c>
      <c r="J11" s="18" t="s">
        <v>16</v>
      </c>
      <c r="K11" s="1" t="s">
        <v>17</v>
      </c>
      <c r="L11" s="1" t="s">
        <v>17</v>
      </c>
    </row>
    <row r="12" ht="12" customHeight="1" spans="1:12" x14ac:dyDescent="0.25">
      <c r="A12" s="19">
        <v>9</v>
      </c>
      <c r="B12" s="12" t="s">
        <v>34</v>
      </c>
      <c r="C12" s="12" t="s">
        <v>35</v>
      </c>
      <c r="D12" s="13">
        <v>0.02</v>
      </c>
      <c r="E12" s="14">
        <v>34958</v>
      </c>
      <c r="F12" s="15" t="s">
        <v>32</v>
      </c>
      <c r="G12" s="13">
        <v>699.16</v>
      </c>
      <c r="H12" s="16" t="s">
        <v>15</v>
      </c>
      <c r="I12" s="17">
        <v>222.11</v>
      </c>
      <c r="J12" s="18" t="s">
        <v>16</v>
      </c>
      <c r="K12" s="1" t="s">
        <v>17</v>
      </c>
      <c r="L12" s="1" t="s">
        <v>17</v>
      </c>
    </row>
    <row r="13" ht="12" customHeight="1" spans="1:12" x14ac:dyDescent="0.25">
      <c r="A13" s="19">
        <v>10</v>
      </c>
      <c r="B13" s="12" t="s">
        <v>34</v>
      </c>
      <c r="C13" s="12" t="s">
        <v>36</v>
      </c>
      <c r="D13" s="13">
        <v>0.02</v>
      </c>
      <c r="E13" s="14">
        <v>34958</v>
      </c>
      <c r="F13" s="15" t="s">
        <v>32</v>
      </c>
      <c r="G13" s="13">
        <v>699.16</v>
      </c>
      <c r="H13" s="16" t="s">
        <v>15</v>
      </c>
      <c r="I13" s="17">
        <v>222.11</v>
      </c>
      <c r="J13" s="18" t="s">
        <v>16</v>
      </c>
      <c r="K13" s="1" t="s">
        <v>17</v>
      </c>
      <c r="L13" s="1" t="s">
        <v>17</v>
      </c>
    </row>
    <row r="14" ht="12" customHeight="1" spans="1:12" x14ac:dyDescent="0.25">
      <c r="A14" s="19">
        <v>11</v>
      </c>
      <c r="B14" s="12" t="s">
        <v>34</v>
      </c>
      <c r="C14" s="12" t="s">
        <v>37</v>
      </c>
      <c r="D14" s="13">
        <v>0.01</v>
      </c>
      <c r="E14" s="14">
        <v>48660</v>
      </c>
      <c r="F14" s="15" t="s">
        <v>32</v>
      </c>
      <c r="G14" s="13">
        <v>486.6</v>
      </c>
      <c r="H14" s="16" t="s">
        <v>15</v>
      </c>
      <c r="I14" s="17">
        <v>309.17</v>
      </c>
      <c r="J14" s="18" t="s">
        <v>16</v>
      </c>
      <c r="K14" s="1" t="s">
        <v>17</v>
      </c>
      <c r="L14" s="1" t="s">
        <v>17</v>
      </c>
    </row>
    <row r="15" ht="12" customHeight="1" spans="1:12" x14ac:dyDescent="0.25">
      <c r="A15" s="19">
        <v>12</v>
      </c>
      <c r="B15" s="12" t="s">
        <v>34</v>
      </c>
      <c r="C15" s="12" t="s">
        <v>38</v>
      </c>
      <c r="D15" s="13">
        <v>0.01</v>
      </c>
      <c r="E15" s="14">
        <v>48660</v>
      </c>
      <c r="F15" s="15" t="s">
        <v>32</v>
      </c>
      <c r="G15" s="13">
        <v>486.6</v>
      </c>
      <c r="H15" s="16" t="s">
        <v>15</v>
      </c>
      <c r="I15" s="17">
        <v>309.17</v>
      </c>
      <c r="J15" s="18" t="s">
        <v>16</v>
      </c>
      <c r="K15" s="1" t="s">
        <v>17</v>
      </c>
      <c r="L15" s="1" t="s">
        <v>17</v>
      </c>
    </row>
    <row r="16" ht="12" customHeight="1" spans="1:12" x14ac:dyDescent="0.25">
      <c r="A16" s="19">
        <v>13</v>
      </c>
      <c r="B16" s="12" t="s">
        <v>39</v>
      </c>
      <c r="C16" s="12" t="s">
        <v>40</v>
      </c>
      <c r="D16" s="13">
        <v>0.09</v>
      </c>
      <c r="E16" s="14">
        <v>900</v>
      </c>
      <c r="F16" s="15" t="s">
        <v>32</v>
      </c>
      <c r="G16" s="13">
        <v>81</v>
      </c>
      <c r="H16" s="16" t="s">
        <v>15</v>
      </c>
      <c r="I16" s="17">
        <v>5.72</v>
      </c>
      <c r="J16" s="18" t="s">
        <v>16</v>
      </c>
      <c r="K16" s="1" t="s">
        <v>17</v>
      </c>
      <c r="L16" s="1" t="s">
        <v>17</v>
      </c>
    </row>
    <row r="17" ht="12" customHeight="1" spans="1:12" x14ac:dyDescent="0.25">
      <c r="A17" s="19">
        <v>14</v>
      </c>
      <c r="B17" s="12" t="s">
        <v>41</v>
      </c>
      <c r="C17" s="12" t="s">
        <v>42</v>
      </c>
      <c r="D17" s="13">
        <v>0.02</v>
      </c>
      <c r="E17" s="14">
        <v>3807</v>
      </c>
      <c r="F17" s="15" t="s">
        <v>32</v>
      </c>
      <c r="G17" s="13">
        <v>76.14</v>
      </c>
      <c r="H17" s="16" t="s">
        <v>15</v>
      </c>
      <c r="I17" s="17">
        <v>24.18</v>
      </c>
      <c r="J17" s="18" t="s">
        <v>16</v>
      </c>
      <c r="K17" s="1" t="s">
        <v>17</v>
      </c>
      <c r="L17" s="1" t="s">
        <v>17</v>
      </c>
    </row>
    <row r="18" ht="12" customHeight="1" spans="1:12" x14ac:dyDescent="0.25">
      <c r="A18" s="19">
        <v>15</v>
      </c>
      <c r="B18" s="12" t="s">
        <v>41</v>
      </c>
      <c r="C18" s="12" t="s">
        <v>43</v>
      </c>
      <c r="D18" s="13">
        <v>0.04</v>
      </c>
      <c r="E18" s="14">
        <v>12199</v>
      </c>
      <c r="F18" s="15" t="s">
        <v>32</v>
      </c>
      <c r="G18" s="13">
        <v>487.96</v>
      </c>
      <c r="H18" s="16" t="s">
        <v>15</v>
      </c>
      <c r="I18" s="17">
        <v>77.5</v>
      </c>
      <c r="J18" s="18" t="s">
        <v>16</v>
      </c>
      <c r="K18" s="1" t="s">
        <v>17</v>
      </c>
      <c r="L18" s="1" t="s">
        <v>17</v>
      </c>
    </row>
    <row r="19" ht="12" customHeight="1" spans="1:12" x14ac:dyDescent="0.25">
      <c r="A19" s="19">
        <v>16</v>
      </c>
      <c r="B19" s="12" t="s">
        <v>44</v>
      </c>
      <c r="C19" s="12" t="s">
        <v>45</v>
      </c>
      <c r="D19" s="13">
        <v>0.02</v>
      </c>
      <c r="E19" s="14">
        <v>54490</v>
      </c>
      <c r="F19" s="15" t="s">
        <v>46</v>
      </c>
      <c r="G19" s="13">
        <v>1089.8</v>
      </c>
      <c r="H19" s="16" t="s">
        <v>15</v>
      </c>
      <c r="I19" s="17">
        <v>346.21</v>
      </c>
      <c r="J19" s="18" t="s">
        <v>16</v>
      </c>
      <c r="K19" s="1" t="s">
        <v>17</v>
      </c>
      <c r="L19" s="1" t="s">
        <v>17</v>
      </c>
    </row>
    <row r="20" ht="12" customHeight="1" spans="1:12" x14ac:dyDescent="0.25">
      <c r="A20" s="19">
        <v>17</v>
      </c>
      <c r="B20" s="12" t="s">
        <v>47</v>
      </c>
      <c r="C20" s="12" t="s">
        <v>48</v>
      </c>
      <c r="D20" s="13">
        <v>0.0595</v>
      </c>
      <c r="E20" s="14">
        <v>21630</v>
      </c>
      <c r="F20" s="15" t="s">
        <v>32</v>
      </c>
      <c r="G20" s="13">
        <v>1286.98</v>
      </c>
      <c r="H20" s="16" t="s">
        <v>15</v>
      </c>
      <c r="I20" s="17">
        <v>137.43</v>
      </c>
      <c r="J20" s="18" t="s">
        <v>16</v>
      </c>
      <c r="K20" s="1" t="s">
        <v>17</v>
      </c>
      <c r="L20" s="1" t="s">
        <v>17</v>
      </c>
    </row>
    <row r="21" ht="12" customHeight="1" spans="1:12" x14ac:dyDescent="0.25">
      <c r="A21" s="19">
        <v>18</v>
      </c>
      <c r="B21" s="12" t="s">
        <v>49</v>
      </c>
      <c r="C21" s="12" t="s">
        <v>50</v>
      </c>
      <c r="D21" s="13">
        <v>0.1626</v>
      </c>
      <c r="E21" s="14">
        <v>4300</v>
      </c>
      <c r="F21" s="15" t="s">
        <v>14</v>
      </c>
      <c r="G21" s="13">
        <v>699.18</v>
      </c>
      <c r="H21" s="16" t="s">
        <v>15</v>
      </c>
      <c r="I21" s="17">
        <v>27.32</v>
      </c>
      <c r="J21" s="18" t="s">
        <v>16</v>
      </c>
      <c r="K21" s="1" t="s">
        <v>17</v>
      </c>
      <c r="L21" s="1" t="s">
        <v>17</v>
      </c>
    </row>
    <row r="22" ht="12" customHeight="1" spans="1:12" x14ac:dyDescent="0.25">
      <c r="A22" s="19">
        <v>19</v>
      </c>
      <c r="B22" s="12" t="s">
        <v>51</v>
      </c>
      <c r="C22" s="12" t="s">
        <v>52</v>
      </c>
      <c r="D22" s="13">
        <v>0.06</v>
      </c>
      <c r="E22" s="14">
        <v>8000</v>
      </c>
      <c r="F22" s="15" t="s">
        <v>14</v>
      </c>
      <c r="G22" s="13">
        <v>480</v>
      </c>
      <c r="H22" s="16" t="s">
        <v>15</v>
      </c>
      <c r="I22" s="17">
        <v>50.83</v>
      </c>
      <c r="J22" s="18" t="s">
        <v>16</v>
      </c>
      <c r="K22" s="1" t="s">
        <v>17</v>
      </c>
      <c r="L22" s="1" t="s">
        <v>17</v>
      </c>
    </row>
    <row r="23" ht="12" customHeight="1" spans="1:12" x14ac:dyDescent="0.25">
      <c r="A23" s="19">
        <v>20</v>
      </c>
      <c r="B23" s="12" t="s">
        <v>51</v>
      </c>
      <c r="C23" s="12" t="s">
        <v>53</v>
      </c>
      <c r="D23" s="13">
        <v>0.082</v>
      </c>
      <c r="E23" s="14">
        <v>11500</v>
      </c>
      <c r="F23" s="15" t="s">
        <v>14</v>
      </c>
      <c r="G23" s="13">
        <v>943</v>
      </c>
      <c r="H23" s="16" t="s">
        <v>15</v>
      </c>
      <c r="I23" s="17">
        <v>73.07</v>
      </c>
      <c r="J23" s="18" t="s">
        <v>16</v>
      </c>
      <c r="K23" s="1" t="s">
        <v>17</v>
      </c>
      <c r="L23" s="1" t="s">
        <v>17</v>
      </c>
    </row>
    <row r="24" ht="12" customHeight="1" spans="1:12" x14ac:dyDescent="0.25">
      <c r="A24" s="19">
        <v>21</v>
      </c>
      <c r="B24" s="12" t="s">
        <v>44</v>
      </c>
      <c r="C24" s="12" t="s">
        <v>54</v>
      </c>
      <c r="D24" s="13">
        <v>0.0254</v>
      </c>
      <c r="E24" s="14">
        <v>29330</v>
      </c>
      <c r="F24" s="15" t="s">
        <v>46</v>
      </c>
      <c r="G24" s="13">
        <v>744.98</v>
      </c>
      <c r="H24" s="16" t="s">
        <v>15</v>
      </c>
      <c r="I24" s="17">
        <v>186.36</v>
      </c>
      <c r="J24" s="18" t="s">
        <v>16</v>
      </c>
      <c r="K24" s="1" t="s">
        <v>17</v>
      </c>
      <c r="L24" s="1" t="s">
        <v>17</v>
      </c>
    </row>
    <row r="25" ht="12" customHeight="1" spans="1:12" x14ac:dyDescent="0.25">
      <c r="A25" s="19">
        <v>22</v>
      </c>
      <c r="B25" s="12" t="s">
        <v>39</v>
      </c>
      <c r="C25" s="12" t="s">
        <v>55</v>
      </c>
      <c r="D25" s="13">
        <v>0.01</v>
      </c>
      <c r="E25" s="14">
        <v>13800</v>
      </c>
      <c r="F25" s="15" t="s">
        <v>32</v>
      </c>
      <c r="G25" s="13">
        <v>138</v>
      </c>
      <c r="H25" s="16" t="s">
        <v>15</v>
      </c>
      <c r="I25" s="17">
        <v>87.68</v>
      </c>
      <c r="J25" s="18" t="s">
        <v>16</v>
      </c>
      <c r="K25" s="1" t="s">
        <v>17</v>
      </c>
      <c r="L25" s="1" t="s">
        <v>17</v>
      </c>
    </row>
    <row r="26" ht="12" customHeight="1" spans="1:12" x14ac:dyDescent="0.25">
      <c r="A26" s="19">
        <v>23</v>
      </c>
      <c r="B26" s="12" t="s">
        <v>41</v>
      </c>
      <c r="C26" s="12" t="s">
        <v>56</v>
      </c>
      <c r="D26" s="13">
        <v>0.17</v>
      </c>
      <c r="E26" s="14">
        <v>850</v>
      </c>
      <c r="F26" s="15" t="s">
        <v>46</v>
      </c>
      <c r="G26" s="13">
        <v>144.5</v>
      </c>
      <c r="H26" s="16" t="s">
        <v>15</v>
      </c>
      <c r="I26" s="17">
        <v>5.4</v>
      </c>
      <c r="J26" s="18" t="s">
        <v>16</v>
      </c>
      <c r="K26" s="1" t="s">
        <v>17</v>
      </c>
      <c r="L26" s="1" t="s">
        <v>17</v>
      </c>
    </row>
    <row r="27" ht="12" customHeight="1" spans="1:12" x14ac:dyDescent="0.25">
      <c r="A27" s="19">
        <v>24</v>
      </c>
      <c r="B27" s="12" t="s">
        <v>57</v>
      </c>
      <c r="C27" s="12" t="s">
        <v>58</v>
      </c>
      <c r="D27" s="13">
        <v>19.6</v>
      </c>
      <c r="E27" s="14">
        <v>36</v>
      </c>
      <c r="F27" s="15" t="s">
        <v>32</v>
      </c>
      <c r="G27" s="13">
        <v>705.6</v>
      </c>
      <c r="H27" s="16" t="s">
        <v>15</v>
      </c>
      <c r="I27" s="17">
        <v>0.23</v>
      </c>
      <c r="J27" s="18" t="s">
        <v>16</v>
      </c>
      <c r="K27" s="1" t="s">
        <v>17</v>
      </c>
      <c r="L27" s="1" t="s">
        <v>17</v>
      </c>
    </row>
    <row r="28" ht="12" customHeight="1" spans="1:12" x14ac:dyDescent="0.25">
      <c r="A28" s="19">
        <v>25</v>
      </c>
      <c r="B28" s="12" t="s">
        <v>57</v>
      </c>
      <c r="C28" s="12" t="s">
        <v>59</v>
      </c>
      <c r="D28" s="13">
        <v>30.41</v>
      </c>
      <c r="E28" s="14">
        <v>24</v>
      </c>
      <c r="F28" s="15" t="s">
        <v>32</v>
      </c>
      <c r="G28" s="13">
        <v>729.84</v>
      </c>
      <c r="H28" s="16" t="s">
        <v>15</v>
      </c>
      <c r="I28" s="17">
        <v>0.15</v>
      </c>
      <c r="J28" s="18" t="s">
        <v>16</v>
      </c>
      <c r="K28" s="1" t="s">
        <v>17</v>
      </c>
      <c r="L28" s="1" t="s">
        <v>17</v>
      </c>
    </row>
    <row r="29" ht="12" customHeight="1" spans="1:12" x14ac:dyDescent="0.25">
      <c r="A29" s="19">
        <v>26</v>
      </c>
      <c r="B29" s="12" t="s">
        <v>60</v>
      </c>
      <c r="C29" s="12" t="s">
        <v>61</v>
      </c>
      <c r="D29" s="13">
        <v>1.15</v>
      </c>
      <c r="E29" s="14">
        <v>500</v>
      </c>
      <c r="F29" s="15" t="s">
        <v>32</v>
      </c>
      <c r="G29" s="13">
        <v>575</v>
      </c>
      <c r="H29" s="16" t="s">
        <v>15</v>
      </c>
      <c r="I29" s="17">
        <v>3.18</v>
      </c>
      <c r="J29" s="18" t="s">
        <v>16</v>
      </c>
      <c r="K29" s="1" t="s">
        <v>17</v>
      </c>
      <c r="L29" s="1" t="s">
        <v>17</v>
      </c>
    </row>
    <row r="30" ht="12" customHeight="1" spans="1:12" x14ac:dyDescent="0.25">
      <c r="A30" s="19">
        <v>27</v>
      </c>
      <c r="B30" s="12" t="s">
        <v>62</v>
      </c>
      <c r="C30" s="12" t="s">
        <v>63</v>
      </c>
      <c r="D30" s="13">
        <v>11.76</v>
      </c>
      <c r="E30" s="14">
        <v>20</v>
      </c>
      <c r="F30" s="15" t="s">
        <v>46</v>
      </c>
      <c r="G30" s="13">
        <v>235.2</v>
      </c>
      <c r="H30" s="16" t="s">
        <v>15</v>
      </c>
      <c r="I30" s="17">
        <v>0.13</v>
      </c>
      <c r="J30" s="18" t="s">
        <v>16</v>
      </c>
      <c r="K30" s="1" t="s">
        <v>17</v>
      </c>
      <c r="L30" s="1" t="s">
        <v>17</v>
      </c>
    </row>
    <row r="31" ht="12" customHeight="1" spans="1:12" x14ac:dyDescent="0.25">
      <c r="A31" s="19">
        <v>28</v>
      </c>
      <c r="B31" s="12" t="s">
        <v>39</v>
      </c>
      <c r="C31" s="12" t="s">
        <v>64</v>
      </c>
      <c r="D31" s="13">
        <v>0.01</v>
      </c>
      <c r="E31" s="14">
        <v>19200</v>
      </c>
      <c r="F31" s="15" t="s">
        <v>32</v>
      </c>
      <c r="G31" s="13">
        <v>192</v>
      </c>
      <c r="H31" s="16" t="s">
        <v>15</v>
      </c>
      <c r="I31" s="17">
        <v>121.99</v>
      </c>
      <c r="J31" s="18" t="s">
        <v>16</v>
      </c>
      <c r="K31" s="1" t="s">
        <v>17</v>
      </c>
      <c r="L31" s="1" t="s">
        <v>17</v>
      </c>
    </row>
    <row r="32" ht="12" customHeight="1" spans="1:12" x14ac:dyDescent="0.25">
      <c r="A32" s="19">
        <v>29</v>
      </c>
      <c r="B32" s="12" t="s">
        <v>65</v>
      </c>
      <c r="C32" s="12" t="s">
        <v>66</v>
      </c>
      <c r="D32" s="13">
        <v>0.01</v>
      </c>
      <c r="E32" s="14">
        <v>4833</v>
      </c>
      <c r="F32" s="15" t="s">
        <v>32</v>
      </c>
      <c r="G32" s="13">
        <v>48.33</v>
      </c>
      <c r="H32" s="16" t="s">
        <v>15</v>
      </c>
      <c r="I32" s="17">
        <v>30.71</v>
      </c>
      <c r="J32" s="18" t="s">
        <v>16</v>
      </c>
      <c r="K32" s="1" t="s">
        <v>17</v>
      </c>
      <c r="L32" s="1" t="s">
        <v>17</v>
      </c>
    </row>
    <row r="33" ht="12" customHeight="1" spans="1:12" x14ac:dyDescent="0.25">
      <c r="A33" s="19">
        <v>30</v>
      </c>
      <c r="B33" s="12" t="s">
        <v>39</v>
      </c>
      <c r="C33" s="12" t="s">
        <v>67</v>
      </c>
      <c r="D33" s="13">
        <v>0.01</v>
      </c>
      <c r="E33" s="14">
        <v>4814</v>
      </c>
      <c r="F33" s="15" t="s">
        <v>32</v>
      </c>
      <c r="G33" s="13">
        <v>48.14</v>
      </c>
      <c r="H33" s="16" t="s">
        <v>15</v>
      </c>
      <c r="I33" s="17">
        <v>30.59</v>
      </c>
      <c r="J33" s="18" t="s">
        <v>16</v>
      </c>
      <c r="K33" s="1" t="s">
        <v>17</v>
      </c>
      <c r="L33" s="1" t="s">
        <v>17</v>
      </c>
    </row>
    <row r="34" ht="12" customHeight="1" spans="1:12" x14ac:dyDescent="0.25">
      <c r="A34" s="19">
        <v>31</v>
      </c>
      <c r="B34" s="12" t="s">
        <v>39</v>
      </c>
      <c r="C34" s="12" t="s">
        <v>68</v>
      </c>
      <c r="D34" s="13">
        <v>0.03</v>
      </c>
      <c r="E34" s="14">
        <v>2239</v>
      </c>
      <c r="F34" s="15" t="s">
        <v>32</v>
      </c>
      <c r="G34" s="13">
        <v>67.17</v>
      </c>
      <c r="H34" s="16" t="s">
        <v>15</v>
      </c>
      <c r="I34" s="17">
        <v>14.22</v>
      </c>
      <c r="J34" s="18" t="s">
        <v>16</v>
      </c>
      <c r="K34" s="1" t="s">
        <v>17</v>
      </c>
      <c r="L34" s="1" t="s">
        <v>17</v>
      </c>
    </row>
    <row r="35" ht="12" customHeight="1" spans="1:12" x14ac:dyDescent="0.25">
      <c r="A35" s="19">
        <v>32</v>
      </c>
      <c r="B35" s="12" t="s">
        <v>69</v>
      </c>
      <c r="C35" s="12" t="s">
        <v>70</v>
      </c>
      <c r="D35" s="13">
        <v>0.04</v>
      </c>
      <c r="E35" s="14">
        <v>3068</v>
      </c>
      <c r="F35" s="15" t="s">
        <v>32</v>
      </c>
      <c r="G35" s="13">
        <v>122.72</v>
      </c>
      <c r="H35" s="16" t="s">
        <v>15</v>
      </c>
      <c r="I35" s="17">
        <v>19.49</v>
      </c>
      <c r="J35" s="18" t="s">
        <v>16</v>
      </c>
      <c r="K35" s="1" t="s">
        <v>17</v>
      </c>
      <c r="L35" s="1" t="s">
        <v>17</v>
      </c>
    </row>
    <row r="36" ht="12" customHeight="1" spans="1:12" x14ac:dyDescent="0.25">
      <c r="A36" s="19">
        <v>33</v>
      </c>
      <c r="B36" s="12" t="s">
        <v>39</v>
      </c>
      <c r="C36" s="12" t="s">
        <v>71</v>
      </c>
      <c r="D36" s="13">
        <v>0.01</v>
      </c>
      <c r="E36" s="14">
        <v>3200</v>
      </c>
      <c r="F36" s="15" t="s">
        <v>32</v>
      </c>
      <c r="G36" s="13">
        <v>32</v>
      </c>
      <c r="H36" s="16" t="s">
        <v>15</v>
      </c>
      <c r="I36" s="17">
        <v>20.33</v>
      </c>
      <c r="J36" s="18" t="s">
        <v>16</v>
      </c>
      <c r="K36" s="1" t="s">
        <v>17</v>
      </c>
      <c r="L36" s="1" t="s">
        <v>17</v>
      </c>
    </row>
    <row r="37" ht="12" customHeight="1" spans="1:12" x14ac:dyDescent="0.25">
      <c r="A37" s="19">
        <v>34</v>
      </c>
      <c r="B37" s="12" t="s">
        <v>34</v>
      </c>
      <c r="C37" s="12" t="s">
        <v>72</v>
      </c>
      <c r="D37" s="13">
        <v>0.11</v>
      </c>
      <c r="E37" s="14">
        <v>3510</v>
      </c>
      <c r="F37" s="15" t="s">
        <v>46</v>
      </c>
      <c r="G37" s="13">
        <v>386.1</v>
      </c>
      <c r="H37" s="16" t="s">
        <v>15</v>
      </c>
      <c r="I37" s="17">
        <v>22.31</v>
      </c>
      <c r="J37" s="18" t="s">
        <v>16</v>
      </c>
      <c r="K37" s="1" t="s">
        <v>17</v>
      </c>
      <c r="L37" s="1" t="s">
        <v>17</v>
      </c>
    </row>
    <row r="38" ht="12" customHeight="1" spans="1:12" x14ac:dyDescent="0.25">
      <c r="A38" s="19">
        <v>35</v>
      </c>
      <c r="B38" s="12" t="s">
        <v>41</v>
      </c>
      <c r="C38" s="12" t="s">
        <v>73</v>
      </c>
      <c r="D38" s="13">
        <v>0.02</v>
      </c>
      <c r="E38" s="14">
        <v>5299</v>
      </c>
      <c r="F38" s="15" t="s">
        <v>32</v>
      </c>
      <c r="G38" s="13">
        <v>105.98</v>
      </c>
      <c r="H38" s="16" t="s">
        <v>15</v>
      </c>
      <c r="I38" s="17">
        <v>33.66</v>
      </c>
      <c r="J38" s="18" t="s">
        <v>16</v>
      </c>
      <c r="K38" s="1" t="s">
        <v>17</v>
      </c>
      <c r="L38" s="1" t="s">
        <v>17</v>
      </c>
    </row>
    <row r="39" ht="12" customHeight="1" spans="1:12" x14ac:dyDescent="0.25">
      <c r="A39" s="19">
        <v>36</v>
      </c>
      <c r="B39" s="12" t="s">
        <v>74</v>
      </c>
      <c r="C39" s="12" t="s">
        <v>75</v>
      </c>
      <c r="D39" s="13">
        <v>0.38</v>
      </c>
      <c r="E39" s="14">
        <v>520</v>
      </c>
      <c r="F39" s="15" t="s">
        <v>32</v>
      </c>
      <c r="G39" s="13">
        <v>197.6</v>
      </c>
      <c r="H39" s="16" t="s">
        <v>15</v>
      </c>
      <c r="I39" s="17">
        <v>3.3</v>
      </c>
      <c r="J39" s="18" t="s">
        <v>16</v>
      </c>
      <c r="K39" s="1" t="s">
        <v>17</v>
      </c>
      <c r="L39" s="1" t="s">
        <v>17</v>
      </c>
    </row>
    <row r="40" ht="12" customHeight="1" spans="1:12" x14ac:dyDescent="0.25">
      <c r="A40" s="19">
        <v>37</v>
      </c>
      <c r="B40" s="12" t="s">
        <v>34</v>
      </c>
      <c r="C40" s="12" t="s">
        <v>76</v>
      </c>
      <c r="D40" s="13">
        <v>0.01</v>
      </c>
      <c r="E40" s="14">
        <v>22498</v>
      </c>
      <c r="F40" s="15" t="s">
        <v>32</v>
      </c>
      <c r="G40" s="13">
        <v>224.98</v>
      </c>
      <c r="H40" s="16" t="s">
        <v>15</v>
      </c>
      <c r="I40" s="17">
        <v>142.94</v>
      </c>
      <c r="J40" s="18" t="s">
        <v>16</v>
      </c>
      <c r="K40" s="1" t="s">
        <v>17</v>
      </c>
      <c r="L40" s="1" t="s">
        <v>17</v>
      </c>
    </row>
    <row r="41" ht="12" customHeight="1" spans="1:12" x14ac:dyDescent="0.25">
      <c r="A41" s="19">
        <v>38</v>
      </c>
      <c r="B41" s="12" t="s">
        <v>34</v>
      </c>
      <c r="C41" s="12" t="s">
        <v>77</v>
      </c>
      <c r="D41" s="13">
        <v>0.01</v>
      </c>
      <c r="E41" s="14">
        <v>79444</v>
      </c>
      <c r="F41" s="15" t="s">
        <v>32</v>
      </c>
      <c r="G41" s="13">
        <v>794.44</v>
      </c>
      <c r="H41" s="16" t="s">
        <v>15</v>
      </c>
      <c r="I41" s="17">
        <v>504.76</v>
      </c>
      <c r="J41" s="18" t="s">
        <v>16</v>
      </c>
      <c r="K41" s="1" t="s">
        <v>17</v>
      </c>
      <c r="L41" s="1" t="s">
        <v>17</v>
      </c>
    </row>
    <row r="42" ht="12" customHeight="1" spans="1:12" x14ac:dyDescent="0.25">
      <c r="A42" s="19">
        <v>39</v>
      </c>
      <c r="B42" s="12" t="s">
        <v>34</v>
      </c>
      <c r="C42" s="12" t="s">
        <v>78</v>
      </c>
      <c r="D42" s="13">
        <v>0.01</v>
      </c>
      <c r="E42" s="14">
        <v>2020</v>
      </c>
      <c r="F42" s="15" t="s">
        <v>32</v>
      </c>
      <c r="G42" s="13">
        <v>20.2</v>
      </c>
      <c r="H42" s="16" t="s">
        <v>15</v>
      </c>
      <c r="I42" s="17">
        <v>12.83</v>
      </c>
      <c r="J42" s="18" t="s">
        <v>16</v>
      </c>
      <c r="K42" s="1" t="s">
        <v>17</v>
      </c>
      <c r="L42" s="1" t="s">
        <v>17</v>
      </c>
    </row>
    <row r="43" ht="12" customHeight="1" spans="1:12" x14ac:dyDescent="0.25">
      <c r="A43" s="19">
        <v>40</v>
      </c>
      <c r="B43" s="12" t="s">
        <v>47</v>
      </c>
      <c r="C43" s="12" t="s">
        <v>79</v>
      </c>
      <c r="D43" s="13">
        <v>0.11</v>
      </c>
      <c r="E43" s="14">
        <v>12600</v>
      </c>
      <c r="F43" s="15" t="s">
        <v>32</v>
      </c>
      <c r="G43" s="13">
        <v>1386</v>
      </c>
      <c r="H43" s="16" t="s">
        <v>15</v>
      </c>
      <c r="I43" s="17">
        <v>80.06</v>
      </c>
      <c r="J43" s="18" t="s">
        <v>16</v>
      </c>
      <c r="K43" s="1" t="s">
        <v>17</v>
      </c>
      <c r="L43" s="1" t="s">
        <v>17</v>
      </c>
    </row>
    <row r="44" ht="12" customHeight="1" spans="1:12" x14ac:dyDescent="0.25">
      <c r="A44" s="19">
        <v>41</v>
      </c>
      <c r="B44" s="12" t="s">
        <v>80</v>
      </c>
      <c r="C44" s="12" t="s">
        <v>81</v>
      </c>
      <c r="D44" s="13">
        <v>3.83</v>
      </c>
      <c r="E44" s="14">
        <v>30</v>
      </c>
      <c r="F44" s="15" t="s">
        <v>82</v>
      </c>
      <c r="G44" s="13">
        <v>114.9</v>
      </c>
      <c r="H44" s="16" t="s">
        <v>15</v>
      </c>
      <c r="I44" s="17">
        <v>0.19</v>
      </c>
      <c r="J44" s="18" t="s">
        <v>16</v>
      </c>
      <c r="K44" s="1" t="s">
        <v>17</v>
      </c>
      <c r="L44" s="1" t="s">
        <v>17</v>
      </c>
    </row>
    <row r="45" ht="12" customHeight="1" spans="1:12" x14ac:dyDescent="0.25">
      <c r="A45" s="19">
        <v>42</v>
      </c>
      <c r="B45" s="12" t="s">
        <v>80</v>
      </c>
      <c r="C45" s="12" t="s">
        <v>83</v>
      </c>
      <c r="D45" s="13">
        <v>5.41</v>
      </c>
      <c r="E45" s="14">
        <v>30</v>
      </c>
      <c r="F45" s="15" t="s">
        <v>82</v>
      </c>
      <c r="G45" s="13">
        <v>162.3</v>
      </c>
      <c r="H45" s="16" t="s">
        <v>15</v>
      </c>
      <c r="I45" s="17">
        <v>0.19</v>
      </c>
      <c r="J45" s="18" t="s">
        <v>16</v>
      </c>
      <c r="K45" s="1" t="s">
        <v>17</v>
      </c>
      <c r="L45" s="1" t="s">
        <v>17</v>
      </c>
    </row>
    <row r="46" ht="12" customHeight="1" spans="1:12" x14ac:dyDescent="0.25">
      <c r="A46" s="19">
        <v>43</v>
      </c>
      <c r="B46" s="12" t="s">
        <v>39</v>
      </c>
      <c r="C46" s="12" t="s">
        <v>84</v>
      </c>
      <c r="D46" s="13">
        <v>0.01</v>
      </c>
      <c r="E46" s="14">
        <v>3091</v>
      </c>
      <c r="F46" s="15" t="s">
        <v>32</v>
      </c>
      <c r="G46" s="13">
        <v>30.91</v>
      </c>
      <c r="H46" s="16" t="s">
        <v>15</v>
      </c>
      <c r="I46" s="17">
        <v>19.64</v>
      </c>
      <c r="J46" s="18" t="s">
        <v>16</v>
      </c>
      <c r="K46" s="1" t="s">
        <v>17</v>
      </c>
      <c r="L46" s="1" t="s">
        <v>17</v>
      </c>
    </row>
    <row r="47" ht="12" customHeight="1" spans="1:12" x14ac:dyDescent="0.25">
      <c r="A47" s="19">
        <v>44</v>
      </c>
      <c r="B47" s="12" t="s">
        <v>47</v>
      </c>
      <c r="C47" s="12" t="s">
        <v>85</v>
      </c>
      <c r="D47" s="13">
        <v>0.137</v>
      </c>
      <c r="E47" s="14">
        <v>13290</v>
      </c>
      <c r="F47" s="15" t="s">
        <v>32</v>
      </c>
      <c r="G47" s="13">
        <v>1820.73</v>
      </c>
      <c r="H47" s="16" t="s">
        <v>15</v>
      </c>
      <c r="I47" s="17">
        <v>84.44</v>
      </c>
      <c r="J47" s="18" t="s">
        <v>16</v>
      </c>
      <c r="K47" s="1" t="s">
        <v>17</v>
      </c>
      <c r="L47" s="1" t="s">
        <v>17</v>
      </c>
    </row>
    <row r="48" ht="12" customHeight="1" spans="1:12" x14ac:dyDescent="0.25">
      <c r="A48" s="19">
        <v>45</v>
      </c>
      <c r="B48" s="12" t="s">
        <v>86</v>
      </c>
      <c r="C48" s="12" t="s">
        <v>87</v>
      </c>
      <c r="D48" s="13">
        <v>0.03</v>
      </c>
      <c r="E48" s="14">
        <v>24468</v>
      </c>
      <c r="F48" s="15" t="s">
        <v>82</v>
      </c>
      <c r="G48" s="13">
        <v>734.04</v>
      </c>
      <c r="H48" s="16" t="s">
        <v>15</v>
      </c>
      <c r="I48" s="17">
        <v>155.46</v>
      </c>
      <c r="J48" s="18" t="s">
        <v>16</v>
      </c>
      <c r="K48" s="1" t="s">
        <v>17</v>
      </c>
      <c r="L48" s="1" t="s">
        <v>17</v>
      </c>
    </row>
    <row r="49" ht="12" customHeight="1" spans="1:12" x14ac:dyDescent="0.25">
      <c r="A49" s="19">
        <v>46</v>
      </c>
      <c r="B49" s="12" t="s">
        <v>47</v>
      </c>
      <c r="C49" s="12" t="s">
        <v>88</v>
      </c>
      <c r="D49" s="13">
        <v>0.1373</v>
      </c>
      <c r="E49" s="14">
        <v>13250</v>
      </c>
      <c r="F49" s="15" t="s">
        <v>32</v>
      </c>
      <c r="G49" s="13">
        <v>1819.23</v>
      </c>
      <c r="H49" s="16" t="s">
        <v>15</v>
      </c>
      <c r="I49" s="17">
        <v>84.18</v>
      </c>
      <c r="J49" s="18" t="s">
        <v>16</v>
      </c>
      <c r="K49" s="1" t="s">
        <v>17</v>
      </c>
      <c r="L49" s="1" t="s">
        <v>17</v>
      </c>
    </row>
    <row r="50" ht="12" customHeight="1" spans="1:12" x14ac:dyDescent="0.25">
      <c r="A50" s="19">
        <v>47</v>
      </c>
      <c r="B50" s="12" t="s">
        <v>89</v>
      </c>
      <c r="C50" s="12" t="s">
        <v>90</v>
      </c>
      <c r="D50" s="13">
        <v>0.2034</v>
      </c>
      <c r="E50" s="14">
        <v>9600</v>
      </c>
      <c r="F50" s="15" t="s">
        <v>32</v>
      </c>
      <c r="G50" s="13">
        <v>1952.64</v>
      </c>
      <c r="H50" s="16" t="s">
        <v>15</v>
      </c>
      <c r="I50" s="17">
        <v>60.99</v>
      </c>
      <c r="J50" s="18" t="s">
        <v>16</v>
      </c>
      <c r="K50" s="1" t="s">
        <v>17</v>
      </c>
      <c r="L50" s="1" t="s">
        <v>17</v>
      </c>
    </row>
    <row r="51" ht="12" customHeight="1" spans="1:12" x14ac:dyDescent="0.25">
      <c r="A51" s="19">
        <v>48</v>
      </c>
      <c r="B51" s="12" t="s">
        <v>91</v>
      </c>
      <c r="C51" s="12" t="s">
        <v>92</v>
      </c>
      <c r="D51" s="13">
        <v>0.2574</v>
      </c>
      <c r="E51" s="14">
        <v>19268</v>
      </c>
      <c r="F51" s="15" t="s">
        <v>32</v>
      </c>
      <c r="G51" s="13">
        <v>4959.58</v>
      </c>
      <c r="H51" s="16" t="s">
        <v>15</v>
      </c>
      <c r="I51" s="17">
        <v>122.41</v>
      </c>
      <c r="J51" s="18" t="s">
        <v>16</v>
      </c>
      <c r="K51" s="1" t="s">
        <v>17</v>
      </c>
      <c r="L51" s="1" t="s">
        <v>17</v>
      </c>
    </row>
    <row r="52" ht="12" customHeight="1" spans="1:12" x14ac:dyDescent="0.25">
      <c r="A52" s="19">
        <v>49</v>
      </c>
      <c r="B52" s="12" t="s">
        <v>93</v>
      </c>
      <c r="C52" s="12" t="s">
        <v>94</v>
      </c>
      <c r="D52" s="13">
        <v>114.88</v>
      </c>
      <c r="E52" s="14">
        <v>25</v>
      </c>
      <c r="F52" s="15" t="s">
        <v>95</v>
      </c>
      <c r="G52" s="13">
        <v>2872</v>
      </c>
      <c r="H52" s="16" t="s">
        <v>15</v>
      </c>
      <c r="I52" s="17">
        <v>0.14999999999889457</v>
      </c>
      <c r="J52" s="18" t="s">
        <v>16</v>
      </c>
      <c r="K52" s="1" t="s">
        <v>17</v>
      </c>
      <c r="L52" s="1" t="s">
        <v>17</v>
      </c>
    </row>
    <row r="53" ht="12.75" customHeight="1" spans="1:11" x14ac:dyDescent="0.25">
      <c r="A53" s="20"/>
      <c r="B53" s="21" t="s">
        <v>96</v>
      </c>
      <c r="C53" s="21"/>
      <c r="D53" s="22"/>
      <c r="E53" s="23">
        <f>=SUM(E4:E52)</f>
      </c>
      <c r="F53" s="24"/>
      <c r="G53" s="25">
        <f>=SUM(G4:G52)</f>
      </c>
      <c r="H53" s="26"/>
      <c r="I53" s="27">
        <f>=SUM(I4:I52)</f>
      </c>
      <c r="J53" s="18" t="s">
        <v>16</v>
      </c>
      <c r="K53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97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98</v>
      </c>
      <c r="B3" s="31" t="s">
        <v>99</v>
      </c>
      <c r="C3" s="32" t="s">
        <v>100</v>
      </c>
      <c r="D3" s="33" t="s">
        <v>101</v>
      </c>
      <c r="E3" s="32" t="s">
        <v>102</v>
      </c>
      <c r="F3" s="34" t="s">
        <v>103</v>
      </c>
      <c r="G3" s="34" t="s">
        <v>104</v>
      </c>
      <c r="H3" s="34" t="s">
        <v>105</v>
      </c>
      <c r="I3" s="34" t="s">
        <v>106</v>
      </c>
    </row>
    <row r="4" ht="12.75" customHeight="1" spans="1:9" x14ac:dyDescent="0.25">
      <c r="A4" s="35" t="s">
        <v>107</v>
      </c>
      <c r="B4" s="35" t="s">
        <v>70</v>
      </c>
      <c r="C4" s="36" t="s">
        <v>108</v>
      </c>
      <c r="D4" s="37" t="s">
        <v>109</v>
      </c>
      <c r="E4" s="38" t="s">
        <v>32</v>
      </c>
      <c r="F4" s="39">
        <v>93</v>
      </c>
      <c r="G4" s="40">
        <v>1</v>
      </c>
      <c r="H4" s="41" t="s">
        <v>110</v>
      </c>
      <c r="I4" s="41" t="s">
        <v>17</v>
      </c>
    </row>
    <row r="5" ht="12.75" customHeight="1" spans="1:9" x14ac:dyDescent="0.25">
      <c r="A5" s="35" t="s">
        <v>107</v>
      </c>
      <c r="B5" s="35" t="s">
        <v>70</v>
      </c>
      <c r="C5" s="36" t="s">
        <v>108</v>
      </c>
      <c r="D5" s="37" t="s">
        <v>111</v>
      </c>
      <c r="E5" s="38" t="s">
        <v>32</v>
      </c>
      <c r="F5" s="39">
        <v>273</v>
      </c>
      <c r="G5" s="40"/>
      <c r="H5" s="41"/>
      <c r="I5" s="41"/>
    </row>
    <row r="6" ht="12.75" customHeight="1" spans="1:9" x14ac:dyDescent="0.25">
      <c r="A6" s="35" t="s">
        <v>107</v>
      </c>
      <c r="B6" s="35" t="s">
        <v>70</v>
      </c>
      <c r="C6" s="36" t="s">
        <v>108</v>
      </c>
      <c r="D6" s="37" t="s">
        <v>112</v>
      </c>
      <c r="E6" s="38" t="s">
        <v>32</v>
      </c>
      <c r="F6" s="39">
        <v>389</v>
      </c>
      <c r="G6" s="40"/>
      <c r="H6" s="41"/>
      <c r="I6" s="41"/>
    </row>
    <row r="7" ht="12.75" customHeight="1" spans="1:9" x14ac:dyDescent="0.25">
      <c r="A7" s="35" t="s">
        <v>107</v>
      </c>
      <c r="B7" s="35" t="s">
        <v>70</v>
      </c>
      <c r="C7" s="36" t="s">
        <v>108</v>
      </c>
      <c r="D7" s="37" t="s">
        <v>113</v>
      </c>
      <c r="E7" s="38" t="s">
        <v>32</v>
      </c>
      <c r="F7" s="39">
        <v>709</v>
      </c>
      <c r="G7" s="40"/>
      <c r="H7" s="41"/>
      <c r="I7" s="41"/>
    </row>
    <row r="8" ht="12.75" customHeight="1" spans="1:9" x14ac:dyDescent="0.25">
      <c r="A8" s="35" t="s">
        <v>107</v>
      </c>
      <c r="B8" s="35" t="s">
        <v>70</v>
      </c>
      <c r="C8" s="36" t="s">
        <v>108</v>
      </c>
      <c r="D8" s="37" t="s">
        <v>114</v>
      </c>
      <c r="E8" s="38" t="s">
        <v>32</v>
      </c>
      <c r="F8" s="39">
        <v>713</v>
      </c>
      <c r="G8" s="40"/>
      <c r="H8" s="41"/>
      <c r="I8" s="41"/>
    </row>
    <row r="9" ht="12.75" customHeight="1" spans="1:9" x14ac:dyDescent="0.25">
      <c r="A9" s="35" t="s">
        <v>107</v>
      </c>
      <c r="B9" s="35" t="s">
        <v>70</v>
      </c>
      <c r="C9" s="36" t="s">
        <v>108</v>
      </c>
      <c r="D9" s="37" t="s">
        <v>115</v>
      </c>
      <c r="E9" s="38" t="s">
        <v>32</v>
      </c>
      <c r="F9" s="39">
        <v>891</v>
      </c>
      <c r="G9" s="40"/>
      <c r="H9" s="41"/>
      <c r="I9" s="41"/>
    </row>
    <row r="10" ht="12.75" customHeight="1" spans="1:9" x14ac:dyDescent="0.25">
      <c r="A10" s="35" t="s">
        <v>116</v>
      </c>
      <c r="B10" s="35" t="s">
        <v>92</v>
      </c>
      <c r="C10" s="36" t="s">
        <v>117</v>
      </c>
      <c r="D10" s="37" t="s">
        <v>118</v>
      </c>
      <c r="E10" s="38" t="s">
        <v>32</v>
      </c>
      <c r="F10" s="39">
        <v>4220</v>
      </c>
      <c r="G10" s="40">
        <v>47</v>
      </c>
      <c r="H10" s="41" t="s">
        <v>119</v>
      </c>
      <c r="I10" s="41" t="s">
        <v>120</v>
      </c>
    </row>
    <row r="11" ht="12.75" customHeight="1" spans="1:9" x14ac:dyDescent="0.25">
      <c r="A11" s="35" t="s">
        <v>116</v>
      </c>
      <c r="B11" s="35" t="s">
        <v>92</v>
      </c>
      <c r="C11" s="36" t="s">
        <v>117</v>
      </c>
      <c r="D11" s="37" t="s">
        <v>118</v>
      </c>
      <c r="E11" s="38" t="s">
        <v>32</v>
      </c>
      <c r="F11" s="39">
        <v>8438</v>
      </c>
      <c r="G11" s="40"/>
      <c r="H11" s="41"/>
      <c r="I11" s="41"/>
    </row>
    <row r="12" ht="12.75" customHeight="1" spans="1:9" x14ac:dyDescent="0.25">
      <c r="A12" s="35" t="s">
        <v>116</v>
      </c>
      <c r="B12" s="35" t="s">
        <v>92</v>
      </c>
      <c r="C12" s="36" t="s">
        <v>117</v>
      </c>
      <c r="D12" s="37" t="s">
        <v>121</v>
      </c>
      <c r="E12" s="38" t="s">
        <v>32</v>
      </c>
      <c r="F12" s="39">
        <v>424</v>
      </c>
      <c r="G12" s="40"/>
      <c r="H12" s="41"/>
      <c r="I12" s="41"/>
    </row>
    <row r="13" ht="12.75" customHeight="1" spans="1:9" x14ac:dyDescent="0.25">
      <c r="A13" s="35" t="s">
        <v>116</v>
      </c>
      <c r="B13" s="35" t="s">
        <v>92</v>
      </c>
      <c r="C13" s="36" t="s">
        <v>117</v>
      </c>
      <c r="D13" s="37" t="s">
        <v>118</v>
      </c>
      <c r="E13" s="38" t="s">
        <v>32</v>
      </c>
      <c r="F13" s="39">
        <v>2126</v>
      </c>
      <c r="G13" s="40"/>
      <c r="H13" s="41"/>
      <c r="I13" s="41"/>
    </row>
    <row r="14" ht="12.75" customHeight="1" spans="1:9" x14ac:dyDescent="0.25">
      <c r="A14" s="35" t="s">
        <v>116</v>
      </c>
      <c r="B14" s="35" t="s">
        <v>92</v>
      </c>
      <c r="C14" s="36" t="s">
        <v>117</v>
      </c>
      <c r="D14" s="37" t="s">
        <v>118</v>
      </c>
      <c r="E14" s="38" t="s">
        <v>32</v>
      </c>
      <c r="F14" s="39">
        <v>3186</v>
      </c>
      <c r="G14" s="40"/>
      <c r="H14" s="41"/>
      <c r="I14" s="41"/>
    </row>
    <row r="15" ht="12.75" customHeight="1" spans="1:9" x14ac:dyDescent="0.25">
      <c r="A15" s="35" t="s">
        <v>116</v>
      </c>
      <c r="B15" s="35" t="s">
        <v>92</v>
      </c>
      <c r="C15" s="36" t="s">
        <v>117</v>
      </c>
      <c r="D15" s="37" t="s">
        <v>118</v>
      </c>
      <c r="E15" s="38" t="s">
        <v>32</v>
      </c>
      <c r="F15" s="39">
        <v>874</v>
      </c>
      <c r="G15" s="40"/>
      <c r="H15" s="41"/>
      <c r="I15" s="41"/>
    </row>
    <row r="16" ht="12.75" customHeight="1" spans="1:9" x14ac:dyDescent="0.25">
      <c r="A16" s="35" t="s">
        <v>122</v>
      </c>
      <c r="B16" s="35" t="s">
        <v>81</v>
      </c>
      <c r="C16" s="36" t="s">
        <v>123</v>
      </c>
      <c r="D16" s="37" t="s">
        <v>124</v>
      </c>
      <c r="E16" s="38" t="s">
        <v>82</v>
      </c>
      <c r="F16" s="39">
        <v>30</v>
      </c>
      <c r="G16" s="40">
        <v>2</v>
      </c>
      <c r="H16" s="41" t="s">
        <v>125</v>
      </c>
      <c r="I16" s="41" t="s">
        <v>17</v>
      </c>
    </row>
    <row r="17" ht="12.75" customHeight="1" spans="1:9" x14ac:dyDescent="0.25">
      <c r="A17" s="35" t="s">
        <v>122</v>
      </c>
      <c r="B17" s="35" t="s">
        <v>83</v>
      </c>
      <c r="C17" s="36" t="s">
        <v>123</v>
      </c>
      <c r="D17" s="37" t="s">
        <v>124</v>
      </c>
      <c r="E17" s="38" t="s">
        <v>82</v>
      </c>
      <c r="F17" s="39">
        <v>30</v>
      </c>
      <c r="G17" s="40"/>
      <c r="H17" s="41"/>
      <c r="I17" s="41"/>
    </row>
    <row r="18" ht="12.75" customHeight="1" spans="1:9" x14ac:dyDescent="0.25">
      <c r="A18" s="35" t="s">
        <v>126</v>
      </c>
      <c r="B18" s="35" t="s">
        <v>72</v>
      </c>
      <c r="C18" s="36" t="s">
        <v>108</v>
      </c>
      <c r="D18" s="37" t="s">
        <v>127</v>
      </c>
      <c r="E18" s="38" t="s">
        <v>46</v>
      </c>
      <c r="F18" s="39">
        <v>102</v>
      </c>
      <c r="G18" s="40">
        <v>2</v>
      </c>
      <c r="H18" s="41" t="s">
        <v>119</v>
      </c>
      <c r="I18" s="41" t="s">
        <v>128</v>
      </c>
    </row>
    <row r="19" ht="12.75" customHeight="1" spans="1:9" x14ac:dyDescent="0.25">
      <c r="A19" s="35" t="s">
        <v>126</v>
      </c>
      <c r="B19" s="35" t="s">
        <v>72</v>
      </c>
      <c r="C19" s="36" t="s">
        <v>108</v>
      </c>
      <c r="D19" s="37" t="s">
        <v>127</v>
      </c>
      <c r="E19" s="38" t="s">
        <v>46</v>
      </c>
      <c r="F19" s="39">
        <v>1196</v>
      </c>
      <c r="G19" s="40"/>
      <c r="H19" s="41"/>
      <c r="I19" s="41"/>
    </row>
    <row r="20" ht="12.75" customHeight="1" spans="1:9" x14ac:dyDescent="0.25">
      <c r="A20" s="35" t="s">
        <v>126</v>
      </c>
      <c r="B20" s="35" t="s">
        <v>75</v>
      </c>
      <c r="C20" s="36" t="s">
        <v>129</v>
      </c>
      <c r="D20" s="37" t="s">
        <v>130</v>
      </c>
      <c r="E20" s="38" t="s">
        <v>32</v>
      </c>
      <c r="F20" s="39">
        <v>3</v>
      </c>
      <c r="G20" s="40"/>
      <c r="H20" s="41"/>
      <c r="I20" s="41"/>
    </row>
    <row r="21" ht="12.75" customHeight="1" spans="1:9" x14ac:dyDescent="0.25">
      <c r="A21" s="35" t="s">
        <v>126</v>
      </c>
      <c r="B21" s="35" t="s">
        <v>75</v>
      </c>
      <c r="C21" s="36" t="s">
        <v>131</v>
      </c>
      <c r="D21" s="37" t="s">
        <v>130</v>
      </c>
      <c r="E21" s="38" t="s">
        <v>32</v>
      </c>
      <c r="F21" s="39">
        <v>3</v>
      </c>
      <c r="G21" s="40"/>
      <c r="H21" s="41"/>
      <c r="I21" s="41"/>
    </row>
    <row r="22" ht="12.75" customHeight="1" spans="1:9" x14ac:dyDescent="0.25">
      <c r="A22" s="35" t="s">
        <v>126</v>
      </c>
      <c r="B22" s="35" t="s">
        <v>75</v>
      </c>
      <c r="C22" s="36" t="s">
        <v>131</v>
      </c>
      <c r="D22" s="37" t="s">
        <v>130</v>
      </c>
      <c r="E22" s="38" t="s">
        <v>32</v>
      </c>
      <c r="F22" s="39">
        <v>206</v>
      </c>
      <c r="G22" s="40"/>
      <c r="H22" s="41"/>
      <c r="I22" s="41"/>
    </row>
    <row r="23" ht="12.75" customHeight="1" spans="1:9" x14ac:dyDescent="0.25">
      <c r="A23" s="35" t="s">
        <v>126</v>
      </c>
      <c r="B23" s="35" t="s">
        <v>75</v>
      </c>
      <c r="C23" s="36" t="s">
        <v>129</v>
      </c>
      <c r="D23" s="37" t="s">
        <v>130</v>
      </c>
      <c r="E23" s="38" t="s">
        <v>32</v>
      </c>
      <c r="F23" s="39">
        <v>308</v>
      </c>
      <c r="G23" s="40"/>
      <c r="H23" s="41"/>
      <c r="I23" s="41"/>
    </row>
    <row r="24" ht="12.75" customHeight="1" spans="1:9" x14ac:dyDescent="0.25">
      <c r="A24" s="35" t="s">
        <v>126</v>
      </c>
      <c r="B24" s="35" t="s">
        <v>54</v>
      </c>
      <c r="C24" s="36" t="s">
        <v>108</v>
      </c>
      <c r="D24" s="37" t="s">
        <v>132</v>
      </c>
      <c r="E24" s="38" t="s">
        <v>46</v>
      </c>
      <c r="F24" s="39">
        <v>157</v>
      </c>
      <c r="G24" s="40"/>
      <c r="H24" s="41"/>
      <c r="I24" s="41"/>
    </row>
    <row r="25" ht="12.75" customHeight="1" spans="1:9" x14ac:dyDescent="0.25">
      <c r="A25" s="35" t="s">
        <v>126</v>
      </c>
      <c r="B25" s="35" t="s">
        <v>54</v>
      </c>
      <c r="C25" s="36" t="s">
        <v>108</v>
      </c>
      <c r="D25" s="37" t="s">
        <v>132</v>
      </c>
      <c r="E25" s="38" t="s">
        <v>46</v>
      </c>
      <c r="F25" s="39">
        <v>1547</v>
      </c>
      <c r="G25" s="40"/>
      <c r="H25" s="41"/>
      <c r="I25" s="41"/>
    </row>
    <row r="26" ht="12.75" customHeight="1" spans="1:9" x14ac:dyDescent="0.25">
      <c r="A26" s="35" t="s">
        <v>126</v>
      </c>
      <c r="B26" s="35" t="s">
        <v>72</v>
      </c>
      <c r="C26" s="36" t="s">
        <v>108</v>
      </c>
      <c r="D26" s="37" t="s">
        <v>127</v>
      </c>
      <c r="E26" s="38" t="s">
        <v>46</v>
      </c>
      <c r="F26" s="39">
        <v>843</v>
      </c>
      <c r="G26" s="40"/>
      <c r="H26" s="41"/>
      <c r="I26" s="41"/>
    </row>
    <row r="27" ht="12.75" customHeight="1" spans="1:9" x14ac:dyDescent="0.25">
      <c r="A27" s="35" t="s">
        <v>126</v>
      </c>
      <c r="B27" s="35" t="s">
        <v>54</v>
      </c>
      <c r="C27" s="36" t="s">
        <v>108</v>
      </c>
      <c r="D27" s="37" t="s">
        <v>132</v>
      </c>
      <c r="E27" s="38" t="s">
        <v>46</v>
      </c>
      <c r="F27" s="39">
        <v>2106</v>
      </c>
      <c r="G27" s="40"/>
      <c r="H27" s="41"/>
      <c r="I27" s="41"/>
    </row>
    <row r="28" ht="12.75" customHeight="1" spans="1:9" x14ac:dyDescent="0.25">
      <c r="A28" s="35" t="s">
        <v>126</v>
      </c>
      <c r="B28" s="35" t="s">
        <v>72</v>
      </c>
      <c r="C28" s="36" t="s">
        <v>108</v>
      </c>
      <c r="D28" s="37" t="s">
        <v>127</v>
      </c>
      <c r="E28" s="38" t="s">
        <v>46</v>
      </c>
      <c r="F28" s="39">
        <v>527</v>
      </c>
      <c r="G28" s="40"/>
      <c r="H28" s="41"/>
      <c r="I28" s="41"/>
    </row>
    <row r="29" ht="12.75" customHeight="1" spans="1:9" x14ac:dyDescent="0.25">
      <c r="A29" s="35" t="s">
        <v>126</v>
      </c>
      <c r="B29" s="35" t="s">
        <v>56</v>
      </c>
      <c r="C29" s="36" t="s">
        <v>108</v>
      </c>
      <c r="D29" s="37" t="s">
        <v>133</v>
      </c>
      <c r="E29" s="38" t="s">
        <v>46</v>
      </c>
      <c r="F29" s="39">
        <v>29</v>
      </c>
      <c r="G29" s="40"/>
      <c r="H29" s="41"/>
      <c r="I29" s="41"/>
    </row>
    <row r="30" ht="12.75" customHeight="1" spans="1:9" x14ac:dyDescent="0.25">
      <c r="A30" s="35" t="s">
        <v>126</v>
      </c>
      <c r="B30" s="35" t="s">
        <v>56</v>
      </c>
      <c r="C30" s="36" t="s">
        <v>108</v>
      </c>
      <c r="D30" s="37" t="s">
        <v>133</v>
      </c>
      <c r="E30" s="38" t="s">
        <v>46</v>
      </c>
      <c r="F30" s="39">
        <v>821</v>
      </c>
      <c r="G30" s="40"/>
      <c r="H30" s="41"/>
      <c r="I30" s="41"/>
    </row>
    <row r="31" ht="12.75" customHeight="1" spans="1:9" x14ac:dyDescent="0.25">
      <c r="A31" s="35" t="s">
        <v>126</v>
      </c>
      <c r="B31" s="35" t="s">
        <v>72</v>
      </c>
      <c r="C31" s="36" t="s">
        <v>108</v>
      </c>
      <c r="D31" s="37" t="s">
        <v>127</v>
      </c>
      <c r="E31" s="38" t="s">
        <v>46</v>
      </c>
      <c r="F31" s="39">
        <v>842</v>
      </c>
      <c r="G31" s="40"/>
      <c r="H31" s="41"/>
      <c r="I31" s="41"/>
    </row>
    <row r="32" ht="12.75" customHeight="1" spans="1:9" x14ac:dyDescent="0.25">
      <c r="A32" s="35" t="s">
        <v>126</v>
      </c>
      <c r="B32" s="35" t="s">
        <v>54</v>
      </c>
      <c r="C32" s="36" t="s">
        <v>134</v>
      </c>
      <c r="D32" s="37" t="s">
        <v>132</v>
      </c>
      <c r="E32" s="38" t="s">
        <v>46</v>
      </c>
      <c r="F32" s="39">
        <v>122</v>
      </c>
      <c r="G32" s="40">
        <v>1</v>
      </c>
      <c r="H32" s="41" t="s">
        <v>110</v>
      </c>
      <c r="I32" s="41" t="s">
        <v>17</v>
      </c>
    </row>
    <row r="33" ht="12.75" customHeight="1" spans="1:9" x14ac:dyDescent="0.25">
      <c r="A33" s="35" t="s">
        <v>126</v>
      </c>
      <c r="B33" s="35" t="s">
        <v>54</v>
      </c>
      <c r="C33" s="36" t="s">
        <v>135</v>
      </c>
      <c r="D33" s="37" t="s">
        <v>132</v>
      </c>
      <c r="E33" s="38" t="s">
        <v>46</v>
      </c>
      <c r="F33" s="39">
        <v>155</v>
      </c>
      <c r="G33" s="40"/>
      <c r="H33" s="41"/>
      <c r="I33" s="41"/>
    </row>
    <row r="34" ht="12.75" customHeight="1" spans="1:9" x14ac:dyDescent="0.25">
      <c r="A34" s="35" t="s">
        <v>126</v>
      </c>
      <c r="B34" s="35" t="s">
        <v>54</v>
      </c>
      <c r="C34" s="36" t="s">
        <v>108</v>
      </c>
      <c r="D34" s="37" t="s">
        <v>132</v>
      </c>
      <c r="E34" s="38" t="s">
        <v>46</v>
      </c>
      <c r="F34" s="39">
        <v>229</v>
      </c>
      <c r="G34" s="40"/>
      <c r="H34" s="41"/>
      <c r="I34" s="41"/>
    </row>
    <row r="35" ht="12.75" customHeight="1" spans="1:9" x14ac:dyDescent="0.25">
      <c r="A35" s="35" t="s">
        <v>126</v>
      </c>
      <c r="B35" s="35" t="s">
        <v>54</v>
      </c>
      <c r="C35" s="36" t="s">
        <v>134</v>
      </c>
      <c r="D35" s="37" t="s">
        <v>132</v>
      </c>
      <c r="E35" s="38" t="s">
        <v>46</v>
      </c>
      <c r="F35" s="39">
        <v>5838</v>
      </c>
      <c r="G35" s="40"/>
      <c r="H35" s="41"/>
      <c r="I35" s="41"/>
    </row>
    <row r="36" ht="12.75" customHeight="1" spans="1:9" x14ac:dyDescent="0.25">
      <c r="A36" s="35" t="s">
        <v>126</v>
      </c>
      <c r="B36" s="35" t="s">
        <v>54</v>
      </c>
      <c r="C36" s="36" t="s">
        <v>135</v>
      </c>
      <c r="D36" s="37" t="s">
        <v>132</v>
      </c>
      <c r="E36" s="38" t="s">
        <v>46</v>
      </c>
      <c r="F36" s="39">
        <v>7505</v>
      </c>
      <c r="G36" s="40"/>
      <c r="H36" s="41"/>
      <c r="I36" s="41"/>
    </row>
    <row r="37" ht="12.75" customHeight="1" spans="1:9" x14ac:dyDescent="0.25">
      <c r="A37" s="35" t="s">
        <v>126</v>
      </c>
      <c r="B37" s="35" t="s">
        <v>54</v>
      </c>
      <c r="C37" s="36" t="s">
        <v>108</v>
      </c>
      <c r="D37" s="37" t="s">
        <v>132</v>
      </c>
      <c r="E37" s="38" t="s">
        <v>46</v>
      </c>
      <c r="F37" s="39">
        <v>11671</v>
      </c>
      <c r="G37" s="40"/>
      <c r="H37" s="41"/>
      <c r="I37" s="41"/>
    </row>
    <row r="38" ht="12.75" customHeight="1" spans="1:9" x14ac:dyDescent="0.25">
      <c r="A38" s="35" t="s">
        <v>136</v>
      </c>
      <c r="B38" s="35" t="s">
        <v>25</v>
      </c>
      <c r="C38" s="36" t="s">
        <v>108</v>
      </c>
      <c r="D38" s="37" t="s">
        <v>137</v>
      </c>
      <c r="E38" s="38" t="s">
        <v>14</v>
      </c>
      <c r="F38" s="39">
        <v>363</v>
      </c>
      <c r="G38" s="40">
        <v>3</v>
      </c>
      <c r="H38" s="41" t="s">
        <v>125</v>
      </c>
      <c r="I38" s="41" t="s">
        <v>17</v>
      </c>
    </row>
    <row r="39" ht="12.75" customHeight="1" spans="1:9" x14ac:dyDescent="0.25">
      <c r="A39" s="35" t="s">
        <v>138</v>
      </c>
      <c r="B39" s="35" t="s">
        <v>48</v>
      </c>
      <c r="C39" s="36" t="s">
        <v>108</v>
      </c>
      <c r="D39" s="37" t="s">
        <v>139</v>
      </c>
      <c r="E39" s="38" t="s">
        <v>32</v>
      </c>
      <c r="F39" s="39">
        <v>4</v>
      </c>
      <c r="G39" s="40">
        <v>4</v>
      </c>
      <c r="H39" s="41" t="s">
        <v>110</v>
      </c>
      <c r="I39" s="41" t="s">
        <v>17</v>
      </c>
    </row>
    <row r="40" ht="12.75" customHeight="1" spans="1:9" x14ac:dyDescent="0.25">
      <c r="A40" s="35" t="s">
        <v>138</v>
      </c>
      <c r="B40" s="35" t="s">
        <v>48</v>
      </c>
      <c r="C40" s="36" t="s">
        <v>108</v>
      </c>
      <c r="D40" s="37" t="s">
        <v>139</v>
      </c>
      <c r="E40" s="38" t="s">
        <v>32</v>
      </c>
      <c r="F40" s="39">
        <v>193</v>
      </c>
      <c r="G40" s="40"/>
      <c r="H40" s="41"/>
      <c r="I40" s="41"/>
    </row>
    <row r="41" ht="12.75" customHeight="1" spans="1:9" x14ac:dyDescent="0.25">
      <c r="A41" s="35" t="s">
        <v>138</v>
      </c>
      <c r="B41" s="35" t="s">
        <v>48</v>
      </c>
      <c r="C41" s="36" t="s">
        <v>108</v>
      </c>
      <c r="D41" s="37" t="s">
        <v>139</v>
      </c>
      <c r="E41" s="38" t="s">
        <v>32</v>
      </c>
      <c r="F41" s="39">
        <v>521</v>
      </c>
      <c r="G41" s="40"/>
      <c r="H41" s="41"/>
      <c r="I41" s="41"/>
    </row>
    <row r="42" ht="12.75" customHeight="1" spans="1:9" x14ac:dyDescent="0.25">
      <c r="A42" s="35" t="s">
        <v>138</v>
      </c>
      <c r="B42" s="35" t="s">
        <v>48</v>
      </c>
      <c r="C42" s="36" t="s">
        <v>108</v>
      </c>
      <c r="D42" s="37" t="s">
        <v>139</v>
      </c>
      <c r="E42" s="38" t="s">
        <v>32</v>
      </c>
      <c r="F42" s="39">
        <v>1401</v>
      </c>
      <c r="G42" s="40"/>
      <c r="H42" s="41"/>
      <c r="I42" s="41"/>
    </row>
    <row r="43" ht="12.75" customHeight="1" spans="1:9" x14ac:dyDescent="0.25">
      <c r="A43" s="35" t="s">
        <v>138</v>
      </c>
      <c r="B43" s="35" t="s">
        <v>48</v>
      </c>
      <c r="C43" s="36" t="s">
        <v>108</v>
      </c>
      <c r="D43" s="37" t="s">
        <v>139</v>
      </c>
      <c r="E43" s="38" t="s">
        <v>32</v>
      </c>
      <c r="F43" s="39">
        <v>6731</v>
      </c>
      <c r="G43" s="40"/>
      <c r="H43" s="41"/>
      <c r="I43" s="41"/>
    </row>
    <row r="44" ht="12.75" customHeight="1" spans="1:9" x14ac:dyDescent="0.25">
      <c r="A44" s="35" t="s">
        <v>138</v>
      </c>
      <c r="B44" s="35" t="s">
        <v>50</v>
      </c>
      <c r="C44" s="36" t="s">
        <v>140</v>
      </c>
      <c r="D44" s="37" t="s">
        <v>141</v>
      </c>
      <c r="E44" s="38" t="s">
        <v>14</v>
      </c>
      <c r="F44" s="39">
        <v>2</v>
      </c>
      <c r="G44" s="40"/>
      <c r="H44" s="41"/>
      <c r="I44" s="41"/>
    </row>
    <row r="45" ht="12.75" customHeight="1" spans="1:9" x14ac:dyDescent="0.25">
      <c r="A45" s="35" t="s">
        <v>138</v>
      </c>
      <c r="B45" s="35" t="s">
        <v>50</v>
      </c>
      <c r="C45" s="36" t="s">
        <v>108</v>
      </c>
      <c r="D45" s="37" t="s">
        <v>141</v>
      </c>
      <c r="E45" s="38" t="s">
        <v>14</v>
      </c>
      <c r="F45" s="39">
        <v>30</v>
      </c>
      <c r="G45" s="40"/>
      <c r="H45" s="41"/>
      <c r="I45" s="41"/>
    </row>
    <row r="46" ht="12.75" customHeight="1" spans="1:9" x14ac:dyDescent="0.25">
      <c r="A46" s="35" t="s">
        <v>138</v>
      </c>
      <c r="B46" s="35" t="s">
        <v>50</v>
      </c>
      <c r="C46" s="36" t="s">
        <v>140</v>
      </c>
      <c r="D46" s="37" t="s">
        <v>141</v>
      </c>
      <c r="E46" s="38" t="s">
        <v>14</v>
      </c>
      <c r="F46" s="39">
        <v>46</v>
      </c>
      <c r="G46" s="40"/>
      <c r="H46" s="41"/>
      <c r="I46" s="41"/>
    </row>
    <row r="47" ht="12.75" customHeight="1" spans="1:9" x14ac:dyDescent="0.25">
      <c r="A47" s="35" t="s">
        <v>138</v>
      </c>
      <c r="B47" s="35" t="s">
        <v>50</v>
      </c>
      <c r="C47" s="36" t="s">
        <v>108</v>
      </c>
      <c r="D47" s="37" t="s">
        <v>141</v>
      </c>
      <c r="E47" s="38" t="s">
        <v>14</v>
      </c>
      <c r="F47" s="39">
        <v>200</v>
      </c>
      <c r="G47" s="40"/>
      <c r="H47" s="41"/>
      <c r="I47" s="41"/>
    </row>
    <row r="48" ht="12.75" customHeight="1" spans="1:9" x14ac:dyDescent="0.25">
      <c r="A48" s="35" t="s">
        <v>138</v>
      </c>
      <c r="B48" s="35" t="s">
        <v>50</v>
      </c>
      <c r="C48" s="36" t="s">
        <v>108</v>
      </c>
      <c r="D48" s="37" t="s">
        <v>141</v>
      </c>
      <c r="E48" s="38" t="s">
        <v>14</v>
      </c>
      <c r="F48" s="39">
        <v>267</v>
      </c>
      <c r="G48" s="40"/>
      <c r="H48" s="41"/>
      <c r="I48" s="41"/>
    </row>
    <row r="49" ht="12.75" customHeight="1" spans="1:9" x14ac:dyDescent="0.25">
      <c r="A49" s="35" t="s">
        <v>138</v>
      </c>
      <c r="B49" s="35" t="s">
        <v>50</v>
      </c>
      <c r="C49" s="36" t="s">
        <v>140</v>
      </c>
      <c r="D49" s="37" t="s">
        <v>141</v>
      </c>
      <c r="E49" s="38" t="s">
        <v>14</v>
      </c>
      <c r="F49" s="39">
        <v>652</v>
      </c>
      <c r="G49" s="40"/>
      <c r="H49" s="41"/>
      <c r="I49" s="41"/>
    </row>
    <row r="50" ht="12.75" customHeight="1" spans="1:9" x14ac:dyDescent="0.25">
      <c r="A50" s="35" t="s">
        <v>138</v>
      </c>
      <c r="B50" s="35" t="s">
        <v>50</v>
      </c>
      <c r="C50" s="36" t="s">
        <v>108</v>
      </c>
      <c r="D50" s="37" t="s">
        <v>141</v>
      </c>
      <c r="E50" s="38" t="s">
        <v>14</v>
      </c>
      <c r="F50" s="39">
        <v>716</v>
      </c>
      <c r="G50" s="40"/>
      <c r="H50" s="41"/>
      <c r="I50" s="41"/>
    </row>
    <row r="51" ht="12.75" customHeight="1" spans="1:9" x14ac:dyDescent="0.25">
      <c r="A51" s="35" t="s">
        <v>138</v>
      </c>
      <c r="B51" s="35" t="s">
        <v>50</v>
      </c>
      <c r="C51" s="36" t="s">
        <v>108</v>
      </c>
      <c r="D51" s="37" t="s">
        <v>141</v>
      </c>
      <c r="E51" s="38" t="s">
        <v>14</v>
      </c>
      <c r="F51" s="39">
        <v>2387</v>
      </c>
      <c r="G51" s="40"/>
      <c r="H51" s="41"/>
      <c r="I51" s="41"/>
    </row>
    <row r="52" ht="12.75" customHeight="1" spans="1:9" x14ac:dyDescent="0.25">
      <c r="A52" s="35" t="s">
        <v>138</v>
      </c>
      <c r="B52" s="35" t="s">
        <v>53</v>
      </c>
      <c r="C52" s="36" t="s">
        <v>108</v>
      </c>
      <c r="D52" s="37" t="s">
        <v>142</v>
      </c>
      <c r="E52" s="38" t="s">
        <v>14</v>
      </c>
      <c r="F52" s="39">
        <v>2</v>
      </c>
      <c r="G52" s="40"/>
      <c r="H52" s="41"/>
      <c r="I52" s="41"/>
    </row>
    <row r="53" ht="12.75" customHeight="1" spans="1:9" x14ac:dyDescent="0.25">
      <c r="A53" s="35" t="s">
        <v>138</v>
      </c>
      <c r="B53" s="35" t="s">
        <v>53</v>
      </c>
      <c r="C53" s="36" t="s">
        <v>143</v>
      </c>
      <c r="D53" s="37" t="s">
        <v>142</v>
      </c>
      <c r="E53" s="38" t="s">
        <v>14</v>
      </c>
      <c r="F53" s="39">
        <v>4</v>
      </c>
      <c r="G53" s="40"/>
      <c r="H53" s="41"/>
      <c r="I53" s="41"/>
    </row>
    <row r="54" ht="12.75" customHeight="1" spans="1:9" x14ac:dyDescent="0.25">
      <c r="A54" s="35" t="s">
        <v>138</v>
      </c>
      <c r="B54" s="35" t="s">
        <v>53</v>
      </c>
      <c r="C54" s="36" t="s">
        <v>108</v>
      </c>
      <c r="D54" s="37" t="s">
        <v>142</v>
      </c>
      <c r="E54" s="38" t="s">
        <v>14</v>
      </c>
      <c r="F54" s="39">
        <v>10</v>
      </c>
      <c r="G54" s="40"/>
      <c r="H54" s="41"/>
      <c r="I54" s="41"/>
    </row>
    <row r="55" ht="12.75" customHeight="1" spans="1:9" x14ac:dyDescent="0.25">
      <c r="A55" s="35" t="s">
        <v>138</v>
      </c>
      <c r="B55" s="35" t="s">
        <v>53</v>
      </c>
      <c r="C55" s="36" t="s">
        <v>143</v>
      </c>
      <c r="D55" s="37" t="s">
        <v>142</v>
      </c>
      <c r="E55" s="38" t="s">
        <v>14</v>
      </c>
      <c r="F55" s="39">
        <v>43</v>
      </c>
      <c r="G55" s="40"/>
      <c r="H55" s="41"/>
      <c r="I55" s="41"/>
    </row>
    <row r="56" ht="12.75" customHeight="1" spans="1:9" x14ac:dyDescent="0.25">
      <c r="A56" s="35" t="s">
        <v>138</v>
      </c>
      <c r="B56" s="35" t="s">
        <v>53</v>
      </c>
      <c r="C56" s="36" t="s">
        <v>108</v>
      </c>
      <c r="D56" s="37" t="s">
        <v>142</v>
      </c>
      <c r="E56" s="38" t="s">
        <v>14</v>
      </c>
      <c r="F56" s="39">
        <v>100</v>
      </c>
      <c r="G56" s="40"/>
      <c r="H56" s="41"/>
      <c r="I56" s="41"/>
    </row>
    <row r="57" ht="12.75" customHeight="1" spans="1:9" x14ac:dyDescent="0.25">
      <c r="A57" s="35" t="s">
        <v>138</v>
      </c>
      <c r="B57" s="35" t="s">
        <v>53</v>
      </c>
      <c r="C57" s="36" t="s">
        <v>144</v>
      </c>
      <c r="D57" s="37" t="s">
        <v>142</v>
      </c>
      <c r="E57" s="38" t="s">
        <v>14</v>
      </c>
      <c r="F57" s="39">
        <v>130</v>
      </c>
      <c r="G57" s="40"/>
      <c r="H57" s="41"/>
      <c r="I57" s="41"/>
    </row>
    <row r="58" ht="12.75" customHeight="1" spans="1:9" x14ac:dyDescent="0.25">
      <c r="A58" s="35" t="s">
        <v>138</v>
      </c>
      <c r="B58" s="35" t="s">
        <v>53</v>
      </c>
      <c r="C58" s="36" t="s">
        <v>108</v>
      </c>
      <c r="D58" s="37" t="s">
        <v>142</v>
      </c>
      <c r="E58" s="38" t="s">
        <v>14</v>
      </c>
      <c r="F58" s="39">
        <v>252</v>
      </c>
      <c r="G58" s="40"/>
      <c r="H58" s="41"/>
      <c r="I58" s="41"/>
    </row>
    <row r="59" ht="12.75" customHeight="1" spans="1:9" x14ac:dyDescent="0.25">
      <c r="A59" s="35" t="s">
        <v>138</v>
      </c>
      <c r="B59" s="35" t="s">
        <v>53</v>
      </c>
      <c r="C59" s="36" t="s">
        <v>144</v>
      </c>
      <c r="D59" s="37" t="s">
        <v>142</v>
      </c>
      <c r="E59" s="38" t="s">
        <v>14</v>
      </c>
      <c r="F59" s="39">
        <v>422</v>
      </c>
      <c r="G59" s="40"/>
      <c r="H59" s="41"/>
      <c r="I59" s="41"/>
    </row>
    <row r="60" ht="12.75" customHeight="1" spans="1:9" x14ac:dyDescent="0.25">
      <c r="A60" s="35" t="s">
        <v>138</v>
      </c>
      <c r="B60" s="35" t="s">
        <v>53</v>
      </c>
      <c r="C60" s="36" t="s">
        <v>108</v>
      </c>
      <c r="D60" s="37" t="s">
        <v>142</v>
      </c>
      <c r="E60" s="38" t="s">
        <v>14</v>
      </c>
      <c r="F60" s="39">
        <v>678</v>
      </c>
      <c r="G60" s="40"/>
      <c r="H60" s="41"/>
      <c r="I60" s="41"/>
    </row>
    <row r="61" ht="12.75" customHeight="1" spans="1:9" x14ac:dyDescent="0.25">
      <c r="A61" s="35" t="s">
        <v>138</v>
      </c>
      <c r="B61" s="35" t="s">
        <v>53</v>
      </c>
      <c r="C61" s="36" t="s">
        <v>143</v>
      </c>
      <c r="D61" s="37" t="s">
        <v>142</v>
      </c>
      <c r="E61" s="38" t="s">
        <v>14</v>
      </c>
      <c r="F61" s="39">
        <v>1153</v>
      </c>
      <c r="G61" s="40"/>
      <c r="H61" s="41"/>
      <c r="I61" s="41"/>
    </row>
    <row r="62" ht="12.75" customHeight="1" spans="1:9" x14ac:dyDescent="0.25">
      <c r="A62" s="35" t="s">
        <v>138</v>
      </c>
      <c r="B62" s="35" t="s">
        <v>53</v>
      </c>
      <c r="C62" s="36" t="s">
        <v>144</v>
      </c>
      <c r="D62" s="37" t="s">
        <v>142</v>
      </c>
      <c r="E62" s="38" t="s">
        <v>14</v>
      </c>
      <c r="F62" s="39">
        <v>1268</v>
      </c>
      <c r="G62" s="40"/>
      <c r="H62" s="41"/>
      <c r="I62" s="41"/>
    </row>
    <row r="63" ht="12.75" customHeight="1" spans="1:9" x14ac:dyDescent="0.25">
      <c r="A63" s="35" t="s">
        <v>138</v>
      </c>
      <c r="B63" s="35" t="s">
        <v>53</v>
      </c>
      <c r="C63" s="36" t="s">
        <v>108</v>
      </c>
      <c r="D63" s="37" t="s">
        <v>142</v>
      </c>
      <c r="E63" s="38" t="s">
        <v>14</v>
      </c>
      <c r="F63" s="39">
        <v>3258</v>
      </c>
      <c r="G63" s="40"/>
      <c r="H63" s="41"/>
      <c r="I63" s="41"/>
    </row>
    <row r="64" ht="12.75" customHeight="1" spans="1:9" x14ac:dyDescent="0.25">
      <c r="A64" s="35" t="s">
        <v>138</v>
      </c>
      <c r="B64" s="35" t="s">
        <v>53</v>
      </c>
      <c r="C64" s="36" t="s">
        <v>144</v>
      </c>
      <c r="D64" s="37" t="s">
        <v>142</v>
      </c>
      <c r="E64" s="38" t="s">
        <v>14</v>
      </c>
      <c r="F64" s="39">
        <v>4180</v>
      </c>
      <c r="G64" s="40"/>
      <c r="H64" s="41"/>
      <c r="I64" s="41"/>
    </row>
    <row r="65" ht="12.75" customHeight="1" spans="1:9" x14ac:dyDescent="0.25">
      <c r="A65" s="35" t="s">
        <v>138</v>
      </c>
      <c r="B65" s="35" t="s">
        <v>85</v>
      </c>
      <c r="C65" s="36" t="s">
        <v>145</v>
      </c>
      <c r="D65" s="37" t="s">
        <v>146</v>
      </c>
      <c r="E65" s="38" t="s">
        <v>32</v>
      </c>
      <c r="F65" s="39">
        <v>6</v>
      </c>
      <c r="G65" s="40"/>
      <c r="H65" s="41"/>
      <c r="I65" s="41"/>
    </row>
    <row r="66" ht="12.75" customHeight="1" spans="1:9" x14ac:dyDescent="0.25">
      <c r="A66" s="35" t="s">
        <v>138</v>
      </c>
      <c r="B66" s="35" t="s">
        <v>85</v>
      </c>
      <c r="C66" s="36" t="s">
        <v>145</v>
      </c>
      <c r="D66" s="37" t="s">
        <v>146</v>
      </c>
      <c r="E66" s="38" t="s">
        <v>32</v>
      </c>
      <c r="F66" s="39">
        <v>54</v>
      </c>
      <c r="G66" s="40"/>
      <c r="H66" s="41"/>
      <c r="I66" s="41"/>
    </row>
    <row r="67" ht="12.75" customHeight="1" spans="1:9" x14ac:dyDescent="0.25">
      <c r="A67" s="35" t="s">
        <v>138</v>
      </c>
      <c r="B67" s="35" t="s">
        <v>85</v>
      </c>
      <c r="C67" s="36" t="s">
        <v>108</v>
      </c>
      <c r="D67" s="37" t="s">
        <v>146</v>
      </c>
      <c r="E67" s="38" t="s">
        <v>32</v>
      </c>
      <c r="F67" s="39">
        <v>248</v>
      </c>
      <c r="G67" s="40"/>
      <c r="H67" s="41"/>
      <c r="I67" s="41"/>
    </row>
    <row r="68" ht="12.75" customHeight="1" spans="1:9" x14ac:dyDescent="0.25">
      <c r="A68" s="35" t="s">
        <v>138</v>
      </c>
      <c r="B68" s="35" t="s">
        <v>85</v>
      </c>
      <c r="C68" s="36" t="s">
        <v>108</v>
      </c>
      <c r="D68" s="37" t="s">
        <v>146</v>
      </c>
      <c r="E68" s="38" t="s">
        <v>32</v>
      </c>
      <c r="F68" s="39">
        <v>780</v>
      </c>
      <c r="G68" s="40"/>
      <c r="H68" s="41"/>
      <c r="I68" s="41"/>
    </row>
    <row r="69" ht="12.75" customHeight="1" spans="1:9" x14ac:dyDescent="0.25">
      <c r="A69" s="35" t="s">
        <v>138</v>
      </c>
      <c r="B69" s="35" t="s">
        <v>85</v>
      </c>
      <c r="C69" s="36" t="s">
        <v>145</v>
      </c>
      <c r="D69" s="37" t="s">
        <v>146</v>
      </c>
      <c r="E69" s="38" t="s">
        <v>32</v>
      </c>
      <c r="F69" s="39">
        <v>1900</v>
      </c>
      <c r="G69" s="40"/>
      <c r="H69" s="41"/>
      <c r="I69" s="41"/>
    </row>
    <row r="70" ht="12.75" customHeight="1" spans="1:9" x14ac:dyDescent="0.25">
      <c r="A70" s="35" t="s">
        <v>138</v>
      </c>
      <c r="B70" s="35" t="s">
        <v>85</v>
      </c>
      <c r="C70" s="36" t="s">
        <v>108</v>
      </c>
      <c r="D70" s="37" t="s">
        <v>146</v>
      </c>
      <c r="E70" s="38" t="s">
        <v>32</v>
      </c>
      <c r="F70" s="39">
        <v>2097</v>
      </c>
      <c r="G70" s="40"/>
      <c r="H70" s="41"/>
      <c r="I70" s="41"/>
    </row>
    <row r="71" ht="12.75" customHeight="1" spans="1:9" x14ac:dyDescent="0.25">
      <c r="A71" s="35" t="s">
        <v>138</v>
      </c>
      <c r="B71" s="35" t="s">
        <v>85</v>
      </c>
      <c r="C71" s="36" t="s">
        <v>108</v>
      </c>
      <c r="D71" s="37" t="s">
        <v>146</v>
      </c>
      <c r="E71" s="38" t="s">
        <v>32</v>
      </c>
      <c r="F71" s="39">
        <v>8205</v>
      </c>
      <c r="G71" s="40"/>
      <c r="H71" s="41"/>
      <c r="I71" s="41"/>
    </row>
    <row r="72" ht="12.75" customHeight="1" spans="1:9" x14ac:dyDescent="0.25">
      <c r="A72" s="35" t="s">
        <v>138</v>
      </c>
      <c r="B72" s="35" t="s">
        <v>88</v>
      </c>
      <c r="C72" s="36" t="s">
        <v>147</v>
      </c>
      <c r="D72" s="37" t="s">
        <v>148</v>
      </c>
      <c r="E72" s="38" t="s">
        <v>32</v>
      </c>
      <c r="F72" s="39">
        <v>6</v>
      </c>
      <c r="G72" s="40"/>
      <c r="H72" s="41"/>
      <c r="I72" s="41"/>
    </row>
    <row r="73" ht="12.75" customHeight="1" spans="1:9" x14ac:dyDescent="0.25">
      <c r="A73" s="35" t="s">
        <v>138</v>
      </c>
      <c r="B73" s="35" t="s">
        <v>88</v>
      </c>
      <c r="C73" s="36" t="s">
        <v>147</v>
      </c>
      <c r="D73" s="37" t="s">
        <v>148</v>
      </c>
      <c r="E73" s="38" t="s">
        <v>32</v>
      </c>
      <c r="F73" s="39">
        <v>271</v>
      </c>
      <c r="G73" s="40"/>
      <c r="H73" s="41"/>
      <c r="I73" s="41"/>
    </row>
    <row r="74" ht="12.75" customHeight="1" spans="1:9" x14ac:dyDescent="0.25">
      <c r="A74" s="35" t="s">
        <v>138</v>
      </c>
      <c r="B74" s="35" t="s">
        <v>88</v>
      </c>
      <c r="C74" s="36" t="s">
        <v>147</v>
      </c>
      <c r="D74" s="37" t="s">
        <v>148</v>
      </c>
      <c r="E74" s="38" t="s">
        <v>32</v>
      </c>
      <c r="F74" s="39">
        <v>780</v>
      </c>
      <c r="G74" s="40"/>
      <c r="H74" s="41"/>
      <c r="I74" s="41"/>
    </row>
    <row r="75" ht="12.75" customHeight="1" spans="1:9" x14ac:dyDescent="0.25">
      <c r="A75" s="35" t="s">
        <v>138</v>
      </c>
      <c r="B75" s="35" t="s">
        <v>88</v>
      </c>
      <c r="C75" s="36" t="s">
        <v>147</v>
      </c>
      <c r="D75" s="37" t="s">
        <v>148</v>
      </c>
      <c r="E75" s="38" t="s">
        <v>32</v>
      </c>
      <c r="F75" s="39">
        <v>2101</v>
      </c>
      <c r="G75" s="40"/>
      <c r="H75" s="41"/>
      <c r="I75" s="41"/>
    </row>
    <row r="76" ht="12.75" customHeight="1" spans="1:9" x14ac:dyDescent="0.25">
      <c r="A76" s="35" t="s">
        <v>138</v>
      </c>
      <c r="B76" s="35" t="s">
        <v>88</v>
      </c>
      <c r="C76" s="36" t="s">
        <v>147</v>
      </c>
      <c r="D76" s="37" t="s">
        <v>148</v>
      </c>
      <c r="E76" s="38" t="s">
        <v>32</v>
      </c>
      <c r="F76" s="39">
        <v>10092</v>
      </c>
      <c r="G76" s="40"/>
      <c r="H76" s="41"/>
      <c r="I76" s="41"/>
    </row>
    <row r="77" ht="12.75" customHeight="1" spans="1:9" x14ac:dyDescent="0.25">
      <c r="A77" s="35" t="s">
        <v>149</v>
      </c>
      <c r="B77" s="35" t="s">
        <v>48</v>
      </c>
      <c r="C77" s="36" t="s">
        <v>134</v>
      </c>
      <c r="D77" s="37" t="s">
        <v>150</v>
      </c>
      <c r="E77" s="38" t="s">
        <v>32</v>
      </c>
      <c r="F77" s="39">
        <v>101</v>
      </c>
      <c r="G77" s="40">
        <v>2</v>
      </c>
      <c r="H77" s="41" t="s">
        <v>125</v>
      </c>
      <c r="I77" s="41" t="s">
        <v>17</v>
      </c>
    </row>
    <row r="78" ht="12.75" customHeight="1" spans="1:9" x14ac:dyDescent="0.25">
      <c r="A78" s="35" t="s">
        <v>149</v>
      </c>
      <c r="B78" s="35" t="s">
        <v>48</v>
      </c>
      <c r="C78" s="36" t="s">
        <v>135</v>
      </c>
      <c r="D78" s="37" t="s">
        <v>150</v>
      </c>
      <c r="E78" s="38" t="s">
        <v>32</v>
      </c>
      <c r="F78" s="39">
        <v>114</v>
      </c>
      <c r="G78" s="40"/>
      <c r="H78" s="41"/>
      <c r="I78" s="41"/>
    </row>
    <row r="79" ht="12.75" customHeight="1" spans="1:9" x14ac:dyDescent="0.25">
      <c r="A79" s="35" t="s">
        <v>149</v>
      </c>
      <c r="B79" s="35" t="s">
        <v>48</v>
      </c>
      <c r="C79" s="36" t="s">
        <v>108</v>
      </c>
      <c r="D79" s="37" t="s">
        <v>150</v>
      </c>
      <c r="E79" s="38" t="s">
        <v>32</v>
      </c>
      <c r="F79" s="39">
        <v>172</v>
      </c>
      <c r="G79" s="40"/>
      <c r="H79" s="41"/>
      <c r="I79" s="41"/>
    </row>
    <row r="80" ht="12.75" customHeight="1" spans="1:9" x14ac:dyDescent="0.25">
      <c r="A80" s="35" t="s">
        <v>149</v>
      </c>
      <c r="B80" s="35" t="s">
        <v>48</v>
      </c>
      <c r="C80" s="36" t="s">
        <v>134</v>
      </c>
      <c r="D80" s="37" t="s">
        <v>150</v>
      </c>
      <c r="E80" s="38" t="s">
        <v>32</v>
      </c>
      <c r="F80" s="39">
        <v>2899</v>
      </c>
      <c r="G80" s="40"/>
      <c r="H80" s="41"/>
      <c r="I80" s="41"/>
    </row>
    <row r="81" ht="12.75" customHeight="1" spans="1:9" x14ac:dyDescent="0.25">
      <c r="A81" s="35" t="s">
        <v>149</v>
      </c>
      <c r="B81" s="35" t="s">
        <v>48</v>
      </c>
      <c r="C81" s="36" t="s">
        <v>135</v>
      </c>
      <c r="D81" s="37" t="s">
        <v>150</v>
      </c>
      <c r="E81" s="38" t="s">
        <v>32</v>
      </c>
      <c r="F81" s="39">
        <v>3716</v>
      </c>
      <c r="G81" s="40"/>
      <c r="H81" s="41"/>
      <c r="I81" s="41"/>
    </row>
    <row r="82" ht="12.75" customHeight="1" spans="1:9" x14ac:dyDescent="0.25">
      <c r="A82" s="35" t="s">
        <v>149</v>
      </c>
      <c r="B82" s="35" t="s">
        <v>48</v>
      </c>
      <c r="C82" s="36" t="s">
        <v>108</v>
      </c>
      <c r="D82" s="37" t="s">
        <v>150</v>
      </c>
      <c r="E82" s="38" t="s">
        <v>32</v>
      </c>
      <c r="F82" s="39">
        <v>5778</v>
      </c>
      <c r="G82" s="40"/>
      <c r="H82" s="41"/>
      <c r="I82" s="41"/>
    </row>
    <row r="83" ht="12.75" customHeight="1" spans="1:9" x14ac:dyDescent="0.25">
      <c r="A83" s="35" t="s">
        <v>149</v>
      </c>
      <c r="B83" s="35" t="s">
        <v>52</v>
      </c>
      <c r="C83" s="36" t="s">
        <v>108</v>
      </c>
      <c r="D83" s="37" t="s">
        <v>151</v>
      </c>
      <c r="E83" s="38" t="s">
        <v>14</v>
      </c>
      <c r="F83" s="39">
        <v>155</v>
      </c>
      <c r="G83" s="40"/>
      <c r="H83" s="41"/>
      <c r="I83" s="41"/>
    </row>
    <row r="84" ht="12.75" customHeight="1" spans="1:9" x14ac:dyDescent="0.25">
      <c r="A84" s="35" t="s">
        <v>149</v>
      </c>
      <c r="B84" s="35" t="s">
        <v>52</v>
      </c>
      <c r="C84" s="36" t="s">
        <v>134</v>
      </c>
      <c r="D84" s="37" t="s">
        <v>151</v>
      </c>
      <c r="E84" s="38" t="s">
        <v>14</v>
      </c>
      <c r="F84" s="39">
        <v>162</v>
      </c>
      <c r="G84" s="40"/>
      <c r="H84" s="41"/>
      <c r="I84" s="41"/>
    </row>
    <row r="85" ht="12.75" customHeight="1" spans="1:9" x14ac:dyDescent="0.25">
      <c r="A85" s="35" t="s">
        <v>149</v>
      </c>
      <c r="B85" s="35" t="s">
        <v>52</v>
      </c>
      <c r="C85" s="36" t="s">
        <v>135</v>
      </c>
      <c r="D85" s="37" t="s">
        <v>151</v>
      </c>
      <c r="E85" s="38" t="s">
        <v>14</v>
      </c>
      <c r="F85" s="39">
        <v>166</v>
      </c>
      <c r="G85" s="40"/>
      <c r="H85" s="41"/>
      <c r="I85" s="41"/>
    </row>
    <row r="86" ht="12.75" customHeight="1" spans="1:9" x14ac:dyDescent="0.25">
      <c r="A86" s="35" t="s">
        <v>149</v>
      </c>
      <c r="B86" s="35" t="s">
        <v>52</v>
      </c>
      <c r="C86" s="36" t="s">
        <v>134</v>
      </c>
      <c r="D86" s="37" t="s">
        <v>151</v>
      </c>
      <c r="E86" s="38" t="s">
        <v>14</v>
      </c>
      <c r="F86" s="39">
        <v>1738</v>
      </c>
      <c r="G86" s="40"/>
      <c r="H86" s="41"/>
      <c r="I86" s="41"/>
    </row>
    <row r="87" ht="12.75" customHeight="1" spans="1:9" x14ac:dyDescent="0.25">
      <c r="A87" s="35" t="s">
        <v>149</v>
      </c>
      <c r="B87" s="35" t="s">
        <v>52</v>
      </c>
      <c r="C87" s="36" t="s">
        <v>135</v>
      </c>
      <c r="D87" s="37" t="s">
        <v>151</v>
      </c>
      <c r="E87" s="38" t="s">
        <v>14</v>
      </c>
      <c r="F87" s="39">
        <v>2234</v>
      </c>
      <c r="G87" s="40"/>
      <c r="H87" s="41"/>
      <c r="I87" s="41"/>
    </row>
    <row r="88" ht="12.75" customHeight="1" spans="1:9" x14ac:dyDescent="0.25">
      <c r="A88" s="35" t="s">
        <v>149</v>
      </c>
      <c r="B88" s="35" t="s">
        <v>52</v>
      </c>
      <c r="C88" s="36" t="s">
        <v>108</v>
      </c>
      <c r="D88" s="37" t="s">
        <v>151</v>
      </c>
      <c r="E88" s="38" t="s">
        <v>14</v>
      </c>
      <c r="F88" s="39">
        <v>3545</v>
      </c>
      <c r="G88" s="40"/>
      <c r="H88" s="41"/>
      <c r="I88" s="41"/>
    </row>
    <row r="89" ht="12.75" customHeight="1" spans="1:9" x14ac:dyDescent="0.25">
      <c r="A89" s="35" t="s">
        <v>149</v>
      </c>
      <c r="B89" s="35" t="s">
        <v>71</v>
      </c>
      <c r="C89" s="36" t="s">
        <v>152</v>
      </c>
      <c r="D89" s="37" t="s">
        <v>153</v>
      </c>
      <c r="E89" s="38" t="s">
        <v>32</v>
      </c>
      <c r="F89" s="39">
        <v>2</v>
      </c>
      <c r="G89" s="40"/>
      <c r="H89" s="41"/>
      <c r="I89" s="41"/>
    </row>
    <row r="90" ht="12.75" customHeight="1" spans="1:9" x14ac:dyDescent="0.25">
      <c r="A90" s="35" t="s">
        <v>149</v>
      </c>
      <c r="B90" s="35" t="s">
        <v>71</v>
      </c>
      <c r="C90" s="36" t="s">
        <v>154</v>
      </c>
      <c r="D90" s="37" t="s">
        <v>155</v>
      </c>
      <c r="E90" s="38" t="s">
        <v>32</v>
      </c>
      <c r="F90" s="39">
        <v>5</v>
      </c>
      <c r="G90" s="40"/>
      <c r="H90" s="41"/>
      <c r="I90" s="41"/>
    </row>
    <row r="91" ht="12.75" customHeight="1" spans="1:9" x14ac:dyDescent="0.25">
      <c r="A91" s="35" t="s">
        <v>149</v>
      </c>
      <c r="B91" s="35" t="s">
        <v>71</v>
      </c>
      <c r="C91" s="36" t="s">
        <v>156</v>
      </c>
      <c r="D91" s="37" t="s">
        <v>157</v>
      </c>
      <c r="E91" s="38" t="s">
        <v>32</v>
      </c>
      <c r="F91" s="39">
        <v>9</v>
      </c>
      <c r="G91" s="40"/>
      <c r="H91" s="41"/>
      <c r="I91" s="41"/>
    </row>
    <row r="92" ht="12.75" customHeight="1" spans="1:9" x14ac:dyDescent="0.25">
      <c r="A92" s="35" t="s">
        <v>149</v>
      </c>
      <c r="B92" s="35" t="s">
        <v>71</v>
      </c>
      <c r="C92" s="36" t="s">
        <v>158</v>
      </c>
      <c r="D92" s="37" t="s">
        <v>159</v>
      </c>
      <c r="E92" s="38" t="s">
        <v>32</v>
      </c>
      <c r="F92" s="39">
        <v>9</v>
      </c>
      <c r="G92" s="40"/>
      <c r="H92" s="41"/>
      <c r="I92" s="41"/>
    </row>
    <row r="93" ht="12.75" customHeight="1" spans="1:9" x14ac:dyDescent="0.25">
      <c r="A93" s="35" t="s">
        <v>149</v>
      </c>
      <c r="B93" s="35" t="s">
        <v>71</v>
      </c>
      <c r="C93" s="36" t="s">
        <v>154</v>
      </c>
      <c r="D93" s="37" t="s">
        <v>155</v>
      </c>
      <c r="E93" s="38" t="s">
        <v>32</v>
      </c>
      <c r="F93" s="39">
        <v>22</v>
      </c>
      <c r="G93" s="40"/>
      <c r="H93" s="41"/>
      <c r="I93" s="41"/>
    </row>
    <row r="94" ht="12.75" customHeight="1" spans="1:9" x14ac:dyDescent="0.25">
      <c r="A94" s="35" t="s">
        <v>149</v>
      </c>
      <c r="B94" s="35" t="s">
        <v>71</v>
      </c>
      <c r="C94" s="36" t="s">
        <v>160</v>
      </c>
      <c r="D94" s="37" t="s">
        <v>161</v>
      </c>
      <c r="E94" s="38" t="s">
        <v>32</v>
      </c>
      <c r="F94" s="39">
        <v>24</v>
      </c>
      <c r="G94" s="40"/>
      <c r="H94" s="41"/>
      <c r="I94" s="41"/>
    </row>
    <row r="95" ht="12.75" customHeight="1" spans="1:9" x14ac:dyDescent="0.25">
      <c r="A95" s="35" t="s">
        <v>149</v>
      </c>
      <c r="B95" s="35" t="s">
        <v>71</v>
      </c>
      <c r="C95" s="36" t="s">
        <v>162</v>
      </c>
      <c r="D95" s="37" t="s">
        <v>163</v>
      </c>
      <c r="E95" s="38" t="s">
        <v>32</v>
      </c>
      <c r="F95" s="39">
        <v>38</v>
      </c>
      <c r="G95" s="40"/>
      <c r="H95" s="41"/>
      <c r="I95" s="41"/>
    </row>
    <row r="96" ht="12.75" customHeight="1" spans="1:9" x14ac:dyDescent="0.25">
      <c r="A96" s="35" t="s">
        <v>149</v>
      </c>
      <c r="B96" s="35" t="s">
        <v>71</v>
      </c>
      <c r="C96" s="36" t="s">
        <v>154</v>
      </c>
      <c r="D96" s="37" t="s">
        <v>155</v>
      </c>
      <c r="E96" s="38" t="s">
        <v>32</v>
      </c>
      <c r="F96" s="39">
        <v>93</v>
      </c>
      <c r="G96" s="40"/>
      <c r="H96" s="41"/>
      <c r="I96" s="41"/>
    </row>
    <row r="97" ht="12.75" customHeight="1" spans="1:9" x14ac:dyDescent="0.25">
      <c r="A97" s="35" t="s">
        <v>149</v>
      </c>
      <c r="B97" s="35" t="s">
        <v>71</v>
      </c>
      <c r="C97" s="36" t="s">
        <v>152</v>
      </c>
      <c r="D97" s="37" t="s">
        <v>153</v>
      </c>
      <c r="E97" s="38" t="s">
        <v>32</v>
      </c>
      <c r="F97" s="39">
        <v>278</v>
      </c>
      <c r="G97" s="40"/>
      <c r="H97" s="41"/>
      <c r="I97" s="41"/>
    </row>
    <row r="98" ht="12.75" customHeight="1" spans="1:9" x14ac:dyDescent="0.25">
      <c r="A98" s="35" t="s">
        <v>149</v>
      </c>
      <c r="B98" s="35" t="s">
        <v>71</v>
      </c>
      <c r="C98" s="36" t="s">
        <v>156</v>
      </c>
      <c r="D98" s="37" t="s">
        <v>157</v>
      </c>
      <c r="E98" s="38" t="s">
        <v>32</v>
      </c>
      <c r="F98" s="39">
        <v>391</v>
      </c>
      <c r="G98" s="40"/>
      <c r="H98" s="41"/>
      <c r="I98" s="41"/>
    </row>
    <row r="99" ht="12.75" customHeight="1" spans="1:9" x14ac:dyDescent="0.25">
      <c r="A99" s="35" t="s">
        <v>149</v>
      </c>
      <c r="B99" s="35" t="s">
        <v>71</v>
      </c>
      <c r="C99" s="36" t="s">
        <v>158</v>
      </c>
      <c r="D99" s="37" t="s">
        <v>159</v>
      </c>
      <c r="E99" s="38" t="s">
        <v>32</v>
      </c>
      <c r="F99" s="39">
        <v>711</v>
      </c>
      <c r="G99" s="40"/>
      <c r="H99" s="41"/>
      <c r="I99" s="41"/>
    </row>
    <row r="100" ht="12.75" customHeight="1" spans="1:9" x14ac:dyDescent="0.25">
      <c r="A100" s="35" t="s">
        <v>149</v>
      </c>
      <c r="B100" s="35" t="s">
        <v>71</v>
      </c>
      <c r="C100" s="36" t="s">
        <v>162</v>
      </c>
      <c r="D100" s="37" t="s">
        <v>163</v>
      </c>
      <c r="E100" s="38" t="s">
        <v>32</v>
      </c>
      <c r="F100" s="39">
        <v>722</v>
      </c>
      <c r="G100" s="40"/>
      <c r="H100" s="41"/>
      <c r="I100" s="41"/>
    </row>
    <row r="101" ht="12.75" customHeight="1" spans="1:9" x14ac:dyDescent="0.25">
      <c r="A101" s="35" t="s">
        <v>149</v>
      </c>
      <c r="B101" s="35" t="s">
        <v>71</v>
      </c>
      <c r="C101" s="36" t="s">
        <v>160</v>
      </c>
      <c r="D101" s="37" t="s">
        <v>161</v>
      </c>
      <c r="E101" s="38" t="s">
        <v>32</v>
      </c>
      <c r="F101" s="39">
        <v>896</v>
      </c>
      <c r="G101" s="40"/>
      <c r="H101" s="41"/>
      <c r="I101" s="41"/>
    </row>
    <row r="102" ht="12.75" customHeight="1" spans="1:9" x14ac:dyDescent="0.25">
      <c r="A102" s="35" t="s">
        <v>149</v>
      </c>
      <c r="B102" s="35" t="s">
        <v>79</v>
      </c>
      <c r="C102" s="36" t="s">
        <v>134</v>
      </c>
      <c r="D102" s="37" t="s">
        <v>164</v>
      </c>
      <c r="E102" s="38" t="s">
        <v>32</v>
      </c>
      <c r="F102" s="39">
        <v>50</v>
      </c>
      <c r="G102" s="40"/>
      <c r="H102" s="41"/>
      <c r="I102" s="41"/>
    </row>
    <row r="103" ht="12.75" customHeight="1" spans="1:9" x14ac:dyDescent="0.25">
      <c r="A103" s="35" t="s">
        <v>149</v>
      </c>
      <c r="B103" s="35" t="s">
        <v>79</v>
      </c>
      <c r="C103" s="36" t="s">
        <v>134</v>
      </c>
      <c r="D103" s="37" t="s">
        <v>165</v>
      </c>
      <c r="E103" s="38" t="s">
        <v>32</v>
      </c>
      <c r="F103" s="39">
        <v>50</v>
      </c>
      <c r="G103" s="40"/>
      <c r="H103" s="41"/>
      <c r="I103" s="41"/>
    </row>
    <row r="104" ht="12.75" customHeight="1" spans="1:9" x14ac:dyDescent="0.25">
      <c r="A104" s="35" t="s">
        <v>149</v>
      </c>
      <c r="B104" s="35" t="s">
        <v>79</v>
      </c>
      <c r="C104" s="36" t="s">
        <v>135</v>
      </c>
      <c r="D104" s="37" t="s">
        <v>164</v>
      </c>
      <c r="E104" s="38" t="s">
        <v>32</v>
      </c>
      <c r="F104" s="39">
        <v>54</v>
      </c>
      <c r="G104" s="40"/>
      <c r="H104" s="41"/>
      <c r="I104" s="41"/>
    </row>
    <row r="105" ht="12.75" customHeight="1" spans="1:9" x14ac:dyDescent="0.25">
      <c r="A105" s="35" t="s">
        <v>149</v>
      </c>
      <c r="B105" s="35" t="s">
        <v>79</v>
      </c>
      <c r="C105" s="36" t="s">
        <v>135</v>
      </c>
      <c r="D105" s="37" t="s">
        <v>165</v>
      </c>
      <c r="E105" s="38" t="s">
        <v>32</v>
      </c>
      <c r="F105" s="39">
        <v>56</v>
      </c>
      <c r="G105" s="40"/>
      <c r="H105" s="41"/>
      <c r="I105" s="41"/>
    </row>
    <row r="106" ht="12.75" customHeight="1" spans="1:9" x14ac:dyDescent="0.25">
      <c r="A106" s="35" t="s">
        <v>149</v>
      </c>
      <c r="B106" s="35" t="s">
        <v>79</v>
      </c>
      <c r="C106" s="36" t="s">
        <v>108</v>
      </c>
      <c r="D106" s="37" t="s">
        <v>165</v>
      </c>
      <c r="E106" s="38" t="s">
        <v>32</v>
      </c>
      <c r="F106" s="39">
        <v>99</v>
      </c>
      <c r="G106" s="40"/>
      <c r="H106" s="41"/>
      <c r="I106" s="41"/>
    </row>
    <row r="107" ht="12.75" customHeight="1" spans="1:9" x14ac:dyDescent="0.25">
      <c r="A107" s="35" t="s">
        <v>149</v>
      </c>
      <c r="B107" s="35" t="s">
        <v>79</v>
      </c>
      <c r="C107" s="36" t="s">
        <v>108</v>
      </c>
      <c r="D107" s="37" t="s">
        <v>164</v>
      </c>
      <c r="E107" s="38" t="s">
        <v>32</v>
      </c>
      <c r="F107" s="39">
        <v>99</v>
      </c>
      <c r="G107" s="40"/>
      <c r="H107" s="41"/>
      <c r="I107" s="41"/>
    </row>
    <row r="108" ht="12.75" customHeight="1" spans="1:9" x14ac:dyDescent="0.25">
      <c r="A108" s="35" t="s">
        <v>149</v>
      </c>
      <c r="B108" s="35" t="s">
        <v>79</v>
      </c>
      <c r="C108" s="36" t="s">
        <v>134</v>
      </c>
      <c r="D108" s="37" t="s">
        <v>164</v>
      </c>
      <c r="E108" s="38" t="s">
        <v>32</v>
      </c>
      <c r="F108" s="39">
        <v>1450</v>
      </c>
      <c r="G108" s="40"/>
      <c r="H108" s="41"/>
      <c r="I108" s="41"/>
    </row>
    <row r="109" ht="12.75" customHeight="1" spans="1:9" x14ac:dyDescent="0.25">
      <c r="A109" s="35" t="s">
        <v>149</v>
      </c>
      <c r="B109" s="35" t="s">
        <v>79</v>
      </c>
      <c r="C109" s="36" t="s">
        <v>134</v>
      </c>
      <c r="D109" s="37" t="s">
        <v>165</v>
      </c>
      <c r="E109" s="38" t="s">
        <v>32</v>
      </c>
      <c r="F109" s="39">
        <v>1450</v>
      </c>
      <c r="G109" s="40"/>
      <c r="H109" s="41"/>
      <c r="I109" s="41"/>
    </row>
    <row r="110" ht="12.75" customHeight="1" spans="1:9" x14ac:dyDescent="0.25">
      <c r="A110" s="35" t="s">
        <v>149</v>
      </c>
      <c r="B110" s="35" t="s">
        <v>79</v>
      </c>
      <c r="C110" s="36" t="s">
        <v>135</v>
      </c>
      <c r="D110" s="37" t="s">
        <v>165</v>
      </c>
      <c r="E110" s="38" t="s">
        <v>32</v>
      </c>
      <c r="F110" s="39">
        <v>1844</v>
      </c>
      <c r="G110" s="40"/>
      <c r="H110" s="41"/>
      <c r="I110" s="41"/>
    </row>
    <row r="111" ht="12.75" customHeight="1" spans="1:9" x14ac:dyDescent="0.25">
      <c r="A111" s="35" t="s">
        <v>149</v>
      </c>
      <c r="B111" s="35" t="s">
        <v>79</v>
      </c>
      <c r="C111" s="36" t="s">
        <v>135</v>
      </c>
      <c r="D111" s="37" t="s">
        <v>164</v>
      </c>
      <c r="E111" s="38" t="s">
        <v>32</v>
      </c>
      <c r="F111" s="39">
        <v>1846</v>
      </c>
      <c r="G111" s="40"/>
      <c r="H111" s="41"/>
      <c r="I111" s="41"/>
    </row>
    <row r="112" ht="12.75" customHeight="1" spans="1:9" x14ac:dyDescent="0.25">
      <c r="A112" s="35" t="s">
        <v>149</v>
      </c>
      <c r="B112" s="35" t="s">
        <v>79</v>
      </c>
      <c r="C112" s="36" t="s">
        <v>108</v>
      </c>
      <c r="D112" s="37" t="s">
        <v>164</v>
      </c>
      <c r="E112" s="38" t="s">
        <v>32</v>
      </c>
      <c r="F112" s="39">
        <v>2701</v>
      </c>
      <c r="G112" s="40"/>
      <c r="H112" s="41"/>
      <c r="I112" s="41"/>
    </row>
    <row r="113" ht="12.75" customHeight="1" spans="1:9" x14ac:dyDescent="0.25">
      <c r="A113" s="35" t="s">
        <v>149</v>
      </c>
      <c r="B113" s="35" t="s">
        <v>79</v>
      </c>
      <c r="C113" s="36" t="s">
        <v>108</v>
      </c>
      <c r="D113" s="37" t="s">
        <v>165</v>
      </c>
      <c r="E113" s="38" t="s">
        <v>32</v>
      </c>
      <c r="F113" s="39">
        <v>2901</v>
      </c>
      <c r="G113" s="40"/>
      <c r="H113" s="41"/>
      <c r="I113" s="41"/>
    </row>
    <row r="114" ht="12.75" customHeight="1" spans="1:9" x14ac:dyDescent="0.25">
      <c r="A114" s="35" t="s">
        <v>166</v>
      </c>
      <c r="B114" s="35" t="s">
        <v>22</v>
      </c>
      <c r="C114" s="36" t="s">
        <v>167</v>
      </c>
      <c r="D114" s="37" t="s">
        <v>168</v>
      </c>
      <c r="E114" s="38" t="s">
        <v>14</v>
      </c>
      <c r="F114" s="39">
        <v>39</v>
      </c>
      <c r="G114" s="40">
        <v>2</v>
      </c>
      <c r="H114" s="41" t="s">
        <v>119</v>
      </c>
      <c r="I114" s="41" t="s">
        <v>169</v>
      </c>
    </row>
    <row r="115" ht="12.75" customHeight="1" spans="1:9" x14ac:dyDescent="0.25">
      <c r="A115" s="35" t="s">
        <v>166</v>
      </c>
      <c r="B115" s="35" t="s">
        <v>22</v>
      </c>
      <c r="C115" s="36" t="s">
        <v>167</v>
      </c>
      <c r="D115" s="37" t="s">
        <v>168</v>
      </c>
      <c r="E115" s="38" t="s">
        <v>14</v>
      </c>
      <c r="F115" s="39">
        <v>57</v>
      </c>
      <c r="G115" s="40"/>
      <c r="H115" s="41"/>
      <c r="I115" s="41"/>
    </row>
    <row r="116" ht="12.75" customHeight="1" spans="1:9" x14ac:dyDescent="0.25">
      <c r="A116" s="35" t="s">
        <v>166</v>
      </c>
      <c r="B116" s="35" t="s">
        <v>22</v>
      </c>
      <c r="C116" s="36" t="s">
        <v>167</v>
      </c>
      <c r="D116" s="37" t="s">
        <v>168</v>
      </c>
      <c r="E116" s="38" t="s">
        <v>14</v>
      </c>
      <c r="F116" s="39">
        <v>104</v>
      </c>
      <c r="G116" s="40"/>
      <c r="H116" s="41"/>
      <c r="I116" s="41"/>
    </row>
    <row r="117" ht="12.75" customHeight="1" spans="1:9" x14ac:dyDescent="0.25">
      <c r="A117" s="35" t="s">
        <v>166</v>
      </c>
      <c r="B117" s="35" t="s">
        <v>23</v>
      </c>
      <c r="C117" s="36" t="s">
        <v>167</v>
      </c>
      <c r="D117" s="37" t="s">
        <v>170</v>
      </c>
      <c r="E117" s="38" t="s">
        <v>14</v>
      </c>
      <c r="F117" s="39">
        <v>16</v>
      </c>
      <c r="G117" s="40"/>
      <c r="H117" s="41"/>
      <c r="I117" s="41"/>
    </row>
    <row r="118" ht="12.75" customHeight="1" spans="1:9" x14ac:dyDescent="0.25">
      <c r="A118" s="35" t="s">
        <v>166</v>
      </c>
      <c r="B118" s="35" t="s">
        <v>23</v>
      </c>
      <c r="C118" s="36" t="s">
        <v>108</v>
      </c>
      <c r="D118" s="37" t="s">
        <v>170</v>
      </c>
      <c r="E118" s="38" t="s">
        <v>14</v>
      </c>
      <c r="F118" s="39">
        <v>36</v>
      </c>
      <c r="G118" s="40"/>
      <c r="H118" s="41"/>
      <c r="I118" s="41"/>
    </row>
    <row r="119" ht="12.75" customHeight="1" spans="1:9" x14ac:dyDescent="0.25">
      <c r="A119" s="35" t="s">
        <v>166</v>
      </c>
      <c r="B119" s="35" t="s">
        <v>23</v>
      </c>
      <c r="C119" s="36" t="s">
        <v>108</v>
      </c>
      <c r="D119" s="37" t="s">
        <v>170</v>
      </c>
      <c r="E119" s="38" t="s">
        <v>14</v>
      </c>
      <c r="F119" s="39">
        <v>64</v>
      </c>
      <c r="G119" s="40"/>
      <c r="H119" s="41"/>
      <c r="I119" s="41"/>
    </row>
    <row r="120" ht="12.75" customHeight="1" spans="1:9" x14ac:dyDescent="0.25">
      <c r="A120" s="35" t="s">
        <v>166</v>
      </c>
      <c r="B120" s="35" t="s">
        <v>23</v>
      </c>
      <c r="C120" s="36" t="s">
        <v>167</v>
      </c>
      <c r="D120" s="37" t="s">
        <v>170</v>
      </c>
      <c r="E120" s="38" t="s">
        <v>14</v>
      </c>
      <c r="F120" s="39">
        <v>64</v>
      </c>
      <c r="G120" s="40"/>
      <c r="H120" s="41"/>
      <c r="I120" s="41"/>
    </row>
    <row r="121" ht="12.75" customHeight="1" spans="1:9" x14ac:dyDescent="0.25">
      <c r="A121" s="35" t="s">
        <v>166</v>
      </c>
      <c r="B121" s="35" t="s">
        <v>23</v>
      </c>
      <c r="C121" s="36" t="s">
        <v>108</v>
      </c>
      <c r="D121" s="37" t="s">
        <v>170</v>
      </c>
      <c r="E121" s="38" t="s">
        <v>14</v>
      </c>
      <c r="F121" s="39">
        <v>150</v>
      </c>
      <c r="G121" s="40"/>
      <c r="H121" s="41"/>
      <c r="I121" s="41"/>
    </row>
    <row r="122" ht="12.75" customHeight="1" spans="1:9" x14ac:dyDescent="0.25">
      <c r="A122" s="35" t="s">
        <v>171</v>
      </c>
      <c r="B122" s="35" t="s">
        <v>63</v>
      </c>
      <c r="C122" s="36" t="s">
        <v>172</v>
      </c>
      <c r="D122" s="37" t="s">
        <v>173</v>
      </c>
      <c r="E122" s="38" t="s">
        <v>46</v>
      </c>
      <c r="F122" s="39">
        <v>20</v>
      </c>
      <c r="G122" s="40">
        <v>1</v>
      </c>
      <c r="H122" s="41" t="s">
        <v>125</v>
      </c>
      <c r="I122" s="41" t="s">
        <v>17</v>
      </c>
    </row>
    <row r="123" ht="12.75" customHeight="1" spans="1:9" x14ac:dyDescent="0.25">
      <c r="A123" s="35" t="s">
        <v>174</v>
      </c>
      <c r="B123" s="35" t="s">
        <v>90</v>
      </c>
      <c r="C123" s="36" t="s">
        <v>108</v>
      </c>
      <c r="D123" s="37" t="s">
        <v>175</v>
      </c>
      <c r="E123" s="38" t="s">
        <v>32</v>
      </c>
      <c r="F123" s="39">
        <v>317</v>
      </c>
      <c r="G123" s="40">
        <v>1</v>
      </c>
      <c r="H123" s="41" t="s">
        <v>119</v>
      </c>
      <c r="I123" s="41" t="s">
        <v>17</v>
      </c>
    </row>
    <row r="124" ht="12.75" customHeight="1" spans="1:9" x14ac:dyDescent="0.25">
      <c r="A124" s="35" t="s">
        <v>174</v>
      </c>
      <c r="B124" s="35" t="s">
        <v>90</v>
      </c>
      <c r="C124" s="36" t="s">
        <v>108</v>
      </c>
      <c r="D124" s="37" t="s">
        <v>175</v>
      </c>
      <c r="E124" s="38" t="s">
        <v>32</v>
      </c>
      <c r="F124" s="39">
        <v>9283</v>
      </c>
      <c r="G124" s="40"/>
      <c r="H124" s="41"/>
      <c r="I124" s="41"/>
    </row>
    <row r="125" ht="12.75" customHeight="1" spans="1:9" x14ac:dyDescent="0.25">
      <c r="A125" s="35" t="s">
        <v>176</v>
      </c>
      <c r="B125" s="35" t="s">
        <v>68</v>
      </c>
      <c r="C125" s="36" t="s">
        <v>17</v>
      </c>
      <c r="D125" s="37" t="s">
        <v>177</v>
      </c>
      <c r="E125" s="38" t="s">
        <v>32</v>
      </c>
      <c r="F125" s="39">
        <v>485</v>
      </c>
      <c r="G125" s="40">
        <v>1</v>
      </c>
      <c r="H125" s="41" t="s">
        <v>110</v>
      </c>
      <c r="I125" s="41" t="s">
        <v>178</v>
      </c>
    </row>
    <row r="126" ht="12.75" customHeight="1" spans="1:9" x14ac:dyDescent="0.25">
      <c r="A126" s="35" t="s">
        <v>176</v>
      </c>
      <c r="B126" s="35" t="s">
        <v>73</v>
      </c>
      <c r="C126" s="36" t="s">
        <v>17</v>
      </c>
      <c r="D126" s="37" t="s">
        <v>17</v>
      </c>
      <c r="E126" s="38" t="s">
        <v>32</v>
      </c>
      <c r="F126" s="39">
        <v>454</v>
      </c>
      <c r="G126" s="40"/>
      <c r="H126" s="41"/>
      <c r="I126" s="41"/>
    </row>
    <row r="127" ht="12.75" customHeight="1" spans="1:9" x14ac:dyDescent="0.25">
      <c r="A127" s="35" t="s">
        <v>176</v>
      </c>
      <c r="B127" s="35" t="s">
        <v>68</v>
      </c>
      <c r="C127" s="36" t="s">
        <v>17</v>
      </c>
      <c r="D127" s="37" t="s">
        <v>177</v>
      </c>
      <c r="E127" s="38" t="s">
        <v>32</v>
      </c>
      <c r="F127" s="39">
        <v>413</v>
      </c>
      <c r="G127" s="40"/>
      <c r="H127" s="41"/>
      <c r="I127" s="41"/>
    </row>
    <row r="128" ht="12.75" customHeight="1" spans="1:9" x14ac:dyDescent="0.25">
      <c r="A128" s="35" t="s">
        <v>176</v>
      </c>
      <c r="B128" s="35" t="s">
        <v>73</v>
      </c>
      <c r="C128" s="36" t="s">
        <v>17</v>
      </c>
      <c r="D128" s="37" t="s">
        <v>17</v>
      </c>
      <c r="E128" s="38" t="s">
        <v>32</v>
      </c>
      <c r="F128" s="39">
        <v>413</v>
      </c>
      <c r="G128" s="40"/>
      <c r="H128" s="41"/>
      <c r="I128" s="41"/>
    </row>
    <row r="129" ht="12.75" customHeight="1" spans="1:9" x14ac:dyDescent="0.25">
      <c r="A129" s="35" t="s">
        <v>176</v>
      </c>
      <c r="B129" s="35" t="s">
        <v>66</v>
      </c>
      <c r="C129" s="36" t="s">
        <v>117</v>
      </c>
      <c r="D129" s="37" t="s">
        <v>179</v>
      </c>
      <c r="E129" s="38" t="s">
        <v>32</v>
      </c>
      <c r="F129" s="39">
        <v>299</v>
      </c>
      <c r="G129" s="40"/>
      <c r="H129" s="41"/>
      <c r="I129" s="41"/>
    </row>
    <row r="130" ht="12.75" customHeight="1" spans="1:9" x14ac:dyDescent="0.25">
      <c r="A130" s="35" t="s">
        <v>176</v>
      </c>
      <c r="B130" s="35" t="s">
        <v>67</v>
      </c>
      <c r="C130" s="36" t="s">
        <v>117</v>
      </c>
      <c r="D130" s="37" t="s">
        <v>180</v>
      </c>
      <c r="E130" s="38" t="s">
        <v>32</v>
      </c>
      <c r="F130" s="39">
        <v>280</v>
      </c>
      <c r="G130" s="40"/>
      <c r="H130" s="41"/>
      <c r="I130" s="41"/>
    </row>
    <row r="131" ht="12.75" customHeight="1" spans="1:9" x14ac:dyDescent="0.25">
      <c r="A131" s="35" t="s">
        <v>176</v>
      </c>
      <c r="B131" s="35" t="s">
        <v>68</v>
      </c>
      <c r="C131" s="36" t="s">
        <v>17</v>
      </c>
      <c r="D131" s="37" t="s">
        <v>177</v>
      </c>
      <c r="E131" s="38" t="s">
        <v>32</v>
      </c>
      <c r="F131" s="39">
        <v>516</v>
      </c>
      <c r="G131" s="40"/>
      <c r="H131" s="41"/>
      <c r="I131" s="41"/>
    </row>
    <row r="132" ht="12.75" customHeight="1" spans="1:9" x14ac:dyDescent="0.25">
      <c r="A132" s="35" t="s">
        <v>176</v>
      </c>
      <c r="B132" s="35" t="s">
        <v>73</v>
      </c>
      <c r="C132" s="36" t="s">
        <v>17</v>
      </c>
      <c r="D132" s="37" t="s">
        <v>17</v>
      </c>
      <c r="E132" s="38" t="s">
        <v>32</v>
      </c>
      <c r="F132" s="39">
        <v>516</v>
      </c>
      <c r="G132" s="40"/>
      <c r="H132" s="41"/>
      <c r="I132" s="41"/>
    </row>
    <row r="133" ht="12.75" customHeight="1" spans="1:9" x14ac:dyDescent="0.25">
      <c r="A133" s="35" t="s">
        <v>176</v>
      </c>
      <c r="B133" s="35" t="s">
        <v>68</v>
      </c>
      <c r="C133" s="36" t="s">
        <v>17</v>
      </c>
      <c r="D133" s="37" t="s">
        <v>177</v>
      </c>
      <c r="E133" s="38" t="s">
        <v>32</v>
      </c>
      <c r="F133" s="39">
        <v>825</v>
      </c>
      <c r="G133" s="40"/>
      <c r="H133" s="41"/>
      <c r="I133" s="41"/>
    </row>
    <row r="134" ht="12.75" customHeight="1" spans="1:9" x14ac:dyDescent="0.25">
      <c r="A134" s="35" t="s">
        <v>176</v>
      </c>
      <c r="B134" s="35" t="s">
        <v>73</v>
      </c>
      <c r="C134" s="36" t="s">
        <v>17</v>
      </c>
      <c r="D134" s="37" t="s">
        <v>17</v>
      </c>
      <c r="E134" s="38" t="s">
        <v>32</v>
      </c>
      <c r="F134" s="39">
        <v>825</v>
      </c>
      <c r="G134" s="40"/>
      <c r="H134" s="41"/>
      <c r="I134" s="41"/>
    </row>
    <row r="135" ht="12.75" customHeight="1" spans="1:9" x14ac:dyDescent="0.25">
      <c r="A135" s="35" t="s">
        <v>176</v>
      </c>
      <c r="B135" s="35" t="s">
        <v>66</v>
      </c>
      <c r="C135" s="36" t="s">
        <v>117</v>
      </c>
      <c r="D135" s="37" t="s">
        <v>179</v>
      </c>
      <c r="E135" s="38" t="s">
        <v>32</v>
      </c>
      <c r="F135" s="39">
        <v>1443</v>
      </c>
      <c r="G135" s="40">
        <v>1</v>
      </c>
      <c r="H135" s="41" t="s">
        <v>110</v>
      </c>
      <c r="I135" s="41" t="s">
        <v>17</v>
      </c>
    </row>
    <row r="136" ht="12.75" customHeight="1" spans="1:9" x14ac:dyDescent="0.25">
      <c r="A136" s="35" t="s">
        <v>176</v>
      </c>
      <c r="B136" s="35" t="s">
        <v>66</v>
      </c>
      <c r="C136" s="36" t="s">
        <v>117</v>
      </c>
      <c r="D136" s="37" t="s">
        <v>181</v>
      </c>
      <c r="E136" s="38" t="s">
        <v>32</v>
      </c>
      <c r="F136" s="39">
        <v>3091</v>
      </c>
      <c r="G136" s="40"/>
      <c r="H136" s="41"/>
      <c r="I136" s="41"/>
    </row>
    <row r="137" ht="12.75" customHeight="1" spans="1:9" x14ac:dyDescent="0.25">
      <c r="A137" s="35" t="s">
        <v>176</v>
      </c>
      <c r="B137" s="35" t="s">
        <v>67</v>
      </c>
      <c r="C137" s="36" t="s">
        <v>117</v>
      </c>
      <c r="D137" s="37" t="s">
        <v>180</v>
      </c>
      <c r="E137" s="38" t="s">
        <v>32</v>
      </c>
      <c r="F137" s="39">
        <v>1443</v>
      </c>
      <c r="G137" s="40"/>
      <c r="H137" s="41"/>
      <c r="I137" s="41"/>
    </row>
    <row r="138" ht="12.75" customHeight="1" spans="1:9" x14ac:dyDescent="0.25">
      <c r="A138" s="35" t="s">
        <v>176</v>
      </c>
      <c r="B138" s="35" t="s">
        <v>67</v>
      </c>
      <c r="C138" s="36" t="s">
        <v>117</v>
      </c>
      <c r="D138" s="37" t="s">
        <v>182</v>
      </c>
      <c r="E138" s="38" t="s">
        <v>32</v>
      </c>
      <c r="F138" s="39">
        <v>3091</v>
      </c>
      <c r="G138" s="40"/>
      <c r="H138" s="41"/>
      <c r="I138" s="41"/>
    </row>
    <row r="139" ht="12.75" customHeight="1" spans="1:9" x14ac:dyDescent="0.25">
      <c r="A139" s="35" t="s">
        <v>176</v>
      </c>
      <c r="B139" s="35" t="s">
        <v>73</v>
      </c>
      <c r="C139" s="36" t="s">
        <v>17</v>
      </c>
      <c r="D139" s="37" t="s">
        <v>17</v>
      </c>
      <c r="E139" s="38" t="s">
        <v>32</v>
      </c>
      <c r="F139" s="39">
        <v>3091</v>
      </c>
      <c r="G139" s="40"/>
      <c r="H139" s="41"/>
      <c r="I139" s="41"/>
    </row>
    <row r="140" ht="12.75" customHeight="1" spans="1:9" x14ac:dyDescent="0.25">
      <c r="A140" s="35" t="s">
        <v>176</v>
      </c>
      <c r="B140" s="35" t="s">
        <v>84</v>
      </c>
      <c r="C140" s="36" t="s">
        <v>117</v>
      </c>
      <c r="D140" s="37" t="s">
        <v>183</v>
      </c>
      <c r="E140" s="38" t="s">
        <v>32</v>
      </c>
      <c r="F140" s="39">
        <v>3091</v>
      </c>
      <c r="G140" s="40"/>
      <c r="H140" s="41"/>
      <c r="I140" s="41"/>
    </row>
    <row r="141" ht="12.75" customHeight="1" spans="1:9" x14ac:dyDescent="0.25">
      <c r="A141" s="35" t="s">
        <v>184</v>
      </c>
      <c r="B141" s="35" t="s">
        <v>58</v>
      </c>
      <c r="C141" s="36" t="s">
        <v>185</v>
      </c>
      <c r="D141" s="37" t="s">
        <v>186</v>
      </c>
      <c r="E141" s="38" t="s">
        <v>32</v>
      </c>
      <c r="F141" s="39">
        <v>12</v>
      </c>
      <c r="G141" s="40">
        <v>30</v>
      </c>
      <c r="H141" s="41" t="s">
        <v>110</v>
      </c>
      <c r="I141" s="41" t="s">
        <v>17</v>
      </c>
    </row>
    <row r="142" ht="12.75" customHeight="1" spans="1:9" x14ac:dyDescent="0.25">
      <c r="A142" s="35" t="s">
        <v>184</v>
      </c>
      <c r="B142" s="35" t="s">
        <v>58</v>
      </c>
      <c r="C142" s="36" t="s">
        <v>187</v>
      </c>
      <c r="D142" s="37" t="s">
        <v>188</v>
      </c>
      <c r="E142" s="38" t="s">
        <v>32</v>
      </c>
      <c r="F142" s="39">
        <v>12</v>
      </c>
      <c r="G142" s="40"/>
      <c r="H142" s="41"/>
      <c r="I142" s="41"/>
    </row>
    <row r="143" ht="12.75" customHeight="1" spans="1:9" x14ac:dyDescent="0.25">
      <c r="A143" s="35" t="s">
        <v>184</v>
      </c>
      <c r="B143" s="35" t="s">
        <v>58</v>
      </c>
      <c r="C143" s="36" t="s">
        <v>189</v>
      </c>
      <c r="D143" s="37" t="s">
        <v>190</v>
      </c>
      <c r="E143" s="38" t="s">
        <v>32</v>
      </c>
      <c r="F143" s="39">
        <v>12</v>
      </c>
      <c r="G143" s="40"/>
      <c r="H143" s="41"/>
      <c r="I143" s="41"/>
    </row>
    <row r="144" ht="12.75" customHeight="1" spans="1:9" x14ac:dyDescent="0.25">
      <c r="A144" s="35" t="s">
        <v>184</v>
      </c>
      <c r="B144" s="35" t="s">
        <v>59</v>
      </c>
      <c r="C144" s="36" t="s">
        <v>189</v>
      </c>
      <c r="D144" s="37" t="s">
        <v>191</v>
      </c>
      <c r="E144" s="38" t="s">
        <v>32</v>
      </c>
      <c r="F144" s="39">
        <v>12</v>
      </c>
      <c r="G144" s="40"/>
      <c r="H144" s="41"/>
      <c r="I144" s="41"/>
    </row>
    <row r="145" ht="12.75" customHeight="1" spans="1:9" x14ac:dyDescent="0.25">
      <c r="A145" s="35" t="s">
        <v>184</v>
      </c>
      <c r="B145" s="35" t="s">
        <v>59</v>
      </c>
      <c r="C145" s="36" t="s">
        <v>192</v>
      </c>
      <c r="D145" s="37" t="s">
        <v>193</v>
      </c>
      <c r="E145" s="38" t="s">
        <v>32</v>
      </c>
      <c r="F145" s="39">
        <v>12</v>
      </c>
      <c r="G145" s="40"/>
      <c r="H145" s="41"/>
      <c r="I145" s="41"/>
    </row>
    <row r="146" ht="12.75" customHeight="1" spans="1:9" x14ac:dyDescent="0.25">
      <c r="A146" s="35" t="s">
        <v>184</v>
      </c>
      <c r="B146" s="35" t="s">
        <v>94</v>
      </c>
      <c r="C146" s="36" t="s">
        <v>17</v>
      </c>
      <c r="D146" s="37" t="s">
        <v>194</v>
      </c>
      <c r="E146" s="38" t="s">
        <v>95</v>
      </c>
      <c r="F146" s="39">
        <v>1</v>
      </c>
      <c r="G146" s="40"/>
      <c r="H146" s="41"/>
      <c r="I146" s="41"/>
    </row>
    <row r="147" ht="12.75" customHeight="1" spans="1:9" x14ac:dyDescent="0.25">
      <c r="A147" s="35" t="s">
        <v>184</v>
      </c>
      <c r="B147" s="35" t="s">
        <v>94</v>
      </c>
      <c r="C147" s="36" t="s">
        <v>17</v>
      </c>
      <c r="D147" s="37" t="s">
        <v>194</v>
      </c>
      <c r="E147" s="38" t="s">
        <v>95</v>
      </c>
      <c r="F147" s="39">
        <v>24</v>
      </c>
      <c r="G147" s="40"/>
      <c r="H147" s="41"/>
      <c r="I147" s="41"/>
    </row>
    <row r="148" ht="12.75" customHeight="1" spans="1:9" x14ac:dyDescent="0.25">
      <c r="A148" s="35" t="s">
        <v>195</v>
      </c>
      <c r="B148" s="35" t="s">
        <v>61</v>
      </c>
      <c r="C148" s="36" t="s">
        <v>17</v>
      </c>
      <c r="D148" s="37" t="s">
        <v>196</v>
      </c>
      <c r="E148" s="38" t="s">
        <v>32</v>
      </c>
      <c r="F148" s="39">
        <v>500</v>
      </c>
      <c r="G148" s="40">
        <v>1</v>
      </c>
      <c r="H148" s="41" t="s">
        <v>110</v>
      </c>
      <c r="I148" s="41" t="s">
        <v>17</v>
      </c>
    </row>
    <row r="149" ht="12.75" customHeight="1" spans="1:9" x14ac:dyDescent="0.25">
      <c r="A149" s="35" t="s">
        <v>197</v>
      </c>
      <c r="B149" s="35" t="s">
        <v>198</v>
      </c>
      <c r="C149" s="36" t="s">
        <v>108</v>
      </c>
      <c r="D149" s="37" t="s">
        <v>199</v>
      </c>
      <c r="E149" s="38" t="s">
        <v>14</v>
      </c>
      <c r="F149" s="39">
        <v>1</v>
      </c>
      <c r="G149" s="40">
        <v>8</v>
      </c>
      <c r="H149" s="41" t="s">
        <v>110</v>
      </c>
      <c r="I149" s="41" t="s">
        <v>200</v>
      </c>
    </row>
    <row r="150" ht="12.75" customHeight="1" spans="1:9" x14ac:dyDescent="0.25">
      <c r="A150" s="35" t="s">
        <v>197</v>
      </c>
      <c r="B150" s="35" t="s">
        <v>198</v>
      </c>
      <c r="C150" s="36" t="s">
        <v>108</v>
      </c>
      <c r="D150" s="37" t="s">
        <v>199</v>
      </c>
      <c r="E150" s="38" t="s">
        <v>14</v>
      </c>
      <c r="F150" s="39">
        <v>1</v>
      </c>
      <c r="G150" s="40"/>
      <c r="H150" s="41"/>
      <c r="I150" s="41"/>
    </row>
    <row r="151" ht="12.75" customHeight="1" spans="1:9" x14ac:dyDescent="0.25">
      <c r="A151" s="35" t="s">
        <v>197</v>
      </c>
      <c r="B151" s="35" t="s">
        <v>198</v>
      </c>
      <c r="C151" s="36" t="s">
        <v>108</v>
      </c>
      <c r="D151" s="37" t="s">
        <v>199</v>
      </c>
      <c r="E151" s="38" t="s">
        <v>14</v>
      </c>
      <c r="F151" s="39">
        <v>7</v>
      </c>
      <c r="G151" s="40"/>
      <c r="H151" s="41"/>
      <c r="I151" s="41"/>
    </row>
    <row r="152" ht="12.75" customHeight="1" spans="1:9" x14ac:dyDescent="0.25">
      <c r="A152" s="35" t="s">
        <v>197</v>
      </c>
      <c r="B152" s="35" t="s">
        <v>198</v>
      </c>
      <c r="C152" s="36" t="s">
        <v>108</v>
      </c>
      <c r="D152" s="37" t="s">
        <v>199</v>
      </c>
      <c r="E152" s="38" t="s">
        <v>14</v>
      </c>
      <c r="F152" s="39">
        <v>51</v>
      </c>
      <c r="G152" s="40"/>
      <c r="H152" s="41"/>
      <c r="I152" s="41"/>
    </row>
    <row r="153" ht="12.75" customHeight="1" spans="1:9" x14ac:dyDescent="0.25">
      <c r="A153" s="35" t="s">
        <v>197</v>
      </c>
      <c r="B153" s="35" t="s">
        <v>198</v>
      </c>
      <c r="C153" s="36" t="s">
        <v>108</v>
      </c>
      <c r="D153" s="37" t="s">
        <v>199</v>
      </c>
      <c r="E153" s="38" t="s">
        <v>14</v>
      </c>
      <c r="F153" s="39">
        <v>73</v>
      </c>
      <c r="G153" s="40"/>
      <c r="H153" s="41"/>
      <c r="I153" s="41"/>
    </row>
    <row r="154" ht="12.75" customHeight="1" spans="1:9" x14ac:dyDescent="0.25">
      <c r="A154" s="35" t="s">
        <v>197</v>
      </c>
      <c r="B154" s="35" t="s">
        <v>198</v>
      </c>
      <c r="C154" s="36" t="s">
        <v>108</v>
      </c>
      <c r="D154" s="37" t="s">
        <v>199</v>
      </c>
      <c r="E154" s="38" t="s">
        <v>14</v>
      </c>
      <c r="F154" s="39">
        <v>80</v>
      </c>
      <c r="G154" s="40"/>
      <c r="H154" s="41"/>
      <c r="I154" s="41"/>
    </row>
    <row r="155" ht="12.75" customHeight="1" spans="1:9" x14ac:dyDescent="0.25">
      <c r="A155" s="35" t="s">
        <v>197</v>
      </c>
      <c r="B155" s="35" t="s">
        <v>198</v>
      </c>
      <c r="C155" s="36" t="s">
        <v>108</v>
      </c>
      <c r="D155" s="37" t="s">
        <v>199</v>
      </c>
      <c r="E155" s="38" t="s">
        <v>14</v>
      </c>
      <c r="F155" s="39">
        <v>182</v>
      </c>
      <c r="G155" s="40"/>
      <c r="H155" s="41"/>
      <c r="I155" s="41"/>
    </row>
    <row r="156" ht="12.75" customHeight="1" spans="1:9" x14ac:dyDescent="0.25">
      <c r="A156" s="35" t="s">
        <v>197</v>
      </c>
      <c r="B156" s="35" t="s">
        <v>198</v>
      </c>
      <c r="C156" s="36" t="s">
        <v>108</v>
      </c>
      <c r="D156" s="37" t="s">
        <v>199</v>
      </c>
      <c r="E156" s="38" t="s">
        <v>14</v>
      </c>
      <c r="F156" s="39">
        <v>2</v>
      </c>
      <c r="G156" s="40"/>
      <c r="H156" s="41"/>
      <c r="I156" s="41"/>
    </row>
    <row r="157" ht="12.75" customHeight="1" spans="1:9" x14ac:dyDescent="0.25">
      <c r="A157" s="35" t="s">
        <v>197</v>
      </c>
      <c r="B157" s="35" t="s">
        <v>198</v>
      </c>
      <c r="C157" s="36" t="s">
        <v>108</v>
      </c>
      <c r="D157" s="37" t="s">
        <v>199</v>
      </c>
      <c r="E157" s="38" t="s">
        <v>14</v>
      </c>
      <c r="F157" s="39">
        <v>5</v>
      </c>
      <c r="G157" s="40"/>
      <c r="H157" s="41"/>
      <c r="I157" s="41"/>
    </row>
    <row r="158" ht="12.75" customHeight="1" spans="1:9" x14ac:dyDescent="0.25">
      <c r="A158" s="35" t="s">
        <v>197</v>
      </c>
      <c r="B158" s="35" t="s">
        <v>198</v>
      </c>
      <c r="C158" s="36" t="s">
        <v>108</v>
      </c>
      <c r="D158" s="37" t="s">
        <v>199</v>
      </c>
      <c r="E158" s="38" t="s">
        <v>14</v>
      </c>
      <c r="F158" s="39">
        <v>42</v>
      </c>
      <c r="G158" s="40"/>
      <c r="H158" s="41"/>
      <c r="I158" s="41"/>
    </row>
    <row r="159" ht="12.75" customHeight="1" spans="1:9" x14ac:dyDescent="0.25">
      <c r="A159" s="35" t="s">
        <v>197</v>
      </c>
      <c r="B159" s="35" t="s">
        <v>198</v>
      </c>
      <c r="C159" s="36" t="s">
        <v>108</v>
      </c>
      <c r="D159" s="37" t="s">
        <v>199</v>
      </c>
      <c r="E159" s="38" t="s">
        <v>14</v>
      </c>
      <c r="F159" s="39">
        <v>100</v>
      </c>
      <c r="G159" s="40"/>
      <c r="H159" s="41"/>
      <c r="I159" s="41"/>
    </row>
    <row r="160" ht="12.75" customHeight="1" spans="1:9" x14ac:dyDescent="0.25">
      <c r="A160" s="35" t="s">
        <v>197</v>
      </c>
      <c r="B160" s="35" t="s">
        <v>198</v>
      </c>
      <c r="C160" s="36" t="s">
        <v>108</v>
      </c>
      <c r="D160" s="37" t="s">
        <v>199</v>
      </c>
      <c r="E160" s="38" t="s">
        <v>14</v>
      </c>
      <c r="F160" s="39">
        <v>156</v>
      </c>
      <c r="G160" s="40"/>
      <c r="H160" s="41"/>
      <c r="I160" s="41"/>
    </row>
    <row r="161" ht="12.75" customHeight="1" spans="1:9" x14ac:dyDescent="0.25">
      <c r="A161" s="35" t="s">
        <v>197</v>
      </c>
      <c r="B161" s="35" t="s">
        <v>198</v>
      </c>
      <c r="C161" s="36" t="s">
        <v>108</v>
      </c>
      <c r="D161" s="37" t="s">
        <v>199</v>
      </c>
      <c r="E161" s="38" t="s">
        <v>14</v>
      </c>
      <c r="F161" s="39">
        <v>90</v>
      </c>
      <c r="G161" s="40"/>
      <c r="H161" s="41"/>
      <c r="I161" s="41"/>
    </row>
    <row r="162" ht="12.75" customHeight="1" spans="1:9" x14ac:dyDescent="0.25">
      <c r="A162" s="35" t="s">
        <v>197</v>
      </c>
      <c r="B162" s="35" t="s">
        <v>201</v>
      </c>
      <c r="C162" s="36" t="s">
        <v>108</v>
      </c>
      <c r="D162" s="37" t="s">
        <v>202</v>
      </c>
      <c r="E162" s="38" t="s">
        <v>14</v>
      </c>
      <c r="F162" s="39">
        <v>11</v>
      </c>
      <c r="G162" s="40"/>
      <c r="H162" s="41"/>
      <c r="I162" s="41"/>
    </row>
    <row r="163" ht="12.75" customHeight="1" spans="1:9" x14ac:dyDescent="0.25">
      <c r="A163" s="35" t="s">
        <v>197</v>
      </c>
      <c r="B163" s="35" t="s">
        <v>201</v>
      </c>
      <c r="C163" s="36" t="s">
        <v>108</v>
      </c>
      <c r="D163" s="37" t="s">
        <v>202</v>
      </c>
      <c r="E163" s="38" t="s">
        <v>14</v>
      </c>
      <c r="F163" s="39">
        <v>19</v>
      </c>
      <c r="G163" s="40"/>
      <c r="H163" s="41"/>
      <c r="I163" s="41"/>
    </row>
    <row r="164" ht="12.75" customHeight="1" spans="1:9" x14ac:dyDescent="0.25">
      <c r="A164" s="35" t="s">
        <v>197</v>
      </c>
      <c r="B164" s="35" t="s">
        <v>201</v>
      </c>
      <c r="C164" s="36" t="s">
        <v>108</v>
      </c>
      <c r="D164" s="37" t="s">
        <v>202</v>
      </c>
      <c r="E164" s="38" t="s">
        <v>14</v>
      </c>
      <c r="F164" s="39">
        <v>22</v>
      </c>
      <c r="G164" s="40"/>
      <c r="H164" s="41"/>
      <c r="I164" s="41"/>
    </row>
    <row r="165" ht="12.75" customHeight="1" spans="1:9" x14ac:dyDescent="0.25">
      <c r="A165" s="35" t="s">
        <v>197</v>
      </c>
      <c r="B165" s="35" t="s">
        <v>201</v>
      </c>
      <c r="C165" s="36" t="s">
        <v>108</v>
      </c>
      <c r="D165" s="37" t="s">
        <v>202</v>
      </c>
      <c r="E165" s="38" t="s">
        <v>14</v>
      </c>
      <c r="F165" s="39">
        <v>39</v>
      </c>
      <c r="G165" s="40"/>
      <c r="H165" s="41"/>
      <c r="I165" s="41"/>
    </row>
    <row r="166" ht="12.75" customHeight="1" spans="1:9" x14ac:dyDescent="0.25">
      <c r="A166" s="35" t="s">
        <v>197</v>
      </c>
      <c r="B166" s="35" t="s">
        <v>201</v>
      </c>
      <c r="C166" s="36" t="s">
        <v>108</v>
      </c>
      <c r="D166" s="37" t="s">
        <v>202</v>
      </c>
      <c r="E166" s="38" t="s">
        <v>14</v>
      </c>
      <c r="F166" s="39">
        <v>53</v>
      </c>
      <c r="G166" s="40"/>
      <c r="H166" s="41"/>
      <c r="I166" s="41"/>
    </row>
    <row r="167" ht="12.75" customHeight="1" spans="1:9" x14ac:dyDescent="0.25">
      <c r="A167" s="35" t="s">
        <v>197</v>
      </c>
      <c r="B167" s="35" t="s">
        <v>201</v>
      </c>
      <c r="C167" s="36" t="s">
        <v>108</v>
      </c>
      <c r="D167" s="37" t="s">
        <v>202</v>
      </c>
      <c r="E167" s="38" t="s">
        <v>14</v>
      </c>
      <c r="F167" s="39">
        <v>147</v>
      </c>
      <c r="G167" s="40"/>
      <c r="H167" s="41"/>
      <c r="I167" s="41"/>
    </row>
    <row r="168" ht="12.75" customHeight="1" spans="1:9" x14ac:dyDescent="0.25">
      <c r="A168" s="35" t="s">
        <v>197</v>
      </c>
      <c r="B168" s="35" t="s">
        <v>201</v>
      </c>
      <c r="C168" s="36" t="s">
        <v>108</v>
      </c>
      <c r="D168" s="37" t="s">
        <v>202</v>
      </c>
      <c r="E168" s="38" t="s">
        <v>14</v>
      </c>
      <c r="F168" s="39">
        <v>208</v>
      </c>
      <c r="G168" s="40"/>
      <c r="H168" s="41"/>
      <c r="I168" s="41"/>
    </row>
    <row r="169" ht="12.75" customHeight="1" spans="1:9" x14ac:dyDescent="0.25">
      <c r="A169" s="35" t="s">
        <v>203</v>
      </c>
      <c r="B169" s="35" t="s">
        <v>35</v>
      </c>
      <c r="C169" s="36" t="s">
        <v>204</v>
      </c>
      <c r="D169" s="37" t="s">
        <v>205</v>
      </c>
      <c r="E169" s="38" t="s">
        <v>32</v>
      </c>
      <c r="F169" s="39">
        <v>1034</v>
      </c>
      <c r="G169" s="40">
        <v>6</v>
      </c>
      <c r="H169" s="41" t="s">
        <v>125</v>
      </c>
      <c r="I169" s="41" t="s">
        <v>200</v>
      </c>
    </row>
    <row r="170" ht="12.75" customHeight="1" spans="1:9" x14ac:dyDescent="0.25">
      <c r="A170" s="35" t="s">
        <v>203</v>
      </c>
      <c r="B170" s="35" t="s">
        <v>35</v>
      </c>
      <c r="C170" s="36" t="s">
        <v>204</v>
      </c>
      <c r="D170" s="37" t="s">
        <v>205</v>
      </c>
      <c r="E170" s="38" t="s">
        <v>32</v>
      </c>
      <c r="F170" s="39">
        <v>1040</v>
      </c>
      <c r="G170" s="40"/>
      <c r="H170" s="41"/>
      <c r="I170" s="41"/>
    </row>
    <row r="171" ht="12.75" customHeight="1" spans="1:9" x14ac:dyDescent="0.25">
      <c r="A171" s="35" t="s">
        <v>203</v>
      </c>
      <c r="B171" s="35" t="s">
        <v>35</v>
      </c>
      <c r="C171" s="36" t="s">
        <v>204</v>
      </c>
      <c r="D171" s="37" t="s">
        <v>205</v>
      </c>
      <c r="E171" s="38" t="s">
        <v>32</v>
      </c>
      <c r="F171" s="39">
        <v>3087</v>
      </c>
      <c r="G171" s="40"/>
      <c r="H171" s="41"/>
      <c r="I171" s="41"/>
    </row>
    <row r="172" ht="12.75" customHeight="1" spans="1:9" x14ac:dyDescent="0.25">
      <c r="A172" s="35" t="s">
        <v>203</v>
      </c>
      <c r="B172" s="35" t="s">
        <v>35</v>
      </c>
      <c r="C172" s="36" t="s">
        <v>204</v>
      </c>
      <c r="D172" s="37" t="s">
        <v>205</v>
      </c>
      <c r="E172" s="38" t="s">
        <v>32</v>
      </c>
      <c r="F172" s="39">
        <v>6697</v>
      </c>
      <c r="G172" s="40"/>
      <c r="H172" s="41"/>
      <c r="I172" s="41"/>
    </row>
    <row r="173" ht="12.75" customHeight="1" spans="1:9" x14ac:dyDescent="0.25">
      <c r="A173" s="35" t="s">
        <v>203</v>
      </c>
      <c r="B173" s="35" t="s">
        <v>36</v>
      </c>
      <c r="C173" s="36" t="s">
        <v>204</v>
      </c>
      <c r="D173" s="37" t="s">
        <v>206</v>
      </c>
      <c r="E173" s="38" t="s">
        <v>32</v>
      </c>
      <c r="F173" s="39">
        <v>1034</v>
      </c>
      <c r="G173" s="40"/>
      <c r="H173" s="41"/>
      <c r="I173" s="41"/>
    </row>
    <row r="174" ht="12.75" customHeight="1" spans="1:9" x14ac:dyDescent="0.25">
      <c r="A174" s="35" t="s">
        <v>203</v>
      </c>
      <c r="B174" s="35" t="s">
        <v>36</v>
      </c>
      <c r="C174" s="36" t="s">
        <v>204</v>
      </c>
      <c r="D174" s="37" t="s">
        <v>206</v>
      </c>
      <c r="E174" s="38" t="s">
        <v>32</v>
      </c>
      <c r="F174" s="39">
        <v>1040</v>
      </c>
      <c r="G174" s="40"/>
      <c r="H174" s="41"/>
      <c r="I174" s="41"/>
    </row>
    <row r="175" ht="12.75" customHeight="1" spans="1:9" x14ac:dyDescent="0.25">
      <c r="A175" s="35" t="s">
        <v>203</v>
      </c>
      <c r="B175" s="35" t="s">
        <v>36</v>
      </c>
      <c r="C175" s="36" t="s">
        <v>204</v>
      </c>
      <c r="D175" s="37" t="s">
        <v>206</v>
      </c>
      <c r="E175" s="38" t="s">
        <v>32</v>
      </c>
      <c r="F175" s="39">
        <v>3087</v>
      </c>
      <c r="G175" s="40"/>
      <c r="H175" s="41"/>
      <c r="I175" s="41"/>
    </row>
    <row r="176" ht="12.75" customHeight="1" spans="1:9" x14ac:dyDescent="0.25">
      <c r="A176" s="35" t="s">
        <v>203</v>
      </c>
      <c r="B176" s="35" t="s">
        <v>36</v>
      </c>
      <c r="C176" s="36" t="s">
        <v>204</v>
      </c>
      <c r="D176" s="37" t="s">
        <v>206</v>
      </c>
      <c r="E176" s="38" t="s">
        <v>32</v>
      </c>
      <c r="F176" s="39">
        <v>6697</v>
      </c>
      <c r="G176" s="40"/>
      <c r="H176" s="41"/>
      <c r="I176" s="41"/>
    </row>
    <row r="177" ht="12.75" customHeight="1" spans="1:9" x14ac:dyDescent="0.25">
      <c r="A177" s="35" t="s">
        <v>203</v>
      </c>
      <c r="B177" s="35" t="s">
        <v>37</v>
      </c>
      <c r="C177" s="36" t="s">
        <v>204</v>
      </c>
      <c r="D177" s="37" t="s">
        <v>207</v>
      </c>
      <c r="E177" s="38" t="s">
        <v>32</v>
      </c>
      <c r="F177" s="39">
        <v>3087</v>
      </c>
      <c r="G177" s="40"/>
      <c r="H177" s="41"/>
      <c r="I177" s="41"/>
    </row>
    <row r="178" ht="12.75" customHeight="1" spans="1:9" x14ac:dyDescent="0.25">
      <c r="A178" s="35" t="s">
        <v>203</v>
      </c>
      <c r="B178" s="35" t="s">
        <v>37</v>
      </c>
      <c r="C178" s="36" t="s">
        <v>204</v>
      </c>
      <c r="D178" s="37" t="s">
        <v>207</v>
      </c>
      <c r="E178" s="38" t="s">
        <v>32</v>
      </c>
      <c r="F178" s="39">
        <v>3101</v>
      </c>
      <c r="G178" s="40"/>
      <c r="H178" s="41"/>
      <c r="I178" s="41"/>
    </row>
    <row r="179" ht="12.75" customHeight="1" spans="1:9" x14ac:dyDescent="0.25">
      <c r="A179" s="35" t="s">
        <v>203</v>
      </c>
      <c r="B179" s="35" t="s">
        <v>37</v>
      </c>
      <c r="C179" s="36" t="s">
        <v>204</v>
      </c>
      <c r="D179" s="37" t="s">
        <v>207</v>
      </c>
      <c r="E179" s="38" t="s">
        <v>32</v>
      </c>
      <c r="F179" s="39">
        <v>5130</v>
      </c>
      <c r="G179" s="40"/>
      <c r="H179" s="41"/>
      <c r="I179" s="41"/>
    </row>
    <row r="180" ht="12.75" customHeight="1" spans="1:9" x14ac:dyDescent="0.25">
      <c r="A180" s="35" t="s">
        <v>203</v>
      </c>
      <c r="B180" s="35" t="s">
        <v>37</v>
      </c>
      <c r="C180" s="36" t="s">
        <v>204</v>
      </c>
      <c r="D180" s="37" t="s">
        <v>207</v>
      </c>
      <c r="E180" s="38" t="s">
        <v>32</v>
      </c>
      <c r="F180" s="39">
        <v>11151</v>
      </c>
      <c r="G180" s="40"/>
      <c r="H180" s="41"/>
      <c r="I180" s="41"/>
    </row>
    <row r="181" ht="12.75" customHeight="1" spans="1:9" x14ac:dyDescent="0.25">
      <c r="A181" s="35" t="s">
        <v>203</v>
      </c>
      <c r="B181" s="35" t="s">
        <v>38</v>
      </c>
      <c r="C181" s="36" t="s">
        <v>204</v>
      </c>
      <c r="D181" s="37" t="s">
        <v>208</v>
      </c>
      <c r="E181" s="38" t="s">
        <v>32</v>
      </c>
      <c r="F181" s="39">
        <v>3087</v>
      </c>
      <c r="G181" s="40"/>
      <c r="H181" s="41"/>
      <c r="I181" s="41"/>
    </row>
    <row r="182" ht="12.75" customHeight="1" spans="1:9" x14ac:dyDescent="0.25">
      <c r="A182" s="35" t="s">
        <v>203</v>
      </c>
      <c r="B182" s="35" t="s">
        <v>38</v>
      </c>
      <c r="C182" s="36" t="s">
        <v>204</v>
      </c>
      <c r="D182" s="37" t="s">
        <v>208</v>
      </c>
      <c r="E182" s="38" t="s">
        <v>32</v>
      </c>
      <c r="F182" s="39">
        <v>3101</v>
      </c>
      <c r="G182" s="40"/>
      <c r="H182" s="41"/>
      <c r="I182" s="41"/>
    </row>
    <row r="183" ht="12.75" customHeight="1" spans="1:9" x14ac:dyDescent="0.25">
      <c r="A183" s="35" t="s">
        <v>203</v>
      </c>
      <c r="B183" s="35" t="s">
        <v>38</v>
      </c>
      <c r="C183" s="36" t="s">
        <v>204</v>
      </c>
      <c r="D183" s="37" t="s">
        <v>208</v>
      </c>
      <c r="E183" s="38" t="s">
        <v>32</v>
      </c>
      <c r="F183" s="39">
        <v>5130</v>
      </c>
      <c r="G183" s="40"/>
      <c r="H183" s="41"/>
      <c r="I183" s="41"/>
    </row>
    <row r="184" ht="12.75" customHeight="1" spans="1:9" x14ac:dyDescent="0.25">
      <c r="A184" s="35" t="s">
        <v>203</v>
      </c>
      <c r="B184" s="35" t="s">
        <v>38</v>
      </c>
      <c r="C184" s="36" t="s">
        <v>204</v>
      </c>
      <c r="D184" s="37" t="s">
        <v>208</v>
      </c>
      <c r="E184" s="38" t="s">
        <v>32</v>
      </c>
      <c r="F184" s="39">
        <v>11151</v>
      </c>
      <c r="G184" s="40"/>
      <c r="H184" s="41"/>
      <c r="I184" s="41"/>
    </row>
    <row r="185" ht="12.75" customHeight="1" spans="1:9" x14ac:dyDescent="0.25">
      <c r="A185" s="35" t="s">
        <v>203</v>
      </c>
      <c r="B185" s="35" t="s">
        <v>43</v>
      </c>
      <c r="C185" s="36" t="s">
        <v>209</v>
      </c>
      <c r="D185" s="37" t="s">
        <v>210</v>
      </c>
      <c r="E185" s="38" t="s">
        <v>32</v>
      </c>
      <c r="F185" s="39">
        <v>1029</v>
      </c>
      <c r="G185" s="40"/>
      <c r="H185" s="41"/>
      <c r="I185" s="41"/>
    </row>
    <row r="186" ht="12.75" customHeight="1" spans="1:9" x14ac:dyDescent="0.25">
      <c r="A186" s="35" t="s">
        <v>203</v>
      </c>
      <c r="B186" s="35" t="s">
        <v>43</v>
      </c>
      <c r="C186" s="36" t="s">
        <v>209</v>
      </c>
      <c r="D186" s="37" t="s">
        <v>210</v>
      </c>
      <c r="E186" s="38" t="s">
        <v>32</v>
      </c>
      <c r="F186" s="39">
        <v>1029</v>
      </c>
      <c r="G186" s="40"/>
      <c r="H186" s="41"/>
      <c r="I186" s="41"/>
    </row>
    <row r="187" ht="12.75" customHeight="1" spans="1:9" x14ac:dyDescent="0.25">
      <c r="A187" s="35" t="s">
        <v>203</v>
      </c>
      <c r="B187" s="35" t="s">
        <v>43</v>
      </c>
      <c r="C187" s="36" t="s">
        <v>209</v>
      </c>
      <c r="D187" s="37" t="s">
        <v>210</v>
      </c>
      <c r="E187" s="38" t="s">
        <v>32</v>
      </c>
      <c r="F187" s="39">
        <v>1034</v>
      </c>
      <c r="G187" s="40"/>
      <c r="H187" s="41"/>
      <c r="I187" s="41"/>
    </row>
    <row r="188" ht="12.75" customHeight="1" spans="1:9" x14ac:dyDescent="0.25">
      <c r="A188" s="35" t="s">
        <v>203</v>
      </c>
      <c r="B188" s="35" t="s">
        <v>43</v>
      </c>
      <c r="C188" s="36" t="s">
        <v>209</v>
      </c>
      <c r="D188" s="37" t="s">
        <v>210</v>
      </c>
      <c r="E188" s="38" t="s">
        <v>32</v>
      </c>
      <c r="F188" s="39">
        <v>2239</v>
      </c>
      <c r="G188" s="40"/>
      <c r="H188" s="41"/>
      <c r="I188" s="41"/>
    </row>
    <row r="189" ht="12.75" customHeight="1" spans="1:9" x14ac:dyDescent="0.25">
      <c r="A189" s="35" t="s">
        <v>203</v>
      </c>
      <c r="B189" s="35" t="s">
        <v>45</v>
      </c>
      <c r="C189" s="36" t="s">
        <v>204</v>
      </c>
      <c r="D189" s="37" t="s">
        <v>211</v>
      </c>
      <c r="E189" s="38" t="s">
        <v>46</v>
      </c>
      <c r="F189" s="39">
        <v>4116</v>
      </c>
      <c r="G189" s="40"/>
      <c r="H189" s="41"/>
      <c r="I189" s="41"/>
    </row>
    <row r="190" ht="12.75" customHeight="1" spans="1:9" x14ac:dyDescent="0.25">
      <c r="A190" s="35" t="s">
        <v>203</v>
      </c>
      <c r="B190" s="35" t="s">
        <v>45</v>
      </c>
      <c r="C190" s="36" t="s">
        <v>204</v>
      </c>
      <c r="D190" s="37" t="s">
        <v>211</v>
      </c>
      <c r="E190" s="38" t="s">
        <v>46</v>
      </c>
      <c r="F190" s="39">
        <v>4116</v>
      </c>
      <c r="G190" s="40"/>
      <c r="H190" s="41"/>
      <c r="I190" s="41"/>
    </row>
    <row r="191" ht="12.75" customHeight="1" spans="1:9" x14ac:dyDescent="0.25">
      <c r="A191" s="35" t="s">
        <v>203</v>
      </c>
      <c r="B191" s="35" t="s">
        <v>45</v>
      </c>
      <c r="C191" s="36" t="s">
        <v>204</v>
      </c>
      <c r="D191" s="37" t="s">
        <v>211</v>
      </c>
      <c r="E191" s="38" t="s">
        <v>46</v>
      </c>
      <c r="F191" s="39">
        <v>4134</v>
      </c>
      <c r="G191" s="40"/>
      <c r="H191" s="41"/>
      <c r="I191" s="41"/>
    </row>
    <row r="192" ht="12.75" customHeight="1" spans="1:9" x14ac:dyDescent="0.25">
      <c r="A192" s="35" t="s">
        <v>203</v>
      </c>
      <c r="B192" s="35" t="s">
        <v>45</v>
      </c>
      <c r="C192" s="36" t="s">
        <v>204</v>
      </c>
      <c r="D192" s="37" t="s">
        <v>211</v>
      </c>
      <c r="E192" s="38" t="s">
        <v>46</v>
      </c>
      <c r="F192" s="39">
        <v>8930</v>
      </c>
      <c r="G192" s="40"/>
      <c r="H192" s="41"/>
      <c r="I192" s="41"/>
    </row>
    <row r="193" ht="12.75" customHeight="1" spans="1:9" x14ac:dyDescent="0.25">
      <c r="A193" s="35" t="s">
        <v>203</v>
      </c>
      <c r="B193" s="35" t="s">
        <v>76</v>
      </c>
      <c r="C193" s="36" t="s">
        <v>212</v>
      </c>
      <c r="D193" s="37" t="s">
        <v>213</v>
      </c>
      <c r="E193" s="38" t="s">
        <v>32</v>
      </c>
      <c r="F193" s="39">
        <v>1035</v>
      </c>
      <c r="G193" s="40"/>
      <c r="H193" s="41"/>
      <c r="I193" s="41"/>
    </row>
    <row r="194" ht="12.75" customHeight="1" spans="1:9" x14ac:dyDescent="0.25">
      <c r="A194" s="35" t="s">
        <v>203</v>
      </c>
      <c r="B194" s="35" t="s">
        <v>76</v>
      </c>
      <c r="C194" s="36" t="s">
        <v>212</v>
      </c>
      <c r="D194" s="37" t="s">
        <v>214</v>
      </c>
      <c r="E194" s="38" t="s">
        <v>32</v>
      </c>
      <c r="F194" s="39">
        <v>1035</v>
      </c>
      <c r="G194" s="40"/>
      <c r="H194" s="41"/>
      <c r="I194" s="41"/>
    </row>
    <row r="195" ht="12.75" customHeight="1" spans="1:9" x14ac:dyDescent="0.25">
      <c r="A195" s="35" t="s">
        <v>203</v>
      </c>
      <c r="B195" s="35" t="s">
        <v>76</v>
      </c>
      <c r="C195" s="36" t="s">
        <v>212</v>
      </c>
      <c r="D195" s="37" t="s">
        <v>213</v>
      </c>
      <c r="E195" s="38" t="s">
        <v>32</v>
      </c>
      <c r="F195" s="39">
        <v>2250</v>
      </c>
      <c r="G195" s="40"/>
      <c r="H195" s="41"/>
      <c r="I195" s="41"/>
    </row>
    <row r="196" ht="12.75" customHeight="1" spans="1:9" x14ac:dyDescent="0.25">
      <c r="A196" s="35" t="s">
        <v>203</v>
      </c>
      <c r="B196" s="35" t="s">
        <v>76</v>
      </c>
      <c r="C196" s="36" t="s">
        <v>212</v>
      </c>
      <c r="D196" s="37" t="s">
        <v>214</v>
      </c>
      <c r="E196" s="38" t="s">
        <v>32</v>
      </c>
      <c r="F196" s="39">
        <v>2250</v>
      </c>
      <c r="G196" s="40"/>
      <c r="H196" s="41"/>
      <c r="I196" s="41"/>
    </row>
    <row r="197" ht="12.75" customHeight="1" spans="1:9" x14ac:dyDescent="0.25">
      <c r="A197" s="35" t="s">
        <v>203</v>
      </c>
      <c r="B197" s="35" t="s">
        <v>77</v>
      </c>
      <c r="C197" s="36" t="s">
        <v>212</v>
      </c>
      <c r="D197" s="37" t="s">
        <v>215</v>
      </c>
      <c r="E197" s="38" t="s">
        <v>32</v>
      </c>
      <c r="F197" s="39">
        <v>1040</v>
      </c>
      <c r="G197" s="40"/>
      <c r="H197" s="41"/>
      <c r="I197" s="41"/>
    </row>
    <row r="198" ht="12.75" customHeight="1" spans="1:9" x14ac:dyDescent="0.25">
      <c r="A198" s="35" t="s">
        <v>203</v>
      </c>
      <c r="B198" s="35" t="s">
        <v>77</v>
      </c>
      <c r="C198" s="36" t="s">
        <v>212</v>
      </c>
      <c r="D198" s="37" t="s">
        <v>215</v>
      </c>
      <c r="E198" s="38" t="s">
        <v>32</v>
      </c>
      <c r="F198" s="39">
        <v>3087</v>
      </c>
      <c r="G198" s="40"/>
      <c r="H198" s="41"/>
      <c r="I198" s="41"/>
    </row>
    <row r="199" ht="12.75" customHeight="1" spans="1:9" x14ac:dyDescent="0.25">
      <c r="A199" s="35" t="s">
        <v>203</v>
      </c>
      <c r="B199" s="35" t="s">
        <v>77</v>
      </c>
      <c r="C199" s="36" t="s">
        <v>212</v>
      </c>
      <c r="D199" s="37" t="s">
        <v>216</v>
      </c>
      <c r="E199" s="38" t="s">
        <v>32</v>
      </c>
      <c r="F199" s="39">
        <v>3100</v>
      </c>
      <c r="G199" s="40"/>
      <c r="H199" s="41"/>
      <c r="I199" s="41"/>
    </row>
    <row r="200" ht="12.75" customHeight="1" spans="1:9" x14ac:dyDescent="0.25">
      <c r="A200" s="35" t="s">
        <v>203</v>
      </c>
      <c r="B200" s="35" t="s">
        <v>77</v>
      </c>
      <c r="C200" s="36" t="s">
        <v>212</v>
      </c>
      <c r="D200" s="37" t="s">
        <v>216</v>
      </c>
      <c r="E200" s="38" t="s">
        <v>32</v>
      </c>
      <c r="F200" s="39">
        <v>5130</v>
      </c>
      <c r="G200" s="40"/>
      <c r="H200" s="41"/>
      <c r="I200" s="41"/>
    </row>
    <row r="201" ht="12.75" customHeight="1" spans="1:9" x14ac:dyDescent="0.25">
      <c r="A201" s="35" t="s">
        <v>203</v>
      </c>
      <c r="B201" s="35" t="s">
        <v>77</v>
      </c>
      <c r="C201" s="36" t="s">
        <v>212</v>
      </c>
      <c r="D201" s="37" t="s">
        <v>215</v>
      </c>
      <c r="E201" s="38" t="s">
        <v>32</v>
      </c>
      <c r="F201" s="39">
        <v>6697</v>
      </c>
      <c r="G201" s="40"/>
      <c r="H201" s="41"/>
      <c r="I201" s="41"/>
    </row>
    <row r="202" ht="12.75" customHeight="1" spans="1:9" x14ac:dyDescent="0.25">
      <c r="A202" s="35" t="s">
        <v>203</v>
      </c>
      <c r="B202" s="35" t="s">
        <v>77</v>
      </c>
      <c r="C202" s="36" t="s">
        <v>212</v>
      </c>
      <c r="D202" s="37" t="s">
        <v>216</v>
      </c>
      <c r="E202" s="38" t="s">
        <v>32</v>
      </c>
      <c r="F202" s="39">
        <v>11151</v>
      </c>
      <c r="G202" s="40"/>
      <c r="H202" s="41"/>
      <c r="I202" s="41"/>
    </row>
    <row r="203" ht="12.75" customHeight="1" spans="1:9" x14ac:dyDescent="0.25">
      <c r="A203" s="35" t="s">
        <v>203</v>
      </c>
      <c r="B203" s="35" t="s">
        <v>35</v>
      </c>
      <c r="C203" s="36" t="s">
        <v>204</v>
      </c>
      <c r="D203" s="37" t="s">
        <v>205</v>
      </c>
      <c r="E203" s="38" t="s">
        <v>32</v>
      </c>
      <c r="F203" s="39">
        <v>4101</v>
      </c>
      <c r="G203" s="40"/>
      <c r="H203" s="41"/>
      <c r="I203" s="41"/>
    </row>
    <row r="204" ht="12.75" customHeight="1" spans="1:9" x14ac:dyDescent="0.25">
      <c r="A204" s="35" t="s">
        <v>203</v>
      </c>
      <c r="B204" s="35" t="s">
        <v>35</v>
      </c>
      <c r="C204" s="36" t="s">
        <v>204</v>
      </c>
      <c r="D204" s="37" t="s">
        <v>205</v>
      </c>
      <c r="E204" s="38" t="s">
        <v>32</v>
      </c>
      <c r="F204" s="39">
        <v>5130</v>
      </c>
      <c r="G204" s="40"/>
      <c r="H204" s="41"/>
      <c r="I204" s="41"/>
    </row>
    <row r="205" ht="12.75" customHeight="1" spans="1:9" x14ac:dyDescent="0.25">
      <c r="A205" s="35" t="s">
        <v>203</v>
      </c>
      <c r="B205" s="35" t="s">
        <v>35</v>
      </c>
      <c r="C205" s="36" t="s">
        <v>204</v>
      </c>
      <c r="D205" s="37" t="s">
        <v>205</v>
      </c>
      <c r="E205" s="38" t="s">
        <v>32</v>
      </c>
      <c r="F205" s="39">
        <v>6557</v>
      </c>
      <c r="G205" s="40"/>
      <c r="H205" s="41"/>
      <c r="I205" s="41"/>
    </row>
    <row r="206" ht="12.75" customHeight="1" spans="1:9" x14ac:dyDescent="0.25">
      <c r="A206" s="35" t="s">
        <v>203</v>
      </c>
      <c r="B206" s="35" t="s">
        <v>36</v>
      </c>
      <c r="C206" s="36" t="s">
        <v>204</v>
      </c>
      <c r="D206" s="37" t="s">
        <v>206</v>
      </c>
      <c r="E206" s="38" t="s">
        <v>32</v>
      </c>
      <c r="F206" s="39">
        <v>4101</v>
      </c>
      <c r="G206" s="40"/>
      <c r="H206" s="41"/>
      <c r="I206" s="41"/>
    </row>
    <row r="207" ht="12.75" customHeight="1" spans="1:9" x14ac:dyDescent="0.25">
      <c r="A207" s="35" t="s">
        <v>203</v>
      </c>
      <c r="B207" s="35" t="s">
        <v>36</v>
      </c>
      <c r="C207" s="36" t="s">
        <v>204</v>
      </c>
      <c r="D207" s="37" t="s">
        <v>206</v>
      </c>
      <c r="E207" s="38" t="s">
        <v>32</v>
      </c>
      <c r="F207" s="39">
        <v>5130</v>
      </c>
      <c r="G207" s="40"/>
      <c r="H207" s="41"/>
      <c r="I207" s="41"/>
    </row>
    <row r="208" ht="12.75" customHeight="1" spans="1:9" x14ac:dyDescent="0.25">
      <c r="A208" s="35" t="s">
        <v>203</v>
      </c>
      <c r="B208" s="35" t="s">
        <v>36</v>
      </c>
      <c r="C208" s="36" t="s">
        <v>204</v>
      </c>
      <c r="D208" s="37" t="s">
        <v>206</v>
      </c>
      <c r="E208" s="38" t="s">
        <v>32</v>
      </c>
      <c r="F208" s="39">
        <v>6557</v>
      </c>
      <c r="G208" s="40"/>
      <c r="H208" s="41"/>
      <c r="I208" s="41"/>
    </row>
    <row r="209" ht="12.75" customHeight="1" spans="1:9" x14ac:dyDescent="0.25">
      <c r="A209" s="35" t="s">
        <v>203</v>
      </c>
      <c r="B209" s="35" t="s">
        <v>37</v>
      </c>
      <c r="C209" s="36" t="s">
        <v>204</v>
      </c>
      <c r="D209" s="37" t="s">
        <v>207</v>
      </c>
      <c r="E209" s="38" t="s">
        <v>32</v>
      </c>
      <c r="F209" s="39">
        <v>2061</v>
      </c>
      <c r="G209" s="40"/>
      <c r="H209" s="41"/>
      <c r="I209" s="41"/>
    </row>
    <row r="210" ht="12.75" customHeight="1" spans="1:9" x14ac:dyDescent="0.25">
      <c r="A210" s="35" t="s">
        <v>203</v>
      </c>
      <c r="B210" s="35" t="s">
        <v>37</v>
      </c>
      <c r="C210" s="36" t="s">
        <v>204</v>
      </c>
      <c r="D210" s="37" t="s">
        <v>207</v>
      </c>
      <c r="E210" s="38" t="s">
        <v>32</v>
      </c>
      <c r="F210" s="39">
        <v>3288</v>
      </c>
      <c r="G210" s="40"/>
      <c r="H210" s="41"/>
      <c r="I210" s="41"/>
    </row>
    <row r="211" ht="12.75" customHeight="1" spans="1:9" x14ac:dyDescent="0.25">
      <c r="A211" s="35" t="s">
        <v>203</v>
      </c>
      <c r="B211" s="35" t="s">
        <v>37</v>
      </c>
      <c r="C211" s="36" t="s">
        <v>204</v>
      </c>
      <c r="D211" s="37" t="s">
        <v>207</v>
      </c>
      <c r="E211" s="38" t="s">
        <v>32</v>
      </c>
      <c r="F211" s="39">
        <v>5130</v>
      </c>
      <c r="G211" s="40"/>
      <c r="H211" s="41"/>
      <c r="I211" s="41"/>
    </row>
    <row r="212" ht="12.75" customHeight="1" spans="1:9" x14ac:dyDescent="0.25">
      <c r="A212" s="35" t="s">
        <v>203</v>
      </c>
      <c r="B212" s="35" t="s">
        <v>38</v>
      </c>
      <c r="C212" s="36" t="s">
        <v>204</v>
      </c>
      <c r="D212" s="37" t="s">
        <v>208</v>
      </c>
      <c r="E212" s="38" t="s">
        <v>32</v>
      </c>
      <c r="F212" s="39">
        <v>2061</v>
      </c>
      <c r="G212" s="40"/>
      <c r="H212" s="41"/>
      <c r="I212" s="41"/>
    </row>
    <row r="213" ht="12.75" customHeight="1" spans="1:9" x14ac:dyDescent="0.25">
      <c r="A213" s="35" t="s">
        <v>203</v>
      </c>
      <c r="B213" s="35" t="s">
        <v>38</v>
      </c>
      <c r="C213" s="36" t="s">
        <v>204</v>
      </c>
      <c r="D213" s="37" t="s">
        <v>208</v>
      </c>
      <c r="E213" s="38" t="s">
        <v>32</v>
      </c>
      <c r="F213" s="39">
        <v>3288</v>
      </c>
      <c r="G213" s="40"/>
      <c r="H213" s="41"/>
      <c r="I213" s="41"/>
    </row>
    <row r="214" ht="12.75" customHeight="1" spans="1:9" x14ac:dyDescent="0.25">
      <c r="A214" s="35" t="s">
        <v>203</v>
      </c>
      <c r="B214" s="35" t="s">
        <v>38</v>
      </c>
      <c r="C214" s="36" t="s">
        <v>204</v>
      </c>
      <c r="D214" s="37" t="s">
        <v>208</v>
      </c>
      <c r="E214" s="38" t="s">
        <v>32</v>
      </c>
      <c r="F214" s="39">
        <v>5130</v>
      </c>
      <c r="G214" s="40"/>
      <c r="H214" s="41"/>
      <c r="I214" s="41"/>
    </row>
    <row r="215" ht="12.75" customHeight="1" spans="1:9" x14ac:dyDescent="0.25">
      <c r="A215" s="35" t="s">
        <v>203</v>
      </c>
      <c r="B215" s="35" t="s">
        <v>42</v>
      </c>
      <c r="C215" s="36" t="s">
        <v>209</v>
      </c>
      <c r="D215" s="37" t="s">
        <v>217</v>
      </c>
      <c r="E215" s="38" t="s">
        <v>32</v>
      </c>
      <c r="F215" s="39">
        <v>515</v>
      </c>
      <c r="G215" s="40"/>
      <c r="H215" s="41"/>
      <c r="I215" s="41"/>
    </row>
    <row r="216" ht="12.75" customHeight="1" spans="1:9" x14ac:dyDescent="0.25">
      <c r="A216" s="35" t="s">
        <v>203</v>
      </c>
      <c r="B216" s="35" t="s">
        <v>42</v>
      </c>
      <c r="C216" s="36" t="s">
        <v>209</v>
      </c>
      <c r="D216" s="37" t="s">
        <v>217</v>
      </c>
      <c r="E216" s="38" t="s">
        <v>32</v>
      </c>
      <c r="F216" s="39">
        <v>595</v>
      </c>
      <c r="G216" s="40"/>
      <c r="H216" s="41"/>
      <c r="I216" s="41"/>
    </row>
    <row r="217" ht="12.75" customHeight="1" spans="1:9" x14ac:dyDescent="0.25">
      <c r="A217" s="35" t="s">
        <v>203</v>
      </c>
      <c r="B217" s="35" t="s">
        <v>42</v>
      </c>
      <c r="C217" s="36" t="s">
        <v>209</v>
      </c>
      <c r="D217" s="37" t="s">
        <v>217</v>
      </c>
      <c r="E217" s="38" t="s">
        <v>32</v>
      </c>
      <c r="F217" s="39">
        <v>786</v>
      </c>
      <c r="G217" s="40"/>
      <c r="H217" s="41"/>
      <c r="I217" s="41"/>
    </row>
    <row r="218" ht="12.75" customHeight="1" spans="1:9" x14ac:dyDescent="0.25">
      <c r="A218" s="35" t="s">
        <v>203</v>
      </c>
      <c r="B218" s="35" t="s">
        <v>42</v>
      </c>
      <c r="C218" s="36" t="s">
        <v>209</v>
      </c>
      <c r="D218" s="37" t="s">
        <v>217</v>
      </c>
      <c r="E218" s="38" t="s">
        <v>32</v>
      </c>
      <c r="F218" s="39">
        <v>826</v>
      </c>
      <c r="G218" s="40"/>
      <c r="H218" s="41"/>
      <c r="I218" s="41"/>
    </row>
    <row r="219" ht="12.75" customHeight="1" spans="1:9" x14ac:dyDescent="0.25">
      <c r="A219" s="35" t="s">
        <v>203</v>
      </c>
      <c r="B219" s="35" t="s">
        <v>43</v>
      </c>
      <c r="C219" s="36" t="s">
        <v>209</v>
      </c>
      <c r="D219" s="37" t="s">
        <v>210</v>
      </c>
      <c r="E219" s="38" t="s">
        <v>32</v>
      </c>
      <c r="F219" s="39">
        <v>1026</v>
      </c>
      <c r="G219" s="40"/>
      <c r="H219" s="41"/>
      <c r="I219" s="41"/>
    </row>
    <row r="220" ht="12.75" customHeight="1" spans="1:9" x14ac:dyDescent="0.25">
      <c r="A220" s="35" t="s">
        <v>203</v>
      </c>
      <c r="B220" s="35" t="s">
        <v>43</v>
      </c>
      <c r="C220" s="36" t="s">
        <v>209</v>
      </c>
      <c r="D220" s="37" t="s">
        <v>210</v>
      </c>
      <c r="E220" s="38" t="s">
        <v>32</v>
      </c>
      <c r="F220" s="39">
        <v>1029</v>
      </c>
      <c r="G220" s="40"/>
      <c r="H220" s="41"/>
      <c r="I220" s="41"/>
    </row>
    <row r="221" ht="12.75" customHeight="1" spans="1:9" x14ac:dyDescent="0.25">
      <c r="A221" s="35" t="s">
        <v>203</v>
      </c>
      <c r="B221" s="35" t="s">
        <v>43</v>
      </c>
      <c r="C221" s="36" t="s">
        <v>209</v>
      </c>
      <c r="D221" s="37" t="s">
        <v>210</v>
      </c>
      <c r="E221" s="38" t="s">
        <v>32</v>
      </c>
      <c r="F221" s="39">
        <v>1644</v>
      </c>
      <c r="G221" s="40"/>
      <c r="H221" s="41"/>
      <c r="I221" s="41"/>
    </row>
    <row r="222" ht="12.75" customHeight="1" spans="1:9" x14ac:dyDescent="0.25">
      <c r="A222" s="35" t="s">
        <v>203</v>
      </c>
      <c r="B222" s="35" t="s">
        <v>45</v>
      </c>
      <c r="C222" s="36" t="s">
        <v>204</v>
      </c>
      <c r="D222" s="37" t="s">
        <v>211</v>
      </c>
      <c r="E222" s="38" t="s">
        <v>46</v>
      </c>
      <c r="F222" s="39">
        <v>4101</v>
      </c>
      <c r="G222" s="40"/>
      <c r="H222" s="41"/>
      <c r="I222" s="41"/>
    </row>
    <row r="223" ht="12.75" customHeight="1" spans="1:9" x14ac:dyDescent="0.25">
      <c r="A223" s="35" t="s">
        <v>203</v>
      </c>
      <c r="B223" s="35" t="s">
        <v>45</v>
      </c>
      <c r="C223" s="36" t="s">
        <v>204</v>
      </c>
      <c r="D223" s="37" t="s">
        <v>211</v>
      </c>
      <c r="E223" s="38" t="s">
        <v>46</v>
      </c>
      <c r="F223" s="39">
        <v>4116</v>
      </c>
      <c r="G223" s="40"/>
      <c r="H223" s="41"/>
      <c r="I223" s="41"/>
    </row>
    <row r="224" ht="12.75" customHeight="1" spans="1:9" x14ac:dyDescent="0.25">
      <c r="A224" s="35" t="s">
        <v>203</v>
      </c>
      <c r="B224" s="35" t="s">
        <v>45</v>
      </c>
      <c r="C224" s="36" t="s">
        <v>204</v>
      </c>
      <c r="D224" s="37" t="s">
        <v>211</v>
      </c>
      <c r="E224" s="38" t="s">
        <v>46</v>
      </c>
      <c r="F224" s="39">
        <v>6557</v>
      </c>
      <c r="G224" s="40"/>
      <c r="H224" s="41"/>
      <c r="I224" s="41"/>
    </row>
    <row r="225" ht="12.75" customHeight="1" spans="1:9" x14ac:dyDescent="0.25">
      <c r="A225" s="35" t="s">
        <v>203</v>
      </c>
      <c r="B225" s="35" t="s">
        <v>76</v>
      </c>
      <c r="C225" s="36" t="s">
        <v>212</v>
      </c>
      <c r="D225" s="37" t="s">
        <v>213</v>
      </c>
      <c r="E225" s="38" t="s">
        <v>32</v>
      </c>
      <c r="F225" s="39">
        <v>1031</v>
      </c>
      <c r="G225" s="40"/>
      <c r="H225" s="41"/>
      <c r="I225" s="41"/>
    </row>
    <row r="226" ht="12.75" customHeight="1" spans="1:9" x14ac:dyDescent="0.25">
      <c r="A226" s="35" t="s">
        <v>203</v>
      </c>
      <c r="B226" s="35" t="s">
        <v>76</v>
      </c>
      <c r="C226" s="36" t="s">
        <v>212</v>
      </c>
      <c r="D226" s="37" t="s">
        <v>214</v>
      </c>
      <c r="E226" s="38" t="s">
        <v>32</v>
      </c>
      <c r="F226" s="39">
        <v>1031</v>
      </c>
      <c r="G226" s="40"/>
      <c r="H226" s="41"/>
      <c r="I226" s="41"/>
    </row>
    <row r="227" ht="12.75" customHeight="1" spans="1:9" x14ac:dyDescent="0.25">
      <c r="A227" s="35" t="s">
        <v>203</v>
      </c>
      <c r="B227" s="35" t="s">
        <v>76</v>
      </c>
      <c r="C227" s="36" t="s">
        <v>212</v>
      </c>
      <c r="D227" s="37" t="s">
        <v>213</v>
      </c>
      <c r="E227" s="38" t="s">
        <v>32</v>
      </c>
      <c r="F227" s="39">
        <v>1034</v>
      </c>
      <c r="G227" s="40"/>
      <c r="H227" s="41"/>
      <c r="I227" s="41"/>
    </row>
    <row r="228" ht="12.75" customHeight="1" spans="1:9" x14ac:dyDescent="0.25">
      <c r="A228" s="35" t="s">
        <v>203</v>
      </c>
      <c r="B228" s="35" t="s">
        <v>76</v>
      </c>
      <c r="C228" s="36" t="s">
        <v>212</v>
      </c>
      <c r="D228" s="37" t="s">
        <v>214</v>
      </c>
      <c r="E228" s="38" t="s">
        <v>32</v>
      </c>
      <c r="F228" s="39">
        <v>1034</v>
      </c>
      <c r="G228" s="40"/>
      <c r="H228" s="41"/>
      <c r="I228" s="41"/>
    </row>
    <row r="229" ht="12.75" customHeight="1" spans="1:9" x14ac:dyDescent="0.25">
      <c r="A229" s="35" t="s">
        <v>203</v>
      </c>
      <c r="B229" s="35" t="s">
        <v>76</v>
      </c>
      <c r="C229" s="36" t="s">
        <v>212</v>
      </c>
      <c r="D229" s="37" t="s">
        <v>213</v>
      </c>
      <c r="E229" s="38" t="s">
        <v>32</v>
      </c>
      <c r="F229" s="39">
        <v>1652</v>
      </c>
      <c r="G229" s="40"/>
      <c r="H229" s="41"/>
      <c r="I229" s="41"/>
    </row>
    <row r="230" ht="12.75" customHeight="1" spans="1:9" x14ac:dyDescent="0.25">
      <c r="A230" s="35" t="s">
        <v>203</v>
      </c>
      <c r="B230" s="35" t="s">
        <v>76</v>
      </c>
      <c r="C230" s="36" t="s">
        <v>212</v>
      </c>
      <c r="D230" s="37" t="s">
        <v>214</v>
      </c>
      <c r="E230" s="38" t="s">
        <v>32</v>
      </c>
      <c r="F230" s="39">
        <v>1652</v>
      </c>
      <c r="G230" s="40"/>
      <c r="H230" s="41"/>
      <c r="I230" s="41"/>
    </row>
    <row r="231" ht="12.75" customHeight="1" spans="1:9" x14ac:dyDescent="0.25">
      <c r="A231" s="35" t="s">
        <v>203</v>
      </c>
      <c r="B231" s="35" t="s">
        <v>77</v>
      </c>
      <c r="C231" s="36" t="s">
        <v>212</v>
      </c>
      <c r="D231" s="37" t="s">
        <v>216</v>
      </c>
      <c r="E231" s="38" t="s">
        <v>32</v>
      </c>
      <c r="F231" s="39">
        <v>2061</v>
      </c>
      <c r="G231" s="40"/>
      <c r="H231" s="41"/>
      <c r="I231" s="41"/>
    </row>
    <row r="232" ht="12.75" customHeight="1" spans="1:9" x14ac:dyDescent="0.25">
      <c r="A232" s="35" t="s">
        <v>203</v>
      </c>
      <c r="B232" s="35" t="s">
        <v>77</v>
      </c>
      <c r="C232" s="36" t="s">
        <v>212</v>
      </c>
      <c r="D232" s="37" t="s">
        <v>216</v>
      </c>
      <c r="E232" s="38" t="s">
        <v>32</v>
      </c>
      <c r="F232" s="39">
        <v>3288</v>
      </c>
      <c r="G232" s="40"/>
      <c r="H232" s="41"/>
      <c r="I232" s="41"/>
    </row>
    <row r="233" ht="12.75" customHeight="1" spans="1:9" x14ac:dyDescent="0.25">
      <c r="A233" s="35" t="s">
        <v>203</v>
      </c>
      <c r="B233" s="35" t="s">
        <v>77</v>
      </c>
      <c r="C233" s="36" t="s">
        <v>212</v>
      </c>
      <c r="D233" s="37" t="s">
        <v>215</v>
      </c>
      <c r="E233" s="38" t="s">
        <v>32</v>
      </c>
      <c r="F233" s="39">
        <v>4101</v>
      </c>
      <c r="G233" s="40"/>
      <c r="H233" s="41"/>
      <c r="I233" s="41"/>
    </row>
    <row r="234" ht="12.75" customHeight="1" spans="1:9" x14ac:dyDescent="0.25">
      <c r="A234" s="35" t="s">
        <v>203</v>
      </c>
      <c r="B234" s="35" t="s">
        <v>77</v>
      </c>
      <c r="C234" s="36" t="s">
        <v>212</v>
      </c>
      <c r="D234" s="37" t="s">
        <v>216</v>
      </c>
      <c r="E234" s="38" t="s">
        <v>32</v>
      </c>
      <c r="F234" s="39">
        <v>5130</v>
      </c>
      <c r="G234" s="40"/>
      <c r="H234" s="41"/>
      <c r="I234" s="41"/>
    </row>
    <row r="235" ht="12.75" customHeight="1" spans="1:9" x14ac:dyDescent="0.25">
      <c r="A235" s="35" t="s">
        <v>203</v>
      </c>
      <c r="B235" s="35" t="s">
        <v>77</v>
      </c>
      <c r="C235" s="36" t="s">
        <v>212</v>
      </c>
      <c r="D235" s="37" t="s">
        <v>215</v>
      </c>
      <c r="E235" s="38" t="s">
        <v>32</v>
      </c>
      <c r="F235" s="39">
        <v>5130</v>
      </c>
      <c r="G235" s="40"/>
      <c r="H235" s="41"/>
      <c r="I235" s="41"/>
    </row>
    <row r="236" ht="12.75" customHeight="1" spans="1:9" x14ac:dyDescent="0.25">
      <c r="A236" s="35" t="s">
        <v>203</v>
      </c>
      <c r="B236" s="35" t="s">
        <v>77</v>
      </c>
      <c r="C236" s="36" t="s">
        <v>212</v>
      </c>
      <c r="D236" s="37" t="s">
        <v>215</v>
      </c>
      <c r="E236" s="38" t="s">
        <v>32</v>
      </c>
      <c r="F236" s="39">
        <v>6557</v>
      </c>
      <c r="G236" s="40"/>
      <c r="H236" s="41"/>
      <c r="I236" s="41"/>
    </row>
    <row r="237" ht="12.75" customHeight="1" spans="1:9" x14ac:dyDescent="0.25">
      <c r="A237" s="35" t="s">
        <v>203</v>
      </c>
      <c r="B237" s="35" t="s">
        <v>35</v>
      </c>
      <c r="C237" s="36" t="s">
        <v>204</v>
      </c>
      <c r="D237" s="37" t="s">
        <v>205</v>
      </c>
      <c r="E237" s="38" t="s">
        <v>32</v>
      </c>
      <c r="F237" s="39">
        <v>1021</v>
      </c>
      <c r="G237" s="40"/>
      <c r="H237" s="41"/>
      <c r="I237" s="41"/>
    </row>
    <row r="238" ht="12.75" customHeight="1" spans="1:9" x14ac:dyDescent="0.25">
      <c r="A238" s="35" t="s">
        <v>203</v>
      </c>
      <c r="B238" s="35" t="s">
        <v>35</v>
      </c>
      <c r="C238" s="36" t="s">
        <v>204</v>
      </c>
      <c r="D238" s="37" t="s">
        <v>205</v>
      </c>
      <c r="E238" s="38" t="s">
        <v>32</v>
      </c>
      <c r="F238" s="39">
        <v>1139</v>
      </c>
      <c r="G238" s="40"/>
      <c r="H238" s="41"/>
      <c r="I238" s="41"/>
    </row>
    <row r="239" ht="12.75" customHeight="1" spans="1:9" x14ac:dyDescent="0.25">
      <c r="A239" s="35" t="s">
        <v>203</v>
      </c>
      <c r="B239" s="35" t="s">
        <v>35</v>
      </c>
      <c r="C239" s="36" t="s">
        <v>204</v>
      </c>
      <c r="D239" s="37" t="s">
        <v>205</v>
      </c>
      <c r="E239" s="38" t="s">
        <v>32</v>
      </c>
      <c r="F239" s="39">
        <v>2077</v>
      </c>
      <c r="G239" s="40"/>
      <c r="H239" s="41"/>
      <c r="I239" s="41"/>
    </row>
    <row r="240" ht="12.75" customHeight="1" spans="1:9" x14ac:dyDescent="0.25">
      <c r="A240" s="35" t="s">
        <v>203</v>
      </c>
      <c r="B240" s="35" t="s">
        <v>35</v>
      </c>
      <c r="C240" s="36" t="s">
        <v>204</v>
      </c>
      <c r="D240" s="37" t="s">
        <v>205</v>
      </c>
      <c r="E240" s="38" t="s">
        <v>32</v>
      </c>
      <c r="F240" s="39">
        <v>3075</v>
      </c>
      <c r="G240" s="40"/>
      <c r="H240" s="41"/>
      <c r="I240" s="41"/>
    </row>
    <row r="241" ht="12.75" customHeight="1" spans="1:9" x14ac:dyDescent="0.25">
      <c r="A241" s="35" t="s">
        <v>203</v>
      </c>
      <c r="B241" s="35" t="s">
        <v>36</v>
      </c>
      <c r="C241" s="36" t="s">
        <v>204</v>
      </c>
      <c r="D241" s="37" t="s">
        <v>206</v>
      </c>
      <c r="E241" s="38" t="s">
        <v>32</v>
      </c>
      <c r="F241" s="39">
        <v>1021</v>
      </c>
      <c r="G241" s="40"/>
      <c r="H241" s="41"/>
      <c r="I241" s="41"/>
    </row>
    <row r="242" ht="12.75" customHeight="1" spans="1:9" x14ac:dyDescent="0.25">
      <c r="A242" s="35" t="s">
        <v>203</v>
      </c>
      <c r="B242" s="35" t="s">
        <v>36</v>
      </c>
      <c r="C242" s="36" t="s">
        <v>204</v>
      </c>
      <c r="D242" s="37" t="s">
        <v>206</v>
      </c>
      <c r="E242" s="38" t="s">
        <v>32</v>
      </c>
      <c r="F242" s="39">
        <v>1139</v>
      </c>
      <c r="G242" s="40"/>
      <c r="H242" s="41"/>
      <c r="I242" s="41"/>
    </row>
    <row r="243" ht="12.75" customHeight="1" spans="1:9" x14ac:dyDescent="0.25">
      <c r="A243" s="35" t="s">
        <v>203</v>
      </c>
      <c r="B243" s="35" t="s">
        <v>36</v>
      </c>
      <c r="C243" s="36" t="s">
        <v>204</v>
      </c>
      <c r="D243" s="37" t="s">
        <v>206</v>
      </c>
      <c r="E243" s="38" t="s">
        <v>32</v>
      </c>
      <c r="F243" s="39">
        <v>2077</v>
      </c>
      <c r="G243" s="40"/>
      <c r="H243" s="41"/>
      <c r="I243" s="41"/>
    </row>
    <row r="244" ht="12.75" customHeight="1" spans="1:9" x14ac:dyDescent="0.25">
      <c r="A244" s="35" t="s">
        <v>203</v>
      </c>
      <c r="B244" s="35" t="s">
        <v>36</v>
      </c>
      <c r="C244" s="36" t="s">
        <v>204</v>
      </c>
      <c r="D244" s="37" t="s">
        <v>206</v>
      </c>
      <c r="E244" s="38" t="s">
        <v>32</v>
      </c>
      <c r="F244" s="39">
        <v>3075</v>
      </c>
      <c r="G244" s="40"/>
      <c r="H244" s="41"/>
      <c r="I244" s="41"/>
    </row>
    <row r="245" ht="12.75" customHeight="1" spans="1:9" x14ac:dyDescent="0.25">
      <c r="A245" s="35" t="s">
        <v>203</v>
      </c>
      <c r="B245" s="35" t="s">
        <v>37</v>
      </c>
      <c r="C245" s="36" t="s">
        <v>204</v>
      </c>
      <c r="D245" s="37" t="s">
        <v>207</v>
      </c>
      <c r="E245" s="38" t="s">
        <v>32</v>
      </c>
      <c r="F245" s="39">
        <v>1021</v>
      </c>
      <c r="G245" s="40"/>
      <c r="H245" s="41"/>
      <c r="I245" s="41"/>
    </row>
    <row r="246" ht="12.75" customHeight="1" spans="1:9" x14ac:dyDescent="0.25">
      <c r="A246" s="35" t="s">
        <v>203</v>
      </c>
      <c r="B246" s="35" t="s">
        <v>37</v>
      </c>
      <c r="C246" s="36" t="s">
        <v>204</v>
      </c>
      <c r="D246" s="37" t="s">
        <v>207</v>
      </c>
      <c r="E246" s="38" t="s">
        <v>32</v>
      </c>
      <c r="F246" s="39">
        <v>3401</v>
      </c>
      <c r="G246" s="40"/>
      <c r="H246" s="41"/>
      <c r="I246" s="41"/>
    </row>
    <row r="247" ht="12.75" customHeight="1" spans="1:9" x14ac:dyDescent="0.25">
      <c r="A247" s="35" t="s">
        <v>203</v>
      </c>
      <c r="B247" s="35" t="s">
        <v>37</v>
      </c>
      <c r="C247" s="36" t="s">
        <v>204</v>
      </c>
      <c r="D247" s="37" t="s">
        <v>207</v>
      </c>
      <c r="E247" s="38" t="s">
        <v>32</v>
      </c>
      <c r="F247" s="39">
        <v>5110</v>
      </c>
      <c r="G247" s="40"/>
      <c r="H247" s="41"/>
      <c r="I247" s="41"/>
    </row>
    <row r="248" ht="12.75" customHeight="1" spans="1:9" x14ac:dyDescent="0.25">
      <c r="A248" s="35" t="s">
        <v>203</v>
      </c>
      <c r="B248" s="35" t="s">
        <v>37</v>
      </c>
      <c r="C248" s="36" t="s">
        <v>204</v>
      </c>
      <c r="D248" s="37" t="s">
        <v>207</v>
      </c>
      <c r="E248" s="38" t="s">
        <v>32</v>
      </c>
      <c r="F248" s="39">
        <v>6180</v>
      </c>
      <c r="G248" s="40"/>
      <c r="H248" s="41"/>
      <c r="I248" s="41"/>
    </row>
    <row r="249" ht="12.75" customHeight="1" spans="1:9" x14ac:dyDescent="0.25">
      <c r="A249" s="35" t="s">
        <v>203</v>
      </c>
      <c r="B249" s="35" t="s">
        <v>38</v>
      </c>
      <c r="C249" s="36" t="s">
        <v>204</v>
      </c>
      <c r="D249" s="37" t="s">
        <v>208</v>
      </c>
      <c r="E249" s="38" t="s">
        <v>32</v>
      </c>
      <c r="F249" s="39">
        <v>1021</v>
      </c>
      <c r="G249" s="40"/>
      <c r="H249" s="41"/>
      <c r="I249" s="41"/>
    </row>
    <row r="250" ht="12.75" customHeight="1" spans="1:9" x14ac:dyDescent="0.25">
      <c r="A250" s="35" t="s">
        <v>203</v>
      </c>
      <c r="B250" s="35" t="s">
        <v>38</v>
      </c>
      <c r="C250" s="36" t="s">
        <v>204</v>
      </c>
      <c r="D250" s="37" t="s">
        <v>208</v>
      </c>
      <c r="E250" s="38" t="s">
        <v>32</v>
      </c>
      <c r="F250" s="39">
        <v>3401</v>
      </c>
      <c r="G250" s="40"/>
      <c r="H250" s="41"/>
      <c r="I250" s="41"/>
    </row>
    <row r="251" ht="12.75" customHeight="1" spans="1:9" x14ac:dyDescent="0.25">
      <c r="A251" s="35" t="s">
        <v>203</v>
      </c>
      <c r="B251" s="35" t="s">
        <v>38</v>
      </c>
      <c r="C251" s="36" t="s">
        <v>204</v>
      </c>
      <c r="D251" s="37" t="s">
        <v>208</v>
      </c>
      <c r="E251" s="38" t="s">
        <v>32</v>
      </c>
      <c r="F251" s="39">
        <v>5110</v>
      </c>
      <c r="G251" s="40"/>
      <c r="H251" s="41"/>
      <c r="I251" s="41"/>
    </row>
    <row r="252" ht="12.75" customHeight="1" spans="1:9" x14ac:dyDescent="0.25">
      <c r="A252" s="35" t="s">
        <v>203</v>
      </c>
      <c r="B252" s="35" t="s">
        <v>38</v>
      </c>
      <c r="C252" s="36" t="s">
        <v>204</v>
      </c>
      <c r="D252" s="37" t="s">
        <v>208</v>
      </c>
      <c r="E252" s="38" t="s">
        <v>32</v>
      </c>
      <c r="F252" s="39">
        <v>6180</v>
      </c>
      <c r="G252" s="40"/>
      <c r="H252" s="41"/>
      <c r="I252" s="41"/>
    </row>
    <row r="253" ht="12.75" customHeight="1" spans="1:9" x14ac:dyDescent="0.25">
      <c r="A253" s="35" t="s">
        <v>203</v>
      </c>
      <c r="B253" s="35" t="s">
        <v>42</v>
      </c>
      <c r="C253" s="36" t="s">
        <v>209</v>
      </c>
      <c r="D253" s="37" t="s">
        <v>217</v>
      </c>
      <c r="E253" s="38" t="s">
        <v>32</v>
      </c>
      <c r="F253" s="39">
        <v>515</v>
      </c>
      <c r="G253" s="40"/>
      <c r="H253" s="41"/>
      <c r="I253" s="41"/>
    </row>
    <row r="254" ht="12.75" customHeight="1" spans="1:9" x14ac:dyDescent="0.25">
      <c r="A254" s="35" t="s">
        <v>203</v>
      </c>
      <c r="B254" s="35" t="s">
        <v>42</v>
      </c>
      <c r="C254" s="36" t="s">
        <v>209</v>
      </c>
      <c r="D254" s="37" t="s">
        <v>217</v>
      </c>
      <c r="E254" s="38" t="s">
        <v>32</v>
      </c>
      <c r="F254" s="39">
        <v>570</v>
      </c>
      <c r="G254" s="40"/>
      <c r="H254" s="41"/>
      <c r="I254" s="41"/>
    </row>
    <row r="255" ht="12.75" customHeight="1" spans="1:9" x14ac:dyDescent="0.25">
      <c r="A255" s="35" t="s">
        <v>203</v>
      </c>
      <c r="B255" s="35" t="s">
        <v>43</v>
      </c>
      <c r="C255" s="36" t="s">
        <v>209</v>
      </c>
      <c r="D255" s="37" t="s">
        <v>210</v>
      </c>
      <c r="E255" s="38" t="s">
        <v>32</v>
      </c>
      <c r="F255" s="39">
        <v>1010</v>
      </c>
      <c r="G255" s="40"/>
      <c r="H255" s="41"/>
      <c r="I255" s="41"/>
    </row>
    <row r="256" ht="12.75" customHeight="1" spans="1:9" x14ac:dyDescent="0.25">
      <c r="A256" s="35" t="s">
        <v>203</v>
      </c>
      <c r="B256" s="35" t="s">
        <v>43</v>
      </c>
      <c r="C256" s="36" t="s">
        <v>209</v>
      </c>
      <c r="D256" s="37" t="s">
        <v>210</v>
      </c>
      <c r="E256" s="38" t="s">
        <v>32</v>
      </c>
      <c r="F256" s="39">
        <v>1025</v>
      </c>
      <c r="G256" s="40"/>
      <c r="H256" s="41"/>
      <c r="I256" s="41"/>
    </row>
    <row r="257" ht="12.75" customHeight="1" spans="1:9" x14ac:dyDescent="0.25">
      <c r="A257" s="35" t="s">
        <v>203</v>
      </c>
      <c r="B257" s="35" t="s">
        <v>43</v>
      </c>
      <c r="C257" s="36" t="s">
        <v>209</v>
      </c>
      <c r="D257" s="37" t="s">
        <v>210</v>
      </c>
      <c r="E257" s="38" t="s">
        <v>32</v>
      </c>
      <c r="F257" s="39">
        <v>1134</v>
      </c>
      <c r="G257" s="40"/>
      <c r="H257" s="41"/>
      <c r="I257" s="41"/>
    </row>
    <row r="258" ht="12.75" customHeight="1" spans="1:9" x14ac:dyDescent="0.25">
      <c r="A258" s="35" t="s">
        <v>203</v>
      </c>
      <c r="B258" s="35" t="s">
        <v>45</v>
      </c>
      <c r="C258" s="36" t="s">
        <v>204</v>
      </c>
      <c r="D258" s="37" t="s">
        <v>211</v>
      </c>
      <c r="E258" s="38" t="s">
        <v>46</v>
      </c>
      <c r="F258" s="39">
        <v>2068</v>
      </c>
      <c r="G258" s="40"/>
      <c r="H258" s="41"/>
      <c r="I258" s="41"/>
    </row>
    <row r="259" ht="12.75" customHeight="1" spans="1:9" x14ac:dyDescent="0.25">
      <c r="A259" s="35" t="s">
        <v>203</v>
      </c>
      <c r="B259" s="35" t="s">
        <v>45</v>
      </c>
      <c r="C259" s="36" t="s">
        <v>204</v>
      </c>
      <c r="D259" s="37" t="s">
        <v>211</v>
      </c>
      <c r="E259" s="38" t="s">
        <v>46</v>
      </c>
      <c r="F259" s="39">
        <v>2692</v>
      </c>
      <c r="G259" s="40"/>
      <c r="H259" s="41"/>
      <c r="I259" s="41"/>
    </row>
    <row r="260" ht="12.75" customHeight="1" spans="1:9" x14ac:dyDescent="0.25">
      <c r="A260" s="35" t="s">
        <v>203</v>
      </c>
      <c r="B260" s="35" t="s">
        <v>45</v>
      </c>
      <c r="C260" s="36" t="s">
        <v>204</v>
      </c>
      <c r="D260" s="37" t="s">
        <v>211</v>
      </c>
      <c r="E260" s="38" t="s">
        <v>46</v>
      </c>
      <c r="F260" s="39">
        <v>4100</v>
      </c>
      <c r="G260" s="40"/>
      <c r="H260" s="41"/>
      <c r="I260" s="41"/>
    </row>
    <row r="261" ht="12.75" customHeight="1" spans="1:9" x14ac:dyDescent="0.25">
      <c r="A261" s="35" t="s">
        <v>203</v>
      </c>
      <c r="B261" s="35" t="s">
        <v>45</v>
      </c>
      <c r="C261" s="36" t="s">
        <v>204</v>
      </c>
      <c r="D261" s="37" t="s">
        <v>211</v>
      </c>
      <c r="E261" s="38" t="s">
        <v>46</v>
      </c>
      <c r="F261" s="39">
        <v>4535</v>
      </c>
      <c r="G261" s="40"/>
      <c r="H261" s="41"/>
      <c r="I261" s="41"/>
    </row>
    <row r="262" ht="12.75" customHeight="1" spans="1:9" x14ac:dyDescent="0.25">
      <c r="A262" s="35" t="s">
        <v>203</v>
      </c>
      <c r="B262" s="35" t="s">
        <v>45</v>
      </c>
      <c r="C262" s="36" t="s">
        <v>204</v>
      </c>
      <c r="D262" s="37" t="s">
        <v>211</v>
      </c>
      <c r="E262" s="38" t="s">
        <v>46</v>
      </c>
      <c r="F262" s="39">
        <v>5025</v>
      </c>
      <c r="G262" s="40"/>
      <c r="H262" s="41"/>
      <c r="I262" s="41"/>
    </row>
    <row r="263" ht="12.75" customHeight="1" spans="1:9" x14ac:dyDescent="0.25">
      <c r="A263" s="35" t="s">
        <v>203</v>
      </c>
      <c r="B263" s="35" t="s">
        <v>76</v>
      </c>
      <c r="C263" s="36" t="s">
        <v>212</v>
      </c>
      <c r="D263" s="37" t="s">
        <v>213</v>
      </c>
      <c r="E263" s="38" t="s">
        <v>32</v>
      </c>
      <c r="F263" s="39">
        <v>1030</v>
      </c>
      <c r="G263" s="40"/>
      <c r="H263" s="41"/>
      <c r="I263" s="41"/>
    </row>
    <row r="264" ht="12.75" customHeight="1" spans="1:9" x14ac:dyDescent="0.25">
      <c r="A264" s="35" t="s">
        <v>203</v>
      </c>
      <c r="B264" s="35" t="s">
        <v>76</v>
      </c>
      <c r="C264" s="36" t="s">
        <v>212</v>
      </c>
      <c r="D264" s="37" t="s">
        <v>214</v>
      </c>
      <c r="E264" s="38" t="s">
        <v>32</v>
      </c>
      <c r="F264" s="39">
        <v>1030</v>
      </c>
      <c r="G264" s="40"/>
      <c r="H264" s="41"/>
      <c r="I264" s="41"/>
    </row>
    <row r="265" ht="12.75" customHeight="1" spans="1:9" x14ac:dyDescent="0.25">
      <c r="A265" s="35" t="s">
        <v>203</v>
      </c>
      <c r="B265" s="35" t="s">
        <v>76</v>
      </c>
      <c r="C265" s="36" t="s">
        <v>212</v>
      </c>
      <c r="D265" s="37" t="s">
        <v>213</v>
      </c>
      <c r="E265" s="38" t="s">
        <v>32</v>
      </c>
      <c r="F265" s="39">
        <v>1140</v>
      </c>
      <c r="G265" s="40"/>
      <c r="H265" s="41"/>
      <c r="I265" s="41"/>
    </row>
    <row r="266" ht="12.75" customHeight="1" spans="1:9" x14ac:dyDescent="0.25">
      <c r="A266" s="35" t="s">
        <v>203</v>
      </c>
      <c r="B266" s="35" t="s">
        <v>76</v>
      </c>
      <c r="C266" s="36" t="s">
        <v>212</v>
      </c>
      <c r="D266" s="37" t="s">
        <v>214</v>
      </c>
      <c r="E266" s="38" t="s">
        <v>32</v>
      </c>
      <c r="F266" s="39">
        <v>1140</v>
      </c>
      <c r="G266" s="40"/>
      <c r="H266" s="41"/>
      <c r="I266" s="41"/>
    </row>
    <row r="267" ht="12.75" customHeight="1" spans="1:9" x14ac:dyDescent="0.25">
      <c r="A267" s="35" t="s">
        <v>203</v>
      </c>
      <c r="B267" s="35" t="s">
        <v>76</v>
      </c>
      <c r="C267" s="36" t="s">
        <v>212</v>
      </c>
      <c r="D267" s="37" t="s">
        <v>213</v>
      </c>
      <c r="E267" s="38" t="s">
        <v>32</v>
      </c>
      <c r="F267" s="39">
        <v>2077</v>
      </c>
      <c r="G267" s="40"/>
      <c r="H267" s="41"/>
      <c r="I267" s="41"/>
    </row>
    <row r="268" ht="12.75" customHeight="1" spans="1:9" x14ac:dyDescent="0.25">
      <c r="A268" s="35" t="s">
        <v>203</v>
      </c>
      <c r="B268" s="35" t="s">
        <v>76</v>
      </c>
      <c r="C268" s="36" t="s">
        <v>212</v>
      </c>
      <c r="D268" s="37" t="s">
        <v>214</v>
      </c>
      <c r="E268" s="38" t="s">
        <v>32</v>
      </c>
      <c r="F268" s="39">
        <v>2077</v>
      </c>
      <c r="G268" s="40"/>
      <c r="H268" s="41"/>
      <c r="I268" s="41"/>
    </row>
    <row r="269" ht="12.75" customHeight="1" spans="1:9" x14ac:dyDescent="0.25">
      <c r="A269" s="35" t="s">
        <v>203</v>
      </c>
      <c r="B269" s="35" t="s">
        <v>77</v>
      </c>
      <c r="C269" s="36" t="s">
        <v>212</v>
      </c>
      <c r="D269" s="37" t="s">
        <v>218</v>
      </c>
      <c r="E269" s="38" t="s">
        <v>32</v>
      </c>
      <c r="F269" s="39">
        <v>2021</v>
      </c>
      <c r="G269" s="40"/>
      <c r="H269" s="41"/>
      <c r="I269" s="41"/>
    </row>
    <row r="270" ht="12.75" customHeight="1" spans="1:9" x14ac:dyDescent="0.25">
      <c r="A270" s="35" t="s">
        <v>203</v>
      </c>
      <c r="B270" s="35" t="s">
        <v>77</v>
      </c>
      <c r="C270" s="36" t="s">
        <v>212</v>
      </c>
      <c r="D270" s="37" t="s">
        <v>218</v>
      </c>
      <c r="E270" s="38" t="s">
        <v>32</v>
      </c>
      <c r="F270" s="39">
        <v>4535</v>
      </c>
      <c r="G270" s="40"/>
      <c r="H270" s="41"/>
      <c r="I270" s="41"/>
    </row>
    <row r="271" ht="12.75" customHeight="1" spans="1:9" x14ac:dyDescent="0.25">
      <c r="A271" s="35" t="s">
        <v>203</v>
      </c>
      <c r="B271" s="35" t="s">
        <v>77</v>
      </c>
      <c r="C271" s="36" t="s">
        <v>212</v>
      </c>
      <c r="D271" s="37" t="s">
        <v>218</v>
      </c>
      <c r="E271" s="38" t="s">
        <v>32</v>
      </c>
      <c r="F271" s="39">
        <v>8176</v>
      </c>
      <c r="G271" s="40"/>
      <c r="H271" s="41"/>
      <c r="I271" s="41"/>
    </row>
    <row r="272" ht="12.75" customHeight="1" spans="1:9" x14ac:dyDescent="0.25">
      <c r="A272" s="35" t="s">
        <v>203</v>
      </c>
      <c r="B272" s="35" t="s">
        <v>77</v>
      </c>
      <c r="C272" s="36" t="s">
        <v>212</v>
      </c>
      <c r="D272" s="37" t="s">
        <v>218</v>
      </c>
      <c r="E272" s="38" t="s">
        <v>32</v>
      </c>
      <c r="F272" s="39">
        <v>8240</v>
      </c>
      <c r="G272" s="40"/>
      <c r="H272" s="41"/>
      <c r="I272" s="41"/>
    </row>
    <row r="273" ht="12.75" customHeight="1" spans="1:9" x14ac:dyDescent="0.25">
      <c r="A273" s="35" t="s">
        <v>203</v>
      </c>
      <c r="B273" s="35" t="s">
        <v>78</v>
      </c>
      <c r="C273" s="36" t="s">
        <v>212</v>
      </c>
      <c r="D273" s="37" t="s">
        <v>218</v>
      </c>
      <c r="E273" s="38" t="s">
        <v>32</v>
      </c>
      <c r="F273" s="39">
        <v>2020</v>
      </c>
      <c r="G273" s="40"/>
      <c r="H273" s="41"/>
      <c r="I273" s="41"/>
    </row>
    <row r="274" ht="12.75" customHeight="1" spans="1:9" x14ac:dyDescent="0.25">
      <c r="A274" s="35" t="s">
        <v>219</v>
      </c>
      <c r="B274" s="35" t="s">
        <v>87</v>
      </c>
      <c r="C274" s="36" t="s">
        <v>220</v>
      </c>
      <c r="D274" s="37" t="s">
        <v>221</v>
      </c>
      <c r="E274" s="38" t="s">
        <v>82</v>
      </c>
      <c r="F274" s="39">
        <v>24468</v>
      </c>
      <c r="G274" s="40">
        <v>3</v>
      </c>
      <c r="H274" s="41" t="s">
        <v>17</v>
      </c>
      <c r="I274" s="41" t="s">
        <v>17</v>
      </c>
    </row>
    <row r="275" ht="12.75" customHeight="1" spans="1:9" x14ac:dyDescent="0.25">
      <c r="A275" s="35" t="s">
        <v>222</v>
      </c>
      <c r="B275" s="35" t="s">
        <v>31</v>
      </c>
      <c r="C275" s="36" t="s">
        <v>223</v>
      </c>
      <c r="D275" s="37" t="s">
        <v>224</v>
      </c>
      <c r="E275" s="38" t="s">
        <v>32</v>
      </c>
      <c r="F275" s="39">
        <v>253</v>
      </c>
      <c r="G275" s="40">
        <v>19</v>
      </c>
      <c r="H275" s="41" t="s">
        <v>119</v>
      </c>
      <c r="I275" s="41" t="s">
        <v>17</v>
      </c>
    </row>
    <row r="276" ht="12.75" customHeight="1" spans="1:9" x14ac:dyDescent="0.25">
      <c r="A276" s="35" t="s">
        <v>222</v>
      </c>
      <c r="B276" s="35" t="s">
        <v>31</v>
      </c>
      <c r="C276" s="36" t="s">
        <v>225</v>
      </c>
      <c r="D276" s="37" t="s">
        <v>224</v>
      </c>
      <c r="E276" s="38" t="s">
        <v>32</v>
      </c>
      <c r="F276" s="39">
        <v>449</v>
      </c>
      <c r="G276" s="40"/>
      <c r="H276" s="41"/>
      <c r="I276" s="41"/>
    </row>
    <row r="277" ht="12.75" customHeight="1" spans="1:9" x14ac:dyDescent="0.25">
      <c r="A277" s="35" t="s">
        <v>222</v>
      </c>
      <c r="B277" s="35" t="s">
        <v>31</v>
      </c>
      <c r="C277" s="36" t="s">
        <v>223</v>
      </c>
      <c r="D277" s="37" t="s">
        <v>226</v>
      </c>
      <c r="E277" s="38" t="s">
        <v>32</v>
      </c>
      <c r="F277" s="39">
        <v>556</v>
      </c>
      <c r="G277" s="40"/>
      <c r="H277" s="41"/>
      <c r="I277" s="41"/>
    </row>
    <row r="278" ht="12.75" customHeight="1" spans="1:9" x14ac:dyDescent="0.25">
      <c r="A278" s="35" t="s">
        <v>222</v>
      </c>
      <c r="B278" s="35" t="s">
        <v>31</v>
      </c>
      <c r="C278" s="36" t="s">
        <v>225</v>
      </c>
      <c r="D278" s="37" t="s">
        <v>227</v>
      </c>
      <c r="E278" s="38" t="s">
        <v>32</v>
      </c>
      <c r="F278" s="39">
        <v>793</v>
      </c>
      <c r="G278" s="40"/>
      <c r="H278" s="41"/>
      <c r="I278" s="41"/>
    </row>
    <row r="279" ht="12.75" customHeight="1" spans="1:9" x14ac:dyDescent="0.25">
      <c r="A279" s="35" t="s">
        <v>222</v>
      </c>
      <c r="B279" s="35" t="s">
        <v>31</v>
      </c>
      <c r="C279" s="36" t="s">
        <v>223</v>
      </c>
      <c r="D279" s="37" t="s">
        <v>228</v>
      </c>
      <c r="E279" s="38" t="s">
        <v>32</v>
      </c>
      <c r="F279" s="39">
        <v>876</v>
      </c>
      <c r="G279" s="40"/>
      <c r="H279" s="41"/>
      <c r="I279" s="41"/>
    </row>
    <row r="280" ht="12.75" customHeight="1" spans="1:9" x14ac:dyDescent="0.25">
      <c r="A280" s="35" t="s">
        <v>222</v>
      </c>
      <c r="B280" s="35" t="s">
        <v>31</v>
      </c>
      <c r="C280" s="36" t="s">
        <v>223</v>
      </c>
      <c r="D280" s="37" t="s">
        <v>227</v>
      </c>
      <c r="E280" s="38" t="s">
        <v>32</v>
      </c>
      <c r="F280" s="39">
        <v>927</v>
      </c>
      <c r="G280" s="40"/>
      <c r="H280" s="41"/>
      <c r="I280" s="41"/>
    </row>
    <row r="281" ht="12.75" customHeight="1" spans="1:9" x14ac:dyDescent="0.25">
      <c r="A281" s="35" t="s">
        <v>222</v>
      </c>
      <c r="B281" s="35" t="s">
        <v>31</v>
      </c>
      <c r="C281" s="36" t="s">
        <v>225</v>
      </c>
      <c r="D281" s="37" t="s">
        <v>226</v>
      </c>
      <c r="E281" s="38" t="s">
        <v>32</v>
      </c>
      <c r="F281" s="39">
        <v>968</v>
      </c>
      <c r="G281" s="40"/>
      <c r="H281" s="41"/>
      <c r="I281" s="41"/>
    </row>
    <row r="282" ht="12.75" customHeight="1" spans="1:9" x14ac:dyDescent="0.25">
      <c r="A282" s="35" t="s">
        <v>222</v>
      </c>
      <c r="B282" s="35" t="s">
        <v>31</v>
      </c>
      <c r="C282" s="36" t="s">
        <v>225</v>
      </c>
      <c r="D282" s="37" t="s">
        <v>229</v>
      </c>
      <c r="E282" s="38" t="s">
        <v>32</v>
      </c>
      <c r="F282" s="39">
        <v>1195</v>
      </c>
      <c r="G282" s="40"/>
      <c r="H282" s="41"/>
      <c r="I282" s="41"/>
    </row>
    <row r="283" ht="12.75" customHeight="1" spans="1:9" x14ac:dyDescent="0.25">
      <c r="A283" s="35" t="s">
        <v>222</v>
      </c>
      <c r="B283" s="35" t="s">
        <v>31</v>
      </c>
      <c r="C283" s="36" t="s">
        <v>225</v>
      </c>
      <c r="D283" s="37" t="s">
        <v>228</v>
      </c>
      <c r="E283" s="38" t="s">
        <v>32</v>
      </c>
      <c r="F283" s="39">
        <v>1249</v>
      </c>
      <c r="G283" s="40"/>
      <c r="H283" s="41"/>
      <c r="I283" s="41"/>
    </row>
    <row r="284" ht="12.75" customHeight="1" spans="1:9" x14ac:dyDescent="0.25">
      <c r="A284" s="35" t="s">
        <v>222</v>
      </c>
      <c r="B284" s="35" t="s">
        <v>31</v>
      </c>
      <c r="C284" s="36" t="s">
        <v>223</v>
      </c>
      <c r="D284" s="37" t="s">
        <v>229</v>
      </c>
      <c r="E284" s="38" t="s">
        <v>32</v>
      </c>
      <c r="F284" s="39">
        <v>1322</v>
      </c>
      <c r="G284" s="40"/>
      <c r="H284" s="41"/>
      <c r="I284" s="41"/>
    </row>
    <row r="285" ht="12.75" customHeight="1" spans="1:9" x14ac:dyDescent="0.25">
      <c r="A285" s="35" t="s">
        <v>222</v>
      </c>
      <c r="B285" s="35" t="s">
        <v>31</v>
      </c>
      <c r="C285" s="36" t="s">
        <v>223</v>
      </c>
      <c r="D285" s="37" t="s">
        <v>227</v>
      </c>
      <c r="E285" s="38" t="s">
        <v>32</v>
      </c>
      <c r="F285" s="39">
        <v>155</v>
      </c>
      <c r="G285" s="40">
        <v>6</v>
      </c>
      <c r="H285" s="41" t="s">
        <v>119</v>
      </c>
      <c r="I285" s="41" t="s">
        <v>17</v>
      </c>
    </row>
    <row r="286" ht="12.75" customHeight="1" spans="1:9" x14ac:dyDescent="0.25">
      <c r="A286" s="35" t="s">
        <v>222</v>
      </c>
      <c r="B286" s="35" t="s">
        <v>31</v>
      </c>
      <c r="C286" s="36" t="s">
        <v>223</v>
      </c>
      <c r="D286" s="37" t="s">
        <v>226</v>
      </c>
      <c r="E286" s="38" t="s">
        <v>32</v>
      </c>
      <c r="F286" s="39">
        <v>155</v>
      </c>
      <c r="G286" s="40"/>
      <c r="H286" s="41"/>
      <c r="I286" s="41"/>
    </row>
    <row r="287" ht="12.75" customHeight="1" spans="1:9" x14ac:dyDescent="0.25">
      <c r="A287" s="35" t="s">
        <v>222</v>
      </c>
      <c r="B287" s="35" t="s">
        <v>31</v>
      </c>
      <c r="C287" s="36" t="s">
        <v>223</v>
      </c>
      <c r="D287" s="37" t="s">
        <v>224</v>
      </c>
      <c r="E287" s="38" t="s">
        <v>32</v>
      </c>
      <c r="F287" s="39">
        <v>155</v>
      </c>
      <c r="G287" s="40"/>
      <c r="H287" s="41"/>
      <c r="I287" s="41"/>
    </row>
    <row r="288" ht="12.75" customHeight="1" spans="1:9" x14ac:dyDescent="0.25">
      <c r="A288" s="35" t="s">
        <v>222</v>
      </c>
      <c r="B288" s="35" t="s">
        <v>31</v>
      </c>
      <c r="C288" s="36" t="s">
        <v>223</v>
      </c>
      <c r="D288" s="37" t="s">
        <v>228</v>
      </c>
      <c r="E288" s="38" t="s">
        <v>32</v>
      </c>
      <c r="F288" s="39">
        <v>206</v>
      </c>
      <c r="G288" s="40"/>
      <c r="H288" s="41"/>
      <c r="I288" s="41"/>
    </row>
    <row r="289" ht="12.75" customHeight="1" spans="1:9" x14ac:dyDescent="0.25">
      <c r="A289" s="35" t="s">
        <v>222</v>
      </c>
      <c r="B289" s="35" t="s">
        <v>31</v>
      </c>
      <c r="C289" s="36" t="s">
        <v>225</v>
      </c>
      <c r="D289" s="37" t="s">
        <v>227</v>
      </c>
      <c r="E289" s="38" t="s">
        <v>32</v>
      </c>
      <c r="F289" s="39">
        <v>206</v>
      </c>
      <c r="G289" s="40"/>
      <c r="H289" s="41"/>
      <c r="I289" s="41"/>
    </row>
    <row r="290" ht="12.75" customHeight="1" spans="1:9" x14ac:dyDescent="0.25">
      <c r="A290" s="35" t="s">
        <v>222</v>
      </c>
      <c r="B290" s="35" t="s">
        <v>31</v>
      </c>
      <c r="C290" s="36" t="s">
        <v>225</v>
      </c>
      <c r="D290" s="37" t="s">
        <v>224</v>
      </c>
      <c r="E290" s="38" t="s">
        <v>32</v>
      </c>
      <c r="F290" s="39">
        <v>206</v>
      </c>
      <c r="G290" s="40"/>
      <c r="H290" s="41"/>
      <c r="I290" s="41"/>
    </row>
    <row r="291" ht="12.75" customHeight="1" spans="1:9" x14ac:dyDescent="0.25">
      <c r="A291" s="35" t="s">
        <v>222</v>
      </c>
      <c r="B291" s="35" t="s">
        <v>31</v>
      </c>
      <c r="C291" s="36" t="s">
        <v>223</v>
      </c>
      <c r="D291" s="37" t="s">
        <v>229</v>
      </c>
      <c r="E291" s="38" t="s">
        <v>32</v>
      </c>
      <c r="F291" s="39">
        <v>265</v>
      </c>
      <c r="G291" s="40"/>
      <c r="H291" s="41"/>
      <c r="I291" s="41"/>
    </row>
    <row r="292" ht="12.75" customHeight="1" spans="1:9" x14ac:dyDescent="0.25">
      <c r="A292" s="35" t="s">
        <v>222</v>
      </c>
      <c r="B292" s="35" t="s">
        <v>31</v>
      </c>
      <c r="C292" s="36" t="s">
        <v>225</v>
      </c>
      <c r="D292" s="37" t="s">
        <v>226</v>
      </c>
      <c r="E292" s="38" t="s">
        <v>32</v>
      </c>
      <c r="F292" s="39">
        <v>309</v>
      </c>
      <c r="G292" s="40"/>
      <c r="H292" s="41"/>
      <c r="I292" s="41"/>
    </row>
    <row r="293" ht="12.75" customHeight="1" spans="1:9" x14ac:dyDescent="0.25">
      <c r="A293" s="35" t="s">
        <v>222</v>
      </c>
      <c r="B293" s="35" t="s">
        <v>31</v>
      </c>
      <c r="C293" s="36" t="s">
        <v>225</v>
      </c>
      <c r="D293" s="37" t="s">
        <v>228</v>
      </c>
      <c r="E293" s="38" t="s">
        <v>32</v>
      </c>
      <c r="F293" s="39">
        <v>412</v>
      </c>
      <c r="G293" s="40"/>
      <c r="H293" s="41"/>
      <c r="I293" s="41"/>
    </row>
    <row r="294" ht="12.75" customHeight="1" spans="1:9" x14ac:dyDescent="0.25">
      <c r="A294" s="35" t="s">
        <v>222</v>
      </c>
      <c r="B294" s="35" t="s">
        <v>31</v>
      </c>
      <c r="C294" s="36" t="s">
        <v>225</v>
      </c>
      <c r="D294" s="37" t="s">
        <v>229</v>
      </c>
      <c r="E294" s="38" t="s">
        <v>32</v>
      </c>
      <c r="F294" s="39">
        <v>421</v>
      </c>
      <c r="G294" s="40"/>
      <c r="H294" s="41"/>
      <c r="I294" s="41"/>
    </row>
    <row r="295" ht="12.75" customHeight="1" spans="1:9" x14ac:dyDescent="0.25">
      <c r="A295" s="35" t="s">
        <v>222</v>
      </c>
      <c r="B295" s="35" t="s">
        <v>33</v>
      </c>
      <c r="C295" s="36" t="s">
        <v>223</v>
      </c>
      <c r="D295" s="37" t="s">
        <v>230</v>
      </c>
      <c r="E295" s="38" t="s">
        <v>32</v>
      </c>
      <c r="F295" s="39">
        <v>119</v>
      </c>
      <c r="G295" s="40">
        <v>9</v>
      </c>
      <c r="H295" s="41" t="s">
        <v>119</v>
      </c>
      <c r="I295" s="41" t="s">
        <v>17</v>
      </c>
    </row>
    <row r="296" ht="12.75" customHeight="1" spans="1:9" x14ac:dyDescent="0.25">
      <c r="A296" s="35" t="s">
        <v>222</v>
      </c>
      <c r="B296" s="35" t="s">
        <v>33</v>
      </c>
      <c r="C296" s="36" t="s">
        <v>225</v>
      </c>
      <c r="D296" s="37" t="s">
        <v>230</v>
      </c>
      <c r="E296" s="38" t="s">
        <v>32</v>
      </c>
      <c r="F296" s="39">
        <v>212</v>
      </c>
      <c r="G296" s="40"/>
      <c r="H296" s="41"/>
      <c r="I296" s="41"/>
    </row>
    <row r="297" ht="12.75" customHeight="1" spans="1:9" x14ac:dyDescent="0.25">
      <c r="A297" s="35" t="s">
        <v>222</v>
      </c>
      <c r="B297" s="35" t="s">
        <v>33</v>
      </c>
      <c r="C297" s="36" t="s">
        <v>223</v>
      </c>
      <c r="D297" s="37" t="s">
        <v>231</v>
      </c>
      <c r="E297" s="38" t="s">
        <v>32</v>
      </c>
      <c r="F297" s="39">
        <v>258</v>
      </c>
      <c r="G297" s="40"/>
      <c r="H297" s="41"/>
      <c r="I297" s="41"/>
    </row>
    <row r="298" ht="12.75" customHeight="1" spans="1:9" x14ac:dyDescent="0.25">
      <c r="A298" s="35" t="s">
        <v>222</v>
      </c>
      <c r="B298" s="35" t="s">
        <v>33</v>
      </c>
      <c r="C298" s="36" t="s">
        <v>223</v>
      </c>
      <c r="D298" s="37" t="s">
        <v>232</v>
      </c>
      <c r="E298" s="38" t="s">
        <v>32</v>
      </c>
      <c r="F298" s="39">
        <v>412</v>
      </c>
      <c r="G298" s="40"/>
      <c r="H298" s="41"/>
      <c r="I298" s="41"/>
    </row>
    <row r="299" ht="12.75" customHeight="1" spans="1:9" x14ac:dyDescent="0.25">
      <c r="A299" s="35" t="s">
        <v>222</v>
      </c>
      <c r="B299" s="35" t="s">
        <v>33</v>
      </c>
      <c r="C299" s="36" t="s">
        <v>225</v>
      </c>
      <c r="D299" s="37" t="s">
        <v>231</v>
      </c>
      <c r="E299" s="38" t="s">
        <v>32</v>
      </c>
      <c r="F299" s="39">
        <v>464</v>
      </c>
      <c r="G299" s="40"/>
      <c r="H299" s="41"/>
      <c r="I299" s="41"/>
    </row>
    <row r="300" ht="12.75" customHeight="1" spans="1:9" x14ac:dyDescent="0.25">
      <c r="A300" s="35" t="s">
        <v>222</v>
      </c>
      <c r="B300" s="35" t="s">
        <v>33</v>
      </c>
      <c r="C300" s="36" t="s">
        <v>225</v>
      </c>
      <c r="D300" s="37" t="s">
        <v>233</v>
      </c>
      <c r="E300" s="38" t="s">
        <v>32</v>
      </c>
      <c r="F300" s="39">
        <v>484</v>
      </c>
      <c r="G300" s="40"/>
      <c r="H300" s="41"/>
      <c r="I300" s="41"/>
    </row>
    <row r="301" ht="12.75" customHeight="1" spans="1:9" x14ac:dyDescent="0.25">
      <c r="A301" s="35" t="s">
        <v>222</v>
      </c>
      <c r="B301" s="35" t="s">
        <v>33</v>
      </c>
      <c r="C301" s="36" t="s">
        <v>223</v>
      </c>
      <c r="D301" s="37" t="s">
        <v>234</v>
      </c>
      <c r="E301" s="38" t="s">
        <v>32</v>
      </c>
      <c r="F301" s="39">
        <v>536</v>
      </c>
      <c r="G301" s="40"/>
      <c r="H301" s="41"/>
      <c r="I301" s="41"/>
    </row>
    <row r="302" ht="12.75" customHeight="1" spans="1:9" x14ac:dyDescent="0.25">
      <c r="A302" s="35" t="s">
        <v>222</v>
      </c>
      <c r="B302" s="35" t="s">
        <v>33</v>
      </c>
      <c r="C302" s="36" t="s">
        <v>225</v>
      </c>
      <c r="D302" s="37" t="s">
        <v>234</v>
      </c>
      <c r="E302" s="38" t="s">
        <v>32</v>
      </c>
      <c r="F302" s="39">
        <v>606</v>
      </c>
      <c r="G302" s="40"/>
      <c r="H302" s="41"/>
      <c r="I302" s="41"/>
    </row>
    <row r="303" ht="12.75" customHeight="1" spans="1:9" x14ac:dyDescent="0.25">
      <c r="A303" s="35" t="s">
        <v>222</v>
      </c>
      <c r="B303" s="35" t="s">
        <v>33</v>
      </c>
      <c r="C303" s="36" t="s">
        <v>223</v>
      </c>
      <c r="D303" s="37" t="s">
        <v>233</v>
      </c>
      <c r="E303" s="38" t="s">
        <v>32</v>
      </c>
      <c r="F303" s="39">
        <v>754</v>
      </c>
      <c r="G303" s="40"/>
      <c r="H303" s="41"/>
      <c r="I303" s="41"/>
    </row>
    <row r="304" ht="12.75" customHeight="1" spans="1:9" x14ac:dyDescent="0.25">
      <c r="A304" s="35" t="s">
        <v>222</v>
      </c>
      <c r="B304" s="35" t="s">
        <v>33</v>
      </c>
      <c r="C304" s="36" t="s">
        <v>225</v>
      </c>
      <c r="D304" s="37" t="s">
        <v>231</v>
      </c>
      <c r="E304" s="38" t="s">
        <v>32</v>
      </c>
      <c r="F304" s="39">
        <v>41</v>
      </c>
      <c r="G304" s="40">
        <v>2</v>
      </c>
      <c r="H304" s="41" t="s">
        <v>119</v>
      </c>
      <c r="I304" s="41" t="s">
        <v>17</v>
      </c>
    </row>
    <row r="305" ht="12.75" customHeight="1" spans="1:9" x14ac:dyDescent="0.25">
      <c r="A305" s="35" t="s">
        <v>222</v>
      </c>
      <c r="B305" s="35" t="s">
        <v>33</v>
      </c>
      <c r="C305" s="36" t="s">
        <v>225</v>
      </c>
      <c r="D305" s="37" t="s">
        <v>230</v>
      </c>
      <c r="E305" s="38" t="s">
        <v>32</v>
      </c>
      <c r="F305" s="39">
        <v>41</v>
      </c>
      <c r="G305" s="40"/>
      <c r="H305" s="41"/>
      <c r="I305" s="41"/>
    </row>
    <row r="306" ht="12.75" customHeight="1" spans="1:9" x14ac:dyDescent="0.25">
      <c r="A306" s="35" t="s">
        <v>222</v>
      </c>
      <c r="B306" s="35" t="s">
        <v>33</v>
      </c>
      <c r="C306" s="36" t="s">
        <v>225</v>
      </c>
      <c r="D306" s="37" t="s">
        <v>234</v>
      </c>
      <c r="E306" s="38" t="s">
        <v>32</v>
      </c>
      <c r="F306" s="39">
        <v>62</v>
      </c>
      <c r="G306" s="40"/>
      <c r="H306" s="41"/>
      <c r="I306" s="41"/>
    </row>
    <row r="307" ht="12.75" customHeight="1" spans="1:9" x14ac:dyDescent="0.25">
      <c r="A307" s="35" t="s">
        <v>222</v>
      </c>
      <c r="B307" s="35" t="s">
        <v>33</v>
      </c>
      <c r="C307" s="36" t="s">
        <v>223</v>
      </c>
      <c r="D307" s="37" t="s">
        <v>230</v>
      </c>
      <c r="E307" s="38" t="s">
        <v>32</v>
      </c>
      <c r="F307" s="39">
        <v>62</v>
      </c>
      <c r="G307" s="40"/>
      <c r="H307" s="41"/>
      <c r="I307" s="41"/>
    </row>
    <row r="308" ht="12.75" customHeight="1" spans="1:9" x14ac:dyDescent="0.25">
      <c r="A308" s="35" t="s">
        <v>222</v>
      </c>
      <c r="B308" s="35" t="s">
        <v>33</v>
      </c>
      <c r="C308" s="36" t="s">
        <v>225</v>
      </c>
      <c r="D308" s="37" t="s">
        <v>233</v>
      </c>
      <c r="E308" s="38" t="s">
        <v>32</v>
      </c>
      <c r="F308" s="39">
        <v>64</v>
      </c>
      <c r="G308" s="40"/>
      <c r="H308" s="41"/>
      <c r="I308" s="41"/>
    </row>
    <row r="309" ht="12.75" customHeight="1" spans="1:9" x14ac:dyDescent="0.25">
      <c r="A309" s="35" t="s">
        <v>222</v>
      </c>
      <c r="B309" s="35" t="s">
        <v>33</v>
      </c>
      <c r="C309" s="36" t="s">
        <v>223</v>
      </c>
      <c r="D309" s="37" t="s">
        <v>232</v>
      </c>
      <c r="E309" s="38" t="s">
        <v>32</v>
      </c>
      <c r="F309" s="39">
        <v>72</v>
      </c>
      <c r="G309" s="40"/>
      <c r="H309" s="41"/>
      <c r="I309" s="41"/>
    </row>
    <row r="310" ht="12.75" customHeight="1" spans="1:9" x14ac:dyDescent="0.25">
      <c r="A310" s="35" t="s">
        <v>222</v>
      </c>
      <c r="B310" s="35" t="s">
        <v>33</v>
      </c>
      <c r="C310" s="36" t="s">
        <v>223</v>
      </c>
      <c r="D310" s="37" t="s">
        <v>231</v>
      </c>
      <c r="E310" s="38" t="s">
        <v>32</v>
      </c>
      <c r="F310" s="39">
        <v>82</v>
      </c>
      <c r="G310" s="40"/>
      <c r="H310" s="41"/>
      <c r="I310" s="41"/>
    </row>
    <row r="311" ht="12.75" customHeight="1" spans="1:9" x14ac:dyDescent="0.25">
      <c r="A311" s="35" t="s">
        <v>222</v>
      </c>
      <c r="B311" s="35" t="s">
        <v>33</v>
      </c>
      <c r="C311" s="36" t="s">
        <v>223</v>
      </c>
      <c r="D311" s="37" t="s">
        <v>234</v>
      </c>
      <c r="E311" s="38" t="s">
        <v>32</v>
      </c>
      <c r="F311" s="39">
        <v>93</v>
      </c>
      <c r="G311" s="40"/>
      <c r="H311" s="41"/>
      <c r="I311" s="41"/>
    </row>
    <row r="312" ht="12.75" customHeight="1" spans="1:9" x14ac:dyDescent="0.25">
      <c r="A312" s="35" t="s">
        <v>222</v>
      </c>
      <c r="B312" s="35" t="s">
        <v>33</v>
      </c>
      <c r="C312" s="36" t="s">
        <v>223</v>
      </c>
      <c r="D312" s="37" t="s">
        <v>233</v>
      </c>
      <c r="E312" s="38" t="s">
        <v>32</v>
      </c>
      <c r="F312" s="39">
        <v>106</v>
      </c>
      <c r="G312" s="40"/>
      <c r="H312" s="41"/>
      <c r="I312" s="41"/>
    </row>
    <row r="313" ht="12.75" customHeight="1" spans="1:9" x14ac:dyDescent="0.25">
      <c r="A313" s="35" t="s">
        <v>235</v>
      </c>
      <c r="B313" s="35" t="s">
        <v>40</v>
      </c>
      <c r="C313" s="36" t="s">
        <v>117</v>
      </c>
      <c r="D313" s="37" t="s">
        <v>236</v>
      </c>
      <c r="E313" s="38" t="s">
        <v>32</v>
      </c>
      <c r="F313" s="39">
        <v>100</v>
      </c>
      <c r="G313" s="40">
        <v>1</v>
      </c>
      <c r="H313" s="41" t="s">
        <v>119</v>
      </c>
      <c r="I313" s="41" t="s">
        <v>17</v>
      </c>
    </row>
    <row r="314" ht="12.75" customHeight="1" spans="1:9" x14ac:dyDescent="0.25">
      <c r="A314" s="35" t="s">
        <v>235</v>
      </c>
      <c r="B314" s="35" t="s">
        <v>40</v>
      </c>
      <c r="C314" s="36" t="s">
        <v>117</v>
      </c>
      <c r="D314" s="37" t="s">
        <v>236</v>
      </c>
      <c r="E314" s="38" t="s">
        <v>32</v>
      </c>
      <c r="F314" s="39">
        <v>800</v>
      </c>
      <c r="G314" s="40"/>
      <c r="H314" s="41"/>
      <c r="I314" s="41"/>
    </row>
    <row r="315" ht="12.75" customHeight="1" spans="1:9" x14ac:dyDescent="0.25">
      <c r="A315" s="35" t="s">
        <v>237</v>
      </c>
      <c r="B315" s="35" t="s">
        <v>238</v>
      </c>
      <c r="C315" s="36" t="s">
        <v>239</v>
      </c>
      <c r="D315" s="37" t="s">
        <v>240</v>
      </c>
      <c r="E315" s="38" t="s">
        <v>14</v>
      </c>
      <c r="F315" s="39">
        <v>22</v>
      </c>
      <c r="G315" s="40">
        <v>5</v>
      </c>
      <c r="H315" s="41" t="s">
        <v>125</v>
      </c>
      <c r="I315" s="41" t="s">
        <v>241</v>
      </c>
    </row>
    <row r="316" ht="12.75" customHeight="1" spans="1:9" x14ac:dyDescent="0.25">
      <c r="A316" s="35" t="s">
        <v>237</v>
      </c>
      <c r="B316" s="35" t="s">
        <v>238</v>
      </c>
      <c r="C316" s="36" t="s">
        <v>239</v>
      </c>
      <c r="D316" s="37" t="s">
        <v>240</v>
      </c>
      <c r="E316" s="38" t="s">
        <v>14</v>
      </c>
      <c r="F316" s="39">
        <v>245</v>
      </c>
      <c r="G316" s="40"/>
      <c r="H316" s="41"/>
      <c r="I316" s="41"/>
    </row>
    <row r="317" ht="12.75" customHeight="1" spans="1:9" x14ac:dyDescent="0.25">
      <c r="A317" s="35" t="s">
        <v>237</v>
      </c>
      <c r="B317" s="35" t="s">
        <v>242</v>
      </c>
      <c r="C317" s="36" t="s">
        <v>243</v>
      </c>
      <c r="D317" s="37" t="s">
        <v>244</v>
      </c>
      <c r="E317" s="38" t="s">
        <v>14</v>
      </c>
      <c r="F317" s="39">
        <v>8</v>
      </c>
      <c r="G317" s="40"/>
      <c r="H317" s="41"/>
      <c r="I317" s="41"/>
    </row>
    <row r="318" ht="12.75" customHeight="1" spans="1:9" x14ac:dyDescent="0.25">
      <c r="A318" s="35" t="s">
        <v>237</v>
      </c>
      <c r="B318" s="35" t="s">
        <v>245</v>
      </c>
      <c r="C318" s="36" t="s">
        <v>246</v>
      </c>
      <c r="D318" s="37" t="s">
        <v>247</v>
      </c>
      <c r="E318" s="38" t="s">
        <v>14</v>
      </c>
      <c r="F318" s="39">
        <v>12</v>
      </c>
      <c r="G318" s="40"/>
      <c r="H318" s="41"/>
      <c r="I318" s="41"/>
    </row>
    <row r="319" ht="12.75" customHeight="1" spans="1:9" x14ac:dyDescent="0.25">
      <c r="A319" s="35" t="s">
        <v>237</v>
      </c>
      <c r="B319" s="35" t="s">
        <v>245</v>
      </c>
      <c r="C319" s="36" t="s">
        <v>246</v>
      </c>
      <c r="D319" s="37" t="s">
        <v>247</v>
      </c>
      <c r="E319" s="38" t="s">
        <v>14</v>
      </c>
      <c r="F319" s="39">
        <v>38</v>
      </c>
      <c r="G319" s="40"/>
      <c r="H319" s="41"/>
      <c r="I319" s="41"/>
    </row>
    <row r="320" ht="12.75" customHeight="1" spans="1:9" x14ac:dyDescent="0.25">
      <c r="A320" s="35" t="s">
        <v>237</v>
      </c>
      <c r="B320" s="35" t="s">
        <v>248</v>
      </c>
      <c r="C320" s="36" t="s">
        <v>209</v>
      </c>
      <c r="D320" s="37" t="s">
        <v>249</v>
      </c>
      <c r="E320" s="38" t="s">
        <v>14</v>
      </c>
      <c r="F320" s="39">
        <v>2</v>
      </c>
      <c r="G320" s="40">
        <v>12</v>
      </c>
      <c r="H320" s="41" t="s">
        <v>125</v>
      </c>
      <c r="I320" s="41" t="s">
        <v>250</v>
      </c>
    </row>
    <row r="321" ht="12.75" customHeight="1" spans="1:9" x14ac:dyDescent="0.25">
      <c r="A321" s="35" t="s">
        <v>237</v>
      </c>
      <c r="B321" s="35" t="s">
        <v>248</v>
      </c>
      <c r="C321" s="36" t="s">
        <v>209</v>
      </c>
      <c r="D321" s="37" t="s">
        <v>249</v>
      </c>
      <c r="E321" s="38" t="s">
        <v>14</v>
      </c>
      <c r="F321" s="39">
        <v>57</v>
      </c>
      <c r="G321" s="40"/>
      <c r="H321" s="41"/>
      <c r="I321" s="41"/>
    </row>
    <row r="322" ht="12.75" customHeight="1" spans="1:9" x14ac:dyDescent="0.25">
      <c r="A322" s="35" t="s">
        <v>237</v>
      </c>
      <c r="B322" s="35" t="s">
        <v>248</v>
      </c>
      <c r="C322" s="36" t="s">
        <v>209</v>
      </c>
      <c r="D322" s="37" t="s">
        <v>249</v>
      </c>
      <c r="E322" s="38" t="s">
        <v>14</v>
      </c>
      <c r="F322" s="39">
        <v>63</v>
      </c>
      <c r="G322" s="40"/>
      <c r="H322" s="41"/>
      <c r="I322" s="41"/>
    </row>
    <row r="323" ht="12.75" customHeight="1" spans="1:9" x14ac:dyDescent="0.25">
      <c r="A323" s="35" t="s">
        <v>237</v>
      </c>
      <c r="B323" s="35" t="s">
        <v>248</v>
      </c>
      <c r="C323" s="36" t="s">
        <v>209</v>
      </c>
      <c r="D323" s="37" t="s">
        <v>249</v>
      </c>
      <c r="E323" s="38" t="s">
        <v>14</v>
      </c>
      <c r="F323" s="39">
        <v>81</v>
      </c>
      <c r="G323" s="40"/>
      <c r="H323" s="41"/>
      <c r="I323" s="41"/>
    </row>
    <row r="324" ht="12.75" customHeight="1" spans="1:9" x14ac:dyDescent="0.25">
      <c r="A324" s="35" t="s">
        <v>237</v>
      </c>
      <c r="B324" s="35" t="s">
        <v>248</v>
      </c>
      <c r="C324" s="36" t="s">
        <v>209</v>
      </c>
      <c r="D324" s="37" t="s">
        <v>249</v>
      </c>
      <c r="E324" s="38" t="s">
        <v>14</v>
      </c>
      <c r="F324" s="39">
        <v>93</v>
      </c>
      <c r="G324" s="40"/>
      <c r="H324" s="41"/>
      <c r="I324" s="41"/>
    </row>
    <row r="325" ht="12.75" customHeight="1" spans="1:9" x14ac:dyDescent="0.25">
      <c r="A325" s="35" t="s">
        <v>237</v>
      </c>
      <c r="B325" s="35" t="s">
        <v>248</v>
      </c>
      <c r="C325" s="36" t="s">
        <v>209</v>
      </c>
      <c r="D325" s="37" t="s">
        <v>249</v>
      </c>
      <c r="E325" s="38" t="s">
        <v>14</v>
      </c>
      <c r="F325" s="39">
        <v>101</v>
      </c>
      <c r="G325" s="40"/>
      <c r="H325" s="41"/>
      <c r="I325" s="41"/>
    </row>
    <row r="326" ht="12.75" customHeight="1" spans="1:9" x14ac:dyDescent="0.25">
      <c r="A326" s="35" t="s">
        <v>237</v>
      </c>
      <c r="B326" s="35" t="s">
        <v>248</v>
      </c>
      <c r="C326" s="36" t="s">
        <v>209</v>
      </c>
      <c r="D326" s="37" t="s">
        <v>249</v>
      </c>
      <c r="E326" s="38" t="s">
        <v>14</v>
      </c>
      <c r="F326" s="39">
        <v>105</v>
      </c>
      <c r="G326" s="40"/>
      <c r="H326" s="41"/>
      <c r="I326" s="41"/>
    </row>
    <row r="327" ht="12.75" customHeight="1" spans="1:9" x14ac:dyDescent="0.25">
      <c r="A327" s="35" t="s">
        <v>237</v>
      </c>
      <c r="B327" s="35" t="s">
        <v>248</v>
      </c>
      <c r="C327" s="36" t="s">
        <v>209</v>
      </c>
      <c r="D327" s="37" t="s">
        <v>249</v>
      </c>
      <c r="E327" s="38" t="s">
        <v>14</v>
      </c>
      <c r="F327" s="39">
        <v>1</v>
      </c>
      <c r="G327" s="40"/>
      <c r="H327" s="41"/>
      <c r="I327" s="41"/>
    </row>
    <row r="328" ht="12.75" customHeight="1" spans="1:9" x14ac:dyDescent="0.25">
      <c r="A328" s="35" t="s">
        <v>237</v>
      </c>
      <c r="B328" s="35" t="s">
        <v>248</v>
      </c>
      <c r="C328" s="36" t="s">
        <v>209</v>
      </c>
      <c r="D328" s="37" t="s">
        <v>249</v>
      </c>
      <c r="E328" s="38" t="s">
        <v>14</v>
      </c>
      <c r="F328" s="39">
        <v>2</v>
      </c>
      <c r="G328" s="40"/>
      <c r="H328" s="41"/>
      <c r="I328" s="41"/>
    </row>
    <row r="329" ht="12.75" customHeight="1" spans="1:9" x14ac:dyDescent="0.25">
      <c r="A329" s="35" t="s">
        <v>237</v>
      </c>
      <c r="B329" s="35" t="s">
        <v>248</v>
      </c>
      <c r="C329" s="36" t="s">
        <v>209</v>
      </c>
      <c r="D329" s="37" t="s">
        <v>249</v>
      </c>
      <c r="E329" s="38" t="s">
        <v>14</v>
      </c>
      <c r="F329" s="39">
        <v>1</v>
      </c>
      <c r="G329" s="40"/>
      <c r="H329" s="41"/>
      <c r="I329" s="41"/>
    </row>
    <row r="330" ht="12.75" customHeight="1" spans="1:9" x14ac:dyDescent="0.25">
      <c r="A330" s="35" t="s">
        <v>237</v>
      </c>
      <c r="B330" s="35" t="s">
        <v>248</v>
      </c>
      <c r="C330" s="36" t="s">
        <v>209</v>
      </c>
      <c r="D330" s="37" t="s">
        <v>249</v>
      </c>
      <c r="E330" s="38" t="s">
        <v>14</v>
      </c>
      <c r="F330" s="39">
        <v>1</v>
      </c>
      <c r="G330" s="40"/>
      <c r="H330" s="41"/>
      <c r="I330" s="41"/>
    </row>
    <row r="331" ht="12.75" customHeight="1" spans="1:9" x14ac:dyDescent="0.25">
      <c r="A331" s="35" t="s">
        <v>237</v>
      </c>
      <c r="B331" s="35" t="s">
        <v>248</v>
      </c>
      <c r="C331" s="36" t="s">
        <v>209</v>
      </c>
      <c r="D331" s="37" t="s">
        <v>249</v>
      </c>
      <c r="E331" s="38" t="s">
        <v>14</v>
      </c>
      <c r="F331" s="39">
        <v>1</v>
      </c>
      <c r="G331" s="40"/>
      <c r="H331" s="41"/>
      <c r="I331" s="41"/>
    </row>
    <row r="332" ht="12.75" customHeight="1" spans="1:9" x14ac:dyDescent="0.25">
      <c r="A332" s="35" t="s">
        <v>237</v>
      </c>
      <c r="B332" s="35" t="s">
        <v>248</v>
      </c>
      <c r="C332" s="36" t="s">
        <v>209</v>
      </c>
      <c r="D332" s="37" t="s">
        <v>249</v>
      </c>
      <c r="E332" s="38" t="s">
        <v>14</v>
      </c>
      <c r="F332" s="39">
        <v>2</v>
      </c>
      <c r="G332" s="40"/>
      <c r="H332" s="41"/>
      <c r="I332" s="41"/>
    </row>
    <row r="333" ht="12.75" customHeight="1" spans="1:9" x14ac:dyDescent="0.25">
      <c r="A333" s="35" t="s">
        <v>237</v>
      </c>
      <c r="B333" s="35" t="s">
        <v>248</v>
      </c>
      <c r="C333" s="36" t="s">
        <v>209</v>
      </c>
      <c r="D333" s="37" t="s">
        <v>249</v>
      </c>
      <c r="E333" s="38" t="s">
        <v>14</v>
      </c>
      <c r="F333" s="39">
        <v>2</v>
      </c>
      <c r="G333" s="40"/>
      <c r="H333" s="41"/>
      <c r="I333" s="41"/>
    </row>
    <row r="334" ht="12.75" customHeight="1" spans="1:9" x14ac:dyDescent="0.25">
      <c r="A334" s="35" t="s">
        <v>237</v>
      </c>
      <c r="B334" s="35" t="s">
        <v>248</v>
      </c>
      <c r="C334" s="36" t="s">
        <v>209</v>
      </c>
      <c r="D334" s="37" t="s">
        <v>249</v>
      </c>
      <c r="E334" s="38" t="s">
        <v>14</v>
      </c>
      <c r="F334" s="39">
        <v>2</v>
      </c>
      <c r="G334" s="40"/>
      <c r="H334" s="41"/>
      <c r="I334" s="41"/>
    </row>
    <row r="335" ht="12.75" customHeight="1" spans="1:9" x14ac:dyDescent="0.25">
      <c r="A335" s="35" t="s">
        <v>237</v>
      </c>
      <c r="B335" s="35" t="s">
        <v>248</v>
      </c>
      <c r="C335" s="36" t="s">
        <v>209</v>
      </c>
      <c r="D335" s="37" t="s">
        <v>249</v>
      </c>
      <c r="E335" s="38" t="s">
        <v>14</v>
      </c>
      <c r="F335" s="39">
        <v>3</v>
      </c>
      <c r="G335" s="40"/>
      <c r="H335" s="41"/>
      <c r="I335" s="41"/>
    </row>
    <row r="336" ht="12.75" customHeight="1" spans="1:9" x14ac:dyDescent="0.25">
      <c r="A336" s="35" t="s">
        <v>237</v>
      </c>
      <c r="B336" s="35" t="s">
        <v>248</v>
      </c>
      <c r="C336" s="36" t="s">
        <v>209</v>
      </c>
      <c r="D336" s="37" t="s">
        <v>249</v>
      </c>
      <c r="E336" s="38" t="s">
        <v>14</v>
      </c>
      <c r="F336" s="39">
        <v>1</v>
      </c>
      <c r="G336" s="40"/>
      <c r="H336" s="41"/>
      <c r="I336" s="41"/>
    </row>
    <row r="337" ht="12.75" customHeight="1" spans="1:9" x14ac:dyDescent="0.25">
      <c r="A337" s="35" t="s">
        <v>237</v>
      </c>
      <c r="B337" s="35" t="s">
        <v>248</v>
      </c>
      <c r="C337" s="36" t="s">
        <v>209</v>
      </c>
      <c r="D337" s="37" t="s">
        <v>249</v>
      </c>
      <c r="E337" s="38" t="s">
        <v>14</v>
      </c>
      <c r="F337" s="39">
        <v>1</v>
      </c>
      <c r="G337" s="40"/>
      <c r="H337" s="41"/>
      <c r="I337" s="41"/>
    </row>
    <row r="338" ht="12.75" customHeight="1" spans="1:9" x14ac:dyDescent="0.25">
      <c r="A338" s="35" t="s">
        <v>237</v>
      </c>
      <c r="B338" s="35" t="s">
        <v>248</v>
      </c>
      <c r="C338" s="36" t="s">
        <v>209</v>
      </c>
      <c r="D338" s="37" t="s">
        <v>249</v>
      </c>
      <c r="E338" s="38" t="s">
        <v>14</v>
      </c>
      <c r="F338" s="39">
        <v>1</v>
      </c>
      <c r="G338" s="40"/>
      <c r="H338" s="41"/>
      <c r="I338" s="41"/>
    </row>
    <row r="339" ht="12.75" customHeight="1" spans="1:9" x14ac:dyDescent="0.25">
      <c r="A339" s="35" t="s">
        <v>237</v>
      </c>
      <c r="B339" s="35" t="s">
        <v>248</v>
      </c>
      <c r="C339" s="36" t="s">
        <v>209</v>
      </c>
      <c r="D339" s="37" t="s">
        <v>249</v>
      </c>
      <c r="E339" s="38" t="s">
        <v>14</v>
      </c>
      <c r="F339" s="39">
        <v>1</v>
      </c>
      <c r="G339" s="40"/>
      <c r="H339" s="41"/>
      <c r="I339" s="41"/>
    </row>
    <row r="340" ht="12.75" customHeight="1" spans="1:9" x14ac:dyDescent="0.25">
      <c r="A340" s="35" t="s">
        <v>237</v>
      </c>
      <c r="B340" s="35" t="s">
        <v>248</v>
      </c>
      <c r="C340" s="36" t="s">
        <v>209</v>
      </c>
      <c r="D340" s="37" t="s">
        <v>249</v>
      </c>
      <c r="E340" s="38" t="s">
        <v>14</v>
      </c>
      <c r="F340" s="39">
        <v>1</v>
      </c>
      <c r="G340" s="40"/>
      <c r="H340" s="41"/>
      <c r="I340" s="41"/>
    </row>
    <row r="341" ht="12.75" customHeight="1" spans="1:9" x14ac:dyDescent="0.25">
      <c r="A341" s="35" t="s">
        <v>237</v>
      </c>
      <c r="B341" s="35" t="s">
        <v>248</v>
      </c>
      <c r="C341" s="36" t="s">
        <v>209</v>
      </c>
      <c r="D341" s="37" t="s">
        <v>249</v>
      </c>
      <c r="E341" s="38" t="s">
        <v>14</v>
      </c>
      <c r="F341" s="39">
        <v>2</v>
      </c>
      <c r="G341" s="40"/>
      <c r="H341" s="41"/>
      <c r="I341" s="41"/>
    </row>
    <row r="342" ht="12.75" customHeight="1" spans="1:9" x14ac:dyDescent="0.25">
      <c r="A342" s="35" t="s">
        <v>251</v>
      </c>
      <c r="B342" s="35" t="s">
        <v>27</v>
      </c>
      <c r="C342" s="36" t="s">
        <v>209</v>
      </c>
      <c r="D342" s="37" t="s">
        <v>252</v>
      </c>
      <c r="E342" s="38" t="s">
        <v>14</v>
      </c>
      <c r="F342" s="39">
        <v>2</v>
      </c>
      <c r="G342" s="40">
        <v>8</v>
      </c>
      <c r="H342" s="41" t="s">
        <v>125</v>
      </c>
      <c r="I342" s="41" t="s">
        <v>17</v>
      </c>
    </row>
    <row r="343" ht="12.75" customHeight="1" spans="1:9" x14ac:dyDescent="0.25">
      <c r="A343" s="35" t="s">
        <v>251</v>
      </c>
      <c r="B343" s="35" t="s">
        <v>27</v>
      </c>
      <c r="C343" s="36" t="s">
        <v>209</v>
      </c>
      <c r="D343" s="37" t="s">
        <v>252</v>
      </c>
      <c r="E343" s="38" t="s">
        <v>14</v>
      </c>
      <c r="F343" s="39">
        <v>2</v>
      </c>
      <c r="G343" s="40"/>
      <c r="H343" s="41"/>
      <c r="I343" s="41"/>
    </row>
    <row r="344" ht="12.75" customHeight="1" spans="1:9" x14ac:dyDescent="0.25">
      <c r="A344" s="35" t="s">
        <v>251</v>
      </c>
      <c r="B344" s="35" t="s">
        <v>27</v>
      </c>
      <c r="C344" s="36" t="s">
        <v>209</v>
      </c>
      <c r="D344" s="37" t="s">
        <v>252</v>
      </c>
      <c r="E344" s="38" t="s">
        <v>14</v>
      </c>
      <c r="F344" s="39">
        <v>2</v>
      </c>
      <c r="G344" s="40"/>
      <c r="H344" s="41"/>
      <c r="I344" s="41"/>
    </row>
    <row r="345" ht="12.75" customHeight="1" spans="1:9" x14ac:dyDescent="0.25">
      <c r="A345" s="35" t="s">
        <v>251</v>
      </c>
      <c r="B345" s="35" t="s">
        <v>27</v>
      </c>
      <c r="C345" s="36" t="s">
        <v>209</v>
      </c>
      <c r="D345" s="37" t="s">
        <v>252</v>
      </c>
      <c r="E345" s="38" t="s">
        <v>14</v>
      </c>
      <c r="F345" s="39">
        <v>2</v>
      </c>
      <c r="G345" s="40"/>
      <c r="H345" s="41"/>
      <c r="I345" s="41"/>
    </row>
    <row r="346" ht="12.75" customHeight="1" spans="1:9" x14ac:dyDescent="0.25">
      <c r="A346" s="35" t="s">
        <v>251</v>
      </c>
      <c r="B346" s="35" t="s">
        <v>27</v>
      </c>
      <c r="C346" s="36" t="s">
        <v>209</v>
      </c>
      <c r="D346" s="37" t="s">
        <v>252</v>
      </c>
      <c r="E346" s="38" t="s">
        <v>14</v>
      </c>
      <c r="F346" s="39">
        <v>2</v>
      </c>
      <c r="G346" s="40"/>
      <c r="H346" s="41"/>
      <c r="I346" s="41"/>
    </row>
    <row r="347" ht="12.75" customHeight="1" spans="1:9" x14ac:dyDescent="0.25">
      <c r="A347" s="35" t="s">
        <v>251</v>
      </c>
      <c r="B347" s="35" t="s">
        <v>27</v>
      </c>
      <c r="C347" s="36" t="s">
        <v>209</v>
      </c>
      <c r="D347" s="37" t="s">
        <v>252</v>
      </c>
      <c r="E347" s="38" t="s">
        <v>14</v>
      </c>
      <c r="F347" s="39">
        <v>31</v>
      </c>
      <c r="G347" s="40"/>
      <c r="H347" s="41"/>
      <c r="I347" s="41"/>
    </row>
    <row r="348" ht="12.75" customHeight="1" spans="1:9" x14ac:dyDescent="0.25">
      <c r="A348" s="35" t="s">
        <v>251</v>
      </c>
      <c r="B348" s="35" t="s">
        <v>27</v>
      </c>
      <c r="C348" s="36" t="s">
        <v>209</v>
      </c>
      <c r="D348" s="37" t="s">
        <v>252</v>
      </c>
      <c r="E348" s="38" t="s">
        <v>14</v>
      </c>
      <c r="F348" s="39">
        <v>490</v>
      </c>
      <c r="G348" s="40"/>
      <c r="H348" s="41"/>
      <c r="I348" s="41"/>
    </row>
    <row r="349" ht="12.75" customHeight="1" spans="1:9" x14ac:dyDescent="0.25">
      <c r="A349" s="35" t="s">
        <v>251</v>
      </c>
      <c r="B349" s="35" t="s">
        <v>20</v>
      </c>
      <c r="C349" s="36" t="s">
        <v>253</v>
      </c>
      <c r="D349" s="37" t="s">
        <v>254</v>
      </c>
      <c r="E349" s="38" t="s">
        <v>14</v>
      </c>
      <c r="F349" s="39">
        <v>7</v>
      </c>
      <c r="G349" s="40">
        <v>1</v>
      </c>
      <c r="H349" s="41" t="s">
        <v>125</v>
      </c>
      <c r="I349" s="41" t="s">
        <v>17</v>
      </c>
    </row>
    <row r="350" ht="12.75" customHeight="1" spans="1:9" x14ac:dyDescent="0.25">
      <c r="A350" s="35" t="s">
        <v>251</v>
      </c>
      <c r="B350" s="35" t="s">
        <v>20</v>
      </c>
      <c r="C350" s="36" t="s">
        <v>253</v>
      </c>
      <c r="D350" s="37" t="s">
        <v>254</v>
      </c>
      <c r="E350" s="38" t="s">
        <v>14</v>
      </c>
      <c r="F350" s="39">
        <v>23</v>
      </c>
      <c r="G350" s="40"/>
      <c r="H350" s="41"/>
      <c r="I350" s="41"/>
    </row>
    <row r="351" ht="12.75" customHeight="1" spans="1:9" x14ac:dyDescent="0.25">
      <c r="A351" s="35" t="s">
        <v>251</v>
      </c>
      <c r="B351" s="35" t="s">
        <v>20</v>
      </c>
      <c r="C351" s="36" t="s">
        <v>253</v>
      </c>
      <c r="D351" s="37" t="s">
        <v>254</v>
      </c>
      <c r="E351" s="38" t="s">
        <v>14</v>
      </c>
      <c r="F351" s="39">
        <v>70</v>
      </c>
      <c r="G351" s="40"/>
      <c r="H351" s="41"/>
      <c r="I351" s="41"/>
    </row>
    <row r="352" ht="12.75" customHeight="1" spans="1:9" x14ac:dyDescent="0.25">
      <c r="A352" s="35" t="s">
        <v>255</v>
      </c>
      <c r="B352" s="35" t="s">
        <v>13</v>
      </c>
      <c r="C352" s="36" t="s">
        <v>256</v>
      </c>
      <c r="D352" s="37" t="s">
        <v>257</v>
      </c>
      <c r="E352" s="38" t="s">
        <v>14</v>
      </c>
      <c r="F352" s="39">
        <v>777</v>
      </c>
      <c r="G352" s="40">
        <v>7</v>
      </c>
      <c r="H352" s="41" t="s">
        <v>110</v>
      </c>
      <c r="I352" s="41" t="s">
        <v>17</v>
      </c>
    </row>
    <row r="353" ht="12.75" customHeight="1" spans="1:9" x14ac:dyDescent="0.25">
      <c r="A353" s="35" t="s">
        <v>258</v>
      </c>
      <c r="B353" s="35" t="s">
        <v>55</v>
      </c>
      <c r="C353" s="36" t="s">
        <v>117</v>
      </c>
      <c r="D353" s="37" t="s">
        <v>259</v>
      </c>
      <c r="E353" s="38" t="s">
        <v>32</v>
      </c>
      <c r="F353" s="39">
        <v>242</v>
      </c>
      <c r="G353" s="40">
        <v>4</v>
      </c>
      <c r="H353" s="41" t="s">
        <v>260</v>
      </c>
      <c r="I353" s="41" t="s">
        <v>17</v>
      </c>
    </row>
    <row r="354" ht="12.75" customHeight="1" spans="1:9" x14ac:dyDescent="0.25">
      <c r="A354" s="35" t="s">
        <v>258</v>
      </c>
      <c r="B354" s="35" t="s">
        <v>55</v>
      </c>
      <c r="C354" s="36" t="s">
        <v>117</v>
      </c>
      <c r="D354" s="37" t="s">
        <v>259</v>
      </c>
      <c r="E354" s="38" t="s">
        <v>32</v>
      </c>
      <c r="F354" s="39">
        <v>4220</v>
      </c>
      <c r="G354" s="40"/>
      <c r="H354" s="41"/>
      <c r="I354" s="41"/>
    </row>
    <row r="355" ht="12.75" customHeight="1" spans="1:9" x14ac:dyDescent="0.25">
      <c r="A355" s="35" t="s">
        <v>258</v>
      </c>
      <c r="B355" s="35" t="s">
        <v>55</v>
      </c>
      <c r="C355" s="36" t="s">
        <v>117</v>
      </c>
      <c r="D355" s="37" t="s">
        <v>259</v>
      </c>
      <c r="E355" s="38" t="s">
        <v>32</v>
      </c>
      <c r="F355" s="39">
        <v>8438</v>
      </c>
      <c r="G355" s="40"/>
      <c r="H355" s="41"/>
      <c r="I355" s="41"/>
    </row>
    <row r="356" ht="12.75" customHeight="1" spans="1:9" x14ac:dyDescent="0.25">
      <c r="A356" s="35" t="s">
        <v>258</v>
      </c>
      <c r="B356" s="35" t="s">
        <v>64</v>
      </c>
      <c r="C356" s="36" t="s">
        <v>117</v>
      </c>
      <c r="D356" s="37" t="s">
        <v>261</v>
      </c>
      <c r="E356" s="38" t="s">
        <v>32</v>
      </c>
      <c r="F356" s="39">
        <v>242</v>
      </c>
      <c r="G356" s="40"/>
      <c r="H356" s="41"/>
      <c r="I356" s="41"/>
    </row>
    <row r="357" ht="12.75" customHeight="1" spans="1:9" x14ac:dyDescent="0.25">
      <c r="A357" s="35" t="s">
        <v>258</v>
      </c>
      <c r="B357" s="35" t="s">
        <v>64</v>
      </c>
      <c r="C357" s="36" t="s">
        <v>117</v>
      </c>
      <c r="D357" s="37" t="s">
        <v>261</v>
      </c>
      <c r="E357" s="38" t="s">
        <v>32</v>
      </c>
      <c r="F357" s="39">
        <v>4220</v>
      </c>
      <c r="G357" s="40"/>
      <c r="H357" s="41"/>
      <c r="I357" s="41"/>
    </row>
    <row r="358" ht="12.75" customHeight="1" spans="1:9" x14ac:dyDescent="0.25">
      <c r="A358" s="35" t="s">
        <v>258</v>
      </c>
      <c r="B358" s="35" t="s">
        <v>64</v>
      </c>
      <c r="C358" s="36" t="s">
        <v>117</v>
      </c>
      <c r="D358" s="37" t="s">
        <v>261</v>
      </c>
      <c r="E358" s="38" t="s">
        <v>32</v>
      </c>
      <c r="F358" s="39">
        <v>8438</v>
      </c>
      <c r="G358" s="40"/>
      <c r="H358" s="41"/>
      <c r="I358" s="41"/>
    </row>
    <row r="359" ht="12.75" customHeight="1" spans="1:9" x14ac:dyDescent="0.25">
      <c r="A359" s="35" t="s">
        <v>258</v>
      </c>
      <c r="B359" s="35" t="s">
        <v>55</v>
      </c>
      <c r="C359" s="36" t="s">
        <v>117</v>
      </c>
      <c r="D359" s="37" t="s">
        <v>259</v>
      </c>
      <c r="E359" s="38" t="s">
        <v>32</v>
      </c>
      <c r="F359" s="39">
        <v>26</v>
      </c>
      <c r="G359" s="40">
        <v>1</v>
      </c>
      <c r="H359" s="41" t="s">
        <v>119</v>
      </c>
      <c r="I359" s="41" t="s">
        <v>17</v>
      </c>
    </row>
    <row r="360" ht="12.75" customHeight="1" spans="1:9" x14ac:dyDescent="0.25">
      <c r="A360" s="35" t="s">
        <v>258</v>
      </c>
      <c r="B360" s="35" t="s">
        <v>55</v>
      </c>
      <c r="C360" s="36" t="s">
        <v>117</v>
      </c>
      <c r="D360" s="37" t="s">
        <v>259</v>
      </c>
      <c r="E360" s="38" t="s">
        <v>32</v>
      </c>
      <c r="F360" s="39">
        <v>874</v>
      </c>
      <c r="G360" s="40"/>
      <c r="H360" s="41"/>
      <c r="I360" s="41"/>
    </row>
    <row r="361" ht="12.75" customHeight="1" spans="1:9" x14ac:dyDescent="0.25">
      <c r="A361" s="35" t="s">
        <v>258</v>
      </c>
      <c r="B361" s="35" t="s">
        <v>64</v>
      </c>
      <c r="C361" s="36" t="s">
        <v>117</v>
      </c>
      <c r="D361" s="37" t="s">
        <v>261</v>
      </c>
      <c r="E361" s="38" t="s">
        <v>32</v>
      </c>
      <c r="F361" s="39">
        <v>26</v>
      </c>
      <c r="G361" s="40"/>
      <c r="H361" s="41"/>
      <c r="I361" s="41"/>
    </row>
    <row r="362" ht="12.75" customHeight="1" spans="1:9" x14ac:dyDescent="0.25">
      <c r="A362" s="35" t="s">
        <v>258</v>
      </c>
      <c r="B362" s="35" t="s">
        <v>64</v>
      </c>
      <c r="C362" s="36" t="s">
        <v>117</v>
      </c>
      <c r="D362" s="37" t="s">
        <v>261</v>
      </c>
      <c r="E362" s="38" t="s">
        <v>32</v>
      </c>
      <c r="F362" s="39">
        <v>874</v>
      </c>
      <c r="G362" s="40"/>
      <c r="H362" s="41"/>
      <c r="I362" s="41"/>
    </row>
    <row r="363" ht="12.75" customHeight="1" spans="1:9" x14ac:dyDescent="0.25">
      <c r="A363" s="35" t="s">
        <v>258</v>
      </c>
      <c r="B363" s="35" t="s">
        <v>64</v>
      </c>
      <c r="C363" s="36" t="s">
        <v>117</v>
      </c>
      <c r="D363" s="37" t="s">
        <v>261</v>
      </c>
      <c r="E363" s="38" t="s">
        <v>32</v>
      </c>
      <c r="F363" s="39">
        <v>5400</v>
      </c>
      <c r="G363" s="40">
        <v>1</v>
      </c>
      <c r="H363" s="41" t="s">
        <v>125</v>
      </c>
      <c r="I363" s="41" t="s">
        <v>17</v>
      </c>
    </row>
    <row r="364" ht="12.75" customHeight="1" spans="1:9" x14ac:dyDescent="0.25">
      <c r="A364" s="35" t="s">
        <v>262</v>
      </c>
      <c r="B364" s="35" t="s">
        <v>263</v>
      </c>
      <c r="C364" s="36" t="s">
        <v>264</v>
      </c>
      <c r="D364" s="37" t="s">
        <v>265</v>
      </c>
      <c r="E364" s="38" t="s">
        <v>32</v>
      </c>
      <c r="F364" s="39">
        <v>4</v>
      </c>
      <c r="G364" s="40">
        <v>7</v>
      </c>
      <c r="H364" s="41" t="s">
        <v>125</v>
      </c>
      <c r="I364" s="41" t="s">
        <v>266</v>
      </c>
    </row>
    <row r="365" ht="12.75" customHeight="1" spans="1:9" x14ac:dyDescent="0.25">
      <c r="A365" s="35" t="s">
        <v>262</v>
      </c>
      <c r="B365" s="35" t="s">
        <v>263</v>
      </c>
      <c r="C365" s="36" t="s">
        <v>264</v>
      </c>
      <c r="D365" s="37" t="s">
        <v>267</v>
      </c>
      <c r="E365" s="38" t="s">
        <v>32</v>
      </c>
      <c r="F365" s="39">
        <v>6</v>
      </c>
      <c r="G365" s="40"/>
      <c r="H365" s="41"/>
      <c r="I365" s="41"/>
    </row>
    <row r="366" ht="12.75" customHeight="1" spans="1:9" x14ac:dyDescent="0.25">
      <c r="A366" s="35" t="s">
        <v>262</v>
      </c>
      <c r="B366" s="35" t="s">
        <v>263</v>
      </c>
      <c r="C366" s="36" t="s">
        <v>264</v>
      </c>
      <c r="D366" s="37" t="s">
        <v>268</v>
      </c>
      <c r="E366" s="38" t="s">
        <v>32</v>
      </c>
      <c r="F366" s="39">
        <v>13</v>
      </c>
      <c r="G366" s="40"/>
      <c r="H366" s="41"/>
      <c r="I366" s="41"/>
    </row>
    <row r="367" ht="12.75" customHeight="1" spans="1:9" x14ac:dyDescent="0.25">
      <c r="A367" s="35" t="s">
        <v>262</v>
      </c>
      <c r="B367" s="35" t="s">
        <v>263</v>
      </c>
      <c r="C367" s="36" t="s">
        <v>264</v>
      </c>
      <c r="D367" s="37" t="s">
        <v>269</v>
      </c>
      <c r="E367" s="38" t="s">
        <v>32</v>
      </c>
      <c r="F367" s="39">
        <v>14</v>
      </c>
      <c r="G367" s="40"/>
      <c r="H367" s="41"/>
      <c r="I367" s="41"/>
    </row>
    <row r="368" ht="12.75" customHeight="1" spans="1:9" x14ac:dyDescent="0.25">
      <c r="A368" s="35" t="s">
        <v>262</v>
      </c>
      <c r="B368" s="35" t="s">
        <v>263</v>
      </c>
      <c r="C368" s="36" t="s">
        <v>264</v>
      </c>
      <c r="D368" s="37" t="s">
        <v>270</v>
      </c>
      <c r="E368" s="38" t="s">
        <v>32</v>
      </c>
      <c r="F368" s="39">
        <v>16</v>
      </c>
      <c r="G368" s="40"/>
      <c r="H368" s="41"/>
      <c r="I368" s="41"/>
    </row>
    <row r="369" ht="12.75" customHeight="1" spans="1:9" x14ac:dyDescent="0.25">
      <c r="A369" s="35" t="s">
        <v>262</v>
      </c>
      <c r="B369" s="35" t="s">
        <v>263</v>
      </c>
      <c r="C369" s="36" t="s">
        <v>264</v>
      </c>
      <c r="D369" s="37" t="s">
        <v>265</v>
      </c>
      <c r="E369" s="38" t="s">
        <v>32</v>
      </c>
      <c r="F369" s="39">
        <v>16</v>
      </c>
      <c r="G369" s="40"/>
      <c r="H369" s="41"/>
      <c r="I369" s="41"/>
    </row>
    <row r="370" ht="12.75" customHeight="1" spans="1:9" x14ac:dyDescent="0.25">
      <c r="A370" s="35" t="s">
        <v>262</v>
      </c>
      <c r="B370" s="35" t="s">
        <v>263</v>
      </c>
      <c r="C370" s="36" t="s">
        <v>264</v>
      </c>
      <c r="D370" s="37" t="s">
        <v>268</v>
      </c>
      <c r="E370" s="38" t="s">
        <v>32</v>
      </c>
      <c r="F370" s="39">
        <v>17</v>
      </c>
      <c r="G370" s="40"/>
      <c r="H370" s="41"/>
      <c r="I370" s="41"/>
    </row>
    <row r="371" ht="12.75" customHeight="1" spans="1:9" x14ac:dyDescent="0.25">
      <c r="A371" s="35" t="s">
        <v>262</v>
      </c>
      <c r="B371" s="35" t="s">
        <v>263</v>
      </c>
      <c r="C371" s="36" t="s">
        <v>264</v>
      </c>
      <c r="D371" s="37" t="s">
        <v>267</v>
      </c>
      <c r="E371" s="38" t="s">
        <v>32</v>
      </c>
      <c r="F371" s="39">
        <v>21</v>
      </c>
      <c r="G371" s="40"/>
      <c r="H371" s="41"/>
      <c r="I371" s="41"/>
    </row>
    <row r="372" ht="12.75" customHeight="1" spans="1:9" x14ac:dyDescent="0.25">
      <c r="A372" s="35" t="s">
        <v>262</v>
      </c>
      <c r="B372" s="35" t="s">
        <v>263</v>
      </c>
      <c r="C372" s="36" t="s">
        <v>264</v>
      </c>
      <c r="D372" s="37" t="s">
        <v>270</v>
      </c>
      <c r="E372" s="38" t="s">
        <v>32</v>
      </c>
      <c r="F372" s="39">
        <v>38</v>
      </c>
      <c r="G372" s="40"/>
      <c r="H372" s="41"/>
      <c r="I372" s="41"/>
    </row>
    <row r="373" ht="12.75" customHeight="1" spans="1:9" x14ac:dyDescent="0.25">
      <c r="A373" s="35" t="s">
        <v>262</v>
      </c>
      <c r="B373" s="35" t="s">
        <v>263</v>
      </c>
      <c r="C373" s="36" t="s">
        <v>264</v>
      </c>
      <c r="D373" s="37" t="s">
        <v>271</v>
      </c>
      <c r="E373" s="38" t="s">
        <v>32</v>
      </c>
      <c r="F373" s="39">
        <v>38</v>
      </c>
      <c r="G373" s="40"/>
      <c r="H373" s="41"/>
      <c r="I373" s="41"/>
    </row>
    <row r="374" ht="12.75" customHeight="1" spans="1:9" x14ac:dyDescent="0.25">
      <c r="A374" s="35" t="s">
        <v>262</v>
      </c>
      <c r="B374" s="35" t="s">
        <v>263</v>
      </c>
      <c r="C374" s="36" t="s">
        <v>264</v>
      </c>
      <c r="D374" s="37" t="s">
        <v>271</v>
      </c>
      <c r="E374" s="38" t="s">
        <v>32</v>
      </c>
      <c r="F374" s="39">
        <v>48</v>
      </c>
      <c r="G374" s="40"/>
      <c r="H374" s="41"/>
      <c r="I374" s="41"/>
    </row>
    <row r="375" ht="12.75" customHeight="1" spans="1:9" x14ac:dyDescent="0.25">
      <c r="A375" s="35" t="s">
        <v>262</v>
      </c>
      <c r="B375" s="35" t="s">
        <v>263</v>
      </c>
      <c r="C375" s="36" t="s">
        <v>264</v>
      </c>
      <c r="D375" s="37" t="s">
        <v>270</v>
      </c>
      <c r="E375" s="38" t="s">
        <v>32</v>
      </c>
      <c r="F375" s="39">
        <v>71</v>
      </c>
      <c r="G375" s="40"/>
      <c r="H375" s="41"/>
      <c r="I375" s="41"/>
    </row>
    <row r="376" ht="12.75" customHeight="1" spans="1:9" x14ac:dyDescent="0.25">
      <c r="A376" s="35" t="s">
        <v>262</v>
      </c>
      <c r="B376" s="35" t="s">
        <v>263</v>
      </c>
      <c r="C376" s="36" t="s">
        <v>264</v>
      </c>
      <c r="D376" s="37" t="s">
        <v>269</v>
      </c>
      <c r="E376" s="38" t="s">
        <v>32</v>
      </c>
      <c r="F376" s="39">
        <v>82</v>
      </c>
      <c r="G376" s="40"/>
      <c r="H376" s="41"/>
      <c r="I376" s="41"/>
    </row>
    <row r="377" ht="12.75" customHeight="1" spans="1:9" x14ac:dyDescent="0.25">
      <c r="A377" s="35" t="s">
        <v>262</v>
      </c>
      <c r="B377" s="35" t="s">
        <v>263</v>
      </c>
      <c r="C377" s="36" t="s">
        <v>264</v>
      </c>
      <c r="D377" s="37" t="s">
        <v>265</v>
      </c>
      <c r="E377" s="38" t="s">
        <v>32</v>
      </c>
      <c r="F377" s="39">
        <v>200</v>
      </c>
      <c r="G377" s="40"/>
      <c r="H377" s="41"/>
      <c r="I377" s="41"/>
    </row>
    <row r="378" ht="12.75" customHeight="1" spans="1:9" x14ac:dyDescent="0.25">
      <c r="A378" s="35" t="s">
        <v>262</v>
      </c>
      <c r="B378" s="35" t="s">
        <v>263</v>
      </c>
      <c r="C378" s="36" t="s">
        <v>264</v>
      </c>
      <c r="D378" s="37" t="s">
        <v>270</v>
      </c>
      <c r="E378" s="38" t="s">
        <v>32</v>
      </c>
      <c r="F378" s="39">
        <v>234</v>
      </c>
      <c r="G378" s="40"/>
      <c r="H378" s="41"/>
      <c r="I378" s="41"/>
    </row>
    <row r="379" ht="12.75" customHeight="1" spans="1:9" x14ac:dyDescent="0.25">
      <c r="A379" s="35" t="s">
        <v>262</v>
      </c>
      <c r="B379" s="35" t="s">
        <v>263</v>
      </c>
      <c r="C379" s="36" t="s">
        <v>264</v>
      </c>
      <c r="D379" s="37" t="s">
        <v>270</v>
      </c>
      <c r="E379" s="38" t="s">
        <v>32</v>
      </c>
      <c r="F379" s="39">
        <v>260</v>
      </c>
      <c r="G379" s="40"/>
      <c r="H379" s="41"/>
      <c r="I379" s="41"/>
    </row>
    <row r="380" ht="12.75" customHeight="1" spans="1:9" x14ac:dyDescent="0.25">
      <c r="A380" s="35" t="s">
        <v>262</v>
      </c>
      <c r="B380" s="35" t="s">
        <v>263</v>
      </c>
      <c r="C380" s="36" t="s">
        <v>264</v>
      </c>
      <c r="D380" s="37" t="s">
        <v>270</v>
      </c>
      <c r="E380" s="38" t="s">
        <v>32</v>
      </c>
      <c r="F380" s="39">
        <v>261</v>
      </c>
      <c r="G380" s="40"/>
      <c r="H380" s="41"/>
      <c r="I380" s="41"/>
    </row>
    <row r="381" ht="12.75" customHeight="1" spans="1:9" x14ac:dyDescent="0.25">
      <c r="A381" s="35" t="s">
        <v>262</v>
      </c>
      <c r="B381" s="35" t="s">
        <v>263</v>
      </c>
      <c r="C381" s="36" t="s">
        <v>264</v>
      </c>
      <c r="D381" s="37" t="s">
        <v>267</v>
      </c>
      <c r="E381" s="38" t="s">
        <v>32</v>
      </c>
      <c r="F381" s="39">
        <v>313</v>
      </c>
      <c r="G381" s="40"/>
      <c r="H381" s="41"/>
      <c r="I381" s="41"/>
    </row>
    <row r="382" ht="12.75" customHeight="1" spans="1:9" x14ac:dyDescent="0.25">
      <c r="A382" s="35" t="s">
        <v>262</v>
      </c>
      <c r="B382" s="35" t="s">
        <v>263</v>
      </c>
      <c r="C382" s="36" t="s">
        <v>264</v>
      </c>
      <c r="D382" s="37" t="s">
        <v>269</v>
      </c>
      <c r="E382" s="38" t="s">
        <v>32</v>
      </c>
      <c r="F382" s="39">
        <v>696</v>
      </c>
      <c r="G382" s="40"/>
      <c r="H382" s="41"/>
      <c r="I382" s="41"/>
    </row>
    <row r="383" ht="12.75" customHeight="1" spans="1:9" x14ac:dyDescent="0.25">
      <c r="A383" s="35" t="s">
        <v>262</v>
      </c>
      <c r="B383" s="35" t="s">
        <v>263</v>
      </c>
      <c r="C383" s="36" t="s">
        <v>264</v>
      </c>
      <c r="D383" s="37" t="s">
        <v>271</v>
      </c>
      <c r="E383" s="38" t="s">
        <v>32</v>
      </c>
      <c r="F383" s="39">
        <v>834</v>
      </c>
      <c r="G383" s="40"/>
      <c r="H383" s="41"/>
      <c r="I383" s="41"/>
    </row>
    <row r="384" ht="12.75" customHeight="1" spans="1:9" x14ac:dyDescent="0.25">
      <c r="A384" s="35" t="s">
        <v>262</v>
      </c>
      <c r="B384" s="35" t="s">
        <v>263</v>
      </c>
      <c r="C384" s="36" t="s">
        <v>264</v>
      </c>
      <c r="D384" s="37" t="s">
        <v>268</v>
      </c>
      <c r="E384" s="38" t="s">
        <v>32</v>
      </c>
      <c r="F384" s="39">
        <v>850</v>
      </c>
      <c r="G384" s="40"/>
      <c r="H384" s="41"/>
      <c r="I384" s="41"/>
    </row>
    <row r="385" ht="12.75" customHeight="1" spans="1:9" x14ac:dyDescent="0.25">
      <c r="A385" s="35" t="s">
        <v>262</v>
      </c>
      <c r="B385" s="35" t="s">
        <v>263</v>
      </c>
      <c r="C385" s="36" t="s">
        <v>272</v>
      </c>
      <c r="D385" s="37" t="s">
        <v>273</v>
      </c>
      <c r="E385" s="38" t="s">
        <v>32</v>
      </c>
      <c r="F385" s="39">
        <v>3</v>
      </c>
      <c r="G385" s="40"/>
      <c r="H385" s="41"/>
      <c r="I385" s="41"/>
    </row>
    <row r="386" ht="12.75" customHeight="1" spans="1:9" x14ac:dyDescent="0.25">
      <c r="A386" s="35" t="s">
        <v>262</v>
      </c>
      <c r="B386" s="35" t="s">
        <v>263</v>
      </c>
      <c r="C386" s="36" t="s">
        <v>272</v>
      </c>
      <c r="D386" s="37" t="s">
        <v>273</v>
      </c>
      <c r="E386" s="38" t="s">
        <v>32</v>
      </c>
      <c r="F386" s="39">
        <v>25</v>
      </c>
      <c r="G386" s="40"/>
      <c r="H386" s="41"/>
      <c r="I386" s="41"/>
    </row>
    <row r="387" ht="12.75" customHeight="1" spans="1:9" x14ac:dyDescent="0.25">
      <c r="A387" s="35" t="s">
        <v>262</v>
      </c>
      <c r="B387" s="35" t="s">
        <v>263</v>
      </c>
      <c r="C387" s="36" t="s">
        <v>272</v>
      </c>
      <c r="D387" s="37" t="s">
        <v>273</v>
      </c>
      <c r="E387" s="38" t="s">
        <v>32</v>
      </c>
      <c r="F387" s="39">
        <v>172</v>
      </c>
      <c r="G387" s="40"/>
      <c r="H387" s="41"/>
      <c r="I387" s="41"/>
    </row>
    <row r="388" ht="12.75" customHeight="1" spans="1:9" x14ac:dyDescent="0.25">
      <c r="A388" s="42" t="s">
        <v>274</v>
      </c>
      <c r="B388" s="43" t="s">
        <v>275</v>
      </c>
      <c r="C388" s="44"/>
      <c r="D388" s="44"/>
      <c r="E388" s="44"/>
      <c r="F388" s="45">
        <f>=SUM(F4:F387)</f>
      </c>
      <c r="G388" s="46">
        <f>=SUM(G4:G387)</f>
      </c>
      <c r="H388" s="44"/>
      <c r="I388" s="44"/>
    </row>
  </sheetData>
  <mergeCells count="79">
    <mergeCell ref="A1:I1"/>
    <mergeCell ref="G4:G9"/>
    <mergeCell ref="H4:H9"/>
    <mergeCell ref="I4:I9"/>
    <mergeCell ref="G10:G15"/>
    <mergeCell ref="H10:H15"/>
    <mergeCell ref="I10:I15"/>
    <mergeCell ref="G16:G17"/>
    <mergeCell ref="H16:H17"/>
    <mergeCell ref="I16:I17"/>
    <mergeCell ref="G18:G31"/>
    <mergeCell ref="H18:H31"/>
    <mergeCell ref="I18:I31"/>
    <mergeCell ref="G32:G37"/>
    <mergeCell ref="H32:H37"/>
    <mergeCell ref="I32:I37"/>
    <mergeCell ref="G39:G76"/>
    <mergeCell ref="H39:H76"/>
    <mergeCell ref="I39:I76"/>
    <mergeCell ref="G77:G113"/>
    <mergeCell ref="H77:H113"/>
    <mergeCell ref="I77:I113"/>
    <mergeCell ref="G114:G121"/>
    <mergeCell ref="H114:H121"/>
    <mergeCell ref="I114:I121"/>
    <mergeCell ref="G123:G124"/>
    <mergeCell ref="H123:H124"/>
    <mergeCell ref="I123:I124"/>
    <mergeCell ref="G125:G134"/>
    <mergeCell ref="H125:H134"/>
    <mergeCell ref="I125:I134"/>
    <mergeCell ref="G135:G140"/>
    <mergeCell ref="H135:H140"/>
    <mergeCell ref="I135:I140"/>
    <mergeCell ref="G141:G147"/>
    <mergeCell ref="H141:H147"/>
    <mergeCell ref="I141:I147"/>
    <mergeCell ref="G149:G168"/>
    <mergeCell ref="H149:H168"/>
    <mergeCell ref="I149:I168"/>
    <mergeCell ref="G169:G273"/>
    <mergeCell ref="H169:H273"/>
    <mergeCell ref="I169:I273"/>
    <mergeCell ref="G275:G284"/>
    <mergeCell ref="H275:H284"/>
    <mergeCell ref="I275:I284"/>
    <mergeCell ref="G285:G294"/>
    <mergeCell ref="H285:H294"/>
    <mergeCell ref="I285:I294"/>
    <mergeCell ref="G295:G303"/>
    <mergeCell ref="H295:H303"/>
    <mergeCell ref="I295:I303"/>
    <mergeCell ref="G304:G312"/>
    <mergeCell ref="H304:H312"/>
    <mergeCell ref="I304:I312"/>
    <mergeCell ref="G313:G314"/>
    <mergeCell ref="H313:H314"/>
    <mergeCell ref="I313:I314"/>
    <mergeCell ref="G315:G319"/>
    <mergeCell ref="H315:H319"/>
    <mergeCell ref="I315:I319"/>
    <mergeCell ref="G320:G341"/>
    <mergeCell ref="H320:H341"/>
    <mergeCell ref="I320:I341"/>
    <mergeCell ref="G342:G348"/>
    <mergeCell ref="H342:H348"/>
    <mergeCell ref="I342:I348"/>
    <mergeCell ref="G349:G351"/>
    <mergeCell ref="H349:H351"/>
    <mergeCell ref="I349:I351"/>
    <mergeCell ref="G353:G358"/>
    <mergeCell ref="H353:H358"/>
    <mergeCell ref="I353:I358"/>
    <mergeCell ref="G359:G362"/>
    <mergeCell ref="H359:H362"/>
    <mergeCell ref="I359:I362"/>
    <mergeCell ref="G364:G387"/>
    <mergeCell ref="H364:H387"/>
    <mergeCell ref="I364:I38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276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277</v>
      </c>
      <c r="B2" s="48"/>
      <c r="C2" s="48"/>
      <c r="F2" s="49"/>
      <c r="G2" s="50" t="s">
        <v>278</v>
      </c>
      <c r="H2" s="48"/>
      <c r="I2" s="48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/>
      <c r="J13" s="68"/>
      <c r="K13" s="65"/>
    </row>
    <row r="14" ht="15" customHeight="1" spans="1:11" x14ac:dyDescent="0.25">
      <c r="A14" s="69" t="s">
        <v>295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286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307</v>
      </c>
      <c r="H24" s="82"/>
      <c r="I24" s="82"/>
    </row>
    <row r="25" ht="15" customHeight="1" spans="1:11" x14ac:dyDescent="0.25">
      <c r="A25" s="83" t="s">
        <v>308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309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310</v>
      </c>
      <c r="E27" s="51"/>
      <c r="F27" s="51"/>
      <c r="K27" s="86"/>
    </row>
    <row r="28" ht="15" customHeight="1" spans="1:11" x14ac:dyDescent="0.25">
      <c r="A28" s="87" t="s">
        <v>311</v>
      </c>
      <c r="K28" s="86"/>
    </row>
    <row r="29" ht="15" customHeight="1" spans="1:10" x14ac:dyDescent="0.25">
      <c r="A29" s="87" t="s">
        <v>312</v>
      </c>
      <c r="F29" s="3"/>
      <c r="G29" s="88"/>
      <c r="H29" s="89"/>
      <c r="I29" s="90"/>
      <c r="J29" s="91"/>
    </row>
    <row r="30" ht="15" customHeight="1" spans="1:10" x14ac:dyDescent="0.25">
      <c r="A30" s="87" t="s">
        <v>313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314</v>
      </c>
      <c r="B31" s="88"/>
      <c r="C31" s="3"/>
      <c r="D31" s="92" t="s">
        <v>274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315</v>
      </c>
      <c r="B40" s="66"/>
      <c r="C40" s="66"/>
      <c r="D40" s="66"/>
      <c r="E40" s="66"/>
      <c r="F40" s="66"/>
    </row>
    <row r="41" ht="15" customHeight="1" spans="1:11" x14ac:dyDescent="0.25">
      <c r="A41" s="66" t="s">
        <v>316</v>
      </c>
      <c r="B41" s="66"/>
      <c r="C41" s="66"/>
      <c r="H41" s="97" t="s">
        <v>317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318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319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5.85</v>
      </c>
      <c r="E4" s="111">
        <v>777</v>
      </c>
      <c r="F4" s="112" t="s">
        <v>14</v>
      </c>
      <c r="G4" s="110">
        <v>4545.45</v>
      </c>
      <c r="H4" s="113" t="s">
        <v>15</v>
      </c>
      <c r="I4" s="114">
        <v>4.94</v>
      </c>
      <c r="J4" s="103" t="s">
        <v>16</v>
      </c>
      <c r="K4" s="98" t="s">
        <v>320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12</v>
      </c>
      <c r="C5" s="109" t="s">
        <v>238</v>
      </c>
      <c r="D5" s="110">
        <v>6.29</v>
      </c>
      <c r="E5" s="111">
        <v>267</v>
      </c>
      <c r="F5" s="112" t="s">
        <v>14</v>
      </c>
      <c r="G5" s="110">
        <v>1679.43</v>
      </c>
      <c r="H5" s="113" t="s">
        <v>15</v>
      </c>
      <c r="I5" s="114">
        <v>1.7</v>
      </c>
      <c r="J5" s="103" t="s">
        <v>16</v>
      </c>
      <c r="K5" s="98" t="s">
        <v>321</v>
      </c>
      <c r="L5" s="98" t="s">
        <v>322</v>
      </c>
      <c r="M5" s="98" t="s">
        <v>18</v>
      </c>
    </row>
    <row r="6" ht="12" customHeight="1" spans="1:13" x14ac:dyDescent="0.25">
      <c r="A6" s="108">
        <v>3</v>
      </c>
      <c r="B6" s="109" t="s">
        <v>12</v>
      </c>
      <c r="C6" s="109" t="s">
        <v>242</v>
      </c>
      <c r="D6" s="110">
        <v>5.15</v>
      </c>
      <c r="E6" s="111">
        <v>8</v>
      </c>
      <c r="F6" s="112" t="s">
        <v>14</v>
      </c>
      <c r="G6" s="110">
        <v>41.2</v>
      </c>
      <c r="H6" s="113" t="s">
        <v>15</v>
      </c>
      <c r="I6" s="114">
        <v>0.05</v>
      </c>
      <c r="J6" s="103" t="s">
        <v>16</v>
      </c>
      <c r="K6" s="98" t="s">
        <v>320</v>
      </c>
      <c r="L6" s="98" t="s">
        <v>322</v>
      </c>
      <c r="M6" s="98" t="s">
        <v>18</v>
      </c>
    </row>
    <row r="7" ht="12" customHeight="1" spans="1:13" x14ac:dyDescent="0.25">
      <c r="A7" s="108">
        <v>4</v>
      </c>
      <c r="B7" s="109" t="s">
        <v>323</v>
      </c>
      <c r="C7" s="109" t="s">
        <v>245</v>
      </c>
      <c r="D7" s="110">
        <v>2.55</v>
      </c>
      <c r="E7" s="111">
        <v>50</v>
      </c>
      <c r="F7" s="112" t="s">
        <v>14</v>
      </c>
      <c r="G7" s="110">
        <v>127.5</v>
      </c>
      <c r="H7" s="113" t="s">
        <v>15</v>
      </c>
      <c r="I7" s="114">
        <v>0.32</v>
      </c>
      <c r="J7" s="103" t="s">
        <v>16</v>
      </c>
      <c r="K7" s="98" t="s">
        <v>324</v>
      </c>
      <c r="L7" s="98" t="s">
        <v>325</v>
      </c>
      <c r="M7" s="98" t="s">
        <v>18</v>
      </c>
    </row>
    <row r="8" ht="12" customHeight="1" spans="1:13" x14ac:dyDescent="0.25">
      <c r="A8" s="108">
        <v>5</v>
      </c>
      <c r="B8" s="109" t="s">
        <v>19</v>
      </c>
      <c r="C8" s="109" t="s">
        <v>20</v>
      </c>
      <c r="D8" s="110">
        <v>2.8</v>
      </c>
      <c r="E8" s="111">
        <v>100</v>
      </c>
      <c r="F8" s="112" t="s">
        <v>14</v>
      </c>
      <c r="G8" s="110">
        <v>280</v>
      </c>
      <c r="H8" s="113" t="s">
        <v>15</v>
      </c>
      <c r="I8" s="114">
        <v>0.64</v>
      </c>
      <c r="J8" s="103" t="s">
        <v>16</v>
      </c>
      <c r="K8" s="98" t="s">
        <v>326</v>
      </c>
      <c r="L8" s="98" t="s">
        <v>21</v>
      </c>
      <c r="M8" s="98" t="s">
        <v>18</v>
      </c>
    </row>
    <row r="9" ht="12" customHeight="1" spans="1:13" x14ac:dyDescent="0.25">
      <c r="A9" s="108">
        <v>6</v>
      </c>
      <c r="B9" s="109" t="s">
        <v>327</v>
      </c>
      <c r="C9" s="109" t="s">
        <v>248</v>
      </c>
      <c r="D9" s="110">
        <v>4.15</v>
      </c>
      <c r="E9" s="111">
        <v>524</v>
      </c>
      <c r="F9" s="112" t="s">
        <v>14</v>
      </c>
      <c r="G9" s="110">
        <v>2174.6</v>
      </c>
      <c r="H9" s="113" t="s">
        <v>15</v>
      </c>
      <c r="I9" s="114">
        <v>3.34</v>
      </c>
      <c r="J9" s="103" t="s">
        <v>16</v>
      </c>
      <c r="K9" s="98" t="s">
        <v>328</v>
      </c>
      <c r="L9" s="98" t="s">
        <v>249</v>
      </c>
      <c r="M9" s="98" t="s">
        <v>18</v>
      </c>
    </row>
    <row r="10" ht="12" customHeight="1" spans="1:13" x14ac:dyDescent="0.25">
      <c r="A10" s="108">
        <v>7</v>
      </c>
      <c r="B10" s="109" t="s">
        <v>12</v>
      </c>
      <c r="C10" s="109" t="s">
        <v>22</v>
      </c>
      <c r="D10" s="110">
        <v>2.4491</v>
      </c>
      <c r="E10" s="111">
        <v>200</v>
      </c>
      <c r="F10" s="112" t="s">
        <v>14</v>
      </c>
      <c r="G10" s="110">
        <v>489.82</v>
      </c>
      <c r="H10" s="113" t="s">
        <v>15</v>
      </c>
      <c r="I10" s="114">
        <v>1.27</v>
      </c>
      <c r="J10" s="103" t="s">
        <v>16</v>
      </c>
      <c r="K10" s="98" t="s">
        <v>320</v>
      </c>
      <c r="L10" s="98" t="s">
        <v>17</v>
      </c>
      <c r="M10" s="98" t="s">
        <v>18</v>
      </c>
    </row>
    <row r="11" ht="12" customHeight="1" spans="1:13" x14ac:dyDescent="0.25">
      <c r="A11" s="108">
        <v>8</v>
      </c>
      <c r="B11" s="109" t="s">
        <v>12</v>
      </c>
      <c r="C11" s="109" t="s">
        <v>23</v>
      </c>
      <c r="D11" s="110">
        <v>2.4524</v>
      </c>
      <c r="E11" s="111">
        <v>330</v>
      </c>
      <c r="F11" s="112" t="s">
        <v>14</v>
      </c>
      <c r="G11" s="110">
        <v>809.29</v>
      </c>
      <c r="H11" s="113" t="s">
        <v>15</v>
      </c>
      <c r="I11" s="114">
        <v>2.1</v>
      </c>
      <c r="J11" s="103" t="s">
        <v>16</v>
      </c>
      <c r="K11" s="98" t="s">
        <v>320</v>
      </c>
      <c r="L11" s="98" t="s">
        <v>17</v>
      </c>
      <c r="M11" s="98" t="s">
        <v>18</v>
      </c>
    </row>
    <row r="12" ht="12" customHeight="1" spans="1:13" x14ac:dyDescent="0.25">
      <c r="A12" s="108">
        <v>9</v>
      </c>
      <c r="B12" s="109" t="s">
        <v>24</v>
      </c>
      <c r="C12" s="109" t="s">
        <v>25</v>
      </c>
      <c r="D12" s="110">
        <v>2.84</v>
      </c>
      <c r="E12" s="111">
        <v>363</v>
      </c>
      <c r="F12" s="112" t="s">
        <v>14</v>
      </c>
      <c r="G12" s="110">
        <v>1030.92</v>
      </c>
      <c r="H12" s="113" t="s">
        <v>15</v>
      </c>
      <c r="I12" s="114">
        <v>2.31</v>
      </c>
      <c r="J12" s="103" t="s">
        <v>16</v>
      </c>
      <c r="K12" s="98" t="s">
        <v>329</v>
      </c>
      <c r="L12" s="98" t="s">
        <v>17</v>
      </c>
      <c r="M12" s="98" t="s">
        <v>26</v>
      </c>
    </row>
    <row r="13" ht="12" customHeight="1" spans="1:13" x14ac:dyDescent="0.25">
      <c r="A13" s="108">
        <v>10</v>
      </c>
      <c r="B13" s="109" t="s">
        <v>24</v>
      </c>
      <c r="C13" s="109" t="s">
        <v>27</v>
      </c>
      <c r="D13" s="110">
        <v>4.05</v>
      </c>
      <c r="E13" s="111">
        <v>531</v>
      </c>
      <c r="F13" s="112" t="s">
        <v>14</v>
      </c>
      <c r="G13" s="110">
        <v>2150.55</v>
      </c>
      <c r="H13" s="113" t="s">
        <v>15</v>
      </c>
      <c r="I13" s="114">
        <v>3.37</v>
      </c>
      <c r="J13" s="103" t="s">
        <v>16</v>
      </c>
      <c r="K13" s="98" t="s">
        <v>329</v>
      </c>
      <c r="L13" s="98" t="s">
        <v>28</v>
      </c>
      <c r="M13" s="98" t="s">
        <v>29</v>
      </c>
    </row>
    <row r="14" ht="12" customHeight="1" spans="1:13" x14ac:dyDescent="0.25">
      <c r="A14" s="108">
        <v>11</v>
      </c>
      <c r="B14" s="109" t="s">
        <v>330</v>
      </c>
      <c r="C14" s="109" t="s">
        <v>198</v>
      </c>
      <c r="D14" s="110">
        <v>8.75</v>
      </c>
      <c r="E14" s="111">
        <v>790</v>
      </c>
      <c r="F14" s="112" t="s">
        <v>14</v>
      </c>
      <c r="G14" s="110">
        <v>6912.5</v>
      </c>
      <c r="H14" s="113" t="s">
        <v>15</v>
      </c>
      <c r="I14" s="114">
        <v>5.02</v>
      </c>
      <c r="J14" s="103" t="s">
        <v>16</v>
      </c>
      <c r="K14" s="98" t="s">
        <v>331</v>
      </c>
      <c r="L14" s="98" t="s">
        <v>332</v>
      </c>
      <c r="M14" s="98" t="s">
        <v>333</v>
      </c>
    </row>
    <row r="15" ht="12" customHeight="1" spans="1:13" x14ac:dyDescent="0.25">
      <c r="A15" s="108">
        <v>12</v>
      </c>
      <c r="B15" s="109" t="s">
        <v>334</v>
      </c>
      <c r="C15" s="109" t="s">
        <v>201</v>
      </c>
      <c r="D15" s="110">
        <v>6.5</v>
      </c>
      <c r="E15" s="111">
        <v>499</v>
      </c>
      <c r="F15" s="112" t="s">
        <v>14</v>
      </c>
      <c r="G15" s="110">
        <v>3243.5</v>
      </c>
      <c r="H15" s="113" t="s">
        <v>15</v>
      </c>
      <c r="I15" s="114">
        <v>3.17</v>
      </c>
      <c r="J15" s="103" t="s">
        <v>16</v>
      </c>
      <c r="K15" s="98" t="s">
        <v>335</v>
      </c>
      <c r="L15" s="98" t="s">
        <v>336</v>
      </c>
      <c r="M15" s="98" t="s">
        <v>333</v>
      </c>
    </row>
    <row r="16" ht="12" customHeight="1" spans="1:13" x14ac:dyDescent="0.25">
      <c r="A16" s="108">
        <v>13</v>
      </c>
      <c r="B16" s="109" t="s">
        <v>337</v>
      </c>
      <c r="C16" s="109" t="s">
        <v>263</v>
      </c>
      <c r="D16" s="110">
        <v>0.3309</v>
      </c>
      <c r="E16" s="111">
        <v>4232</v>
      </c>
      <c r="F16" s="112" t="s">
        <v>32</v>
      </c>
      <c r="G16" s="110">
        <v>1400.37</v>
      </c>
      <c r="H16" s="113" t="s">
        <v>15</v>
      </c>
      <c r="I16" s="114">
        <v>26.9</v>
      </c>
      <c r="J16" s="103" t="s">
        <v>16</v>
      </c>
      <c r="K16" s="98" t="s">
        <v>338</v>
      </c>
      <c r="L16" s="98" t="s">
        <v>17</v>
      </c>
      <c r="M16" s="98" t="s">
        <v>339</v>
      </c>
    </row>
    <row r="17" ht="12" customHeight="1" spans="1:13" x14ac:dyDescent="0.25">
      <c r="A17" s="108">
        <v>14</v>
      </c>
      <c r="B17" s="109" t="s">
        <v>30</v>
      </c>
      <c r="C17" s="109" t="s">
        <v>31</v>
      </c>
      <c r="D17" s="110">
        <v>0.7314</v>
      </c>
      <c r="E17" s="111">
        <v>11078</v>
      </c>
      <c r="F17" s="112" t="s">
        <v>32</v>
      </c>
      <c r="G17" s="110">
        <v>8102.45</v>
      </c>
      <c r="H17" s="113" t="s">
        <v>15</v>
      </c>
      <c r="I17" s="114">
        <v>70.38</v>
      </c>
      <c r="J17" s="103" t="s">
        <v>16</v>
      </c>
      <c r="K17" s="98" t="s">
        <v>340</v>
      </c>
      <c r="L17" s="98" t="s">
        <v>17</v>
      </c>
      <c r="M17" s="98" t="s">
        <v>17</v>
      </c>
    </row>
    <row r="18" ht="12" customHeight="1" spans="1:13" x14ac:dyDescent="0.25">
      <c r="A18" s="108">
        <v>15</v>
      </c>
      <c r="B18" s="109" t="s">
        <v>30</v>
      </c>
      <c r="C18" s="109" t="s">
        <v>33</v>
      </c>
      <c r="D18" s="110">
        <v>0.7328</v>
      </c>
      <c r="E18" s="111">
        <v>4468</v>
      </c>
      <c r="F18" s="112" t="s">
        <v>32</v>
      </c>
      <c r="G18" s="110">
        <v>3274.15</v>
      </c>
      <c r="H18" s="113" t="s">
        <v>15</v>
      </c>
      <c r="I18" s="114">
        <v>28.39</v>
      </c>
      <c r="J18" s="103" t="s">
        <v>16</v>
      </c>
      <c r="K18" s="98" t="s">
        <v>340</v>
      </c>
      <c r="L18" s="98" t="s">
        <v>17</v>
      </c>
      <c r="M18" s="98" t="s">
        <v>17</v>
      </c>
    </row>
    <row r="19" ht="12" customHeight="1" spans="1:13" x14ac:dyDescent="0.25">
      <c r="A19" s="108">
        <v>16</v>
      </c>
      <c r="B19" s="109" t="s">
        <v>34</v>
      </c>
      <c r="C19" s="109" t="s">
        <v>35</v>
      </c>
      <c r="D19" s="110">
        <v>0.02</v>
      </c>
      <c r="E19" s="111">
        <v>34958</v>
      </c>
      <c r="F19" s="112" t="s">
        <v>32</v>
      </c>
      <c r="G19" s="110">
        <v>699.16</v>
      </c>
      <c r="H19" s="113" t="s">
        <v>15</v>
      </c>
      <c r="I19" s="114">
        <v>222.11</v>
      </c>
      <c r="J19" s="103" t="s">
        <v>16</v>
      </c>
      <c r="K19" s="98" t="s">
        <v>341</v>
      </c>
      <c r="L19" s="98" t="s">
        <v>17</v>
      </c>
      <c r="M19" s="98" t="s">
        <v>17</v>
      </c>
    </row>
    <row r="20" ht="12" customHeight="1" spans="1:13" x14ac:dyDescent="0.25">
      <c r="A20" s="108">
        <v>17</v>
      </c>
      <c r="B20" s="109" t="s">
        <v>34</v>
      </c>
      <c r="C20" s="109" t="s">
        <v>36</v>
      </c>
      <c r="D20" s="110">
        <v>0.02</v>
      </c>
      <c r="E20" s="111">
        <v>34958</v>
      </c>
      <c r="F20" s="112" t="s">
        <v>32</v>
      </c>
      <c r="G20" s="110">
        <v>699.16</v>
      </c>
      <c r="H20" s="113" t="s">
        <v>15</v>
      </c>
      <c r="I20" s="114">
        <v>222.11</v>
      </c>
      <c r="J20" s="103" t="s">
        <v>16</v>
      </c>
      <c r="K20" s="98" t="s">
        <v>341</v>
      </c>
      <c r="L20" s="98" t="s">
        <v>17</v>
      </c>
      <c r="M20" s="98" t="s">
        <v>17</v>
      </c>
    </row>
    <row r="21" ht="12" customHeight="1" spans="1:13" x14ac:dyDescent="0.25">
      <c r="A21" s="108">
        <v>18</v>
      </c>
      <c r="B21" s="109" t="s">
        <v>34</v>
      </c>
      <c r="C21" s="109" t="s">
        <v>37</v>
      </c>
      <c r="D21" s="110">
        <v>0.01</v>
      </c>
      <c r="E21" s="111">
        <v>48660</v>
      </c>
      <c r="F21" s="112" t="s">
        <v>32</v>
      </c>
      <c r="G21" s="110">
        <v>486.6</v>
      </c>
      <c r="H21" s="113" t="s">
        <v>15</v>
      </c>
      <c r="I21" s="114">
        <v>309.17</v>
      </c>
      <c r="J21" s="103" t="s">
        <v>16</v>
      </c>
      <c r="K21" s="98" t="s">
        <v>341</v>
      </c>
      <c r="L21" s="98" t="s">
        <v>17</v>
      </c>
      <c r="M21" s="98" t="s">
        <v>17</v>
      </c>
    </row>
    <row r="22" ht="12" customHeight="1" spans="1:13" x14ac:dyDescent="0.25">
      <c r="A22" s="108">
        <v>19</v>
      </c>
      <c r="B22" s="109" t="s">
        <v>34</v>
      </c>
      <c r="C22" s="109" t="s">
        <v>38</v>
      </c>
      <c r="D22" s="110">
        <v>0.01</v>
      </c>
      <c r="E22" s="111">
        <v>48660</v>
      </c>
      <c r="F22" s="112" t="s">
        <v>32</v>
      </c>
      <c r="G22" s="110">
        <v>486.6</v>
      </c>
      <c r="H22" s="113" t="s">
        <v>15</v>
      </c>
      <c r="I22" s="114">
        <v>309.17</v>
      </c>
      <c r="J22" s="103" t="s">
        <v>16</v>
      </c>
      <c r="K22" s="98" t="s">
        <v>341</v>
      </c>
      <c r="L22" s="98" t="s">
        <v>17</v>
      </c>
      <c r="M22" s="98" t="s">
        <v>17</v>
      </c>
    </row>
    <row r="23" ht="12" customHeight="1" spans="1:13" x14ac:dyDescent="0.25">
      <c r="A23" s="108">
        <v>20</v>
      </c>
      <c r="B23" s="109" t="s">
        <v>39</v>
      </c>
      <c r="C23" s="109" t="s">
        <v>40</v>
      </c>
      <c r="D23" s="110">
        <v>0.09</v>
      </c>
      <c r="E23" s="111">
        <v>900</v>
      </c>
      <c r="F23" s="112" t="s">
        <v>32</v>
      </c>
      <c r="G23" s="110">
        <v>81</v>
      </c>
      <c r="H23" s="113" t="s">
        <v>15</v>
      </c>
      <c r="I23" s="114">
        <v>5.72</v>
      </c>
      <c r="J23" s="103" t="s">
        <v>16</v>
      </c>
      <c r="K23" s="98" t="s">
        <v>342</v>
      </c>
      <c r="L23" s="98" t="s">
        <v>17</v>
      </c>
      <c r="M23" s="98" t="s">
        <v>17</v>
      </c>
    </row>
    <row r="24" ht="12" customHeight="1" spans="1:13" x14ac:dyDescent="0.25">
      <c r="A24" s="108">
        <v>21</v>
      </c>
      <c r="B24" s="109" t="s">
        <v>41</v>
      </c>
      <c r="C24" s="109" t="s">
        <v>42</v>
      </c>
      <c r="D24" s="110">
        <v>0.02</v>
      </c>
      <c r="E24" s="111">
        <v>3807</v>
      </c>
      <c r="F24" s="112" t="s">
        <v>32</v>
      </c>
      <c r="G24" s="110">
        <v>76.14</v>
      </c>
      <c r="H24" s="113" t="s">
        <v>15</v>
      </c>
      <c r="I24" s="114">
        <v>24.18</v>
      </c>
      <c r="J24" s="103" t="s">
        <v>16</v>
      </c>
      <c r="K24" s="98" t="s">
        <v>343</v>
      </c>
      <c r="L24" s="98" t="s">
        <v>17</v>
      </c>
      <c r="M24" s="98" t="s">
        <v>17</v>
      </c>
    </row>
    <row r="25" ht="12" customHeight="1" spans="1:13" x14ac:dyDescent="0.25">
      <c r="A25" s="108">
        <v>22</v>
      </c>
      <c r="B25" s="109" t="s">
        <v>41</v>
      </c>
      <c r="C25" s="109" t="s">
        <v>43</v>
      </c>
      <c r="D25" s="110">
        <v>0.04</v>
      </c>
      <c r="E25" s="111">
        <v>12199</v>
      </c>
      <c r="F25" s="112" t="s">
        <v>32</v>
      </c>
      <c r="G25" s="110">
        <v>487.96</v>
      </c>
      <c r="H25" s="113" t="s">
        <v>15</v>
      </c>
      <c r="I25" s="114">
        <v>77.5</v>
      </c>
      <c r="J25" s="103" t="s">
        <v>16</v>
      </c>
      <c r="K25" s="98" t="s">
        <v>343</v>
      </c>
      <c r="L25" s="98" t="s">
        <v>17</v>
      </c>
      <c r="M25" s="98" t="s">
        <v>17</v>
      </c>
    </row>
    <row r="26" ht="12" customHeight="1" spans="1:13" x14ac:dyDescent="0.25">
      <c r="A26" s="108">
        <v>23</v>
      </c>
      <c r="B26" s="109" t="s">
        <v>44</v>
      </c>
      <c r="C26" s="109" t="s">
        <v>45</v>
      </c>
      <c r="D26" s="110">
        <v>0.02</v>
      </c>
      <c r="E26" s="111">
        <v>54490</v>
      </c>
      <c r="F26" s="112" t="s">
        <v>46</v>
      </c>
      <c r="G26" s="110">
        <v>1089.8</v>
      </c>
      <c r="H26" s="113" t="s">
        <v>15</v>
      </c>
      <c r="I26" s="114">
        <v>346.21</v>
      </c>
      <c r="J26" s="103" t="s">
        <v>16</v>
      </c>
      <c r="K26" s="98" t="s">
        <v>344</v>
      </c>
      <c r="L26" s="98" t="s">
        <v>17</v>
      </c>
      <c r="M26" s="98" t="s">
        <v>17</v>
      </c>
    </row>
    <row r="27" ht="12" customHeight="1" spans="1:13" x14ac:dyDescent="0.25">
      <c r="A27" s="108">
        <v>24</v>
      </c>
      <c r="B27" s="109" t="s">
        <v>47</v>
      </c>
      <c r="C27" s="109" t="s">
        <v>48</v>
      </c>
      <c r="D27" s="110">
        <v>0.0595</v>
      </c>
      <c r="E27" s="111">
        <v>21630</v>
      </c>
      <c r="F27" s="112" t="s">
        <v>32</v>
      </c>
      <c r="G27" s="110">
        <v>1286.98</v>
      </c>
      <c r="H27" s="113" t="s">
        <v>15</v>
      </c>
      <c r="I27" s="114">
        <v>137.43</v>
      </c>
      <c r="J27" s="103" t="s">
        <v>16</v>
      </c>
      <c r="K27" s="98" t="s">
        <v>79</v>
      </c>
      <c r="L27" s="98" t="s">
        <v>17</v>
      </c>
      <c r="M27" s="98" t="s">
        <v>17</v>
      </c>
    </row>
    <row r="28" ht="12" customHeight="1" spans="1:13" x14ac:dyDescent="0.25">
      <c r="A28" s="108">
        <v>25</v>
      </c>
      <c r="B28" s="109" t="s">
        <v>49</v>
      </c>
      <c r="C28" s="109" t="s">
        <v>50</v>
      </c>
      <c r="D28" s="110">
        <v>0.1626</v>
      </c>
      <c r="E28" s="111">
        <v>4300</v>
      </c>
      <c r="F28" s="112" t="s">
        <v>14</v>
      </c>
      <c r="G28" s="110">
        <v>699.18</v>
      </c>
      <c r="H28" s="113" t="s">
        <v>15</v>
      </c>
      <c r="I28" s="114">
        <v>27.32</v>
      </c>
      <c r="J28" s="103" t="s">
        <v>16</v>
      </c>
      <c r="K28" s="98" t="s">
        <v>345</v>
      </c>
      <c r="L28" s="98" t="s">
        <v>17</v>
      </c>
      <c r="M28" s="98" t="s">
        <v>17</v>
      </c>
    </row>
    <row r="29" ht="12" customHeight="1" spans="1:13" x14ac:dyDescent="0.25">
      <c r="A29" s="108">
        <v>26</v>
      </c>
      <c r="B29" s="109" t="s">
        <v>51</v>
      </c>
      <c r="C29" s="109" t="s">
        <v>52</v>
      </c>
      <c r="D29" s="110">
        <v>0.06</v>
      </c>
      <c r="E29" s="111">
        <v>8000</v>
      </c>
      <c r="F29" s="112" t="s">
        <v>14</v>
      </c>
      <c r="G29" s="110">
        <v>480</v>
      </c>
      <c r="H29" s="113" t="s">
        <v>15</v>
      </c>
      <c r="I29" s="114">
        <v>50.83</v>
      </c>
      <c r="J29" s="103" t="s">
        <v>16</v>
      </c>
      <c r="K29" s="98" t="s">
        <v>346</v>
      </c>
      <c r="L29" s="98" t="s">
        <v>17</v>
      </c>
      <c r="M29" s="98" t="s">
        <v>17</v>
      </c>
    </row>
    <row r="30" ht="12" customHeight="1" spans="1:13" x14ac:dyDescent="0.25">
      <c r="A30" s="108">
        <v>27</v>
      </c>
      <c r="B30" s="109" t="s">
        <v>51</v>
      </c>
      <c r="C30" s="109" t="s">
        <v>53</v>
      </c>
      <c r="D30" s="110">
        <v>0.082</v>
      </c>
      <c r="E30" s="111">
        <v>11500</v>
      </c>
      <c r="F30" s="112" t="s">
        <v>14</v>
      </c>
      <c r="G30" s="110">
        <v>943</v>
      </c>
      <c r="H30" s="113" t="s">
        <v>15</v>
      </c>
      <c r="I30" s="114">
        <v>73.07</v>
      </c>
      <c r="J30" s="103" t="s">
        <v>16</v>
      </c>
      <c r="K30" s="98" t="s">
        <v>346</v>
      </c>
      <c r="L30" s="98" t="s">
        <v>17</v>
      </c>
      <c r="M30" s="98" t="s">
        <v>17</v>
      </c>
    </row>
    <row r="31" ht="12" customHeight="1" spans="1:13" x14ac:dyDescent="0.25">
      <c r="A31" s="108">
        <v>28</v>
      </c>
      <c r="B31" s="109" t="s">
        <v>44</v>
      </c>
      <c r="C31" s="109" t="s">
        <v>54</v>
      </c>
      <c r="D31" s="110">
        <v>0.0254</v>
      </c>
      <c r="E31" s="111">
        <v>29330</v>
      </c>
      <c r="F31" s="112" t="s">
        <v>46</v>
      </c>
      <c r="G31" s="110">
        <v>744.98</v>
      </c>
      <c r="H31" s="113" t="s">
        <v>15</v>
      </c>
      <c r="I31" s="114">
        <v>186.36</v>
      </c>
      <c r="J31" s="103" t="s">
        <v>16</v>
      </c>
      <c r="K31" s="98" t="s">
        <v>344</v>
      </c>
      <c r="L31" s="98" t="s">
        <v>17</v>
      </c>
      <c r="M31" s="98" t="s">
        <v>17</v>
      </c>
    </row>
    <row r="32" ht="12" customHeight="1" spans="1:13" x14ac:dyDescent="0.25">
      <c r="A32" s="108">
        <v>29</v>
      </c>
      <c r="B32" s="109" t="s">
        <v>39</v>
      </c>
      <c r="C32" s="109" t="s">
        <v>55</v>
      </c>
      <c r="D32" s="110">
        <v>0.01</v>
      </c>
      <c r="E32" s="111">
        <v>13800</v>
      </c>
      <c r="F32" s="112" t="s">
        <v>32</v>
      </c>
      <c r="G32" s="110">
        <v>138</v>
      </c>
      <c r="H32" s="113" t="s">
        <v>15</v>
      </c>
      <c r="I32" s="114">
        <v>87.68</v>
      </c>
      <c r="J32" s="103" t="s">
        <v>16</v>
      </c>
      <c r="K32" s="98" t="s">
        <v>342</v>
      </c>
      <c r="L32" s="98" t="s">
        <v>17</v>
      </c>
      <c r="M32" s="98" t="s">
        <v>17</v>
      </c>
    </row>
    <row r="33" ht="12" customHeight="1" spans="1:13" x14ac:dyDescent="0.25">
      <c r="A33" s="108">
        <v>30</v>
      </c>
      <c r="B33" s="109" t="s">
        <v>41</v>
      </c>
      <c r="C33" s="109" t="s">
        <v>56</v>
      </c>
      <c r="D33" s="110">
        <v>0.17</v>
      </c>
      <c r="E33" s="111">
        <v>850</v>
      </c>
      <c r="F33" s="112" t="s">
        <v>46</v>
      </c>
      <c r="G33" s="110">
        <v>144.5</v>
      </c>
      <c r="H33" s="113" t="s">
        <v>15</v>
      </c>
      <c r="I33" s="114">
        <v>5.4</v>
      </c>
      <c r="J33" s="103" t="s">
        <v>16</v>
      </c>
      <c r="K33" s="98" t="s">
        <v>343</v>
      </c>
      <c r="L33" s="98" t="s">
        <v>17</v>
      </c>
      <c r="M33" s="98" t="s">
        <v>17</v>
      </c>
    </row>
    <row r="34" ht="12" customHeight="1" spans="1:13" x14ac:dyDescent="0.25">
      <c r="A34" s="108">
        <v>31</v>
      </c>
      <c r="B34" s="109" t="s">
        <v>57</v>
      </c>
      <c r="C34" s="109" t="s">
        <v>58</v>
      </c>
      <c r="D34" s="110">
        <v>19.6</v>
      </c>
      <c r="E34" s="111">
        <v>36</v>
      </c>
      <c r="F34" s="112" t="s">
        <v>32</v>
      </c>
      <c r="G34" s="110">
        <v>705.6</v>
      </c>
      <c r="H34" s="113" t="s">
        <v>15</v>
      </c>
      <c r="I34" s="114">
        <v>0.23</v>
      </c>
      <c r="J34" s="103" t="s">
        <v>16</v>
      </c>
      <c r="K34" s="98" t="s">
        <v>347</v>
      </c>
      <c r="L34" s="98" t="s">
        <v>17</v>
      </c>
      <c r="M34" s="98" t="s">
        <v>17</v>
      </c>
    </row>
    <row r="35" ht="12" customHeight="1" spans="1:13" x14ac:dyDescent="0.25">
      <c r="A35" s="108">
        <v>32</v>
      </c>
      <c r="B35" s="109" t="s">
        <v>57</v>
      </c>
      <c r="C35" s="109" t="s">
        <v>59</v>
      </c>
      <c r="D35" s="110">
        <v>30.41</v>
      </c>
      <c r="E35" s="111">
        <v>24</v>
      </c>
      <c r="F35" s="112" t="s">
        <v>32</v>
      </c>
      <c r="G35" s="110">
        <v>729.84</v>
      </c>
      <c r="H35" s="113" t="s">
        <v>15</v>
      </c>
      <c r="I35" s="114">
        <v>0.15</v>
      </c>
      <c r="J35" s="103" t="s">
        <v>16</v>
      </c>
      <c r="K35" s="98" t="s">
        <v>347</v>
      </c>
      <c r="L35" s="98" t="s">
        <v>17</v>
      </c>
      <c r="M35" s="98" t="s">
        <v>17</v>
      </c>
    </row>
    <row r="36" ht="12" customHeight="1" spans="1:13" x14ac:dyDescent="0.25">
      <c r="A36" s="108">
        <v>33</v>
      </c>
      <c r="B36" s="109" t="s">
        <v>60</v>
      </c>
      <c r="C36" s="109" t="s">
        <v>61</v>
      </c>
      <c r="D36" s="110">
        <v>1.15</v>
      </c>
      <c r="E36" s="111">
        <v>500</v>
      </c>
      <c r="F36" s="112" t="s">
        <v>32</v>
      </c>
      <c r="G36" s="110">
        <v>575</v>
      </c>
      <c r="H36" s="113" t="s">
        <v>15</v>
      </c>
      <c r="I36" s="114">
        <v>3.18</v>
      </c>
      <c r="J36" s="103" t="s">
        <v>16</v>
      </c>
      <c r="K36" s="98" t="s">
        <v>348</v>
      </c>
      <c r="L36" s="98" t="s">
        <v>17</v>
      </c>
      <c r="M36" s="98" t="s">
        <v>17</v>
      </c>
    </row>
    <row r="37" ht="12" customHeight="1" spans="1:13" x14ac:dyDescent="0.25">
      <c r="A37" s="108">
        <v>34</v>
      </c>
      <c r="B37" s="109" t="s">
        <v>62</v>
      </c>
      <c r="C37" s="109" t="s">
        <v>63</v>
      </c>
      <c r="D37" s="110">
        <v>11.76</v>
      </c>
      <c r="E37" s="111">
        <v>20</v>
      </c>
      <c r="F37" s="112" t="s">
        <v>46</v>
      </c>
      <c r="G37" s="110">
        <v>235.2</v>
      </c>
      <c r="H37" s="113" t="s">
        <v>15</v>
      </c>
      <c r="I37" s="114">
        <v>0.13</v>
      </c>
      <c r="J37" s="103" t="s">
        <v>16</v>
      </c>
      <c r="K37" s="98" t="s">
        <v>349</v>
      </c>
      <c r="L37" s="98" t="s">
        <v>17</v>
      </c>
      <c r="M37" s="98" t="s">
        <v>17</v>
      </c>
    </row>
    <row r="38" ht="12" customHeight="1" spans="1:13" x14ac:dyDescent="0.25">
      <c r="A38" s="108">
        <v>35</v>
      </c>
      <c r="B38" s="109" t="s">
        <v>39</v>
      </c>
      <c r="C38" s="109" t="s">
        <v>64</v>
      </c>
      <c r="D38" s="110">
        <v>0.01</v>
      </c>
      <c r="E38" s="111">
        <v>19200</v>
      </c>
      <c r="F38" s="112" t="s">
        <v>32</v>
      </c>
      <c r="G38" s="110">
        <v>192</v>
      </c>
      <c r="H38" s="113" t="s">
        <v>15</v>
      </c>
      <c r="I38" s="114">
        <v>121.99</v>
      </c>
      <c r="J38" s="103" t="s">
        <v>16</v>
      </c>
      <c r="K38" s="98" t="s">
        <v>342</v>
      </c>
      <c r="L38" s="98" t="s">
        <v>17</v>
      </c>
      <c r="M38" s="98" t="s">
        <v>17</v>
      </c>
    </row>
    <row r="39" ht="12" customHeight="1" spans="1:13" x14ac:dyDescent="0.25">
      <c r="A39" s="108">
        <v>36</v>
      </c>
      <c r="B39" s="109" t="s">
        <v>65</v>
      </c>
      <c r="C39" s="109" t="s">
        <v>66</v>
      </c>
      <c r="D39" s="110">
        <v>0.01</v>
      </c>
      <c r="E39" s="111">
        <v>4833</v>
      </c>
      <c r="F39" s="112" t="s">
        <v>32</v>
      </c>
      <c r="G39" s="110">
        <v>48.33</v>
      </c>
      <c r="H39" s="113" t="s">
        <v>15</v>
      </c>
      <c r="I39" s="114">
        <v>30.71</v>
      </c>
      <c r="J39" s="103" t="s">
        <v>16</v>
      </c>
      <c r="K39" s="98" t="s">
        <v>350</v>
      </c>
      <c r="L39" s="98" t="s">
        <v>17</v>
      </c>
      <c r="M39" s="98" t="s">
        <v>17</v>
      </c>
    </row>
    <row r="40" ht="12" customHeight="1" spans="1:13" x14ac:dyDescent="0.25">
      <c r="A40" s="108">
        <v>37</v>
      </c>
      <c r="B40" s="109" t="s">
        <v>39</v>
      </c>
      <c r="C40" s="109" t="s">
        <v>67</v>
      </c>
      <c r="D40" s="110">
        <v>0.01</v>
      </c>
      <c r="E40" s="111">
        <v>4814</v>
      </c>
      <c r="F40" s="112" t="s">
        <v>32</v>
      </c>
      <c r="G40" s="110">
        <v>48.14</v>
      </c>
      <c r="H40" s="113" t="s">
        <v>15</v>
      </c>
      <c r="I40" s="114">
        <v>30.59</v>
      </c>
      <c r="J40" s="103" t="s">
        <v>16</v>
      </c>
      <c r="K40" s="98" t="s">
        <v>342</v>
      </c>
      <c r="L40" s="98" t="s">
        <v>17</v>
      </c>
      <c r="M40" s="98" t="s">
        <v>17</v>
      </c>
    </row>
    <row r="41" ht="12" customHeight="1" spans="1:13" x14ac:dyDescent="0.25">
      <c r="A41" s="108">
        <v>38</v>
      </c>
      <c r="B41" s="109" t="s">
        <v>39</v>
      </c>
      <c r="C41" s="109" t="s">
        <v>68</v>
      </c>
      <c r="D41" s="110">
        <v>0.03</v>
      </c>
      <c r="E41" s="111">
        <v>2239</v>
      </c>
      <c r="F41" s="112" t="s">
        <v>32</v>
      </c>
      <c r="G41" s="110">
        <v>67.17</v>
      </c>
      <c r="H41" s="113" t="s">
        <v>15</v>
      </c>
      <c r="I41" s="114">
        <v>14.22</v>
      </c>
      <c r="J41" s="103" t="s">
        <v>16</v>
      </c>
      <c r="K41" s="98" t="s">
        <v>342</v>
      </c>
      <c r="L41" s="98" t="s">
        <v>17</v>
      </c>
      <c r="M41" s="98" t="s">
        <v>17</v>
      </c>
    </row>
    <row r="42" ht="12" customHeight="1" spans="1:13" x14ac:dyDescent="0.25">
      <c r="A42" s="108">
        <v>39</v>
      </c>
      <c r="B42" s="109" t="s">
        <v>69</v>
      </c>
      <c r="C42" s="109" t="s">
        <v>70</v>
      </c>
      <c r="D42" s="110">
        <v>0.04</v>
      </c>
      <c r="E42" s="111">
        <v>3068</v>
      </c>
      <c r="F42" s="112" t="s">
        <v>32</v>
      </c>
      <c r="G42" s="110">
        <v>122.72</v>
      </c>
      <c r="H42" s="113" t="s">
        <v>15</v>
      </c>
      <c r="I42" s="114">
        <v>19.49</v>
      </c>
      <c r="J42" s="103" t="s">
        <v>16</v>
      </c>
      <c r="K42" s="98" t="s">
        <v>351</v>
      </c>
      <c r="L42" s="98" t="s">
        <v>17</v>
      </c>
      <c r="M42" s="98" t="s">
        <v>17</v>
      </c>
    </row>
    <row r="43" ht="12" customHeight="1" spans="1:13" x14ac:dyDescent="0.25">
      <c r="A43" s="108">
        <v>40</v>
      </c>
      <c r="B43" s="109" t="s">
        <v>39</v>
      </c>
      <c r="C43" s="109" t="s">
        <v>71</v>
      </c>
      <c r="D43" s="110">
        <v>0.01</v>
      </c>
      <c r="E43" s="111">
        <v>3200</v>
      </c>
      <c r="F43" s="112" t="s">
        <v>32</v>
      </c>
      <c r="G43" s="110">
        <v>32</v>
      </c>
      <c r="H43" s="113" t="s">
        <v>15</v>
      </c>
      <c r="I43" s="114">
        <v>20.33</v>
      </c>
      <c r="J43" s="103" t="s">
        <v>16</v>
      </c>
      <c r="K43" s="98" t="s">
        <v>352</v>
      </c>
      <c r="L43" s="98" t="s">
        <v>17</v>
      </c>
      <c r="M43" s="98" t="s">
        <v>17</v>
      </c>
    </row>
    <row r="44" ht="12" customHeight="1" spans="1:13" x14ac:dyDescent="0.25">
      <c r="A44" s="108">
        <v>41</v>
      </c>
      <c r="B44" s="109" t="s">
        <v>34</v>
      </c>
      <c r="C44" s="109" t="s">
        <v>72</v>
      </c>
      <c r="D44" s="110">
        <v>0.11</v>
      </c>
      <c r="E44" s="111">
        <v>3510</v>
      </c>
      <c r="F44" s="112" t="s">
        <v>46</v>
      </c>
      <c r="G44" s="110">
        <v>386.1</v>
      </c>
      <c r="H44" s="113" t="s">
        <v>15</v>
      </c>
      <c r="I44" s="114">
        <v>22.31</v>
      </c>
      <c r="J44" s="103" t="s">
        <v>16</v>
      </c>
      <c r="K44" s="98" t="s">
        <v>341</v>
      </c>
      <c r="L44" s="98" t="s">
        <v>17</v>
      </c>
      <c r="M44" s="98" t="s">
        <v>17</v>
      </c>
    </row>
    <row r="45" ht="12" customHeight="1" spans="1:13" x14ac:dyDescent="0.25">
      <c r="A45" s="108">
        <v>42</v>
      </c>
      <c r="B45" s="109" t="s">
        <v>41</v>
      </c>
      <c r="C45" s="109" t="s">
        <v>73</v>
      </c>
      <c r="D45" s="110">
        <v>0.02</v>
      </c>
      <c r="E45" s="111">
        <v>5299</v>
      </c>
      <c r="F45" s="112" t="s">
        <v>32</v>
      </c>
      <c r="G45" s="110">
        <v>105.98</v>
      </c>
      <c r="H45" s="113" t="s">
        <v>15</v>
      </c>
      <c r="I45" s="114">
        <v>33.66</v>
      </c>
      <c r="J45" s="103" t="s">
        <v>16</v>
      </c>
      <c r="K45" s="98" t="s">
        <v>343</v>
      </c>
      <c r="L45" s="98" t="s">
        <v>17</v>
      </c>
      <c r="M45" s="98" t="s">
        <v>17</v>
      </c>
    </row>
    <row r="46" ht="12" customHeight="1" spans="1:13" x14ac:dyDescent="0.25">
      <c r="A46" s="108">
        <v>43</v>
      </c>
      <c r="B46" s="109" t="s">
        <v>74</v>
      </c>
      <c r="C46" s="109" t="s">
        <v>75</v>
      </c>
      <c r="D46" s="110">
        <v>0.38</v>
      </c>
      <c r="E46" s="111">
        <v>520</v>
      </c>
      <c r="F46" s="112" t="s">
        <v>32</v>
      </c>
      <c r="G46" s="110">
        <v>197.6</v>
      </c>
      <c r="H46" s="113" t="s">
        <v>15</v>
      </c>
      <c r="I46" s="114">
        <v>3.3</v>
      </c>
      <c r="J46" s="103" t="s">
        <v>16</v>
      </c>
      <c r="K46" s="98" t="s">
        <v>353</v>
      </c>
      <c r="L46" s="98" t="s">
        <v>17</v>
      </c>
      <c r="M46" s="98" t="s">
        <v>17</v>
      </c>
    </row>
    <row r="47" ht="12" customHeight="1" spans="1:13" x14ac:dyDescent="0.25">
      <c r="A47" s="108">
        <v>44</v>
      </c>
      <c r="B47" s="109" t="s">
        <v>34</v>
      </c>
      <c r="C47" s="109" t="s">
        <v>76</v>
      </c>
      <c r="D47" s="110">
        <v>0.01</v>
      </c>
      <c r="E47" s="111">
        <v>22498</v>
      </c>
      <c r="F47" s="112" t="s">
        <v>32</v>
      </c>
      <c r="G47" s="110">
        <v>224.98</v>
      </c>
      <c r="H47" s="113" t="s">
        <v>15</v>
      </c>
      <c r="I47" s="114">
        <v>142.94</v>
      </c>
      <c r="J47" s="103" t="s">
        <v>16</v>
      </c>
      <c r="K47" s="98" t="s">
        <v>341</v>
      </c>
      <c r="L47" s="98" t="s">
        <v>17</v>
      </c>
      <c r="M47" s="98" t="s">
        <v>17</v>
      </c>
    </row>
    <row r="48" ht="12" customHeight="1" spans="1:13" x14ac:dyDescent="0.25">
      <c r="A48" s="108">
        <v>45</v>
      </c>
      <c r="B48" s="109" t="s">
        <v>34</v>
      </c>
      <c r="C48" s="109" t="s">
        <v>77</v>
      </c>
      <c r="D48" s="110">
        <v>0.01</v>
      </c>
      <c r="E48" s="111">
        <v>79444</v>
      </c>
      <c r="F48" s="112" t="s">
        <v>32</v>
      </c>
      <c r="G48" s="110">
        <v>794.44</v>
      </c>
      <c r="H48" s="113" t="s">
        <v>15</v>
      </c>
      <c r="I48" s="114">
        <v>504.76</v>
      </c>
      <c r="J48" s="103" t="s">
        <v>16</v>
      </c>
      <c r="K48" s="98" t="s">
        <v>341</v>
      </c>
      <c r="L48" s="98" t="s">
        <v>17</v>
      </c>
      <c r="M48" s="98" t="s">
        <v>17</v>
      </c>
    </row>
    <row r="49" ht="12" customHeight="1" spans="1:13" x14ac:dyDescent="0.25">
      <c r="A49" s="108">
        <v>46</v>
      </c>
      <c r="B49" s="109" t="s">
        <v>34</v>
      </c>
      <c r="C49" s="109" t="s">
        <v>78</v>
      </c>
      <c r="D49" s="110">
        <v>0.01</v>
      </c>
      <c r="E49" s="111">
        <v>2020</v>
      </c>
      <c r="F49" s="112" t="s">
        <v>32</v>
      </c>
      <c r="G49" s="110">
        <v>20.2</v>
      </c>
      <c r="H49" s="113" t="s">
        <v>15</v>
      </c>
      <c r="I49" s="114">
        <v>12.83</v>
      </c>
      <c r="J49" s="103" t="s">
        <v>16</v>
      </c>
      <c r="K49" s="98" t="s">
        <v>341</v>
      </c>
      <c r="L49" s="98" t="s">
        <v>17</v>
      </c>
      <c r="M49" s="98" t="s">
        <v>17</v>
      </c>
    </row>
    <row r="50" ht="12" customHeight="1" spans="1:13" x14ac:dyDescent="0.25">
      <c r="A50" s="108">
        <v>47</v>
      </c>
      <c r="B50" s="109" t="s">
        <v>47</v>
      </c>
      <c r="C50" s="109" t="s">
        <v>79</v>
      </c>
      <c r="D50" s="110">
        <v>0.11</v>
      </c>
      <c r="E50" s="111">
        <v>12600</v>
      </c>
      <c r="F50" s="112" t="s">
        <v>32</v>
      </c>
      <c r="G50" s="110">
        <v>1386</v>
      </c>
      <c r="H50" s="113" t="s">
        <v>15</v>
      </c>
      <c r="I50" s="114">
        <v>80.06</v>
      </c>
      <c r="J50" s="103" t="s">
        <v>16</v>
      </c>
      <c r="K50" s="98" t="s">
        <v>79</v>
      </c>
      <c r="L50" s="98" t="s">
        <v>17</v>
      </c>
      <c r="M50" s="98" t="s">
        <v>17</v>
      </c>
    </row>
    <row r="51" ht="12" customHeight="1" spans="1:13" x14ac:dyDescent="0.25">
      <c r="A51" s="108">
        <v>48</v>
      </c>
      <c r="B51" s="109" t="s">
        <v>80</v>
      </c>
      <c r="C51" s="109" t="s">
        <v>81</v>
      </c>
      <c r="D51" s="110">
        <v>3.83</v>
      </c>
      <c r="E51" s="111">
        <v>30</v>
      </c>
      <c r="F51" s="112" t="s">
        <v>82</v>
      </c>
      <c r="G51" s="110">
        <v>114.9</v>
      </c>
      <c r="H51" s="113" t="s">
        <v>15</v>
      </c>
      <c r="I51" s="114">
        <v>0.19</v>
      </c>
      <c r="J51" s="103" t="s">
        <v>16</v>
      </c>
      <c r="K51" s="98" t="s">
        <v>354</v>
      </c>
      <c r="L51" s="98" t="s">
        <v>17</v>
      </c>
      <c r="M51" s="98" t="s">
        <v>17</v>
      </c>
    </row>
    <row r="52" ht="12" customHeight="1" spans="1:13" x14ac:dyDescent="0.25">
      <c r="A52" s="108">
        <v>49</v>
      </c>
      <c r="B52" s="109" t="s">
        <v>80</v>
      </c>
      <c r="C52" s="109" t="s">
        <v>83</v>
      </c>
      <c r="D52" s="110">
        <v>5.41</v>
      </c>
      <c r="E52" s="111">
        <v>30</v>
      </c>
      <c r="F52" s="112" t="s">
        <v>82</v>
      </c>
      <c r="G52" s="110">
        <v>162.3</v>
      </c>
      <c r="H52" s="113" t="s">
        <v>15</v>
      </c>
      <c r="I52" s="114">
        <v>0.19</v>
      </c>
      <c r="J52" s="103" t="s">
        <v>16</v>
      </c>
      <c r="K52" s="98" t="s">
        <v>354</v>
      </c>
      <c r="L52" s="98" t="s">
        <v>17</v>
      </c>
      <c r="M52" s="98" t="s">
        <v>17</v>
      </c>
    </row>
    <row r="53" ht="12" customHeight="1" spans="1:13" x14ac:dyDescent="0.25">
      <c r="A53" s="108">
        <v>50</v>
      </c>
      <c r="B53" s="109" t="s">
        <v>39</v>
      </c>
      <c r="C53" s="109" t="s">
        <v>84</v>
      </c>
      <c r="D53" s="110">
        <v>0.01</v>
      </c>
      <c r="E53" s="111">
        <v>3091</v>
      </c>
      <c r="F53" s="112" t="s">
        <v>32</v>
      </c>
      <c r="G53" s="110">
        <v>30.91</v>
      </c>
      <c r="H53" s="113" t="s">
        <v>15</v>
      </c>
      <c r="I53" s="114">
        <v>19.64</v>
      </c>
      <c r="J53" s="103" t="s">
        <v>16</v>
      </c>
      <c r="K53" s="98" t="s">
        <v>342</v>
      </c>
      <c r="L53" s="98" t="s">
        <v>17</v>
      </c>
      <c r="M53" s="98" t="s">
        <v>17</v>
      </c>
    </row>
    <row r="54" ht="12" customHeight="1" spans="1:13" x14ac:dyDescent="0.25">
      <c r="A54" s="108">
        <v>51</v>
      </c>
      <c r="B54" s="109" t="s">
        <v>47</v>
      </c>
      <c r="C54" s="109" t="s">
        <v>85</v>
      </c>
      <c r="D54" s="110">
        <v>0.137</v>
      </c>
      <c r="E54" s="111">
        <v>13290</v>
      </c>
      <c r="F54" s="112" t="s">
        <v>32</v>
      </c>
      <c r="G54" s="110">
        <v>1820.73</v>
      </c>
      <c r="H54" s="113" t="s">
        <v>15</v>
      </c>
      <c r="I54" s="114">
        <v>84.44</v>
      </c>
      <c r="J54" s="103" t="s">
        <v>16</v>
      </c>
      <c r="K54" s="98" t="s">
        <v>79</v>
      </c>
      <c r="L54" s="98" t="s">
        <v>17</v>
      </c>
      <c r="M54" s="98" t="s">
        <v>17</v>
      </c>
    </row>
    <row r="55" ht="12" customHeight="1" spans="1:13" x14ac:dyDescent="0.25">
      <c r="A55" s="108">
        <v>52</v>
      </c>
      <c r="B55" s="109" t="s">
        <v>86</v>
      </c>
      <c r="C55" s="109" t="s">
        <v>87</v>
      </c>
      <c r="D55" s="110">
        <v>0.03</v>
      </c>
      <c r="E55" s="111">
        <v>24468</v>
      </c>
      <c r="F55" s="112" t="s">
        <v>82</v>
      </c>
      <c r="G55" s="110">
        <v>734.04</v>
      </c>
      <c r="H55" s="113" t="s">
        <v>15</v>
      </c>
      <c r="I55" s="114">
        <v>155.46</v>
      </c>
      <c r="J55" s="103" t="s">
        <v>16</v>
      </c>
      <c r="K55" s="98" t="s">
        <v>355</v>
      </c>
      <c r="L55" s="98" t="s">
        <v>17</v>
      </c>
      <c r="M55" s="98" t="s">
        <v>17</v>
      </c>
    </row>
    <row r="56" ht="12" customHeight="1" spans="1:13" x14ac:dyDescent="0.25">
      <c r="A56" s="108">
        <v>53</v>
      </c>
      <c r="B56" s="109" t="s">
        <v>47</v>
      </c>
      <c r="C56" s="109" t="s">
        <v>88</v>
      </c>
      <c r="D56" s="110">
        <v>0.1373</v>
      </c>
      <c r="E56" s="111">
        <v>13250</v>
      </c>
      <c r="F56" s="112" t="s">
        <v>32</v>
      </c>
      <c r="G56" s="110">
        <v>1819.23</v>
      </c>
      <c r="H56" s="113" t="s">
        <v>15</v>
      </c>
      <c r="I56" s="114">
        <v>84.18</v>
      </c>
      <c r="J56" s="103" t="s">
        <v>16</v>
      </c>
      <c r="K56" s="98" t="s">
        <v>79</v>
      </c>
      <c r="L56" s="98" t="s">
        <v>17</v>
      </c>
      <c r="M56" s="98" t="s">
        <v>17</v>
      </c>
    </row>
    <row r="57" ht="12" customHeight="1" spans="1:13" x14ac:dyDescent="0.25">
      <c r="A57" s="108">
        <v>54</v>
      </c>
      <c r="B57" s="109" t="s">
        <v>89</v>
      </c>
      <c r="C57" s="109" t="s">
        <v>90</v>
      </c>
      <c r="D57" s="110">
        <v>0.2034</v>
      </c>
      <c r="E57" s="111">
        <v>9600</v>
      </c>
      <c r="F57" s="112" t="s">
        <v>32</v>
      </c>
      <c r="G57" s="110">
        <v>1952.64</v>
      </c>
      <c r="H57" s="113" t="s">
        <v>15</v>
      </c>
      <c r="I57" s="114">
        <v>60.99</v>
      </c>
      <c r="J57" s="103" t="s">
        <v>16</v>
      </c>
      <c r="K57" s="98" t="s">
        <v>356</v>
      </c>
      <c r="L57" s="98" t="s">
        <v>17</v>
      </c>
      <c r="M57" s="98" t="s">
        <v>17</v>
      </c>
    </row>
    <row r="58" ht="12" customHeight="1" spans="1:13" x14ac:dyDescent="0.25">
      <c r="A58" s="108">
        <v>55</v>
      </c>
      <c r="B58" s="109" t="s">
        <v>91</v>
      </c>
      <c r="C58" s="109" t="s">
        <v>92</v>
      </c>
      <c r="D58" s="110">
        <v>0.2574</v>
      </c>
      <c r="E58" s="111">
        <v>19268</v>
      </c>
      <c r="F58" s="112" t="s">
        <v>32</v>
      </c>
      <c r="G58" s="110">
        <v>4959.58</v>
      </c>
      <c r="H58" s="113" t="s">
        <v>15</v>
      </c>
      <c r="I58" s="114">
        <v>122.41</v>
      </c>
      <c r="J58" s="103" t="s">
        <v>16</v>
      </c>
      <c r="K58" s="98" t="s">
        <v>357</v>
      </c>
      <c r="L58" s="98" t="s">
        <v>17</v>
      </c>
      <c r="M58" s="98" t="s">
        <v>17</v>
      </c>
    </row>
    <row r="59" ht="12" customHeight="1" spans="1:13" x14ac:dyDescent="0.25">
      <c r="A59" s="108">
        <v>56</v>
      </c>
      <c r="B59" s="109" t="s">
        <v>93</v>
      </c>
      <c r="C59" s="109" t="s">
        <v>94</v>
      </c>
      <c r="D59" s="110">
        <v>114.88</v>
      </c>
      <c r="E59" s="111">
        <v>25</v>
      </c>
      <c r="F59" s="112" t="s">
        <v>95</v>
      </c>
      <c r="G59" s="110">
        <v>2872</v>
      </c>
      <c r="H59" s="113" t="s">
        <v>15</v>
      </c>
      <c r="I59" s="114">
        <v>0.14999999999889457</v>
      </c>
      <c r="J59" s="103" t="s">
        <v>16</v>
      </c>
      <c r="K59" s="98" t="s">
        <v>358</v>
      </c>
      <c r="L59" s="98" t="s">
        <v>17</v>
      </c>
      <c r="M59" s="98" t="s">
        <v>17</v>
      </c>
    </row>
    <row r="60" ht="12.75" customHeight="1" spans="1:11" x14ac:dyDescent="0.25">
      <c r="A60" s="115"/>
      <c r="B60" s="116" t="s">
        <v>96</v>
      </c>
      <c r="C60" s="116"/>
      <c r="D60" s="117"/>
      <c r="E60" s="118">
        <f>=SUM(E4:E59)</f>
      </c>
      <c r="F60" s="119"/>
      <c r="G60" s="120">
        <f>=SUM(G4:G59)</f>
      </c>
      <c r="H60" s="121"/>
      <c r="I60" s="122">
        <f>=SUM(I4:I59)</f>
      </c>
      <c r="J60" s="103" t="s">
        <v>16</v>
      </c>
      <c r="K60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359</v>
      </c>
      <c r="B1" s="2"/>
      <c r="C1" s="2"/>
      <c r="D1" s="2"/>
      <c r="E1" s="2"/>
      <c r="F1" s="2"/>
      <c r="G1" s="2"/>
      <c r="H1" s="29"/>
      <c r="I1" s="29" t="s">
        <v>281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360</v>
      </c>
      <c r="B3" s="126" t="s">
        <v>361</v>
      </c>
      <c r="C3" s="126" t="s">
        <v>362</v>
      </c>
      <c r="D3" s="125" t="s">
        <v>363</v>
      </c>
      <c r="E3" s="125" t="s">
        <v>102</v>
      </c>
      <c r="F3" s="125" t="s">
        <v>364</v>
      </c>
      <c r="G3" s="127"/>
      <c r="H3" s="12"/>
      <c r="I3" s="12"/>
    </row>
    <row r="4" ht="12.75" customHeight="1" spans="1:13" x14ac:dyDescent="0.25">
      <c r="A4" s="11">
        <v>1</v>
      </c>
      <c r="B4" s="6" t="s">
        <v>365</v>
      </c>
      <c r="C4" s="128" t="s">
        <v>366</v>
      </c>
      <c r="D4" s="129">
        <v>1</v>
      </c>
      <c r="E4" s="11"/>
      <c r="F4" s="130">
        <v>46095.625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360</v>
      </c>
      <c r="B6" s="133" t="s">
        <v>367</v>
      </c>
      <c r="C6" s="133" t="s">
        <v>368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80</v>
      </c>
      <c r="C7" s="134" t="s">
        <v>81</v>
      </c>
      <c r="D7" s="135">
        <v>3.83</v>
      </c>
      <c r="E7" s="135">
        <v>30</v>
      </c>
      <c r="F7" s="29" t="s">
        <v>82</v>
      </c>
      <c r="G7" s="135">
        <v>114.9</v>
      </c>
      <c r="H7" s="29" t="s">
        <v>15</v>
      </c>
      <c r="I7" s="135">
        <v>0.19</v>
      </c>
      <c r="J7" s="132" t="s">
        <v>16</v>
      </c>
      <c r="K7" s="132" t="s">
        <v>354</v>
      </c>
      <c r="L7" s="132" t="s">
        <v>17</v>
      </c>
      <c r="M7" s="132" t="s">
        <v>17</v>
      </c>
    </row>
    <row r="8" spans="1:13" x14ac:dyDescent="0.25">
      <c r="A8" s="29">
        <v>2</v>
      </c>
      <c r="B8" s="29" t="s">
        <v>80</v>
      </c>
      <c r="C8" s="134" t="s">
        <v>83</v>
      </c>
      <c r="D8" s="135">
        <v>5.41</v>
      </c>
      <c r="E8" s="135">
        <v>30</v>
      </c>
      <c r="F8" s="29" t="s">
        <v>82</v>
      </c>
      <c r="G8" s="135">
        <v>162.3</v>
      </c>
      <c r="H8" s="29" t="s">
        <v>15</v>
      </c>
      <c r="I8" s="135">
        <v>0.19</v>
      </c>
      <c r="J8" s="132" t="s">
        <v>16</v>
      </c>
      <c r="K8" s="132" t="s">
        <v>354</v>
      </c>
      <c r="L8" s="132" t="s">
        <v>17</v>
      </c>
      <c r="M8" s="132" t="s">
        <v>17</v>
      </c>
    </row>
    <row r="9" spans="1:13" x14ac:dyDescent="0.25">
      <c r="A9" s="136"/>
      <c r="B9" s="136" t="s">
        <v>96</v>
      </c>
      <c r="C9" s="136"/>
      <c r="D9" s="137"/>
      <c r="E9" s="138">
        <f>=SUM(E7:E8)</f>
      </c>
      <c r="F9" s="136"/>
      <c r="G9" s="138">
        <f>=SUM(G7:G8)</f>
      </c>
      <c r="H9" s="136"/>
      <c r="I9" s="136"/>
      <c r="J9" s="132"/>
      <c r="K9" s="132"/>
      <c r="L9" s="132"/>
      <c r="M9" s="132"/>
    </row>
    <row r="11" spans="1:9" x14ac:dyDescent="0.25">
      <c r="A11" s="3" t="s">
        <v>369</v>
      </c>
      <c r="B11" s="3" t="s">
        <v>359</v>
      </c>
      <c r="C11" s="3" t="s">
        <v>359</v>
      </c>
      <c r="D11" t="s">
        <v>359</v>
      </c>
      <c r="E11" s="3" t="s">
        <v>359</v>
      </c>
      <c r="F11" s="3" t="s">
        <v>359</v>
      </c>
      <c r="G11" s="3" t="s">
        <v>359</v>
      </c>
      <c r="I11" s="3" t="s">
        <v>17</v>
      </c>
    </row>
    <row r="13" spans="1:6" x14ac:dyDescent="0.25">
      <c r="A13" s="3" t="s">
        <v>360</v>
      </c>
      <c r="B13" s="3" t="s">
        <v>361</v>
      </c>
      <c r="C13" s="3" t="s">
        <v>362</v>
      </c>
      <c r="D13" t="s">
        <v>363</v>
      </c>
      <c r="E13" s="3" t="s">
        <v>102</v>
      </c>
      <c r="F13" s="3" t="s">
        <v>364</v>
      </c>
    </row>
    <row r="14" spans="1:13" x14ac:dyDescent="0.25">
      <c r="A14" s="29">
        <v>1</v>
      </c>
      <c r="B14" s="29" t="s">
        <v>370</v>
      </c>
      <c r="C14" s="134" t="s">
        <v>366</v>
      </c>
      <c r="D14" s="129">
        <v>1</v>
      </c>
      <c r="E14" s="29"/>
      <c r="F14" s="139">
        <v>46095.625</v>
      </c>
      <c r="G14" s="29"/>
      <c r="H14" s="29"/>
      <c r="I14" s="29"/>
      <c r="J14" s="132"/>
      <c r="K14" s="132"/>
      <c r="L14" s="132"/>
      <c r="M14" s="132"/>
    </row>
    <row r="16" spans="1:9" x14ac:dyDescent="0.25">
      <c r="A16" s="133" t="s">
        <v>360</v>
      </c>
      <c r="B16" s="133" t="s">
        <v>367</v>
      </c>
      <c r="C16" s="133" t="s">
        <v>368</v>
      </c>
      <c r="D16" s="133" t="s">
        <v>4</v>
      </c>
      <c r="E16" s="133" t="s">
        <v>5</v>
      </c>
      <c r="F16" s="133" t="s">
        <v>6</v>
      </c>
      <c r="G16" s="133" t="s">
        <v>7</v>
      </c>
      <c r="H16" s="133" t="s">
        <v>8</v>
      </c>
      <c r="I16" s="133" t="s">
        <v>9</v>
      </c>
    </row>
    <row r="17" spans="1:13" x14ac:dyDescent="0.25">
      <c r="A17" s="29">
        <v>1</v>
      </c>
      <c r="B17" s="29" t="s">
        <v>57</v>
      </c>
      <c r="C17" s="134" t="s">
        <v>58</v>
      </c>
      <c r="D17" s="135">
        <v>19.6</v>
      </c>
      <c r="E17" s="135">
        <v>36</v>
      </c>
      <c r="F17" s="29" t="s">
        <v>32</v>
      </c>
      <c r="G17" s="135">
        <v>705.6</v>
      </c>
      <c r="H17" s="29" t="s">
        <v>15</v>
      </c>
      <c r="I17" s="135">
        <v>0.23</v>
      </c>
      <c r="J17" s="132" t="s">
        <v>16</v>
      </c>
      <c r="K17" s="132" t="s">
        <v>347</v>
      </c>
      <c r="L17" s="132" t="s">
        <v>17</v>
      </c>
      <c r="M17" s="132" t="s">
        <v>17</v>
      </c>
    </row>
    <row r="18" spans="1:13" x14ac:dyDescent="0.25">
      <c r="A18" s="29">
        <v>2</v>
      </c>
      <c r="B18" s="29" t="s">
        <v>57</v>
      </c>
      <c r="C18" s="134" t="s">
        <v>59</v>
      </c>
      <c r="D18" s="135">
        <v>30.41</v>
      </c>
      <c r="E18" s="135">
        <v>24</v>
      </c>
      <c r="F18" s="29" t="s">
        <v>32</v>
      </c>
      <c r="G18" s="135">
        <v>729.84</v>
      </c>
      <c r="H18" s="29" t="s">
        <v>15</v>
      </c>
      <c r="I18" s="135">
        <v>0.15</v>
      </c>
      <c r="J18" s="132" t="s">
        <v>16</v>
      </c>
      <c r="K18" s="132" t="s">
        <v>347</v>
      </c>
      <c r="L18" s="132" t="s">
        <v>17</v>
      </c>
      <c r="M18" s="132" t="s">
        <v>17</v>
      </c>
    </row>
    <row r="19" spans="1:13" x14ac:dyDescent="0.25">
      <c r="A19" s="29">
        <v>3</v>
      </c>
      <c r="B19" s="29" t="s">
        <v>93</v>
      </c>
      <c r="C19" s="134" t="s">
        <v>94</v>
      </c>
      <c r="D19" s="135">
        <v>114.88</v>
      </c>
      <c r="E19" s="135">
        <v>25</v>
      </c>
      <c r="F19" s="29" t="s">
        <v>95</v>
      </c>
      <c r="G19" s="135">
        <v>2872</v>
      </c>
      <c r="H19" s="29" t="s">
        <v>15</v>
      </c>
      <c r="I19" s="135">
        <v>0.14999999999889457</v>
      </c>
      <c r="J19" s="132" t="s">
        <v>16</v>
      </c>
      <c r="K19" s="132" t="s">
        <v>358</v>
      </c>
      <c r="L19" s="132" t="s">
        <v>17</v>
      </c>
      <c r="M19" s="132" t="s">
        <v>17</v>
      </c>
    </row>
    <row r="20" spans="1:13" x14ac:dyDescent="0.25">
      <c r="A20" s="136"/>
      <c r="B20" s="136" t="s">
        <v>96</v>
      </c>
      <c r="C20" s="136"/>
      <c r="D20" s="137"/>
      <c r="E20" s="138">
        <f>=SUM(E17:E19)</f>
      </c>
      <c r="F20" s="136"/>
      <c r="G20" s="138">
        <f>=SUM(G17:G19)</f>
      </c>
      <c r="H20" s="136"/>
      <c r="I20" s="136"/>
      <c r="J20" s="132"/>
      <c r="K20" s="132"/>
      <c r="L20" s="132"/>
      <c r="M20" s="132"/>
    </row>
    <row r="22" spans="1:9" x14ac:dyDescent="0.25">
      <c r="A22" s="3" t="s">
        <v>371</v>
      </c>
      <c r="B22" s="3" t="s">
        <v>359</v>
      </c>
      <c r="C22" s="3" t="s">
        <v>359</v>
      </c>
      <c r="D22" t="s">
        <v>359</v>
      </c>
      <c r="E22" s="3" t="s">
        <v>359</v>
      </c>
      <c r="F22" s="3" t="s">
        <v>359</v>
      </c>
      <c r="G22" s="3" t="s">
        <v>359</v>
      </c>
      <c r="I22" s="3" t="s">
        <v>17</v>
      </c>
    </row>
    <row r="24" spans="1:6" x14ac:dyDescent="0.25">
      <c r="A24" s="3" t="s">
        <v>360</v>
      </c>
      <c r="B24" s="3" t="s">
        <v>361</v>
      </c>
      <c r="C24" s="3" t="s">
        <v>362</v>
      </c>
      <c r="D24" t="s">
        <v>363</v>
      </c>
      <c r="E24" s="3" t="s">
        <v>102</v>
      </c>
      <c r="F24" s="3" t="s">
        <v>364</v>
      </c>
    </row>
    <row r="25" spans="1:13" x14ac:dyDescent="0.25">
      <c r="A25" s="29">
        <v>1</v>
      </c>
      <c r="B25" s="29" t="s">
        <v>372</v>
      </c>
      <c r="C25" s="134" t="s">
        <v>366</v>
      </c>
      <c r="D25" s="129">
        <v>1</v>
      </c>
      <c r="E25" s="29"/>
      <c r="F25" s="139">
        <v>46095.625</v>
      </c>
      <c r="G25" s="29"/>
      <c r="H25" s="29"/>
      <c r="I25" s="29"/>
      <c r="J25" s="132"/>
      <c r="K25" s="132"/>
      <c r="L25" s="132"/>
      <c r="M25" s="132"/>
    </row>
    <row r="27" spans="1:9" x14ac:dyDescent="0.25">
      <c r="A27" s="133" t="s">
        <v>360</v>
      </c>
      <c r="B27" s="133" t="s">
        <v>367</v>
      </c>
      <c r="C27" s="133" t="s">
        <v>368</v>
      </c>
      <c r="D27" s="133" t="s">
        <v>4</v>
      </c>
      <c r="E27" s="133" t="s">
        <v>5</v>
      </c>
      <c r="F27" s="133" t="s">
        <v>6</v>
      </c>
      <c r="G27" s="133" t="s">
        <v>7</v>
      </c>
      <c r="H27" s="133" t="s">
        <v>8</v>
      </c>
      <c r="I27" s="133" t="s">
        <v>9</v>
      </c>
    </row>
    <row r="28" spans="1:13" x14ac:dyDescent="0.25">
      <c r="A28" s="29">
        <v>1</v>
      </c>
      <c r="B28" s="29" t="s">
        <v>60</v>
      </c>
      <c r="C28" s="134" t="s">
        <v>61</v>
      </c>
      <c r="D28" s="135">
        <v>1.15</v>
      </c>
      <c r="E28" s="135">
        <v>500</v>
      </c>
      <c r="F28" s="29" t="s">
        <v>32</v>
      </c>
      <c r="G28" s="135">
        <v>575</v>
      </c>
      <c r="H28" s="29" t="s">
        <v>15</v>
      </c>
      <c r="I28" s="135">
        <v>3.18</v>
      </c>
      <c r="J28" s="132" t="s">
        <v>16</v>
      </c>
      <c r="K28" s="132" t="s">
        <v>348</v>
      </c>
      <c r="L28" s="132" t="s">
        <v>17</v>
      </c>
      <c r="M28" s="132" t="s">
        <v>17</v>
      </c>
    </row>
    <row r="29" spans="1:13" x14ac:dyDescent="0.25">
      <c r="A29" s="136"/>
      <c r="B29" s="136" t="s">
        <v>96</v>
      </c>
      <c r="C29" s="136"/>
      <c r="D29" s="137"/>
      <c r="E29" s="138">
        <f>=SUM(E28:E28)</f>
      </c>
      <c r="F29" s="136"/>
      <c r="G29" s="138">
        <f>=SUM(G28:G28)</f>
      </c>
      <c r="H29" s="136"/>
      <c r="I29" s="136"/>
      <c r="J29" s="132"/>
      <c r="K29" s="132"/>
      <c r="L29" s="132"/>
      <c r="M29" s="132"/>
    </row>
    <row r="31" spans="1:9" x14ac:dyDescent="0.25">
      <c r="A31" s="3" t="s">
        <v>373</v>
      </c>
      <c r="B31" s="3" t="s">
        <v>359</v>
      </c>
      <c r="C31" s="3" t="s">
        <v>359</v>
      </c>
      <c r="D31" t="s">
        <v>359</v>
      </c>
      <c r="E31" s="3" t="s">
        <v>359</v>
      </c>
      <c r="F31" s="3" t="s">
        <v>359</v>
      </c>
      <c r="G31" s="3" t="s">
        <v>359</v>
      </c>
      <c r="I31" s="3" t="s">
        <v>17</v>
      </c>
    </row>
    <row r="33" spans="1:6" x14ac:dyDescent="0.25">
      <c r="A33" s="3" t="s">
        <v>360</v>
      </c>
      <c r="B33" s="3" t="s">
        <v>361</v>
      </c>
      <c r="C33" s="3" t="s">
        <v>362</v>
      </c>
      <c r="D33" t="s">
        <v>363</v>
      </c>
      <c r="E33" s="3" t="s">
        <v>102</v>
      </c>
      <c r="F33" s="3" t="s">
        <v>364</v>
      </c>
    </row>
    <row r="34" spans="1:13" x14ac:dyDescent="0.25">
      <c r="A34" s="29">
        <v>1</v>
      </c>
      <c r="B34" s="29" t="s">
        <v>374</v>
      </c>
      <c r="C34" s="134" t="s">
        <v>375</v>
      </c>
      <c r="D34" s="129">
        <v>1563</v>
      </c>
      <c r="E34" s="29"/>
      <c r="F34" s="139">
        <v>46095.625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2</v>
      </c>
      <c r="B35" s="29" t="s">
        <v>376</v>
      </c>
      <c r="C35" s="134" t="s">
        <v>377</v>
      </c>
      <c r="D35" s="129">
        <v>521</v>
      </c>
      <c r="E35" s="29"/>
      <c r="F35" s="139">
        <v>46095.625</v>
      </c>
      <c r="G35" s="29"/>
      <c r="H35" s="29"/>
      <c r="I35" s="29"/>
      <c r="J35" s="132"/>
      <c r="K35" s="132"/>
      <c r="L35" s="132"/>
      <c r="M35" s="132"/>
    </row>
    <row r="36" spans="1:13" x14ac:dyDescent="0.25">
      <c r="A36" s="29">
        <v>3</v>
      </c>
      <c r="B36" s="29" t="s">
        <v>378</v>
      </c>
      <c r="C36" s="134" t="s">
        <v>379</v>
      </c>
      <c r="D36" s="129">
        <v>313</v>
      </c>
      <c r="E36" s="29"/>
      <c r="F36" s="139">
        <v>46095.625</v>
      </c>
      <c r="G36" s="29"/>
      <c r="H36" s="29"/>
      <c r="I36" s="29"/>
      <c r="J36" s="132"/>
      <c r="K36" s="132"/>
      <c r="L36" s="132"/>
      <c r="M36" s="132"/>
    </row>
    <row r="37" spans="1:13" x14ac:dyDescent="0.25">
      <c r="A37" s="29">
        <v>4</v>
      </c>
      <c r="B37" s="29" t="s">
        <v>380</v>
      </c>
      <c r="C37" s="134" t="s">
        <v>381</v>
      </c>
      <c r="D37" s="129">
        <v>1248</v>
      </c>
      <c r="E37" s="29"/>
      <c r="F37" s="139">
        <v>46095.625</v>
      </c>
      <c r="G37" s="29"/>
      <c r="H37" s="29"/>
      <c r="I37" s="29"/>
      <c r="J37" s="132"/>
      <c r="K37" s="132"/>
      <c r="L37" s="132"/>
      <c r="M37" s="132"/>
    </row>
    <row r="38" spans="1:13" x14ac:dyDescent="0.25">
      <c r="A38" s="29">
        <v>5</v>
      </c>
      <c r="B38" s="29" t="s">
        <v>382</v>
      </c>
      <c r="C38" s="134" t="s">
        <v>383</v>
      </c>
      <c r="D38" s="129">
        <v>520</v>
      </c>
      <c r="E38" s="29"/>
      <c r="F38" s="139">
        <v>46095.625</v>
      </c>
      <c r="G38" s="29"/>
      <c r="H38" s="29"/>
      <c r="I38" s="29"/>
      <c r="J38" s="132"/>
      <c r="K38" s="132"/>
      <c r="L38" s="132"/>
      <c r="M38" s="132"/>
    </row>
    <row r="39" spans="1:13" x14ac:dyDescent="0.25">
      <c r="A39" s="29">
        <v>6</v>
      </c>
      <c r="B39" s="29" t="s">
        <v>384</v>
      </c>
      <c r="C39" s="134" t="s">
        <v>385</v>
      </c>
      <c r="D39" s="129">
        <v>521</v>
      </c>
      <c r="E39" s="29"/>
      <c r="F39" s="139">
        <v>46095.625</v>
      </c>
      <c r="G39" s="29"/>
      <c r="H39" s="29"/>
      <c r="I39" s="29"/>
      <c r="J39" s="132"/>
      <c r="K39" s="132"/>
      <c r="L39" s="132"/>
      <c r="M39" s="132"/>
    </row>
    <row r="40" spans="1:13" x14ac:dyDescent="0.25">
      <c r="A40" s="29">
        <v>7</v>
      </c>
      <c r="B40" s="29" t="s">
        <v>386</v>
      </c>
      <c r="C40" s="134" t="s">
        <v>387</v>
      </c>
      <c r="D40" s="129">
        <v>1094</v>
      </c>
      <c r="E40" s="29"/>
      <c r="F40" s="139">
        <v>46095.625</v>
      </c>
      <c r="G40" s="29"/>
      <c r="H40" s="29"/>
      <c r="I40" s="29"/>
      <c r="J40" s="132"/>
      <c r="K40" s="132"/>
      <c r="L40" s="132"/>
      <c r="M40" s="132"/>
    </row>
    <row r="41" spans="1:13" x14ac:dyDescent="0.25">
      <c r="A41" s="29">
        <v>8</v>
      </c>
      <c r="B41" s="29" t="s">
        <v>388</v>
      </c>
      <c r="C41" s="134" t="s">
        <v>389</v>
      </c>
      <c r="D41" s="129">
        <v>551</v>
      </c>
      <c r="E41" s="29"/>
      <c r="F41" s="139">
        <v>46095.625</v>
      </c>
      <c r="G41" s="29"/>
      <c r="H41" s="29"/>
      <c r="I41" s="29"/>
      <c r="J41" s="132"/>
      <c r="K41" s="132"/>
      <c r="L41" s="132"/>
      <c r="M41" s="132"/>
    </row>
    <row r="42" spans="1:13" x14ac:dyDescent="0.25">
      <c r="A42" s="29">
        <v>9</v>
      </c>
      <c r="B42" s="29" t="s">
        <v>390</v>
      </c>
      <c r="C42" s="134" t="s">
        <v>391</v>
      </c>
      <c r="D42" s="129">
        <v>935</v>
      </c>
      <c r="E42" s="29"/>
      <c r="F42" s="139">
        <v>46095.625</v>
      </c>
      <c r="G42" s="29"/>
      <c r="H42" s="29"/>
      <c r="I42" s="29"/>
      <c r="J42" s="132"/>
      <c r="K42" s="132"/>
      <c r="L42" s="132"/>
      <c r="M42" s="132"/>
    </row>
    <row r="43" spans="1:13" x14ac:dyDescent="0.25">
      <c r="A43" s="29">
        <v>10</v>
      </c>
      <c r="B43" s="29" t="s">
        <v>392</v>
      </c>
      <c r="C43" s="134" t="s">
        <v>393</v>
      </c>
      <c r="D43" s="129">
        <v>1352</v>
      </c>
      <c r="E43" s="29"/>
      <c r="F43" s="139">
        <v>46095.625</v>
      </c>
      <c r="G43" s="29"/>
      <c r="H43" s="29"/>
      <c r="I43" s="29"/>
      <c r="J43" s="132"/>
      <c r="K43" s="132"/>
      <c r="L43" s="132"/>
      <c r="M43" s="132"/>
    </row>
    <row r="45" spans="1:9" x14ac:dyDescent="0.25">
      <c r="A45" s="133" t="s">
        <v>360</v>
      </c>
      <c r="B45" s="133" t="s">
        <v>367</v>
      </c>
      <c r="C45" s="133" t="s">
        <v>368</v>
      </c>
      <c r="D45" s="133" t="s">
        <v>4</v>
      </c>
      <c r="E45" s="133" t="s">
        <v>5</v>
      </c>
      <c r="F45" s="133" t="s">
        <v>6</v>
      </c>
      <c r="G45" s="133" t="s">
        <v>7</v>
      </c>
      <c r="H45" s="133" t="s">
        <v>8</v>
      </c>
      <c r="I45" s="133" t="s">
        <v>9</v>
      </c>
    </row>
    <row r="46" spans="1:13" x14ac:dyDescent="0.25">
      <c r="A46" s="29">
        <v>1</v>
      </c>
      <c r="B46" s="29" t="s">
        <v>12</v>
      </c>
      <c r="C46" s="134" t="s">
        <v>238</v>
      </c>
      <c r="D46" s="135">
        <v>6.29</v>
      </c>
      <c r="E46" s="135">
        <v>267</v>
      </c>
      <c r="F46" s="29" t="s">
        <v>14</v>
      </c>
      <c r="G46" s="135">
        <v>1679.43</v>
      </c>
      <c r="H46" s="29" t="s">
        <v>15</v>
      </c>
      <c r="I46" s="135">
        <v>1.7</v>
      </c>
      <c r="J46" s="132" t="s">
        <v>16</v>
      </c>
      <c r="K46" s="132" t="s">
        <v>321</v>
      </c>
      <c r="L46" s="132" t="s">
        <v>322</v>
      </c>
      <c r="M46" s="132" t="s">
        <v>18</v>
      </c>
    </row>
    <row r="47" spans="1:13" x14ac:dyDescent="0.25">
      <c r="A47" s="29">
        <v>2</v>
      </c>
      <c r="B47" s="29" t="s">
        <v>12</v>
      </c>
      <c r="C47" s="134" t="s">
        <v>242</v>
      </c>
      <c r="D47" s="135">
        <v>5.15</v>
      </c>
      <c r="E47" s="135">
        <v>8</v>
      </c>
      <c r="F47" s="29" t="s">
        <v>14</v>
      </c>
      <c r="G47" s="135">
        <v>41.2</v>
      </c>
      <c r="H47" s="29" t="s">
        <v>15</v>
      </c>
      <c r="I47" s="135">
        <v>0.05</v>
      </c>
      <c r="J47" s="132" t="s">
        <v>16</v>
      </c>
      <c r="K47" s="132" t="s">
        <v>320</v>
      </c>
      <c r="L47" s="132" t="s">
        <v>322</v>
      </c>
      <c r="M47" s="132" t="s">
        <v>18</v>
      </c>
    </row>
    <row r="48" spans="1:13" x14ac:dyDescent="0.25">
      <c r="A48" s="136"/>
      <c r="B48" s="136" t="s">
        <v>96</v>
      </c>
      <c r="C48" s="136"/>
      <c r="D48" s="137"/>
      <c r="E48" s="138">
        <f>=SUM(E46:E47)</f>
      </c>
      <c r="F48" s="136"/>
      <c r="G48" s="138">
        <f>=SUM(G46:G47)</f>
      </c>
      <c r="H48" s="136"/>
      <c r="I48" s="136"/>
      <c r="J48" s="132"/>
      <c r="K48" s="132"/>
      <c r="L48" s="132"/>
      <c r="M48" s="132"/>
    </row>
    <row r="50" spans="1:9" x14ac:dyDescent="0.25">
      <c r="A50" s="3" t="s">
        <v>394</v>
      </c>
      <c r="B50" s="3" t="s">
        <v>359</v>
      </c>
      <c r="C50" s="3" t="s">
        <v>359</v>
      </c>
      <c r="D50" t="s">
        <v>359</v>
      </c>
      <c r="E50" s="3" t="s">
        <v>359</v>
      </c>
      <c r="F50" s="3" t="s">
        <v>359</v>
      </c>
      <c r="G50" s="3" t="s">
        <v>359</v>
      </c>
      <c r="I50" s="3" t="s">
        <v>17</v>
      </c>
    </row>
    <row r="52" spans="1:6" x14ac:dyDescent="0.25">
      <c r="A52" s="3" t="s">
        <v>360</v>
      </c>
      <c r="B52" s="3" t="s">
        <v>361</v>
      </c>
      <c r="C52" s="3" t="s">
        <v>362</v>
      </c>
      <c r="D52" t="s">
        <v>363</v>
      </c>
      <c r="E52" s="3" t="s">
        <v>102</v>
      </c>
      <c r="F52" s="3" t="s">
        <v>364</v>
      </c>
    </row>
    <row r="53" spans="1:13" x14ac:dyDescent="0.25">
      <c r="A53" s="29">
        <v>1</v>
      </c>
      <c r="B53" s="29" t="s">
        <v>395</v>
      </c>
      <c r="C53" s="134" t="s">
        <v>396</v>
      </c>
      <c r="D53" s="129">
        <v>521</v>
      </c>
      <c r="E53" s="29"/>
      <c r="F53" s="139">
        <v>46095.625</v>
      </c>
      <c r="G53" s="29"/>
      <c r="H53" s="29"/>
      <c r="I53" s="29"/>
      <c r="J53" s="132"/>
      <c r="K53" s="132"/>
      <c r="L53" s="132"/>
      <c r="M53" s="132"/>
    </row>
    <row r="54" spans="1:13" x14ac:dyDescent="0.25">
      <c r="A54" s="29">
        <v>2</v>
      </c>
      <c r="B54" s="29" t="s">
        <v>397</v>
      </c>
      <c r="C54" s="134" t="s">
        <v>398</v>
      </c>
      <c r="D54" s="129">
        <v>311</v>
      </c>
      <c r="E54" s="29"/>
      <c r="F54" s="139">
        <v>46095.625</v>
      </c>
      <c r="G54" s="29"/>
      <c r="H54" s="29"/>
      <c r="I54" s="29"/>
      <c r="J54" s="132"/>
      <c r="K54" s="132"/>
      <c r="L54" s="132"/>
      <c r="M54" s="132"/>
    </row>
    <row r="55" spans="1:13" x14ac:dyDescent="0.25">
      <c r="A55" s="29">
        <v>3</v>
      </c>
      <c r="B55" s="29" t="s">
        <v>399</v>
      </c>
      <c r="C55" s="134" t="s">
        <v>400</v>
      </c>
      <c r="D55" s="129">
        <v>521</v>
      </c>
      <c r="E55" s="29"/>
      <c r="F55" s="139">
        <v>46095.625</v>
      </c>
      <c r="G55" s="29"/>
      <c r="H55" s="29"/>
      <c r="I55" s="29"/>
      <c r="J55" s="132"/>
      <c r="K55" s="132"/>
      <c r="L55" s="132"/>
      <c r="M55" s="132"/>
    </row>
    <row r="56" spans="1:13" x14ac:dyDescent="0.25">
      <c r="A56" s="29">
        <v>4</v>
      </c>
      <c r="B56" s="29" t="s">
        <v>401</v>
      </c>
      <c r="C56" s="134" t="s">
        <v>402</v>
      </c>
      <c r="D56" s="129">
        <v>520</v>
      </c>
      <c r="E56" s="29"/>
      <c r="F56" s="139">
        <v>46095.625</v>
      </c>
      <c r="G56" s="29"/>
      <c r="H56" s="29"/>
      <c r="I56" s="29"/>
      <c r="J56" s="132"/>
      <c r="K56" s="132"/>
      <c r="L56" s="132"/>
      <c r="M56" s="132"/>
    </row>
    <row r="57" spans="1:13" x14ac:dyDescent="0.25">
      <c r="A57" s="29">
        <v>5</v>
      </c>
      <c r="B57" s="29" t="s">
        <v>403</v>
      </c>
      <c r="C57" s="134" t="s">
        <v>404</v>
      </c>
      <c r="D57" s="129">
        <v>520</v>
      </c>
      <c r="E57" s="29"/>
      <c r="F57" s="139">
        <v>46095.625</v>
      </c>
      <c r="G57" s="29"/>
      <c r="H57" s="29"/>
      <c r="I57" s="29"/>
      <c r="J57" s="132"/>
      <c r="K57" s="132"/>
      <c r="L57" s="132"/>
      <c r="M57" s="132"/>
    </row>
    <row r="58" spans="1:13" x14ac:dyDescent="0.25">
      <c r="A58" s="29">
        <v>6</v>
      </c>
      <c r="B58" s="29" t="s">
        <v>405</v>
      </c>
      <c r="C58" s="134" t="s">
        <v>406</v>
      </c>
      <c r="D58" s="129">
        <v>520</v>
      </c>
      <c r="E58" s="29"/>
      <c r="F58" s="139">
        <v>46095.625</v>
      </c>
      <c r="G58" s="29"/>
      <c r="H58" s="29"/>
      <c r="I58" s="29"/>
      <c r="J58" s="132"/>
      <c r="K58" s="132"/>
      <c r="L58" s="132"/>
      <c r="M58" s="132"/>
    </row>
    <row r="59" spans="1:13" x14ac:dyDescent="0.25">
      <c r="A59" s="29">
        <v>7</v>
      </c>
      <c r="B59" s="29" t="s">
        <v>407</v>
      </c>
      <c r="C59" s="134" t="s">
        <v>408</v>
      </c>
      <c r="D59" s="129">
        <v>520</v>
      </c>
      <c r="E59" s="29"/>
      <c r="F59" s="139">
        <v>46095.625</v>
      </c>
      <c r="G59" s="29"/>
      <c r="H59" s="29"/>
      <c r="I59" s="29"/>
      <c r="J59" s="132"/>
      <c r="K59" s="132"/>
      <c r="L59" s="132"/>
      <c r="M59" s="132"/>
    </row>
    <row r="60" spans="1:13" x14ac:dyDescent="0.25">
      <c r="A60" s="29">
        <v>8</v>
      </c>
      <c r="B60" s="29" t="s">
        <v>409</v>
      </c>
      <c r="C60" s="134" t="s">
        <v>410</v>
      </c>
      <c r="D60" s="129">
        <v>520</v>
      </c>
      <c r="E60" s="29"/>
      <c r="F60" s="139">
        <v>46095.625</v>
      </c>
      <c r="G60" s="29"/>
      <c r="H60" s="29"/>
      <c r="I60" s="29"/>
      <c r="J60" s="132"/>
      <c r="K60" s="132"/>
      <c r="L60" s="132"/>
      <c r="M60" s="132"/>
    </row>
    <row r="62" spans="1:9" x14ac:dyDescent="0.25">
      <c r="A62" s="133" t="s">
        <v>360</v>
      </c>
      <c r="B62" s="133" t="s">
        <v>367</v>
      </c>
      <c r="C62" s="133" t="s">
        <v>368</v>
      </c>
      <c r="D62" s="133" t="s">
        <v>4</v>
      </c>
      <c r="E62" s="133" t="s">
        <v>5</v>
      </c>
      <c r="F62" s="133" t="s">
        <v>6</v>
      </c>
      <c r="G62" s="133" t="s">
        <v>7</v>
      </c>
      <c r="H62" s="133" t="s">
        <v>8</v>
      </c>
      <c r="I62" s="133" t="s">
        <v>9</v>
      </c>
    </row>
    <row r="63" spans="1:13" x14ac:dyDescent="0.25">
      <c r="A63" s="29">
        <v>1</v>
      </c>
      <c r="B63" s="29" t="s">
        <v>323</v>
      </c>
      <c r="C63" s="134" t="s">
        <v>245</v>
      </c>
      <c r="D63" s="135">
        <v>2.55</v>
      </c>
      <c r="E63" s="135">
        <v>50</v>
      </c>
      <c r="F63" s="29" t="s">
        <v>14</v>
      </c>
      <c r="G63" s="135">
        <v>127.49999999999999</v>
      </c>
      <c r="H63" s="29" t="s">
        <v>15</v>
      </c>
      <c r="I63" s="135">
        <v>0.32</v>
      </c>
      <c r="J63" s="132" t="s">
        <v>16</v>
      </c>
      <c r="K63" s="132" t="s">
        <v>324</v>
      </c>
      <c r="L63" s="132" t="s">
        <v>325</v>
      </c>
      <c r="M63" s="132" t="s">
        <v>18</v>
      </c>
    </row>
    <row r="64" spans="1:13" x14ac:dyDescent="0.25">
      <c r="A64" s="136"/>
      <c r="B64" s="136" t="s">
        <v>96</v>
      </c>
      <c r="C64" s="136"/>
      <c r="D64" s="137"/>
      <c r="E64" s="138">
        <f>=SUM(E63:E63)</f>
      </c>
      <c r="F64" s="136"/>
      <c r="G64" s="138">
        <f>=SUM(G63:G63)</f>
      </c>
      <c r="H64" s="136"/>
      <c r="I64" s="136"/>
      <c r="J64" s="132"/>
      <c r="K64" s="132"/>
      <c r="L64" s="132"/>
      <c r="M64" s="132"/>
    </row>
    <row r="66" spans="1:9" x14ac:dyDescent="0.25">
      <c r="A66" s="3" t="s">
        <v>411</v>
      </c>
      <c r="B66" s="3" t="s">
        <v>359</v>
      </c>
      <c r="C66" s="3" t="s">
        <v>359</v>
      </c>
      <c r="D66" t="s">
        <v>359</v>
      </c>
      <c r="E66" s="3" t="s">
        <v>359</v>
      </c>
      <c r="F66" s="3" t="s">
        <v>359</v>
      </c>
      <c r="G66" s="3" t="s">
        <v>359</v>
      </c>
      <c r="I66" s="3" t="s">
        <v>17</v>
      </c>
    </row>
    <row r="68" spans="1:6" x14ac:dyDescent="0.25">
      <c r="A68" s="3" t="s">
        <v>360</v>
      </c>
      <c r="B68" s="3" t="s">
        <v>361</v>
      </c>
      <c r="C68" s="3" t="s">
        <v>362</v>
      </c>
      <c r="D68" t="s">
        <v>363</v>
      </c>
      <c r="E68" s="3" t="s">
        <v>102</v>
      </c>
      <c r="F68" s="3" t="s">
        <v>364</v>
      </c>
    </row>
    <row r="69" spans="1:13" x14ac:dyDescent="0.25">
      <c r="A69" s="29">
        <v>1</v>
      </c>
      <c r="B69" s="29" t="s">
        <v>412</v>
      </c>
      <c r="C69" s="134" t="s">
        <v>413</v>
      </c>
      <c r="D69" s="129">
        <v>514</v>
      </c>
      <c r="E69" s="29"/>
      <c r="F69" s="139">
        <v>46095.625</v>
      </c>
      <c r="G69" s="29"/>
      <c r="H69" s="29"/>
      <c r="I69" s="29"/>
      <c r="J69" s="132"/>
      <c r="K69" s="132"/>
      <c r="L69" s="132"/>
      <c r="M69" s="132"/>
    </row>
    <row r="71" spans="1:9" x14ac:dyDescent="0.25">
      <c r="A71" s="133" t="s">
        <v>360</v>
      </c>
      <c r="B71" s="133" t="s">
        <v>367</v>
      </c>
      <c r="C71" s="133" t="s">
        <v>368</v>
      </c>
      <c r="D71" s="133" t="s">
        <v>4</v>
      </c>
      <c r="E71" s="133" t="s">
        <v>5</v>
      </c>
      <c r="F71" s="133" t="s">
        <v>6</v>
      </c>
      <c r="G71" s="133" t="s">
        <v>7</v>
      </c>
      <c r="H71" s="133" t="s">
        <v>8</v>
      </c>
      <c r="I71" s="133" t="s">
        <v>9</v>
      </c>
    </row>
    <row r="72" spans="1:13" x14ac:dyDescent="0.25">
      <c r="A72" s="29">
        <v>1</v>
      </c>
      <c r="B72" s="29" t="s">
        <v>39</v>
      </c>
      <c r="C72" s="134" t="s">
        <v>68</v>
      </c>
      <c r="D72" s="135">
        <v>0.03</v>
      </c>
      <c r="E72" s="135">
        <v>485</v>
      </c>
      <c r="F72" s="29" t="s">
        <v>32</v>
      </c>
      <c r="G72" s="135">
        <v>14.549999999999999</v>
      </c>
      <c r="H72" s="29" t="s">
        <v>15</v>
      </c>
      <c r="I72" s="135">
        <v>3.08</v>
      </c>
      <c r="J72" s="132" t="s">
        <v>16</v>
      </c>
      <c r="K72" s="132" t="s">
        <v>342</v>
      </c>
      <c r="L72" s="132" t="s">
        <v>17</v>
      </c>
      <c r="M72" s="132" t="s">
        <v>17</v>
      </c>
    </row>
    <row r="73" spans="1:13" x14ac:dyDescent="0.25">
      <c r="A73" s="29">
        <v>2</v>
      </c>
      <c r="B73" s="29" t="s">
        <v>34</v>
      </c>
      <c r="C73" s="134" t="s">
        <v>72</v>
      </c>
      <c r="D73" s="135">
        <v>0.11</v>
      </c>
      <c r="E73" s="135">
        <v>1298</v>
      </c>
      <c r="F73" s="29" t="s">
        <v>46</v>
      </c>
      <c r="G73" s="135">
        <v>142.78</v>
      </c>
      <c r="H73" s="29" t="s">
        <v>15</v>
      </c>
      <c r="I73" s="135">
        <v>8.25</v>
      </c>
      <c r="J73" s="132" t="s">
        <v>16</v>
      </c>
      <c r="K73" s="132" t="s">
        <v>341</v>
      </c>
      <c r="L73" s="132" t="s">
        <v>17</v>
      </c>
      <c r="M73" s="132" t="s">
        <v>17</v>
      </c>
    </row>
    <row r="74" spans="1:13" x14ac:dyDescent="0.25">
      <c r="A74" s="29">
        <v>3</v>
      </c>
      <c r="B74" s="29" t="s">
        <v>41</v>
      </c>
      <c r="C74" s="134" t="s">
        <v>73</v>
      </c>
      <c r="D74" s="135">
        <v>0.02</v>
      </c>
      <c r="E74" s="135">
        <v>454</v>
      </c>
      <c r="F74" s="29" t="s">
        <v>32</v>
      </c>
      <c r="G74" s="135">
        <v>9.08</v>
      </c>
      <c r="H74" s="29" t="s">
        <v>15</v>
      </c>
      <c r="I74" s="135">
        <v>2.88</v>
      </c>
      <c r="J74" s="132" t="s">
        <v>16</v>
      </c>
      <c r="K74" s="132" t="s">
        <v>343</v>
      </c>
      <c r="L74" s="132" t="s">
        <v>17</v>
      </c>
      <c r="M74" s="132" t="s">
        <v>17</v>
      </c>
    </row>
    <row r="75" spans="1:13" x14ac:dyDescent="0.25">
      <c r="A75" s="29">
        <v>4</v>
      </c>
      <c r="B75" s="29" t="s">
        <v>74</v>
      </c>
      <c r="C75" s="134" t="s">
        <v>75</v>
      </c>
      <c r="D75" s="135">
        <v>0.38</v>
      </c>
      <c r="E75" s="135">
        <v>520</v>
      </c>
      <c r="F75" s="29" t="s">
        <v>32</v>
      </c>
      <c r="G75" s="135">
        <v>197.6</v>
      </c>
      <c r="H75" s="29" t="s">
        <v>15</v>
      </c>
      <c r="I75" s="135">
        <v>3.3</v>
      </c>
      <c r="J75" s="132" t="s">
        <v>16</v>
      </c>
      <c r="K75" s="132" t="s">
        <v>353</v>
      </c>
      <c r="L75" s="132" t="s">
        <v>17</v>
      </c>
      <c r="M75" s="132" t="s">
        <v>17</v>
      </c>
    </row>
    <row r="76" spans="1:13" x14ac:dyDescent="0.25">
      <c r="A76" s="136"/>
      <c r="B76" s="136" t="s">
        <v>96</v>
      </c>
      <c r="C76" s="136"/>
      <c r="D76" s="137"/>
      <c r="E76" s="138">
        <f>=SUM(E72:E75)</f>
      </c>
      <c r="F76" s="136"/>
      <c r="G76" s="138">
        <f>=SUM(G72:G75)</f>
      </c>
      <c r="H76" s="136"/>
      <c r="I76" s="136"/>
      <c r="J76" s="132"/>
      <c r="K76" s="132"/>
      <c r="L76" s="132"/>
      <c r="M76" s="132"/>
    </row>
    <row r="78" spans="1:9" x14ac:dyDescent="0.25">
      <c r="A78" s="3" t="s">
        <v>414</v>
      </c>
      <c r="B78" s="3" t="s">
        <v>359</v>
      </c>
      <c r="C78" s="3" t="s">
        <v>359</v>
      </c>
      <c r="D78" t="s">
        <v>359</v>
      </c>
      <c r="E78" s="3" t="s">
        <v>359</v>
      </c>
      <c r="F78" s="3" t="s">
        <v>359</v>
      </c>
      <c r="G78" s="3" t="s">
        <v>359</v>
      </c>
      <c r="I78" s="3" t="s">
        <v>17</v>
      </c>
    </row>
    <row r="80" spans="1:6" x14ac:dyDescent="0.25">
      <c r="A80" s="3" t="s">
        <v>360</v>
      </c>
      <c r="B80" s="3" t="s">
        <v>361</v>
      </c>
      <c r="C80" s="3" t="s">
        <v>362</v>
      </c>
      <c r="D80" t="s">
        <v>363</v>
      </c>
      <c r="E80" s="3" t="s">
        <v>102</v>
      </c>
      <c r="F80" s="3" t="s">
        <v>364</v>
      </c>
    </row>
    <row r="81" spans="1:13" x14ac:dyDescent="0.25">
      <c r="A81" s="29">
        <v>1</v>
      </c>
      <c r="B81" s="29" t="s">
        <v>415</v>
      </c>
      <c r="C81" s="134" t="s">
        <v>416</v>
      </c>
      <c r="D81" s="129">
        <v>412</v>
      </c>
      <c r="E81" s="29"/>
      <c r="F81" s="139">
        <v>46095.625</v>
      </c>
      <c r="G81" s="29"/>
      <c r="H81" s="29"/>
      <c r="I81" s="29"/>
      <c r="J81" s="132"/>
      <c r="K81" s="132"/>
      <c r="L81" s="132"/>
      <c r="M81" s="132"/>
    </row>
    <row r="83" spans="1:9" x14ac:dyDescent="0.25">
      <c r="A83" s="133" t="s">
        <v>360</v>
      </c>
      <c r="B83" s="133" t="s">
        <v>367</v>
      </c>
      <c r="C83" s="133" t="s">
        <v>368</v>
      </c>
      <c r="D83" s="133" t="s">
        <v>4</v>
      </c>
      <c r="E83" s="133" t="s">
        <v>5</v>
      </c>
      <c r="F83" s="133" t="s">
        <v>6</v>
      </c>
      <c r="G83" s="133" t="s">
        <v>7</v>
      </c>
      <c r="H83" s="133" t="s">
        <v>8</v>
      </c>
      <c r="I83" s="133" t="s">
        <v>9</v>
      </c>
    </row>
    <row r="84" spans="1:13" x14ac:dyDescent="0.25">
      <c r="A84" s="29">
        <v>1</v>
      </c>
      <c r="B84" s="29" t="s">
        <v>44</v>
      </c>
      <c r="C84" s="134" t="s">
        <v>54</v>
      </c>
      <c r="D84" s="135">
        <v>0.03</v>
      </c>
      <c r="E84" s="135">
        <v>1704</v>
      </c>
      <c r="F84" s="29" t="s">
        <v>46</v>
      </c>
      <c r="G84" s="135">
        <v>51.12</v>
      </c>
      <c r="H84" s="29" t="s">
        <v>15</v>
      </c>
      <c r="I84" s="135">
        <v>10.83</v>
      </c>
      <c r="J84" s="132" t="s">
        <v>16</v>
      </c>
      <c r="K84" s="132" t="s">
        <v>344</v>
      </c>
      <c r="L84" s="132" t="s">
        <v>17</v>
      </c>
      <c r="M84" s="132" t="s">
        <v>17</v>
      </c>
    </row>
    <row r="85" spans="1:13" x14ac:dyDescent="0.25">
      <c r="A85" s="29">
        <v>2</v>
      </c>
      <c r="B85" s="29" t="s">
        <v>39</v>
      </c>
      <c r="C85" s="134" t="s">
        <v>68</v>
      </c>
      <c r="D85" s="135">
        <v>0.03</v>
      </c>
      <c r="E85" s="135">
        <v>413</v>
      </c>
      <c r="F85" s="29" t="s">
        <v>32</v>
      </c>
      <c r="G85" s="135">
        <v>12.389999999999999</v>
      </c>
      <c r="H85" s="29" t="s">
        <v>15</v>
      </c>
      <c r="I85" s="135">
        <v>2.62</v>
      </c>
      <c r="J85" s="132" t="s">
        <v>16</v>
      </c>
      <c r="K85" s="132" t="s">
        <v>342</v>
      </c>
      <c r="L85" s="132" t="s">
        <v>17</v>
      </c>
      <c r="M85" s="132" t="s">
        <v>17</v>
      </c>
    </row>
    <row r="86" spans="1:13" x14ac:dyDescent="0.25">
      <c r="A86" s="29">
        <v>3</v>
      </c>
      <c r="B86" s="29" t="s">
        <v>34</v>
      </c>
      <c r="C86" s="134" t="s">
        <v>72</v>
      </c>
      <c r="D86" s="135">
        <v>0.11</v>
      </c>
      <c r="E86" s="135">
        <v>843</v>
      </c>
      <c r="F86" s="29" t="s">
        <v>46</v>
      </c>
      <c r="G86" s="135">
        <v>92.73</v>
      </c>
      <c r="H86" s="29" t="s">
        <v>15</v>
      </c>
      <c r="I86" s="135">
        <v>5.36</v>
      </c>
      <c r="J86" s="132" t="s">
        <v>16</v>
      </c>
      <c r="K86" s="132" t="s">
        <v>341</v>
      </c>
      <c r="L86" s="132" t="s">
        <v>17</v>
      </c>
      <c r="M86" s="132" t="s">
        <v>17</v>
      </c>
    </row>
    <row r="87" spans="1:13" x14ac:dyDescent="0.25">
      <c r="A87" s="29">
        <v>4</v>
      </c>
      <c r="B87" s="29" t="s">
        <v>41</v>
      </c>
      <c r="C87" s="134" t="s">
        <v>73</v>
      </c>
      <c r="D87" s="135">
        <v>0.02</v>
      </c>
      <c r="E87" s="135">
        <v>413</v>
      </c>
      <c r="F87" s="29" t="s">
        <v>32</v>
      </c>
      <c r="G87" s="135">
        <v>8.26</v>
      </c>
      <c r="H87" s="29" t="s">
        <v>15</v>
      </c>
      <c r="I87" s="135">
        <v>2.62</v>
      </c>
      <c r="J87" s="132" t="s">
        <v>16</v>
      </c>
      <c r="K87" s="132" t="s">
        <v>343</v>
      </c>
      <c r="L87" s="132" t="s">
        <v>17</v>
      </c>
      <c r="M87" s="132" t="s">
        <v>17</v>
      </c>
    </row>
    <row r="88" spans="1:13" x14ac:dyDescent="0.25">
      <c r="A88" s="136"/>
      <c r="B88" s="136" t="s">
        <v>96</v>
      </c>
      <c r="C88" s="136"/>
      <c r="D88" s="137"/>
      <c r="E88" s="138">
        <f>=SUM(E84:E87)</f>
      </c>
      <c r="F88" s="136"/>
      <c r="G88" s="138">
        <f>=SUM(G84:G87)</f>
      </c>
      <c r="H88" s="136"/>
      <c r="I88" s="136"/>
      <c r="J88" s="132"/>
      <c r="K88" s="132"/>
      <c r="L88" s="132"/>
      <c r="M88" s="132"/>
    </row>
    <row r="90" spans="1:9" x14ac:dyDescent="0.25">
      <c r="A90" s="3" t="s">
        <v>417</v>
      </c>
      <c r="B90" s="3" t="s">
        <v>359</v>
      </c>
      <c r="C90" s="3" t="s">
        <v>359</v>
      </c>
      <c r="D90" t="s">
        <v>359</v>
      </c>
      <c r="E90" s="3" t="s">
        <v>359</v>
      </c>
      <c r="F90" s="3" t="s">
        <v>359</v>
      </c>
      <c r="G90" s="3" t="s">
        <v>359</v>
      </c>
      <c r="I90" s="3" t="s">
        <v>17</v>
      </c>
    </row>
    <row r="92" spans="1:6" x14ac:dyDescent="0.25">
      <c r="A92" s="3" t="s">
        <v>360</v>
      </c>
      <c r="B92" s="3" t="s">
        <v>361</v>
      </c>
      <c r="C92" s="3" t="s">
        <v>362</v>
      </c>
      <c r="D92" t="s">
        <v>363</v>
      </c>
      <c r="E92" s="3" t="s">
        <v>102</v>
      </c>
      <c r="F92" s="3" t="s">
        <v>364</v>
      </c>
    </row>
    <row r="93" spans="1:13" x14ac:dyDescent="0.25">
      <c r="A93" s="29">
        <v>1</v>
      </c>
      <c r="B93" s="29" t="s">
        <v>418</v>
      </c>
      <c r="C93" s="134" t="s">
        <v>419</v>
      </c>
      <c r="D93" s="129">
        <v>508</v>
      </c>
      <c r="E93" s="29"/>
      <c r="F93" s="139">
        <v>46095.625</v>
      </c>
      <c r="G93" s="29"/>
      <c r="H93" s="29"/>
      <c r="I93" s="29"/>
      <c r="J93" s="132"/>
      <c r="K93" s="132"/>
      <c r="L93" s="132"/>
      <c r="M93" s="132"/>
    </row>
    <row r="95" spans="1:9" x14ac:dyDescent="0.25">
      <c r="A95" s="133" t="s">
        <v>360</v>
      </c>
      <c r="B95" s="133" t="s">
        <v>367</v>
      </c>
      <c r="C95" s="133" t="s">
        <v>368</v>
      </c>
      <c r="D95" s="133" t="s">
        <v>4</v>
      </c>
      <c r="E95" s="133" t="s">
        <v>5</v>
      </c>
      <c r="F95" s="133" t="s">
        <v>6</v>
      </c>
      <c r="G95" s="133" t="s">
        <v>7</v>
      </c>
      <c r="H95" s="133" t="s">
        <v>8</v>
      </c>
      <c r="I95" s="133" t="s">
        <v>9</v>
      </c>
    </row>
    <row r="96" spans="1:13" x14ac:dyDescent="0.25">
      <c r="A96" s="29">
        <v>1</v>
      </c>
      <c r="B96" s="29" t="s">
        <v>44</v>
      </c>
      <c r="C96" s="134" t="s">
        <v>54</v>
      </c>
      <c r="D96" s="135">
        <v>0.03</v>
      </c>
      <c r="E96" s="135">
        <v>2106</v>
      </c>
      <c r="F96" s="29" t="s">
        <v>46</v>
      </c>
      <c r="G96" s="135">
        <v>63.18</v>
      </c>
      <c r="H96" s="29" t="s">
        <v>15</v>
      </c>
      <c r="I96" s="135">
        <v>13.38</v>
      </c>
      <c r="J96" s="132" t="s">
        <v>16</v>
      </c>
      <c r="K96" s="132" t="s">
        <v>344</v>
      </c>
      <c r="L96" s="132" t="s">
        <v>17</v>
      </c>
      <c r="M96" s="132" t="s">
        <v>17</v>
      </c>
    </row>
    <row r="97" spans="1:13" x14ac:dyDescent="0.25">
      <c r="A97" s="29">
        <v>2</v>
      </c>
      <c r="B97" s="29" t="s">
        <v>65</v>
      </c>
      <c r="C97" s="134" t="s">
        <v>66</v>
      </c>
      <c r="D97" s="135">
        <v>0.01</v>
      </c>
      <c r="E97" s="135">
        <v>299</v>
      </c>
      <c r="F97" s="29" t="s">
        <v>32</v>
      </c>
      <c r="G97" s="135">
        <v>2.99</v>
      </c>
      <c r="H97" s="29" t="s">
        <v>15</v>
      </c>
      <c r="I97" s="135">
        <v>1.9</v>
      </c>
      <c r="J97" s="132" t="s">
        <v>16</v>
      </c>
      <c r="K97" s="132" t="s">
        <v>350</v>
      </c>
      <c r="L97" s="132" t="s">
        <v>17</v>
      </c>
      <c r="M97" s="132" t="s">
        <v>17</v>
      </c>
    </row>
    <row r="98" spans="1:13" x14ac:dyDescent="0.25">
      <c r="A98" s="29">
        <v>3</v>
      </c>
      <c r="B98" s="29" t="s">
        <v>39</v>
      </c>
      <c r="C98" s="134" t="s">
        <v>67</v>
      </c>
      <c r="D98" s="135">
        <v>0.01</v>
      </c>
      <c r="E98" s="135">
        <v>280</v>
      </c>
      <c r="F98" s="29" t="s">
        <v>32</v>
      </c>
      <c r="G98" s="135">
        <v>2.8000000000000003</v>
      </c>
      <c r="H98" s="29" t="s">
        <v>15</v>
      </c>
      <c r="I98" s="135">
        <v>1.78</v>
      </c>
      <c r="J98" s="132" t="s">
        <v>16</v>
      </c>
      <c r="K98" s="132" t="s">
        <v>342</v>
      </c>
      <c r="L98" s="132" t="s">
        <v>17</v>
      </c>
      <c r="M98" s="132" t="s">
        <v>17</v>
      </c>
    </row>
    <row r="99" spans="1:13" x14ac:dyDescent="0.25">
      <c r="A99" s="29">
        <v>4</v>
      </c>
      <c r="B99" s="29" t="s">
        <v>39</v>
      </c>
      <c r="C99" s="134" t="s">
        <v>68</v>
      </c>
      <c r="D99" s="135">
        <v>0.03</v>
      </c>
      <c r="E99" s="135">
        <v>516</v>
      </c>
      <c r="F99" s="29" t="s">
        <v>32</v>
      </c>
      <c r="G99" s="135">
        <v>15.479999999999999</v>
      </c>
      <c r="H99" s="29" t="s">
        <v>15</v>
      </c>
      <c r="I99" s="135">
        <v>3.28</v>
      </c>
      <c r="J99" s="132" t="s">
        <v>16</v>
      </c>
      <c r="K99" s="132" t="s">
        <v>342</v>
      </c>
      <c r="L99" s="132" t="s">
        <v>17</v>
      </c>
      <c r="M99" s="132" t="s">
        <v>17</v>
      </c>
    </row>
    <row r="100" spans="1:13" x14ac:dyDescent="0.25">
      <c r="A100" s="29">
        <v>5</v>
      </c>
      <c r="B100" s="29" t="s">
        <v>34</v>
      </c>
      <c r="C100" s="134" t="s">
        <v>72</v>
      </c>
      <c r="D100" s="135">
        <v>0.11</v>
      </c>
      <c r="E100" s="135">
        <v>527</v>
      </c>
      <c r="F100" s="29" t="s">
        <v>46</v>
      </c>
      <c r="G100" s="135">
        <v>57.97</v>
      </c>
      <c r="H100" s="29" t="s">
        <v>15</v>
      </c>
      <c r="I100" s="135">
        <v>3.35</v>
      </c>
      <c r="J100" s="132" t="s">
        <v>16</v>
      </c>
      <c r="K100" s="132" t="s">
        <v>341</v>
      </c>
      <c r="L100" s="132" t="s">
        <v>17</v>
      </c>
      <c r="M100" s="132" t="s">
        <v>17</v>
      </c>
    </row>
    <row r="101" spans="1:13" x14ac:dyDescent="0.25">
      <c r="A101" s="29">
        <v>6</v>
      </c>
      <c r="B101" s="29" t="s">
        <v>41</v>
      </c>
      <c r="C101" s="134" t="s">
        <v>73</v>
      </c>
      <c r="D101" s="135">
        <v>0.02</v>
      </c>
      <c r="E101" s="135">
        <v>516</v>
      </c>
      <c r="F101" s="29" t="s">
        <v>32</v>
      </c>
      <c r="G101" s="135">
        <v>10.32</v>
      </c>
      <c r="H101" s="29" t="s">
        <v>15</v>
      </c>
      <c r="I101" s="135">
        <v>3.28</v>
      </c>
      <c r="J101" s="132" t="s">
        <v>16</v>
      </c>
      <c r="K101" s="132" t="s">
        <v>343</v>
      </c>
      <c r="L101" s="132" t="s">
        <v>17</v>
      </c>
      <c r="M101" s="132" t="s">
        <v>17</v>
      </c>
    </row>
    <row r="102" spans="1:13" x14ac:dyDescent="0.25">
      <c r="A102" s="136"/>
      <c r="B102" s="136" t="s">
        <v>96</v>
      </c>
      <c r="C102" s="136"/>
      <c r="D102" s="137"/>
      <c r="E102" s="138">
        <f>=SUM(E96:E101)</f>
      </c>
      <c r="F102" s="136"/>
      <c r="G102" s="138">
        <f>=SUM(G96:G101)</f>
      </c>
      <c r="H102" s="136"/>
      <c r="I102" s="136"/>
      <c r="J102" s="132"/>
      <c r="K102" s="132"/>
      <c r="L102" s="132"/>
      <c r="M102" s="132"/>
    </row>
    <row r="104" spans="1:9" x14ac:dyDescent="0.25">
      <c r="A104" s="3" t="s">
        <v>420</v>
      </c>
      <c r="B104" s="3" t="s">
        <v>359</v>
      </c>
      <c r="C104" s="3" t="s">
        <v>359</v>
      </c>
      <c r="D104" t="s">
        <v>359</v>
      </c>
      <c r="E104" s="3" t="s">
        <v>359</v>
      </c>
      <c r="F104" s="3" t="s">
        <v>359</v>
      </c>
      <c r="G104" s="3" t="s">
        <v>359</v>
      </c>
      <c r="I104" s="3" t="s">
        <v>17</v>
      </c>
    </row>
    <row r="106" spans="1:6" x14ac:dyDescent="0.25">
      <c r="A106" s="3" t="s">
        <v>360</v>
      </c>
      <c r="B106" s="3" t="s">
        <v>361</v>
      </c>
      <c r="C106" s="3" t="s">
        <v>362</v>
      </c>
      <c r="D106" t="s">
        <v>363</v>
      </c>
      <c r="E106" s="3" t="s">
        <v>102</v>
      </c>
      <c r="F106" s="3" t="s">
        <v>364</v>
      </c>
    </row>
    <row r="107" spans="1:13" x14ac:dyDescent="0.25">
      <c r="A107" s="29">
        <v>1</v>
      </c>
      <c r="B107" s="29" t="s">
        <v>421</v>
      </c>
      <c r="C107" s="134" t="s">
        <v>422</v>
      </c>
      <c r="D107" s="129">
        <v>825</v>
      </c>
      <c r="E107" s="29"/>
      <c r="F107" s="139">
        <v>46095.625</v>
      </c>
      <c r="G107" s="29"/>
      <c r="H107" s="29"/>
      <c r="I107" s="29"/>
      <c r="J107" s="132"/>
      <c r="K107" s="132"/>
      <c r="L107" s="132"/>
      <c r="M107" s="132"/>
    </row>
    <row r="109" spans="1:9" x14ac:dyDescent="0.25">
      <c r="A109" s="133" t="s">
        <v>360</v>
      </c>
      <c r="B109" s="133" t="s">
        <v>367</v>
      </c>
      <c r="C109" s="133" t="s">
        <v>368</v>
      </c>
      <c r="D109" s="133" t="s">
        <v>4</v>
      </c>
      <c r="E109" s="133" t="s">
        <v>5</v>
      </c>
      <c r="F109" s="133" t="s">
        <v>6</v>
      </c>
      <c r="G109" s="133" t="s">
        <v>7</v>
      </c>
      <c r="H109" s="133" t="s">
        <v>8</v>
      </c>
      <c r="I109" s="133" t="s">
        <v>9</v>
      </c>
    </row>
    <row r="110" spans="1:13" x14ac:dyDescent="0.25">
      <c r="A110" s="29">
        <v>1</v>
      </c>
      <c r="B110" s="29" t="s">
        <v>41</v>
      </c>
      <c r="C110" s="134" t="s">
        <v>56</v>
      </c>
      <c r="D110" s="135">
        <v>0.17</v>
      </c>
      <c r="E110" s="135">
        <v>850</v>
      </c>
      <c r="F110" s="29" t="s">
        <v>46</v>
      </c>
      <c r="G110" s="135">
        <v>144.5</v>
      </c>
      <c r="H110" s="29" t="s">
        <v>15</v>
      </c>
      <c r="I110" s="135">
        <v>5.4</v>
      </c>
      <c r="J110" s="132" t="s">
        <v>16</v>
      </c>
      <c r="K110" s="132" t="s">
        <v>343</v>
      </c>
      <c r="L110" s="132" t="s">
        <v>17</v>
      </c>
      <c r="M110" s="132" t="s">
        <v>17</v>
      </c>
    </row>
    <row r="111" spans="1:13" x14ac:dyDescent="0.25">
      <c r="A111" s="29">
        <v>2</v>
      </c>
      <c r="B111" s="29" t="s">
        <v>39</v>
      </c>
      <c r="C111" s="134" t="s">
        <v>68</v>
      </c>
      <c r="D111" s="135">
        <v>0.03</v>
      </c>
      <c r="E111" s="135">
        <v>825</v>
      </c>
      <c r="F111" s="29" t="s">
        <v>32</v>
      </c>
      <c r="G111" s="135">
        <v>24.75</v>
      </c>
      <c r="H111" s="29" t="s">
        <v>15</v>
      </c>
      <c r="I111" s="135">
        <v>5.24</v>
      </c>
      <c r="J111" s="132" t="s">
        <v>16</v>
      </c>
      <c r="K111" s="132" t="s">
        <v>342</v>
      </c>
      <c r="L111" s="132" t="s">
        <v>17</v>
      </c>
      <c r="M111" s="132" t="s">
        <v>17</v>
      </c>
    </row>
    <row r="112" spans="1:13" x14ac:dyDescent="0.25">
      <c r="A112" s="29">
        <v>3</v>
      </c>
      <c r="B112" s="29" t="s">
        <v>34</v>
      </c>
      <c r="C112" s="134" t="s">
        <v>72</v>
      </c>
      <c r="D112" s="135">
        <v>0.11</v>
      </c>
      <c r="E112" s="135">
        <v>842</v>
      </c>
      <c r="F112" s="29" t="s">
        <v>46</v>
      </c>
      <c r="G112" s="135">
        <v>92.62</v>
      </c>
      <c r="H112" s="29" t="s">
        <v>15</v>
      </c>
      <c r="I112" s="135">
        <v>5.35</v>
      </c>
      <c r="J112" s="132" t="s">
        <v>16</v>
      </c>
      <c r="K112" s="132" t="s">
        <v>341</v>
      </c>
      <c r="L112" s="132" t="s">
        <v>17</v>
      </c>
      <c r="M112" s="132" t="s">
        <v>17</v>
      </c>
    </row>
    <row r="113" spans="1:13" x14ac:dyDescent="0.25">
      <c r="A113" s="29">
        <v>4</v>
      </c>
      <c r="B113" s="29" t="s">
        <v>41</v>
      </c>
      <c r="C113" s="134" t="s">
        <v>73</v>
      </c>
      <c r="D113" s="135">
        <v>0.02</v>
      </c>
      <c r="E113" s="135">
        <v>825</v>
      </c>
      <c r="F113" s="29" t="s">
        <v>32</v>
      </c>
      <c r="G113" s="135">
        <v>16.5</v>
      </c>
      <c r="H113" s="29" t="s">
        <v>15</v>
      </c>
      <c r="I113" s="135">
        <v>5.24</v>
      </c>
      <c r="J113" s="132" t="s">
        <v>16</v>
      </c>
      <c r="K113" s="132" t="s">
        <v>343</v>
      </c>
      <c r="L113" s="132" t="s">
        <v>17</v>
      </c>
      <c r="M113" s="132" t="s">
        <v>17</v>
      </c>
    </row>
    <row r="114" spans="1:13" x14ac:dyDescent="0.25">
      <c r="A114" s="136"/>
      <c r="B114" s="136" t="s">
        <v>96</v>
      </c>
      <c r="C114" s="136"/>
      <c r="D114" s="137"/>
      <c r="E114" s="138">
        <f>=SUM(E110:E113)</f>
      </c>
      <c r="F114" s="136"/>
      <c r="G114" s="138">
        <f>=SUM(G110:G113)</f>
      </c>
      <c r="H114" s="136"/>
      <c r="I114" s="136"/>
      <c r="J114" s="132"/>
      <c r="K114" s="132"/>
      <c r="L114" s="132"/>
      <c r="M114" s="132"/>
    </row>
    <row r="116" spans="1:9" x14ac:dyDescent="0.25">
      <c r="A116" s="3" t="s">
        <v>423</v>
      </c>
      <c r="B116" s="3" t="s">
        <v>359</v>
      </c>
      <c r="C116" s="3" t="s">
        <v>359</v>
      </c>
      <c r="D116" t="s">
        <v>359</v>
      </c>
      <c r="E116" s="3" t="s">
        <v>359</v>
      </c>
      <c r="F116" s="3" t="s">
        <v>359</v>
      </c>
      <c r="G116" s="3" t="s">
        <v>359</v>
      </c>
      <c r="I116" s="3" t="s">
        <v>17</v>
      </c>
    </row>
    <row r="118" spans="1:6" x14ac:dyDescent="0.25">
      <c r="A118" s="3" t="s">
        <v>360</v>
      </c>
      <c r="B118" s="3" t="s">
        <v>361</v>
      </c>
      <c r="C118" s="3" t="s">
        <v>362</v>
      </c>
      <c r="D118" t="s">
        <v>363</v>
      </c>
      <c r="E118" s="3" t="s">
        <v>102</v>
      </c>
      <c r="F118" s="3" t="s">
        <v>364</v>
      </c>
    </row>
    <row r="119" spans="1:13" x14ac:dyDescent="0.25">
      <c r="A119" s="29">
        <v>1</v>
      </c>
      <c r="B119" s="29" t="s">
        <v>424</v>
      </c>
      <c r="C119" s="134" t="s">
        <v>425</v>
      </c>
      <c r="D119" s="129">
        <v>4096</v>
      </c>
      <c r="E119" s="29"/>
      <c r="F119" s="139">
        <v>46095.625</v>
      </c>
      <c r="G119" s="29"/>
      <c r="H119" s="29"/>
      <c r="I119" s="29"/>
      <c r="J119" s="132"/>
      <c r="K119" s="132"/>
      <c r="L119" s="132"/>
      <c r="M119" s="132"/>
    </row>
    <row r="120" spans="1:13" x14ac:dyDescent="0.25">
      <c r="A120" s="29">
        <v>2</v>
      </c>
      <c r="B120" s="29" t="s">
        <v>426</v>
      </c>
      <c r="C120" s="134" t="s">
        <v>427</v>
      </c>
      <c r="D120" s="129">
        <v>2550</v>
      </c>
      <c r="E120" s="29"/>
      <c r="F120" s="139">
        <v>46095.625</v>
      </c>
      <c r="G120" s="29"/>
      <c r="H120" s="29"/>
      <c r="I120" s="29"/>
      <c r="J120" s="132"/>
      <c r="K120" s="132"/>
      <c r="L120" s="132"/>
      <c r="M120" s="132"/>
    </row>
    <row r="121" spans="1:13" x14ac:dyDescent="0.25">
      <c r="A121" s="29">
        <v>3</v>
      </c>
      <c r="B121" s="29" t="s">
        <v>428</v>
      </c>
      <c r="C121" s="134" t="s">
        <v>429</v>
      </c>
      <c r="D121" s="129">
        <v>3010</v>
      </c>
      <c r="E121" s="29"/>
      <c r="F121" s="139">
        <v>46095.625</v>
      </c>
      <c r="G121" s="29"/>
      <c r="H121" s="29"/>
      <c r="I121" s="29"/>
      <c r="J121" s="132"/>
      <c r="K121" s="132"/>
      <c r="L121" s="132"/>
      <c r="M121" s="132"/>
    </row>
    <row r="122" spans="1:13" x14ac:dyDescent="0.25">
      <c r="A122" s="29">
        <v>4</v>
      </c>
      <c r="B122" s="29" t="s">
        <v>430</v>
      </c>
      <c r="C122" s="134" t="s">
        <v>431</v>
      </c>
      <c r="D122" s="129">
        <v>800</v>
      </c>
      <c r="E122" s="29"/>
      <c r="F122" s="139">
        <v>46095.625</v>
      </c>
      <c r="G122" s="29"/>
      <c r="H122" s="29"/>
      <c r="I122" s="29"/>
      <c r="J122" s="132"/>
      <c r="K122" s="132"/>
      <c r="L122" s="132"/>
      <c r="M122" s="132"/>
    </row>
    <row r="123" spans="1:13" x14ac:dyDescent="0.25">
      <c r="A123" s="29">
        <v>5</v>
      </c>
      <c r="B123" s="29" t="s">
        <v>432</v>
      </c>
      <c r="C123" s="134" t="s">
        <v>433</v>
      </c>
      <c r="D123" s="129">
        <v>2550</v>
      </c>
      <c r="E123" s="29"/>
      <c r="F123" s="139">
        <v>46095.625</v>
      </c>
      <c r="G123" s="29"/>
      <c r="H123" s="29"/>
      <c r="I123" s="29"/>
      <c r="J123" s="132"/>
      <c r="K123" s="132"/>
      <c r="L123" s="132"/>
      <c r="M123" s="132"/>
    </row>
    <row r="124" spans="1:13" x14ac:dyDescent="0.25">
      <c r="A124" s="29">
        <v>6</v>
      </c>
      <c r="B124" s="29" t="s">
        <v>434</v>
      </c>
      <c r="C124" s="134" t="s">
        <v>435</v>
      </c>
      <c r="D124" s="129">
        <v>100</v>
      </c>
      <c r="E124" s="29"/>
      <c r="F124" s="139">
        <v>46095.625</v>
      </c>
      <c r="G124" s="29"/>
      <c r="H124" s="29"/>
      <c r="I124" s="29"/>
      <c r="J124" s="132"/>
      <c r="K124" s="132"/>
      <c r="L124" s="132"/>
      <c r="M124" s="132"/>
    </row>
    <row r="125" spans="1:13" x14ac:dyDescent="0.25">
      <c r="A125" s="29">
        <v>7</v>
      </c>
      <c r="B125" s="29" t="s">
        <v>436</v>
      </c>
      <c r="C125" s="134" t="s">
        <v>437</v>
      </c>
      <c r="D125" s="129">
        <v>1888</v>
      </c>
      <c r="E125" s="29"/>
      <c r="F125" s="139">
        <v>46095.625</v>
      </c>
      <c r="G125" s="29"/>
      <c r="H125" s="29"/>
      <c r="I125" s="29"/>
      <c r="J125" s="132"/>
      <c r="K125" s="132"/>
      <c r="L125" s="132"/>
      <c r="M125" s="132"/>
    </row>
    <row r="126" spans="1:13" x14ac:dyDescent="0.25">
      <c r="A126" s="29">
        <v>8</v>
      </c>
      <c r="B126" s="29" t="s">
        <v>438</v>
      </c>
      <c r="C126" s="134" t="s">
        <v>439</v>
      </c>
      <c r="D126" s="129">
        <v>1790</v>
      </c>
      <c r="E126" s="29"/>
      <c r="F126" s="139">
        <v>46095.625</v>
      </c>
      <c r="G126" s="29"/>
      <c r="H126" s="29"/>
      <c r="I126" s="29"/>
      <c r="J126" s="132"/>
      <c r="K126" s="132"/>
      <c r="L126" s="132"/>
      <c r="M126" s="132"/>
    </row>
    <row r="127" spans="1:13" x14ac:dyDescent="0.25">
      <c r="A127" s="29">
        <v>9</v>
      </c>
      <c r="B127" s="29" t="s">
        <v>440</v>
      </c>
      <c r="C127" s="134" t="s">
        <v>441</v>
      </c>
      <c r="D127" s="129">
        <v>1026</v>
      </c>
      <c r="E127" s="29"/>
      <c r="F127" s="139">
        <v>46095.625</v>
      </c>
      <c r="G127" s="29"/>
      <c r="H127" s="29"/>
      <c r="I127" s="29"/>
      <c r="J127" s="132"/>
      <c r="K127" s="132"/>
      <c r="L127" s="132"/>
      <c r="M127" s="132"/>
    </row>
    <row r="128" spans="1:13" x14ac:dyDescent="0.25">
      <c r="A128" s="29">
        <v>10</v>
      </c>
      <c r="B128" s="29" t="s">
        <v>442</v>
      </c>
      <c r="C128" s="134" t="s">
        <v>443</v>
      </c>
      <c r="D128" s="129">
        <v>870</v>
      </c>
      <c r="E128" s="29"/>
      <c r="F128" s="139">
        <v>46095.625</v>
      </c>
      <c r="G128" s="29"/>
      <c r="H128" s="29"/>
      <c r="I128" s="29"/>
      <c r="J128" s="132"/>
      <c r="K128" s="132"/>
      <c r="L128" s="132"/>
      <c r="M128" s="132"/>
    </row>
    <row r="130" spans="1:9" x14ac:dyDescent="0.25">
      <c r="A130" s="133" t="s">
        <v>360</v>
      </c>
      <c r="B130" s="133" t="s">
        <v>367</v>
      </c>
      <c r="C130" s="133" t="s">
        <v>368</v>
      </c>
      <c r="D130" s="133" t="s">
        <v>4</v>
      </c>
      <c r="E130" s="133" t="s">
        <v>5</v>
      </c>
      <c r="F130" s="133" t="s">
        <v>6</v>
      </c>
      <c r="G130" s="133" t="s">
        <v>7</v>
      </c>
      <c r="H130" s="133" t="s">
        <v>8</v>
      </c>
      <c r="I130" s="133" t="s">
        <v>9</v>
      </c>
    </row>
    <row r="131" spans="1:13" x14ac:dyDescent="0.25">
      <c r="A131" s="29">
        <v>1</v>
      </c>
      <c r="B131" s="29" t="s">
        <v>39</v>
      </c>
      <c r="C131" s="134" t="s">
        <v>40</v>
      </c>
      <c r="D131" s="135">
        <v>0.09</v>
      </c>
      <c r="E131" s="135">
        <v>900</v>
      </c>
      <c r="F131" s="29" t="s">
        <v>32</v>
      </c>
      <c r="G131" s="135">
        <v>81</v>
      </c>
      <c r="H131" s="29" t="s">
        <v>15</v>
      </c>
      <c r="I131" s="135">
        <v>5.72</v>
      </c>
      <c r="J131" s="132" t="s">
        <v>16</v>
      </c>
      <c r="K131" s="132" t="s">
        <v>342</v>
      </c>
      <c r="L131" s="132" t="s">
        <v>17</v>
      </c>
      <c r="M131" s="132" t="s">
        <v>17</v>
      </c>
    </row>
    <row r="132" spans="1:13" x14ac:dyDescent="0.25">
      <c r="A132" s="136"/>
      <c r="B132" s="136" t="s">
        <v>96</v>
      </c>
      <c r="C132" s="136"/>
      <c r="D132" s="137"/>
      <c r="E132" s="138">
        <f>=SUM(E131:E131)</f>
      </c>
      <c r="F132" s="136"/>
      <c r="G132" s="138">
        <f>=SUM(G131:G131)</f>
      </c>
      <c r="H132" s="136"/>
      <c r="I132" s="136"/>
      <c r="J132" s="132"/>
      <c r="K132" s="132"/>
      <c r="L132" s="132"/>
      <c r="M132" s="132"/>
    </row>
    <row r="134" spans="1:9" x14ac:dyDescent="0.25">
      <c r="A134" s="3" t="s">
        <v>444</v>
      </c>
      <c r="B134" s="3" t="s">
        <v>359</v>
      </c>
      <c r="C134" s="3" t="s">
        <v>359</v>
      </c>
      <c r="D134" t="s">
        <v>359</v>
      </c>
      <c r="E134" s="3" t="s">
        <v>359</v>
      </c>
      <c r="F134" s="3" t="s">
        <v>359</v>
      </c>
      <c r="G134" s="3" t="s">
        <v>359</v>
      </c>
      <c r="I134" s="3" t="s">
        <v>17</v>
      </c>
    </row>
    <row r="136" spans="1:6" x14ac:dyDescent="0.25">
      <c r="A136" s="3" t="s">
        <v>360</v>
      </c>
      <c r="B136" s="3" t="s">
        <v>361</v>
      </c>
      <c r="C136" s="3" t="s">
        <v>362</v>
      </c>
      <c r="D136" t="s">
        <v>363</v>
      </c>
      <c r="E136" s="3" t="s">
        <v>102</v>
      </c>
      <c r="F136" s="3" t="s">
        <v>364</v>
      </c>
    </row>
    <row r="137" spans="1:13" x14ac:dyDescent="0.25">
      <c r="A137" s="29">
        <v>1</v>
      </c>
      <c r="B137" s="29" t="s">
        <v>445</v>
      </c>
      <c r="C137" s="134" t="s">
        <v>446</v>
      </c>
      <c r="D137" s="129">
        <v>1132</v>
      </c>
      <c r="E137" s="29"/>
      <c r="F137" s="139">
        <v>46095.625</v>
      </c>
      <c r="G137" s="29"/>
      <c r="H137" s="29"/>
      <c r="I137" s="29"/>
      <c r="J137" s="132"/>
      <c r="K137" s="132"/>
      <c r="L137" s="132"/>
      <c r="M137" s="132"/>
    </row>
    <row r="138" spans="1:13" x14ac:dyDescent="0.25">
      <c r="A138" s="29">
        <v>2</v>
      </c>
      <c r="B138" s="29" t="s">
        <v>447</v>
      </c>
      <c r="C138" s="134" t="s">
        <v>448</v>
      </c>
      <c r="D138" s="129">
        <v>618</v>
      </c>
      <c r="E138" s="29"/>
      <c r="F138" s="139">
        <v>46095.625</v>
      </c>
      <c r="G138" s="29"/>
      <c r="H138" s="29"/>
      <c r="I138" s="29"/>
      <c r="J138" s="132"/>
      <c r="K138" s="132"/>
      <c r="L138" s="132"/>
      <c r="M138" s="132"/>
    </row>
    <row r="139" spans="1:13" x14ac:dyDescent="0.25">
      <c r="A139" s="29">
        <v>3</v>
      </c>
      <c r="B139" s="29" t="s">
        <v>449</v>
      </c>
      <c r="C139" s="134" t="s">
        <v>450</v>
      </c>
      <c r="D139" s="129">
        <v>564</v>
      </c>
      <c r="E139" s="29"/>
      <c r="F139" s="139">
        <v>46095.625</v>
      </c>
      <c r="G139" s="29"/>
      <c r="H139" s="29"/>
      <c r="I139" s="29"/>
      <c r="J139" s="132"/>
      <c r="K139" s="132"/>
      <c r="L139" s="132"/>
      <c r="M139" s="132"/>
    </row>
    <row r="140" spans="1:13" x14ac:dyDescent="0.25">
      <c r="A140" s="29">
        <v>4</v>
      </c>
      <c r="B140" s="29" t="s">
        <v>451</v>
      </c>
      <c r="C140" s="134" t="s">
        <v>452</v>
      </c>
      <c r="D140" s="129">
        <v>512</v>
      </c>
      <c r="E140" s="29"/>
      <c r="F140" s="139">
        <v>46095.625</v>
      </c>
      <c r="G140" s="29"/>
      <c r="H140" s="29"/>
      <c r="I140" s="29"/>
      <c r="J140" s="132"/>
      <c r="K140" s="132"/>
      <c r="L140" s="132"/>
      <c r="M140" s="132"/>
    </row>
    <row r="141" spans="1:13" x14ac:dyDescent="0.25">
      <c r="A141" s="29">
        <v>5</v>
      </c>
      <c r="B141" s="29" t="s">
        <v>453</v>
      </c>
      <c r="C141" s="134" t="s">
        <v>454</v>
      </c>
      <c r="D141" s="129">
        <v>1114</v>
      </c>
      <c r="E141" s="29"/>
      <c r="F141" s="139">
        <v>46095.625</v>
      </c>
      <c r="G141" s="29"/>
      <c r="H141" s="29"/>
      <c r="I141" s="29"/>
      <c r="J141" s="132"/>
      <c r="K141" s="132"/>
      <c r="L141" s="132"/>
      <c r="M141" s="132"/>
    </row>
    <row r="142" spans="1:13" x14ac:dyDescent="0.25">
      <c r="A142" s="29">
        <v>6</v>
      </c>
      <c r="B142" s="29" t="s">
        <v>455</v>
      </c>
      <c r="C142" s="134" t="s">
        <v>456</v>
      </c>
      <c r="D142" s="129">
        <v>512</v>
      </c>
      <c r="E142" s="29"/>
      <c r="F142" s="139">
        <v>46095.625</v>
      </c>
      <c r="G142" s="29"/>
      <c r="H142" s="29"/>
      <c r="I142" s="29"/>
      <c r="J142" s="132"/>
      <c r="K142" s="132"/>
      <c r="L142" s="132"/>
      <c r="M142" s="132"/>
    </row>
    <row r="143" spans="1:13" x14ac:dyDescent="0.25">
      <c r="A143" s="29">
        <v>7</v>
      </c>
      <c r="B143" s="29" t="s">
        <v>457</v>
      </c>
      <c r="C143" s="134" t="s">
        <v>458</v>
      </c>
      <c r="D143" s="129">
        <v>512</v>
      </c>
      <c r="E143" s="29"/>
      <c r="F143" s="139">
        <v>46095.625</v>
      </c>
      <c r="G143" s="29"/>
      <c r="H143" s="29"/>
      <c r="I143" s="29"/>
      <c r="J143" s="132"/>
      <c r="K143" s="132"/>
      <c r="L143" s="132"/>
      <c r="M143" s="132"/>
    </row>
    <row r="144" spans="1:13" x14ac:dyDescent="0.25">
      <c r="A144" s="29">
        <v>8</v>
      </c>
      <c r="B144" s="29" t="s">
        <v>459</v>
      </c>
      <c r="C144" s="134" t="s">
        <v>460</v>
      </c>
      <c r="D144" s="129">
        <v>514</v>
      </c>
      <c r="E144" s="29"/>
      <c r="F144" s="139">
        <v>46095.625</v>
      </c>
      <c r="G144" s="29"/>
      <c r="H144" s="29"/>
      <c r="I144" s="29"/>
      <c r="J144" s="132"/>
      <c r="K144" s="132"/>
      <c r="L144" s="132"/>
      <c r="M144" s="132"/>
    </row>
    <row r="145" spans="1:13" x14ac:dyDescent="0.25">
      <c r="A145" s="29">
        <v>9</v>
      </c>
      <c r="B145" s="29" t="s">
        <v>461</v>
      </c>
      <c r="C145" s="134" t="s">
        <v>462</v>
      </c>
      <c r="D145" s="129">
        <v>722</v>
      </c>
      <c r="E145" s="29"/>
      <c r="F145" s="139">
        <v>46095.625</v>
      </c>
      <c r="G145" s="29"/>
      <c r="H145" s="29"/>
      <c r="I145" s="29"/>
      <c r="J145" s="132"/>
      <c r="K145" s="132"/>
      <c r="L145" s="132"/>
      <c r="M145" s="132"/>
    </row>
    <row r="146" spans="1:13" x14ac:dyDescent="0.25">
      <c r="A146" s="29">
        <v>10</v>
      </c>
      <c r="B146" s="29" t="s">
        <v>463</v>
      </c>
      <c r="C146" s="134" t="s">
        <v>464</v>
      </c>
      <c r="D146" s="129">
        <v>291</v>
      </c>
      <c r="E146" s="29"/>
      <c r="F146" s="139">
        <v>46095.625</v>
      </c>
      <c r="G146" s="29"/>
      <c r="H146" s="29"/>
      <c r="I146" s="29"/>
      <c r="J146" s="132"/>
      <c r="K146" s="132"/>
      <c r="L146" s="132"/>
      <c r="M146" s="132"/>
    </row>
    <row r="148" spans="1:9" x14ac:dyDescent="0.25">
      <c r="A148" s="133" t="s">
        <v>360</v>
      </c>
      <c r="B148" s="133" t="s">
        <v>367</v>
      </c>
      <c r="C148" s="133" t="s">
        <v>368</v>
      </c>
      <c r="D148" s="133" t="s">
        <v>4</v>
      </c>
      <c r="E148" s="133" t="s">
        <v>5</v>
      </c>
      <c r="F148" s="133" t="s">
        <v>6</v>
      </c>
      <c r="G148" s="133" t="s">
        <v>7</v>
      </c>
      <c r="H148" s="133" t="s">
        <v>8</v>
      </c>
      <c r="I148" s="133" t="s">
        <v>9</v>
      </c>
    </row>
    <row r="149" spans="1:13" x14ac:dyDescent="0.25">
      <c r="A149" s="29">
        <v>1</v>
      </c>
      <c r="B149" s="29" t="s">
        <v>330</v>
      </c>
      <c r="C149" s="134" t="s">
        <v>198</v>
      </c>
      <c r="D149" s="135">
        <v>8.75</v>
      </c>
      <c r="E149" s="135">
        <v>395</v>
      </c>
      <c r="F149" s="29" t="s">
        <v>14</v>
      </c>
      <c r="G149" s="135">
        <v>3456.25</v>
      </c>
      <c r="H149" s="29" t="s">
        <v>15</v>
      </c>
      <c r="I149" s="135">
        <v>2.51</v>
      </c>
      <c r="J149" s="132" t="s">
        <v>16</v>
      </c>
      <c r="K149" s="132" t="s">
        <v>331</v>
      </c>
      <c r="L149" s="132" t="s">
        <v>332</v>
      </c>
      <c r="M149" s="132" t="s">
        <v>333</v>
      </c>
    </row>
    <row r="150" spans="1:13" x14ac:dyDescent="0.25">
      <c r="A150" s="29">
        <v>2</v>
      </c>
      <c r="B150" s="29" t="s">
        <v>34</v>
      </c>
      <c r="C150" s="134" t="s">
        <v>35</v>
      </c>
      <c r="D150" s="135">
        <v>0.02</v>
      </c>
      <c r="E150" s="135">
        <v>11858</v>
      </c>
      <c r="F150" s="29" t="s">
        <v>32</v>
      </c>
      <c r="G150" s="135">
        <v>237.16</v>
      </c>
      <c r="H150" s="29" t="s">
        <v>15</v>
      </c>
      <c r="I150" s="135">
        <v>75.34</v>
      </c>
      <c r="J150" s="132" t="s">
        <v>16</v>
      </c>
      <c r="K150" s="132" t="s">
        <v>341</v>
      </c>
      <c r="L150" s="132" t="s">
        <v>17</v>
      </c>
      <c r="M150" s="132" t="s">
        <v>17</v>
      </c>
    </row>
    <row r="151" spans="1:13" x14ac:dyDescent="0.25">
      <c r="A151" s="29">
        <v>3</v>
      </c>
      <c r="B151" s="29" t="s">
        <v>34</v>
      </c>
      <c r="C151" s="134" t="s">
        <v>36</v>
      </c>
      <c r="D151" s="135">
        <v>0.02</v>
      </c>
      <c r="E151" s="135">
        <v>11858</v>
      </c>
      <c r="F151" s="29" t="s">
        <v>32</v>
      </c>
      <c r="G151" s="135">
        <v>237.16</v>
      </c>
      <c r="H151" s="29" t="s">
        <v>15</v>
      </c>
      <c r="I151" s="135">
        <v>75.34</v>
      </c>
      <c r="J151" s="132" t="s">
        <v>16</v>
      </c>
      <c r="K151" s="132" t="s">
        <v>341</v>
      </c>
      <c r="L151" s="132" t="s">
        <v>17</v>
      </c>
      <c r="M151" s="132" t="s">
        <v>17</v>
      </c>
    </row>
    <row r="152" spans="1:13" x14ac:dyDescent="0.25">
      <c r="A152" s="29">
        <v>4</v>
      </c>
      <c r="B152" s="29" t="s">
        <v>34</v>
      </c>
      <c r="C152" s="134" t="s">
        <v>37</v>
      </c>
      <c r="D152" s="135">
        <v>0.01</v>
      </c>
      <c r="E152" s="135">
        <v>22469</v>
      </c>
      <c r="F152" s="29" t="s">
        <v>32</v>
      </c>
      <c r="G152" s="135">
        <v>224.69</v>
      </c>
      <c r="H152" s="29" t="s">
        <v>15</v>
      </c>
      <c r="I152" s="135">
        <v>142.76</v>
      </c>
      <c r="J152" s="132" t="s">
        <v>16</v>
      </c>
      <c r="K152" s="132" t="s">
        <v>341</v>
      </c>
      <c r="L152" s="132" t="s">
        <v>17</v>
      </c>
      <c r="M152" s="132" t="s">
        <v>17</v>
      </c>
    </row>
    <row r="153" spans="1:13" x14ac:dyDescent="0.25">
      <c r="A153" s="29">
        <v>5</v>
      </c>
      <c r="B153" s="29" t="s">
        <v>34</v>
      </c>
      <c r="C153" s="134" t="s">
        <v>38</v>
      </c>
      <c r="D153" s="135">
        <v>0.01</v>
      </c>
      <c r="E153" s="135">
        <v>22469</v>
      </c>
      <c r="F153" s="29" t="s">
        <v>32</v>
      </c>
      <c r="G153" s="135">
        <v>224.69</v>
      </c>
      <c r="H153" s="29" t="s">
        <v>15</v>
      </c>
      <c r="I153" s="135">
        <v>142.76</v>
      </c>
      <c r="J153" s="132" t="s">
        <v>16</v>
      </c>
      <c r="K153" s="132" t="s">
        <v>341</v>
      </c>
      <c r="L153" s="132" t="s">
        <v>17</v>
      </c>
      <c r="M153" s="132" t="s">
        <v>17</v>
      </c>
    </row>
    <row r="154" spans="1:13" x14ac:dyDescent="0.25">
      <c r="A154" s="29">
        <v>6</v>
      </c>
      <c r="B154" s="29" t="s">
        <v>41</v>
      </c>
      <c r="C154" s="134" t="s">
        <v>43</v>
      </c>
      <c r="D154" s="135">
        <v>0.04</v>
      </c>
      <c r="E154" s="135">
        <v>5331</v>
      </c>
      <c r="F154" s="29" t="s">
        <v>32</v>
      </c>
      <c r="G154" s="135">
        <v>213.24</v>
      </c>
      <c r="H154" s="29" t="s">
        <v>15</v>
      </c>
      <c r="I154" s="135">
        <v>33.87</v>
      </c>
      <c r="J154" s="132" t="s">
        <v>16</v>
      </c>
      <c r="K154" s="132" t="s">
        <v>343</v>
      </c>
      <c r="L154" s="132" t="s">
        <v>17</v>
      </c>
      <c r="M154" s="132" t="s">
        <v>17</v>
      </c>
    </row>
    <row r="155" spans="1:13" x14ac:dyDescent="0.25">
      <c r="A155" s="29">
        <v>7</v>
      </c>
      <c r="B155" s="29" t="s">
        <v>44</v>
      </c>
      <c r="C155" s="134" t="s">
        <v>45</v>
      </c>
      <c r="D155" s="135">
        <v>0.02</v>
      </c>
      <c r="E155" s="135">
        <v>21296</v>
      </c>
      <c r="F155" s="29" t="s">
        <v>46</v>
      </c>
      <c r="G155" s="135">
        <v>425.92</v>
      </c>
      <c r="H155" s="29" t="s">
        <v>15</v>
      </c>
      <c r="I155" s="135">
        <v>135.31</v>
      </c>
      <c r="J155" s="132" t="s">
        <v>16</v>
      </c>
      <c r="K155" s="132" t="s">
        <v>344</v>
      </c>
      <c r="L155" s="132" t="s">
        <v>17</v>
      </c>
      <c r="M155" s="132" t="s">
        <v>17</v>
      </c>
    </row>
    <row r="156" spans="1:13" x14ac:dyDescent="0.25">
      <c r="A156" s="29">
        <v>8</v>
      </c>
      <c r="B156" s="29" t="s">
        <v>34</v>
      </c>
      <c r="C156" s="134" t="s">
        <v>76</v>
      </c>
      <c r="D156" s="135">
        <v>0.01</v>
      </c>
      <c r="E156" s="135">
        <v>6570</v>
      </c>
      <c r="F156" s="29" t="s">
        <v>32</v>
      </c>
      <c r="G156" s="135">
        <v>65.7</v>
      </c>
      <c r="H156" s="29" t="s">
        <v>15</v>
      </c>
      <c r="I156" s="135">
        <v>41.74</v>
      </c>
      <c r="J156" s="132" t="s">
        <v>16</v>
      </c>
      <c r="K156" s="132" t="s">
        <v>341</v>
      </c>
      <c r="L156" s="132" t="s">
        <v>17</v>
      </c>
      <c r="M156" s="132" t="s">
        <v>17</v>
      </c>
    </row>
    <row r="157" spans="1:13" x14ac:dyDescent="0.25">
      <c r="A157" s="29">
        <v>9</v>
      </c>
      <c r="B157" s="29" t="s">
        <v>34</v>
      </c>
      <c r="C157" s="134" t="s">
        <v>77</v>
      </c>
      <c r="D157" s="135">
        <v>0.01</v>
      </c>
      <c r="E157" s="135">
        <v>30205</v>
      </c>
      <c r="F157" s="29" t="s">
        <v>32</v>
      </c>
      <c r="G157" s="135">
        <v>302.05</v>
      </c>
      <c r="H157" s="29" t="s">
        <v>15</v>
      </c>
      <c r="I157" s="135">
        <v>191.91</v>
      </c>
      <c r="J157" s="132" t="s">
        <v>16</v>
      </c>
      <c r="K157" s="132" t="s">
        <v>341</v>
      </c>
      <c r="L157" s="132" t="s">
        <v>17</v>
      </c>
      <c r="M157" s="132" t="s">
        <v>17</v>
      </c>
    </row>
    <row r="158" spans="1:13" x14ac:dyDescent="0.25">
      <c r="A158" s="136"/>
      <c r="B158" s="136" t="s">
        <v>96</v>
      </c>
      <c r="C158" s="136"/>
      <c r="D158" s="137"/>
      <c r="E158" s="138">
        <f>=SUM(E149:E157)</f>
      </c>
      <c r="F158" s="136"/>
      <c r="G158" s="138">
        <f>=SUM(G149:G157)</f>
      </c>
      <c r="H158" s="136"/>
      <c r="I158" s="136"/>
      <c r="J158" s="132"/>
      <c r="K158" s="132"/>
      <c r="L158" s="132"/>
      <c r="M158" s="132"/>
    </row>
    <row r="160" spans="1:9" x14ac:dyDescent="0.25">
      <c r="A160" s="3" t="s">
        <v>465</v>
      </c>
      <c r="B160" s="3" t="s">
        <v>359</v>
      </c>
      <c r="C160" s="3" t="s">
        <v>359</v>
      </c>
      <c r="D160" t="s">
        <v>359</v>
      </c>
      <c r="E160" s="3" t="s">
        <v>359</v>
      </c>
      <c r="F160" s="3" t="s">
        <v>359</v>
      </c>
      <c r="G160" s="3" t="s">
        <v>359</v>
      </c>
      <c r="I160" s="3" t="s">
        <v>17</v>
      </c>
    </row>
    <row r="162" spans="1:6" x14ac:dyDescent="0.25">
      <c r="A162" s="3" t="s">
        <v>360</v>
      </c>
      <c r="B162" s="3" t="s">
        <v>361</v>
      </c>
      <c r="C162" s="3" t="s">
        <v>362</v>
      </c>
      <c r="D162" t="s">
        <v>363</v>
      </c>
      <c r="E162" s="3" t="s">
        <v>102</v>
      </c>
      <c r="F162" s="3" t="s">
        <v>364</v>
      </c>
    </row>
    <row r="163" spans="1:13" x14ac:dyDescent="0.25">
      <c r="A163" s="29">
        <v>1</v>
      </c>
      <c r="B163" s="29" t="s">
        <v>466</v>
      </c>
      <c r="C163" s="134" t="s">
        <v>467</v>
      </c>
      <c r="D163" s="129">
        <v>922</v>
      </c>
      <c r="E163" s="29"/>
      <c r="F163" s="139">
        <v>46095.625</v>
      </c>
      <c r="G163" s="29"/>
      <c r="H163" s="29"/>
      <c r="I163" s="29"/>
      <c r="J163" s="132"/>
      <c r="K163" s="132"/>
      <c r="L163" s="132"/>
      <c r="M163" s="132"/>
    </row>
    <row r="164" spans="1:13" x14ac:dyDescent="0.25">
      <c r="A164" s="29">
        <v>2</v>
      </c>
      <c r="B164" s="29" t="s">
        <v>468</v>
      </c>
      <c r="C164" s="134" t="s">
        <v>469</v>
      </c>
      <c r="D164" s="129">
        <v>510</v>
      </c>
      <c r="E164" s="29"/>
      <c r="F164" s="139">
        <v>46095.625</v>
      </c>
      <c r="G164" s="29"/>
      <c r="H164" s="29"/>
      <c r="I164" s="29"/>
      <c r="J164" s="132"/>
      <c r="K164" s="132"/>
      <c r="L164" s="132"/>
      <c r="M164" s="132"/>
    </row>
    <row r="165" spans="1:13" x14ac:dyDescent="0.25">
      <c r="A165" s="29">
        <v>3</v>
      </c>
      <c r="B165" s="29" t="s">
        <v>470</v>
      </c>
      <c r="C165" s="134" t="s">
        <v>471</v>
      </c>
      <c r="D165" s="129">
        <v>818</v>
      </c>
      <c r="E165" s="29"/>
      <c r="F165" s="139">
        <v>46095.625</v>
      </c>
      <c r="G165" s="29"/>
      <c r="H165" s="29"/>
      <c r="I165" s="29"/>
      <c r="J165" s="132"/>
      <c r="K165" s="132"/>
      <c r="L165" s="132"/>
      <c r="M165" s="132"/>
    </row>
    <row r="166" spans="1:13" x14ac:dyDescent="0.25">
      <c r="A166" s="29">
        <v>4</v>
      </c>
      <c r="B166" s="29" t="s">
        <v>472</v>
      </c>
      <c r="C166" s="134" t="s">
        <v>473</v>
      </c>
      <c r="D166" s="129">
        <v>510</v>
      </c>
      <c r="E166" s="29"/>
      <c r="F166" s="139">
        <v>46095.625</v>
      </c>
      <c r="G166" s="29"/>
      <c r="H166" s="29"/>
      <c r="I166" s="29"/>
      <c r="J166" s="132"/>
      <c r="K166" s="132"/>
      <c r="L166" s="132"/>
      <c r="M166" s="132"/>
    </row>
    <row r="167" spans="1:13" x14ac:dyDescent="0.25">
      <c r="A167" s="29">
        <v>5</v>
      </c>
      <c r="B167" s="29" t="s">
        <v>474</v>
      </c>
      <c r="C167" s="134" t="s">
        <v>475</v>
      </c>
      <c r="D167" s="129">
        <v>589</v>
      </c>
      <c r="E167" s="29"/>
      <c r="F167" s="139">
        <v>46095.625</v>
      </c>
      <c r="G167" s="29"/>
      <c r="H167" s="29"/>
      <c r="I167" s="29"/>
      <c r="J167" s="132"/>
      <c r="K167" s="132"/>
      <c r="L167" s="132"/>
      <c r="M167" s="132"/>
    </row>
    <row r="168" spans="1:13" x14ac:dyDescent="0.25">
      <c r="A168" s="29">
        <v>6</v>
      </c>
      <c r="B168" s="29" t="s">
        <v>476</v>
      </c>
      <c r="C168" s="134" t="s">
        <v>477</v>
      </c>
      <c r="D168" s="129">
        <v>778</v>
      </c>
      <c r="E168" s="29"/>
      <c r="F168" s="139">
        <v>46095.625</v>
      </c>
      <c r="G168" s="29"/>
      <c r="H168" s="29"/>
      <c r="I168" s="29"/>
      <c r="J168" s="132"/>
      <c r="K168" s="132"/>
      <c r="L168" s="132"/>
      <c r="M168" s="132"/>
    </row>
    <row r="169" spans="1:13" x14ac:dyDescent="0.25">
      <c r="A169" s="29">
        <v>7</v>
      </c>
      <c r="B169" s="29" t="s">
        <v>478</v>
      </c>
      <c r="C169" s="134" t="s">
        <v>479</v>
      </c>
      <c r="D169" s="129">
        <v>481</v>
      </c>
      <c r="E169" s="29"/>
      <c r="F169" s="139">
        <v>46095.625</v>
      </c>
      <c r="G169" s="29"/>
      <c r="H169" s="29"/>
      <c r="I169" s="29"/>
      <c r="J169" s="132"/>
      <c r="K169" s="132"/>
      <c r="L169" s="132"/>
      <c r="M169" s="132"/>
    </row>
    <row r="170" spans="1:13" x14ac:dyDescent="0.25">
      <c r="A170" s="29">
        <v>8</v>
      </c>
      <c r="B170" s="29" t="s">
        <v>480</v>
      </c>
      <c r="C170" s="134" t="s">
        <v>481</v>
      </c>
      <c r="D170" s="129">
        <v>127</v>
      </c>
      <c r="E170" s="29"/>
      <c r="F170" s="139">
        <v>46095.625</v>
      </c>
      <c r="G170" s="29"/>
      <c r="H170" s="29"/>
      <c r="I170" s="29"/>
      <c r="J170" s="132"/>
      <c r="K170" s="132"/>
      <c r="L170" s="132"/>
      <c r="M170" s="132"/>
    </row>
    <row r="171" spans="1:13" x14ac:dyDescent="0.25">
      <c r="A171" s="29">
        <v>9</v>
      </c>
      <c r="B171" s="29" t="s">
        <v>482</v>
      </c>
      <c r="C171" s="134" t="s">
        <v>483</v>
      </c>
      <c r="D171" s="129">
        <v>356</v>
      </c>
      <c r="E171" s="29"/>
      <c r="F171" s="139">
        <v>46095.625</v>
      </c>
      <c r="G171" s="29"/>
      <c r="H171" s="29"/>
      <c r="I171" s="29"/>
      <c r="J171" s="132"/>
      <c r="K171" s="132"/>
      <c r="L171" s="132"/>
      <c r="M171" s="132"/>
    </row>
    <row r="172" spans="1:13" x14ac:dyDescent="0.25">
      <c r="A172" s="29">
        <v>10</v>
      </c>
      <c r="B172" s="29" t="s">
        <v>484</v>
      </c>
      <c r="C172" s="134" t="s">
        <v>485</v>
      </c>
      <c r="D172" s="129">
        <v>175</v>
      </c>
      <c r="E172" s="29"/>
      <c r="F172" s="139">
        <v>46095.625</v>
      </c>
      <c r="G172" s="29"/>
      <c r="H172" s="29"/>
      <c r="I172" s="29"/>
      <c r="J172" s="132"/>
      <c r="K172" s="132"/>
      <c r="L172" s="132"/>
      <c r="M172" s="132"/>
    </row>
    <row r="173" spans="1:13" x14ac:dyDescent="0.25">
      <c r="A173" s="29">
        <v>11</v>
      </c>
      <c r="B173" s="29" t="s">
        <v>486</v>
      </c>
      <c r="C173" s="134" t="s">
        <v>487</v>
      </c>
      <c r="D173" s="129">
        <v>512</v>
      </c>
      <c r="E173" s="29"/>
      <c r="F173" s="139">
        <v>46095.625</v>
      </c>
      <c r="G173" s="29"/>
      <c r="H173" s="29"/>
      <c r="I173" s="29"/>
      <c r="J173" s="132"/>
      <c r="K173" s="132"/>
      <c r="L173" s="132"/>
      <c r="M173" s="132"/>
    </row>
    <row r="175" spans="1:9" x14ac:dyDescent="0.25">
      <c r="A175" s="133" t="s">
        <v>360</v>
      </c>
      <c r="B175" s="133" t="s">
        <v>367</v>
      </c>
      <c r="C175" s="133" t="s">
        <v>368</v>
      </c>
      <c r="D175" s="133" t="s">
        <v>4</v>
      </c>
      <c r="E175" s="133" t="s">
        <v>5</v>
      </c>
      <c r="F175" s="133" t="s">
        <v>6</v>
      </c>
      <c r="G175" s="133" t="s">
        <v>7</v>
      </c>
      <c r="H175" s="133" t="s">
        <v>8</v>
      </c>
      <c r="I175" s="133" t="s">
        <v>9</v>
      </c>
    </row>
    <row r="176" spans="1:13" x14ac:dyDescent="0.25">
      <c r="A176" s="29">
        <v>1</v>
      </c>
      <c r="B176" s="29" t="s">
        <v>330</v>
      </c>
      <c r="C176" s="134" t="s">
        <v>198</v>
      </c>
      <c r="D176" s="135">
        <v>8.75</v>
      </c>
      <c r="E176" s="135">
        <v>305</v>
      </c>
      <c r="F176" s="29" t="s">
        <v>14</v>
      </c>
      <c r="G176" s="135">
        <v>2668.75</v>
      </c>
      <c r="H176" s="29" t="s">
        <v>15</v>
      </c>
      <c r="I176" s="135">
        <v>1.94</v>
      </c>
      <c r="J176" s="132" t="s">
        <v>16</v>
      </c>
      <c r="K176" s="132" t="s">
        <v>331</v>
      </c>
      <c r="L176" s="132" t="s">
        <v>332</v>
      </c>
      <c r="M176" s="132" t="s">
        <v>333</v>
      </c>
    </row>
    <row r="177" spans="1:13" x14ac:dyDescent="0.25">
      <c r="A177" s="29">
        <v>2</v>
      </c>
      <c r="B177" s="29" t="s">
        <v>34</v>
      </c>
      <c r="C177" s="134" t="s">
        <v>35</v>
      </c>
      <c r="D177" s="135">
        <v>0.02</v>
      </c>
      <c r="E177" s="135">
        <v>15788</v>
      </c>
      <c r="F177" s="29" t="s">
        <v>32</v>
      </c>
      <c r="G177" s="135">
        <v>315.76</v>
      </c>
      <c r="H177" s="29" t="s">
        <v>15</v>
      </c>
      <c r="I177" s="135">
        <v>100.31</v>
      </c>
      <c r="J177" s="132" t="s">
        <v>16</v>
      </c>
      <c r="K177" s="132" t="s">
        <v>341</v>
      </c>
      <c r="L177" s="132" t="s">
        <v>17</v>
      </c>
      <c r="M177" s="132" t="s">
        <v>17</v>
      </c>
    </row>
    <row r="178" spans="1:13" x14ac:dyDescent="0.25">
      <c r="A178" s="29">
        <v>3</v>
      </c>
      <c r="B178" s="29" t="s">
        <v>34</v>
      </c>
      <c r="C178" s="134" t="s">
        <v>36</v>
      </c>
      <c r="D178" s="135">
        <v>0.02</v>
      </c>
      <c r="E178" s="135">
        <v>15788</v>
      </c>
      <c r="F178" s="29" t="s">
        <v>32</v>
      </c>
      <c r="G178" s="135">
        <v>315.76</v>
      </c>
      <c r="H178" s="29" t="s">
        <v>15</v>
      </c>
      <c r="I178" s="135">
        <v>100.31</v>
      </c>
      <c r="J178" s="132" t="s">
        <v>16</v>
      </c>
      <c r="K178" s="132" t="s">
        <v>341</v>
      </c>
      <c r="L178" s="132" t="s">
        <v>17</v>
      </c>
      <c r="M178" s="132" t="s">
        <v>17</v>
      </c>
    </row>
    <row r="179" spans="1:13" x14ac:dyDescent="0.25">
      <c r="A179" s="29">
        <v>4</v>
      </c>
      <c r="B179" s="29" t="s">
        <v>34</v>
      </c>
      <c r="C179" s="134" t="s">
        <v>37</v>
      </c>
      <c r="D179" s="135">
        <v>0.01</v>
      </c>
      <c r="E179" s="135">
        <v>10479</v>
      </c>
      <c r="F179" s="29" t="s">
        <v>32</v>
      </c>
      <c r="G179" s="135">
        <v>104.79</v>
      </c>
      <c r="H179" s="29" t="s">
        <v>15</v>
      </c>
      <c r="I179" s="135">
        <v>66.58</v>
      </c>
      <c r="J179" s="132" t="s">
        <v>16</v>
      </c>
      <c r="K179" s="132" t="s">
        <v>341</v>
      </c>
      <c r="L179" s="132" t="s">
        <v>17</v>
      </c>
      <c r="M179" s="132" t="s">
        <v>17</v>
      </c>
    </row>
    <row r="180" spans="1:13" x14ac:dyDescent="0.25">
      <c r="A180" s="29">
        <v>5</v>
      </c>
      <c r="B180" s="29" t="s">
        <v>34</v>
      </c>
      <c r="C180" s="134" t="s">
        <v>38</v>
      </c>
      <c r="D180" s="135">
        <v>0.01</v>
      </c>
      <c r="E180" s="135">
        <v>10479</v>
      </c>
      <c r="F180" s="29" t="s">
        <v>32</v>
      </c>
      <c r="G180" s="135">
        <v>104.79</v>
      </c>
      <c r="H180" s="29" t="s">
        <v>15</v>
      </c>
      <c r="I180" s="135">
        <v>66.58</v>
      </c>
      <c r="J180" s="132" t="s">
        <v>16</v>
      </c>
      <c r="K180" s="132" t="s">
        <v>341</v>
      </c>
      <c r="L180" s="132" t="s">
        <v>17</v>
      </c>
      <c r="M180" s="132" t="s">
        <v>17</v>
      </c>
    </row>
    <row r="181" spans="1:13" x14ac:dyDescent="0.25">
      <c r="A181" s="29">
        <v>6</v>
      </c>
      <c r="B181" s="29" t="s">
        <v>41</v>
      </c>
      <c r="C181" s="134" t="s">
        <v>42</v>
      </c>
      <c r="D181" s="135">
        <v>0.02</v>
      </c>
      <c r="E181" s="135">
        <v>2722</v>
      </c>
      <c r="F181" s="29" t="s">
        <v>32</v>
      </c>
      <c r="G181" s="135">
        <v>54.44</v>
      </c>
      <c r="H181" s="29" t="s">
        <v>15</v>
      </c>
      <c r="I181" s="135">
        <v>17.29</v>
      </c>
      <c r="J181" s="132" t="s">
        <v>16</v>
      </c>
      <c r="K181" s="132" t="s">
        <v>343</v>
      </c>
      <c r="L181" s="132" t="s">
        <v>17</v>
      </c>
      <c r="M181" s="132" t="s">
        <v>17</v>
      </c>
    </row>
    <row r="182" spans="1:13" x14ac:dyDescent="0.25">
      <c r="A182" s="29">
        <v>7</v>
      </c>
      <c r="B182" s="29" t="s">
        <v>41</v>
      </c>
      <c r="C182" s="134" t="s">
        <v>43</v>
      </c>
      <c r="D182" s="135">
        <v>0.04</v>
      </c>
      <c r="E182" s="135">
        <v>3699</v>
      </c>
      <c r="F182" s="29" t="s">
        <v>32</v>
      </c>
      <c r="G182" s="135">
        <v>147.96</v>
      </c>
      <c r="H182" s="29" t="s">
        <v>15</v>
      </c>
      <c r="I182" s="135">
        <v>23.5</v>
      </c>
      <c r="J182" s="132" t="s">
        <v>16</v>
      </c>
      <c r="K182" s="132" t="s">
        <v>343</v>
      </c>
      <c r="L182" s="132" t="s">
        <v>17</v>
      </c>
      <c r="M182" s="132" t="s">
        <v>17</v>
      </c>
    </row>
    <row r="183" spans="1:13" x14ac:dyDescent="0.25">
      <c r="A183" s="29">
        <v>8</v>
      </c>
      <c r="B183" s="29" t="s">
        <v>44</v>
      </c>
      <c r="C183" s="134" t="s">
        <v>45</v>
      </c>
      <c r="D183" s="135">
        <v>0.02</v>
      </c>
      <c r="E183" s="135">
        <v>14774</v>
      </c>
      <c r="F183" s="29" t="s">
        <v>46</v>
      </c>
      <c r="G183" s="135">
        <v>295.48</v>
      </c>
      <c r="H183" s="29" t="s">
        <v>15</v>
      </c>
      <c r="I183" s="135">
        <v>93.87</v>
      </c>
      <c r="J183" s="132" t="s">
        <v>16</v>
      </c>
      <c r="K183" s="132" t="s">
        <v>344</v>
      </c>
      <c r="L183" s="132" t="s">
        <v>17</v>
      </c>
      <c r="M183" s="132" t="s">
        <v>17</v>
      </c>
    </row>
    <row r="184" spans="1:13" x14ac:dyDescent="0.25">
      <c r="A184" s="29">
        <v>9</v>
      </c>
      <c r="B184" s="29" t="s">
        <v>34</v>
      </c>
      <c r="C184" s="134" t="s">
        <v>76</v>
      </c>
      <c r="D184" s="135">
        <v>0.01</v>
      </c>
      <c r="E184" s="135">
        <v>7434</v>
      </c>
      <c r="F184" s="29" t="s">
        <v>32</v>
      </c>
      <c r="G184" s="135">
        <v>74.34</v>
      </c>
      <c r="H184" s="29" t="s">
        <v>15</v>
      </c>
      <c r="I184" s="135">
        <v>47.23</v>
      </c>
      <c r="J184" s="132" t="s">
        <v>16</v>
      </c>
      <c r="K184" s="132" t="s">
        <v>341</v>
      </c>
      <c r="L184" s="132" t="s">
        <v>17</v>
      </c>
      <c r="M184" s="132" t="s">
        <v>17</v>
      </c>
    </row>
    <row r="185" spans="1:13" x14ac:dyDescent="0.25">
      <c r="A185" s="29">
        <v>10</v>
      </c>
      <c r="B185" s="29" t="s">
        <v>34</v>
      </c>
      <c r="C185" s="134" t="s">
        <v>77</v>
      </c>
      <c r="D185" s="135">
        <v>0.01</v>
      </c>
      <c r="E185" s="135">
        <v>26267</v>
      </c>
      <c r="F185" s="29" t="s">
        <v>32</v>
      </c>
      <c r="G185" s="135">
        <v>262.67</v>
      </c>
      <c r="H185" s="29" t="s">
        <v>15</v>
      </c>
      <c r="I185" s="135">
        <v>166.89</v>
      </c>
      <c r="J185" s="132" t="s">
        <v>16</v>
      </c>
      <c r="K185" s="132" t="s">
        <v>341</v>
      </c>
      <c r="L185" s="132" t="s">
        <v>17</v>
      </c>
      <c r="M185" s="132" t="s">
        <v>17</v>
      </c>
    </row>
    <row r="186" spans="1:13" x14ac:dyDescent="0.25">
      <c r="A186" s="136"/>
      <c r="B186" s="136" t="s">
        <v>96</v>
      </c>
      <c r="C186" s="136"/>
      <c r="D186" s="137"/>
      <c r="E186" s="138">
        <f>=SUM(E176:E185)</f>
      </c>
      <c r="F186" s="136"/>
      <c r="G186" s="138">
        <f>=SUM(G176:G185)</f>
      </c>
      <c r="H186" s="136"/>
      <c r="I186" s="136"/>
      <c r="J186" s="132"/>
      <c r="K186" s="132"/>
      <c r="L186" s="132"/>
      <c r="M186" s="132"/>
    </row>
    <row r="188" spans="1:9" x14ac:dyDescent="0.25">
      <c r="A188" s="3" t="s">
        <v>488</v>
      </c>
      <c r="B188" s="3" t="s">
        <v>359</v>
      </c>
      <c r="C188" s="3" t="s">
        <v>359</v>
      </c>
      <c r="D188" t="s">
        <v>359</v>
      </c>
      <c r="E188" s="3" t="s">
        <v>359</v>
      </c>
      <c r="F188" s="3" t="s">
        <v>359</v>
      </c>
      <c r="G188" s="3" t="s">
        <v>359</v>
      </c>
      <c r="I188" s="3" t="s">
        <v>17</v>
      </c>
    </row>
    <row r="190" spans="1:6" x14ac:dyDescent="0.25">
      <c r="A190" s="3" t="s">
        <v>360</v>
      </c>
      <c r="B190" s="3" t="s">
        <v>361</v>
      </c>
      <c r="C190" s="3" t="s">
        <v>362</v>
      </c>
      <c r="D190" t="s">
        <v>363</v>
      </c>
      <c r="E190" s="3" t="s">
        <v>102</v>
      </c>
      <c r="F190" s="3" t="s">
        <v>364</v>
      </c>
    </row>
    <row r="191" spans="1:13" x14ac:dyDescent="0.25">
      <c r="A191" s="29">
        <v>1</v>
      </c>
      <c r="B191" s="29" t="s">
        <v>489</v>
      </c>
      <c r="C191" s="134" t="s">
        <v>490</v>
      </c>
      <c r="D191" s="129">
        <v>1026</v>
      </c>
      <c r="E191" s="29"/>
      <c r="F191" s="139">
        <v>46095.625</v>
      </c>
      <c r="G191" s="29"/>
      <c r="H191" s="29"/>
      <c r="I191" s="29"/>
      <c r="J191" s="132"/>
      <c r="K191" s="132"/>
      <c r="L191" s="132"/>
      <c r="M191" s="132"/>
    </row>
    <row r="192" spans="1:13" x14ac:dyDescent="0.25">
      <c r="A192" s="29">
        <v>2</v>
      </c>
      <c r="B192" s="29" t="s">
        <v>491</v>
      </c>
      <c r="C192" s="134" t="s">
        <v>492</v>
      </c>
      <c r="D192" s="129">
        <v>4102</v>
      </c>
      <c r="E192" s="29"/>
      <c r="F192" s="139">
        <v>46095.625</v>
      </c>
      <c r="G192" s="29"/>
      <c r="H192" s="29"/>
      <c r="I192" s="29"/>
      <c r="J192" s="132"/>
      <c r="K192" s="132"/>
      <c r="L192" s="132"/>
      <c r="M192" s="132"/>
    </row>
    <row r="193" spans="1:13" x14ac:dyDescent="0.25">
      <c r="A193" s="29">
        <v>3</v>
      </c>
      <c r="B193" s="29" t="s">
        <v>493</v>
      </c>
      <c r="C193" s="134" t="s">
        <v>494</v>
      </c>
      <c r="D193" s="129">
        <v>2044</v>
      </c>
      <c r="E193" s="29"/>
      <c r="F193" s="139">
        <v>46095.625</v>
      </c>
      <c r="G193" s="29"/>
      <c r="H193" s="29"/>
      <c r="I193" s="29"/>
      <c r="J193" s="132"/>
      <c r="K193" s="132"/>
      <c r="L193" s="132"/>
      <c r="M193" s="132"/>
    </row>
    <row r="194" spans="1:13" x14ac:dyDescent="0.25">
      <c r="A194" s="29">
        <v>4</v>
      </c>
      <c r="B194" s="29" t="s">
        <v>495</v>
      </c>
      <c r="C194" s="134" t="s">
        <v>496</v>
      </c>
      <c r="D194" s="129">
        <v>500</v>
      </c>
      <c r="E194" s="29"/>
      <c r="F194" s="139">
        <v>46095.625</v>
      </c>
      <c r="G194" s="29"/>
      <c r="H194" s="29"/>
      <c r="I194" s="29"/>
      <c r="J194" s="132"/>
      <c r="K194" s="132"/>
      <c r="L194" s="132"/>
      <c r="M194" s="132"/>
    </row>
    <row r="195" spans="1:13" x14ac:dyDescent="0.25">
      <c r="A195" s="29">
        <v>5</v>
      </c>
      <c r="B195" s="29" t="s">
        <v>497</v>
      </c>
      <c r="C195" s="134" t="s">
        <v>498</v>
      </c>
      <c r="D195" s="129">
        <v>564</v>
      </c>
      <c r="E195" s="29"/>
      <c r="F195" s="139">
        <v>46095.625</v>
      </c>
      <c r="G195" s="29"/>
      <c r="H195" s="29"/>
      <c r="I195" s="29"/>
      <c r="J195" s="132"/>
      <c r="K195" s="132"/>
      <c r="L195" s="132"/>
      <c r="M195" s="132"/>
    </row>
    <row r="196" spans="1:13" x14ac:dyDescent="0.25">
      <c r="A196" s="29">
        <v>6</v>
      </c>
      <c r="B196" s="29" t="s">
        <v>499</v>
      </c>
      <c r="C196" s="134" t="s">
        <v>500</v>
      </c>
      <c r="D196" s="129">
        <v>666</v>
      </c>
      <c r="E196" s="29"/>
      <c r="F196" s="139">
        <v>46095.625</v>
      </c>
      <c r="G196" s="29"/>
      <c r="H196" s="29"/>
      <c r="I196" s="29"/>
      <c r="J196" s="132"/>
      <c r="K196" s="132"/>
      <c r="L196" s="132"/>
      <c r="M196" s="132"/>
    </row>
    <row r="197" spans="1:13" x14ac:dyDescent="0.25">
      <c r="A197" s="29">
        <v>7</v>
      </c>
      <c r="B197" s="29" t="s">
        <v>501</v>
      </c>
      <c r="C197" s="134" t="s">
        <v>502</v>
      </c>
      <c r="D197" s="129">
        <v>512</v>
      </c>
      <c r="E197" s="29"/>
      <c r="F197" s="139">
        <v>46095.625</v>
      </c>
      <c r="G197" s="29"/>
      <c r="H197" s="29"/>
      <c r="I197" s="29"/>
      <c r="J197" s="132"/>
      <c r="K197" s="132"/>
      <c r="L197" s="132"/>
      <c r="M197" s="132"/>
    </row>
    <row r="198" spans="1:13" x14ac:dyDescent="0.25">
      <c r="A198" s="29">
        <v>8</v>
      </c>
      <c r="B198" s="29" t="s">
        <v>503</v>
      </c>
      <c r="C198" s="134" t="s">
        <v>504</v>
      </c>
      <c r="D198" s="129">
        <v>510</v>
      </c>
      <c r="E198" s="29"/>
      <c r="F198" s="139">
        <v>46095.625</v>
      </c>
      <c r="G198" s="29"/>
      <c r="H198" s="29"/>
      <c r="I198" s="29"/>
      <c r="J198" s="132"/>
      <c r="K198" s="132"/>
      <c r="L198" s="132"/>
      <c r="M198" s="132"/>
    </row>
    <row r="199" spans="1:13" x14ac:dyDescent="0.25">
      <c r="A199" s="29">
        <v>9</v>
      </c>
      <c r="B199" s="29" t="s">
        <v>505</v>
      </c>
      <c r="C199" s="134" t="s">
        <v>506</v>
      </c>
      <c r="D199" s="129">
        <v>1028</v>
      </c>
      <c r="E199" s="29"/>
      <c r="F199" s="139">
        <v>46095.625</v>
      </c>
      <c r="G199" s="29"/>
      <c r="H199" s="29"/>
      <c r="I199" s="29"/>
      <c r="J199" s="132"/>
      <c r="K199" s="132"/>
      <c r="L199" s="132"/>
      <c r="M199" s="132"/>
    </row>
    <row r="200" spans="1:13" x14ac:dyDescent="0.25">
      <c r="A200" s="29">
        <v>10</v>
      </c>
      <c r="B200" s="29" t="s">
        <v>507</v>
      </c>
      <c r="C200" s="134" t="s">
        <v>508</v>
      </c>
      <c r="D200" s="129">
        <v>818</v>
      </c>
      <c r="E200" s="29"/>
      <c r="F200" s="139">
        <v>46095.625</v>
      </c>
      <c r="G200" s="29"/>
      <c r="H200" s="29"/>
      <c r="I200" s="29"/>
      <c r="J200" s="132"/>
      <c r="K200" s="132"/>
      <c r="L200" s="132"/>
      <c r="M200" s="132"/>
    </row>
    <row r="201" spans="1:13" x14ac:dyDescent="0.25">
      <c r="A201" s="29">
        <v>11</v>
      </c>
      <c r="B201" s="29" t="s">
        <v>509</v>
      </c>
      <c r="C201" s="134" t="s">
        <v>510</v>
      </c>
      <c r="D201" s="129">
        <v>510</v>
      </c>
      <c r="E201" s="29"/>
      <c r="F201" s="139">
        <v>46095.625</v>
      </c>
      <c r="G201" s="29"/>
      <c r="H201" s="29"/>
      <c r="I201" s="29"/>
      <c r="J201" s="132"/>
      <c r="K201" s="132"/>
      <c r="L201" s="132"/>
      <c r="M201" s="132"/>
    </row>
    <row r="203" spans="1:9" x14ac:dyDescent="0.25">
      <c r="A203" s="133" t="s">
        <v>360</v>
      </c>
      <c r="B203" s="133" t="s">
        <v>367</v>
      </c>
      <c r="C203" s="133" t="s">
        <v>368</v>
      </c>
      <c r="D203" s="133" t="s">
        <v>4</v>
      </c>
      <c r="E203" s="133" t="s">
        <v>5</v>
      </c>
      <c r="F203" s="133" t="s">
        <v>6</v>
      </c>
      <c r="G203" s="133" t="s">
        <v>7</v>
      </c>
      <c r="H203" s="133" t="s">
        <v>8</v>
      </c>
      <c r="I203" s="133" t="s">
        <v>9</v>
      </c>
    </row>
    <row r="204" spans="1:13" x14ac:dyDescent="0.25">
      <c r="A204" s="29">
        <v>1</v>
      </c>
      <c r="B204" s="29" t="s">
        <v>330</v>
      </c>
      <c r="C204" s="134" t="s">
        <v>198</v>
      </c>
      <c r="D204" s="135">
        <v>8.75</v>
      </c>
      <c r="E204" s="135">
        <v>90</v>
      </c>
      <c r="F204" s="29" t="s">
        <v>14</v>
      </c>
      <c r="G204" s="135">
        <v>787.5</v>
      </c>
      <c r="H204" s="29" t="s">
        <v>15</v>
      </c>
      <c r="I204" s="135">
        <v>0.57</v>
      </c>
      <c r="J204" s="132" t="s">
        <v>16</v>
      </c>
      <c r="K204" s="132" t="s">
        <v>331</v>
      </c>
      <c r="L204" s="132" t="s">
        <v>332</v>
      </c>
      <c r="M204" s="132" t="s">
        <v>333</v>
      </c>
    </row>
    <row r="205" spans="1:13" x14ac:dyDescent="0.25">
      <c r="A205" s="29">
        <v>2</v>
      </c>
      <c r="B205" s="29" t="s">
        <v>334</v>
      </c>
      <c r="C205" s="134" t="s">
        <v>201</v>
      </c>
      <c r="D205" s="135">
        <v>6.5</v>
      </c>
      <c r="E205" s="135">
        <v>499</v>
      </c>
      <c r="F205" s="29" t="s">
        <v>14</v>
      </c>
      <c r="G205" s="135">
        <v>3243.5</v>
      </c>
      <c r="H205" s="29" t="s">
        <v>15</v>
      </c>
      <c r="I205" s="135">
        <v>3.17</v>
      </c>
      <c r="J205" s="132" t="s">
        <v>16</v>
      </c>
      <c r="K205" s="132" t="s">
        <v>335</v>
      </c>
      <c r="L205" s="132" t="s">
        <v>336</v>
      </c>
      <c r="M205" s="132" t="s">
        <v>333</v>
      </c>
    </row>
    <row r="206" spans="1:13" x14ac:dyDescent="0.25">
      <c r="A206" s="29">
        <v>3</v>
      </c>
      <c r="B206" s="29" t="s">
        <v>34</v>
      </c>
      <c r="C206" s="134" t="s">
        <v>35</v>
      </c>
      <c r="D206" s="135">
        <v>0.02</v>
      </c>
      <c r="E206" s="135">
        <v>7312</v>
      </c>
      <c r="F206" s="29" t="s">
        <v>32</v>
      </c>
      <c r="G206" s="135">
        <v>146.24</v>
      </c>
      <c r="H206" s="29" t="s">
        <v>15</v>
      </c>
      <c r="I206" s="135">
        <v>46.46</v>
      </c>
      <c r="J206" s="132" t="s">
        <v>16</v>
      </c>
      <c r="K206" s="132" t="s">
        <v>341</v>
      </c>
      <c r="L206" s="132" t="s">
        <v>17</v>
      </c>
      <c r="M206" s="132" t="s">
        <v>17</v>
      </c>
    </row>
    <row r="207" spans="1:13" x14ac:dyDescent="0.25">
      <c r="A207" s="29">
        <v>4</v>
      </c>
      <c r="B207" s="29" t="s">
        <v>34</v>
      </c>
      <c r="C207" s="134" t="s">
        <v>36</v>
      </c>
      <c r="D207" s="135">
        <v>0.02</v>
      </c>
      <c r="E207" s="135">
        <v>7312</v>
      </c>
      <c r="F207" s="29" t="s">
        <v>32</v>
      </c>
      <c r="G207" s="135">
        <v>146.24</v>
      </c>
      <c r="H207" s="29" t="s">
        <v>15</v>
      </c>
      <c r="I207" s="135">
        <v>46.46</v>
      </c>
      <c r="J207" s="132" t="s">
        <v>16</v>
      </c>
      <c r="K207" s="132" t="s">
        <v>341</v>
      </c>
      <c r="L207" s="132" t="s">
        <v>17</v>
      </c>
      <c r="M207" s="132" t="s">
        <v>17</v>
      </c>
    </row>
    <row r="208" spans="1:13" x14ac:dyDescent="0.25">
      <c r="A208" s="29">
        <v>5</v>
      </c>
      <c r="B208" s="29" t="s">
        <v>34</v>
      </c>
      <c r="C208" s="134" t="s">
        <v>37</v>
      </c>
      <c r="D208" s="135">
        <v>0.01</v>
      </c>
      <c r="E208" s="135">
        <v>15712</v>
      </c>
      <c r="F208" s="29" t="s">
        <v>32</v>
      </c>
      <c r="G208" s="135">
        <v>157.12</v>
      </c>
      <c r="H208" s="29" t="s">
        <v>15</v>
      </c>
      <c r="I208" s="135">
        <v>99.83</v>
      </c>
      <c r="J208" s="132" t="s">
        <v>16</v>
      </c>
      <c r="K208" s="132" t="s">
        <v>341</v>
      </c>
      <c r="L208" s="132" t="s">
        <v>17</v>
      </c>
      <c r="M208" s="132" t="s">
        <v>17</v>
      </c>
    </row>
    <row r="209" spans="1:13" x14ac:dyDescent="0.25">
      <c r="A209" s="29">
        <v>6</v>
      </c>
      <c r="B209" s="29" t="s">
        <v>34</v>
      </c>
      <c r="C209" s="134" t="s">
        <v>38</v>
      </c>
      <c r="D209" s="135">
        <v>0.01</v>
      </c>
      <c r="E209" s="135">
        <v>15712</v>
      </c>
      <c r="F209" s="29" t="s">
        <v>32</v>
      </c>
      <c r="G209" s="135">
        <v>157.12</v>
      </c>
      <c r="H209" s="29" t="s">
        <v>15</v>
      </c>
      <c r="I209" s="135">
        <v>99.83</v>
      </c>
      <c r="J209" s="132" t="s">
        <v>16</v>
      </c>
      <c r="K209" s="132" t="s">
        <v>341</v>
      </c>
      <c r="L209" s="132" t="s">
        <v>17</v>
      </c>
      <c r="M209" s="132" t="s">
        <v>17</v>
      </c>
    </row>
    <row r="210" spans="1:13" x14ac:dyDescent="0.25">
      <c r="A210" s="29">
        <v>7</v>
      </c>
      <c r="B210" s="29" t="s">
        <v>41</v>
      </c>
      <c r="C210" s="134" t="s">
        <v>42</v>
      </c>
      <c r="D210" s="135">
        <v>0.02</v>
      </c>
      <c r="E210" s="135">
        <v>1085</v>
      </c>
      <c r="F210" s="29" t="s">
        <v>32</v>
      </c>
      <c r="G210" s="135">
        <v>21.7</v>
      </c>
      <c r="H210" s="29" t="s">
        <v>15</v>
      </c>
      <c r="I210" s="135">
        <v>6.89</v>
      </c>
      <c r="J210" s="132" t="s">
        <v>16</v>
      </c>
      <c r="K210" s="132" t="s">
        <v>343</v>
      </c>
      <c r="L210" s="132" t="s">
        <v>17</v>
      </c>
      <c r="M210" s="132" t="s">
        <v>17</v>
      </c>
    </row>
    <row r="211" spans="1:13" x14ac:dyDescent="0.25">
      <c r="A211" s="29">
        <v>8</v>
      </c>
      <c r="B211" s="29" t="s">
        <v>41</v>
      </c>
      <c r="C211" s="134" t="s">
        <v>43</v>
      </c>
      <c r="D211" s="135">
        <v>0.04</v>
      </c>
      <c r="E211" s="135">
        <v>3169</v>
      </c>
      <c r="F211" s="29" t="s">
        <v>32</v>
      </c>
      <c r="G211" s="135">
        <v>126.76</v>
      </c>
      <c r="H211" s="29" t="s">
        <v>15</v>
      </c>
      <c r="I211" s="135">
        <v>20.13</v>
      </c>
      <c r="J211" s="132" t="s">
        <v>16</v>
      </c>
      <c r="K211" s="132" t="s">
        <v>343</v>
      </c>
      <c r="L211" s="132" t="s">
        <v>17</v>
      </c>
      <c r="M211" s="132" t="s">
        <v>17</v>
      </c>
    </row>
    <row r="212" spans="1:13" x14ac:dyDescent="0.25">
      <c r="A212" s="29">
        <v>9</v>
      </c>
      <c r="B212" s="29" t="s">
        <v>44</v>
      </c>
      <c r="C212" s="134" t="s">
        <v>45</v>
      </c>
      <c r="D212" s="135">
        <v>0.02</v>
      </c>
      <c r="E212" s="135">
        <v>18420</v>
      </c>
      <c r="F212" s="29" t="s">
        <v>46</v>
      </c>
      <c r="G212" s="135">
        <v>368.40000000000003</v>
      </c>
      <c r="H212" s="29" t="s">
        <v>15</v>
      </c>
      <c r="I212" s="135">
        <v>117.03</v>
      </c>
      <c r="J212" s="132" t="s">
        <v>16</v>
      </c>
      <c r="K212" s="132" t="s">
        <v>344</v>
      </c>
      <c r="L212" s="132" t="s">
        <v>17</v>
      </c>
      <c r="M212" s="132" t="s">
        <v>17</v>
      </c>
    </row>
    <row r="213" spans="1:13" x14ac:dyDescent="0.25">
      <c r="A213" s="29">
        <v>10</v>
      </c>
      <c r="B213" s="29" t="s">
        <v>34</v>
      </c>
      <c r="C213" s="134" t="s">
        <v>76</v>
      </c>
      <c r="D213" s="135">
        <v>0.01</v>
      </c>
      <c r="E213" s="135">
        <v>8494</v>
      </c>
      <c r="F213" s="29" t="s">
        <v>32</v>
      </c>
      <c r="G213" s="135">
        <v>84.94</v>
      </c>
      <c r="H213" s="29" t="s">
        <v>15</v>
      </c>
      <c r="I213" s="135">
        <v>53.97</v>
      </c>
      <c r="J213" s="132" t="s">
        <v>16</v>
      </c>
      <c r="K213" s="132" t="s">
        <v>341</v>
      </c>
      <c r="L213" s="132" t="s">
        <v>17</v>
      </c>
      <c r="M213" s="132" t="s">
        <v>17</v>
      </c>
    </row>
    <row r="214" spans="1:13" x14ac:dyDescent="0.25">
      <c r="A214" s="29">
        <v>11</v>
      </c>
      <c r="B214" s="29" t="s">
        <v>34</v>
      </c>
      <c r="C214" s="134" t="s">
        <v>77</v>
      </c>
      <c r="D214" s="135">
        <v>0.01</v>
      </c>
      <c r="E214" s="135">
        <v>22972</v>
      </c>
      <c r="F214" s="29" t="s">
        <v>32</v>
      </c>
      <c r="G214" s="135">
        <v>229.72</v>
      </c>
      <c r="H214" s="29" t="s">
        <v>15</v>
      </c>
      <c r="I214" s="135">
        <v>145.96</v>
      </c>
      <c r="J214" s="132" t="s">
        <v>16</v>
      </c>
      <c r="K214" s="132" t="s">
        <v>341</v>
      </c>
      <c r="L214" s="132" t="s">
        <v>17</v>
      </c>
      <c r="M214" s="132" t="s">
        <v>17</v>
      </c>
    </row>
    <row r="215" spans="1:13" x14ac:dyDescent="0.25">
      <c r="A215" s="29">
        <v>12</v>
      </c>
      <c r="B215" s="29" t="s">
        <v>34</v>
      </c>
      <c r="C215" s="134" t="s">
        <v>78</v>
      </c>
      <c r="D215" s="135">
        <v>0.01</v>
      </c>
      <c r="E215" s="135">
        <v>2020</v>
      </c>
      <c r="F215" s="29" t="s">
        <v>32</v>
      </c>
      <c r="G215" s="135">
        <v>20.2</v>
      </c>
      <c r="H215" s="29" t="s">
        <v>15</v>
      </c>
      <c r="I215" s="135">
        <v>12.83</v>
      </c>
      <c r="J215" s="132" t="s">
        <v>16</v>
      </c>
      <c r="K215" s="132" t="s">
        <v>341</v>
      </c>
      <c r="L215" s="132" t="s">
        <v>17</v>
      </c>
      <c r="M215" s="132" t="s">
        <v>17</v>
      </c>
    </row>
    <row r="216" spans="1:13" x14ac:dyDescent="0.25">
      <c r="A216" s="136"/>
      <c r="B216" s="136" t="s">
        <v>96</v>
      </c>
      <c r="C216" s="136"/>
      <c r="D216" s="137"/>
      <c r="E216" s="138">
        <f>=SUM(E204:E215)</f>
      </c>
      <c r="F216" s="136"/>
      <c r="G216" s="138">
        <f>=SUM(G204:G215)</f>
      </c>
      <c r="H216" s="136"/>
      <c r="I216" s="136"/>
      <c r="J216" s="132"/>
      <c r="K216" s="132"/>
      <c r="L216" s="132"/>
      <c r="M216" s="132"/>
    </row>
    <row r="218" spans="1:9" x14ac:dyDescent="0.25">
      <c r="A218" s="3" t="s">
        <v>511</v>
      </c>
      <c r="B218" s="3" t="s">
        <v>359</v>
      </c>
      <c r="C218" s="3" t="s">
        <v>359</v>
      </c>
      <c r="D218" t="s">
        <v>359</v>
      </c>
      <c r="E218" s="3" t="s">
        <v>359</v>
      </c>
      <c r="F218" s="3" t="s">
        <v>359</v>
      </c>
      <c r="G218" s="3" t="s">
        <v>359</v>
      </c>
      <c r="I218" s="3" t="s">
        <v>17</v>
      </c>
    </row>
    <row r="220" spans="1:6" x14ac:dyDescent="0.25">
      <c r="A220" s="3" t="s">
        <v>360</v>
      </c>
      <c r="B220" s="3" t="s">
        <v>361</v>
      </c>
      <c r="C220" s="3" t="s">
        <v>362</v>
      </c>
      <c r="D220" t="s">
        <v>363</v>
      </c>
      <c r="E220" s="3" t="s">
        <v>102</v>
      </c>
      <c r="F220" s="3" t="s">
        <v>364</v>
      </c>
    </row>
    <row r="221" spans="1:13" x14ac:dyDescent="0.25">
      <c r="A221" s="29">
        <v>1</v>
      </c>
      <c r="B221" s="29" t="s">
        <v>512</v>
      </c>
      <c r="C221" s="134" t="s">
        <v>513</v>
      </c>
      <c r="D221" s="129">
        <v>3303</v>
      </c>
      <c r="E221" s="29"/>
      <c r="F221" s="139">
        <v>46095.625</v>
      </c>
      <c r="G221" s="29"/>
      <c r="H221" s="29"/>
      <c r="I221" s="29"/>
      <c r="J221" s="132"/>
      <c r="K221" s="132"/>
      <c r="L221" s="132"/>
      <c r="M221" s="132"/>
    </row>
    <row r="222" spans="1:13" x14ac:dyDescent="0.25">
      <c r="A222" s="29">
        <v>2</v>
      </c>
      <c r="B222" s="29" t="s">
        <v>514</v>
      </c>
      <c r="C222" s="134" t="s">
        <v>513</v>
      </c>
      <c r="D222" s="129">
        <v>1293</v>
      </c>
      <c r="E222" s="29"/>
      <c r="F222" s="139">
        <v>46095.625</v>
      </c>
      <c r="G222" s="29"/>
      <c r="H222" s="29"/>
      <c r="I222" s="29"/>
      <c r="J222" s="132"/>
      <c r="K222" s="132"/>
      <c r="L222" s="132"/>
      <c r="M222" s="132"/>
    </row>
    <row r="223" spans="1:13" x14ac:dyDescent="0.25">
      <c r="A223" s="29">
        <v>3</v>
      </c>
      <c r="B223" s="29" t="s">
        <v>515</v>
      </c>
      <c r="C223" s="134" t="s">
        <v>513</v>
      </c>
      <c r="D223" s="129">
        <v>2686</v>
      </c>
      <c r="E223" s="29"/>
      <c r="F223" s="139">
        <v>46095.625</v>
      </c>
      <c r="G223" s="29"/>
      <c r="H223" s="29"/>
      <c r="I223" s="29"/>
      <c r="J223" s="132"/>
      <c r="K223" s="132"/>
      <c r="L223" s="132"/>
      <c r="M223" s="132"/>
    </row>
    <row r="224" spans="1:13" x14ac:dyDescent="0.25">
      <c r="A224" s="29">
        <v>4</v>
      </c>
      <c r="B224" s="29" t="s">
        <v>516</v>
      </c>
      <c r="C224" s="134" t="s">
        <v>517</v>
      </c>
      <c r="D224" s="129">
        <v>3349</v>
      </c>
      <c r="E224" s="29"/>
      <c r="F224" s="139">
        <v>46095.625</v>
      </c>
      <c r="G224" s="29"/>
      <c r="H224" s="29"/>
      <c r="I224" s="29"/>
      <c r="J224" s="132"/>
      <c r="K224" s="132"/>
      <c r="L224" s="132"/>
      <c r="M224" s="132"/>
    </row>
    <row r="226" spans="1:9" x14ac:dyDescent="0.25">
      <c r="A226" s="133" t="s">
        <v>360</v>
      </c>
      <c r="B226" s="133" t="s">
        <v>367</v>
      </c>
      <c r="C226" s="133" t="s">
        <v>368</v>
      </c>
      <c r="D226" s="133" t="s">
        <v>4</v>
      </c>
      <c r="E226" s="133" t="s">
        <v>5</v>
      </c>
      <c r="F226" s="133" t="s">
        <v>6</v>
      </c>
      <c r="G226" s="133" t="s">
        <v>7</v>
      </c>
      <c r="H226" s="133" t="s">
        <v>8</v>
      </c>
      <c r="I226" s="133" t="s">
        <v>9</v>
      </c>
    </row>
    <row r="227" spans="1:13" x14ac:dyDescent="0.25">
      <c r="A227" s="29">
        <v>1</v>
      </c>
      <c r="B227" s="29" t="s">
        <v>337</v>
      </c>
      <c r="C227" s="134" t="s">
        <v>263</v>
      </c>
      <c r="D227" s="135">
        <v>0.01</v>
      </c>
      <c r="E227" s="135">
        <v>170</v>
      </c>
      <c r="F227" s="29" t="s">
        <v>32</v>
      </c>
      <c r="G227" s="135">
        <v>1.7</v>
      </c>
      <c r="H227" s="29" t="s">
        <v>15</v>
      </c>
      <c r="I227" s="135">
        <v>1.08</v>
      </c>
      <c r="J227" s="132" t="s">
        <v>16</v>
      </c>
      <c r="K227" s="132" t="s">
        <v>338</v>
      </c>
      <c r="L227" s="132" t="s">
        <v>17</v>
      </c>
      <c r="M227" s="132" t="s">
        <v>339</v>
      </c>
    </row>
    <row r="228" spans="1:13" x14ac:dyDescent="0.25">
      <c r="A228" s="29">
        <v>2</v>
      </c>
      <c r="B228" s="29" t="s">
        <v>337</v>
      </c>
      <c r="C228" s="134" t="s">
        <v>263</v>
      </c>
      <c r="D228" s="135">
        <v>0.1</v>
      </c>
      <c r="E228" s="135">
        <v>842</v>
      </c>
      <c r="F228" s="29" t="s">
        <v>32</v>
      </c>
      <c r="G228" s="135">
        <v>84.2</v>
      </c>
      <c r="H228" s="29" t="s">
        <v>15</v>
      </c>
      <c r="I228" s="135">
        <v>5.35</v>
      </c>
      <c r="J228" s="132" t="s">
        <v>16</v>
      </c>
      <c r="K228" s="132" t="s">
        <v>338</v>
      </c>
      <c r="L228" s="132" t="s">
        <v>17</v>
      </c>
      <c r="M228" s="132" t="s">
        <v>339</v>
      </c>
    </row>
    <row r="229" spans="1:13" x14ac:dyDescent="0.25">
      <c r="A229" s="29">
        <v>3</v>
      </c>
      <c r="B229" s="29" t="s">
        <v>337</v>
      </c>
      <c r="C229" s="134" t="s">
        <v>263</v>
      </c>
      <c r="D229" s="135">
        <v>0.37</v>
      </c>
      <c r="E229" s="135">
        <v>920</v>
      </c>
      <c r="F229" s="29" t="s">
        <v>32</v>
      </c>
      <c r="G229" s="135">
        <v>340.4</v>
      </c>
      <c r="H229" s="29" t="s">
        <v>15</v>
      </c>
      <c r="I229" s="135">
        <v>5.85</v>
      </c>
      <c r="J229" s="132" t="s">
        <v>16</v>
      </c>
      <c r="K229" s="132" t="s">
        <v>338</v>
      </c>
      <c r="L229" s="132" t="s">
        <v>17</v>
      </c>
      <c r="M229" s="132" t="s">
        <v>339</v>
      </c>
    </row>
    <row r="230" spans="1:13" x14ac:dyDescent="0.25">
      <c r="A230" s="29">
        <v>4</v>
      </c>
      <c r="B230" s="29" t="s">
        <v>337</v>
      </c>
      <c r="C230" s="134" t="s">
        <v>263</v>
      </c>
      <c r="D230" s="135">
        <v>0.38</v>
      </c>
      <c r="E230" s="135">
        <v>204</v>
      </c>
      <c r="F230" s="29" t="s">
        <v>32</v>
      </c>
      <c r="G230" s="135">
        <v>77.52</v>
      </c>
      <c r="H230" s="29" t="s">
        <v>15</v>
      </c>
      <c r="I230" s="135">
        <v>1.3</v>
      </c>
      <c r="J230" s="132" t="s">
        <v>16</v>
      </c>
      <c r="K230" s="132" t="s">
        <v>338</v>
      </c>
      <c r="L230" s="132" t="s">
        <v>17</v>
      </c>
      <c r="M230" s="132" t="s">
        <v>339</v>
      </c>
    </row>
    <row r="231" spans="1:13" x14ac:dyDescent="0.25">
      <c r="A231" s="29">
        <v>5</v>
      </c>
      <c r="B231" s="29" t="s">
        <v>337</v>
      </c>
      <c r="C231" s="134" t="s">
        <v>263</v>
      </c>
      <c r="D231" s="135">
        <v>0.42</v>
      </c>
      <c r="E231" s="135">
        <v>319</v>
      </c>
      <c r="F231" s="29" t="s">
        <v>32</v>
      </c>
      <c r="G231" s="135">
        <v>133.98</v>
      </c>
      <c r="H231" s="29" t="s">
        <v>15</v>
      </c>
      <c r="I231" s="135">
        <v>2.03</v>
      </c>
      <c r="J231" s="132" t="s">
        <v>16</v>
      </c>
      <c r="K231" s="132" t="s">
        <v>338</v>
      </c>
      <c r="L231" s="132" t="s">
        <v>17</v>
      </c>
      <c r="M231" s="132" t="s">
        <v>339</v>
      </c>
    </row>
    <row r="232" spans="1:13" x14ac:dyDescent="0.25">
      <c r="A232" s="29">
        <v>6</v>
      </c>
      <c r="B232" s="29" t="s">
        <v>337</v>
      </c>
      <c r="C232" s="134" t="s">
        <v>263</v>
      </c>
      <c r="D232" s="135">
        <v>0.44</v>
      </c>
      <c r="E232" s="135">
        <v>867</v>
      </c>
      <c r="F232" s="29" t="s">
        <v>32</v>
      </c>
      <c r="G232" s="135">
        <v>381.48</v>
      </c>
      <c r="H232" s="29" t="s">
        <v>15</v>
      </c>
      <c r="I232" s="135">
        <v>5.51</v>
      </c>
      <c r="J232" s="132" t="s">
        <v>16</v>
      </c>
      <c r="K232" s="132" t="s">
        <v>338</v>
      </c>
      <c r="L232" s="132" t="s">
        <v>17</v>
      </c>
      <c r="M232" s="132" t="s">
        <v>339</v>
      </c>
    </row>
    <row r="233" spans="1:13" x14ac:dyDescent="0.25">
      <c r="A233" s="29">
        <v>7</v>
      </c>
      <c r="B233" s="29" t="s">
        <v>337</v>
      </c>
      <c r="C233" s="134" t="s">
        <v>263</v>
      </c>
      <c r="D233" s="135">
        <v>0.45</v>
      </c>
      <c r="E233" s="135">
        <v>710</v>
      </c>
      <c r="F233" s="29" t="s">
        <v>32</v>
      </c>
      <c r="G233" s="135">
        <v>319.5</v>
      </c>
      <c r="H233" s="29" t="s">
        <v>15</v>
      </c>
      <c r="I233" s="135">
        <v>4.51</v>
      </c>
      <c r="J233" s="132" t="s">
        <v>16</v>
      </c>
      <c r="K233" s="132" t="s">
        <v>338</v>
      </c>
      <c r="L233" s="132" t="s">
        <v>17</v>
      </c>
      <c r="M233" s="132" t="s">
        <v>339</v>
      </c>
    </row>
    <row r="234" spans="1:13" x14ac:dyDescent="0.25">
      <c r="A234" s="136"/>
      <c r="B234" s="136" t="s">
        <v>96</v>
      </c>
      <c r="C234" s="136"/>
      <c r="D234" s="137"/>
      <c r="E234" s="138">
        <f>=SUM(E227:E233)</f>
      </c>
      <c r="F234" s="136"/>
      <c r="G234" s="138">
        <f>=SUM(G227:G233)</f>
      </c>
      <c r="H234" s="136"/>
      <c r="I234" s="136"/>
      <c r="J234" s="132"/>
      <c r="K234" s="132"/>
      <c r="L234" s="132"/>
      <c r="M234" s="132"/>
    </row>
    <row r="236" spans="1:9" x14ac:dyDescent="0.25">
      <c r="A236" s="3" t="s">
        <v>518</v>
      </c>
      <c r="B236" s="3" t="s">
        <v>359</v>
      </c>
      <c r="C236" s="3" t="s">
        <v>359</v>
      </c>
      <c r="D236" t="s">
        <v>359</v>
      </c>
      <c r="E236" s="3" t="s">
        <v>359</v>
      </c>
      <c r="F236" s="3" t="s">
        <v>359</v>
      </c>
      <c r="G236" s="3" t="s">
        <v>359</v>
      </c>
      <c r="I236" s="3" t="s">
        <v>17</v>
      </c>
    </row>
    <row r="238" spans="1:6" x14ac:dyDescent="0.25">
      <c r="A238" s="3" t="s">
        <v>360</v>
      </c>
      <c r="B238" s="3" t="s">
        <v>361</v>
      </c>
      <c r="C238" s="3" t="s">
        <v>362</v>
      </c>
      <c r="D238" t="s">
        <v>363</v>
      </c>
      <c r="E238" s="3" t="s">
        <v>102</v>
      </c>
      <c r="F238" s="3" t="s">
        <v>364</v>
      </c>
    </row>
    <row r="239" spans="1:13" x14ac:dyDescent="0.25">
      <c r="A239" s="29">
        <v>1</v>
      </c>
      <c r="B239" s="29" t="s">
        <v>519</v>
      </c>
      <c r="C239" s="134" t="s">
        <v>520</v>
      </c>
      <c r="D239" s="129">
        <v>514</v>
      </c>
      <c r="E239" s="29"/>
      <c r="F239" s="139">
        <v>46095.625</v>
      </c>
      <c r="G239" s="29"/>
      <c r="H239" s="29"/>
      <c r="I239" s="29"/>
      <c r="J239" s="132"/>
      <c r="K239" s="132"/>
      <c r="L239" s="132"/>
      <c r="M239" s="132"/>
    </row>
    <row r="240" spans="1:13" x14ac:dyDescent="0.25">
      <c r="A240" s="29">
        <v>2</v>
      </c>
      <c r="B240" s="29" t="s">
        <v>521</v>
      </c>
      <c r="C240" s="134" t="s">
        <v>522</v>
      </c>
      <c r="D240" s="129">
        <v>1068</v>
      </c>
      <c r="E240" s="29"/>
      <c r="F240" s="139">
        <v>46095.625</v>
      </c>
      <c r="G240" s="29"/>
      <c r="H240" s="29"/>
      <c r="I240" s="29"/>
      <c r="J240" s="132"/>
      <c r="K240" s="132"/>
      <c r="L240" s="132"/>
      <c r="M240" s="132"/>
    </row>
    <row r="241" spans="1:13" x14ac:dyDescent="0.25">
      <c r="A241" s="29">
        <v>3</v>
      </c>
      <c r="B241" s="29" t="s">
        <v>523</v>
      </c>
      <c r="C241" s="134" t="s">
        <v>522</v>
      </c>
      <c r="D241" s="129">
        <v>1042</v>
      </c>
      <c r="E241" s="29"/>
      <c r="F241" s="139">
        <v>46095.625</v>
      </c>
      <c r="G241" s="29"/>
      <c r="H241" s="29"/>
      <c r="I241" s="29"/>
      <c r="J241" s="132"/>
      <c r="K241" s="132"/>
      <c r="L241" s="132"/>
      <c r="M241" s="132"/>
    </row>
    <row r="243" spans="1:9" x14ac:dyDescent="0.25">
      <c r="A243" s="133" t="s">
        <v>360</v>
      </c>
      <c r="B243" s="133" t="s">
        <v>367</v>
      </c>
      <c r="C243" s="133" t="s">
        <v>368</v>
      </c>
      <c r="D243" s="133" t="s">
        <v>4</v>
      </c>
      <c r="E243" s="133" t="s">
        <v>5</v>
      </c>
      <c r="F243" s="133" t="s">
        <v>6</v>
      </c>
      <c r="G243" s="133" t="s">
        <v>7</v>
      </c>
      <c r="H243" s="133" t="s">
        <v>8</v>
      </c>
      <c r="I243" s="133" t="s">
        <v>9</v>
      </c>
    </row>
    <row r="244" spans="1:13" x14ac:dyDescent="0.25">
      <c r="A244" s="29">
        <v>1</v>
      </c>
      <c r="B244" s="29" t="s">
        <v>337</v>
      </c>
      <c r="C244" s="134" t="s">
        <v>263</v>
      </c>
      <c r="D244" s="135">
        <v>0.35</v>
      </c>
      <c r="E244" s="135">
        <v>175</v>
      </c>
      <c r="F244" s="29" t="s">
        <v>32</v>
      </c>
      <c r="G244" s="135">
        <v>61.24999999999999</v>
      </c>
      <c r="H244" s="29" t="s">
        <v>15</v>
      </c>
      <c r="I244" s="135">
        <v>1.11</v>
      </c>
      <c r="J244" s="132" t="s">
        <v>16</v>
      </c>
      <c r="K244" s="132" t="s">
        <v>338</v>
      </c>
      <c r="L244" s="132" t="s">
        <v>17</v>
      </c>
      <c r="M244" s="132" t="s">
        <v>339</v>
      </c>
    </row>
    <row r="245" spans="1:13" x14ac:dyDescent="0.25">
      <c r="A245" s="29">
        <v>2</v>
      </c>
      <c r="B245" s="29" t="s">
        <v>337</v>
      </c>
      <c r="C245" s="134" t="s">
        <v>263</v>
      </c>
      <c r="D245" s="135">
        <v>0.01</v>
      </c>
      <c r="E245" s="135">
        <v>25</v>
      </c>
      <c r="F245" s="29" t="s">
        <v>32</v>
      </c>
      <c r="G245" s="135">
        <v>0.25</v>
      </c>
      <c r="H245" s="29" t="s">
        <v>15</v>
      </c>
      <c r="I245" s="135">
        <v>0.16</v>
      </c>
      <c r="J245" s="132" t="s">
        <v>16</v>
      </c>
      <c r="K245" s="132" t="s">
        <v>338</v>
      </c>
      <c r="L245" s="132" t="s">
        <v>17</v>
      </c>
      <c r="M245" s="132" t="s">
        <v>339</v>
      </c>
    </row>
    <row r="246" spans="1:13" x14ac:dyDescent="0.25">
      <c r="A246" s="136"/>
      <c r="B246" s="136" t="s">
        <v>96</v>
      </c>
      <c r="C246" s="136"/>
      <c r="D246" s="137"/>
      <c r="E246" s="138">
        <f>=SUM(E244:E245)</f>
      </c>
      <c r="F246" s="136"/>
      <c r="G246" s="138">
        <f>=SUM(G244:G245)</f>
      </c>
      <c r="H246" s="136"/>
      <c r="I246" s="136"/>
      <c r="J246" s="132"/>
      <c r="K246" s="132"/>
      <c r="L246" s="132"/>
      <c r="M246" s="132"/>
    </row>
    <row r="248" spans="1:9" x14ac:dyDescent="0.25">
      <c r="A248" s="3" t="s">
        <v>524</v>
      </c>
      <c r="B248" s="3" t="s">
        <v>359</v>
      </c>
      <c r="C248" s="3" t="s">
        <v>359</v>
      </c>
      <c r="D248" t="s">
        <v>359</v>
      </c>
      <c r="E248" s="3" t="s">
        <v>359</v>
      </c>
      <c r="F248" s="3" t="s">
        <v>359</v>
      </c>
      <c r="G248" s="3" t="s">
        <v>359</v>
      </c>
      <c r="I248" s="3" t="s">
        <v>17</v>
      </c>
    </row>
    <row r="250" spans="1:6" x14ac:dyDescent="0.25">
      <c r="A250" s="3" t="s">
        <v>360</v>
      </c>
      <c r="B250" s="3" t="s">
        <v>361</v>
      </c>
      <c r="C250" s="3" t="s">
        <v>362</v>
      </c>
      <c r="D250" t="s">
        <v>363</v>
      </c>
      <c r="E250" s="3" t="s">
        <v>102</v>
      </c>
      <c r="F250" s="3" t="s">
        <v>364</v>
      </c>
    </row>
    <row r="251" spans="1:13" x14ac:dyDescent="0.25">
      <c r="A251" s="29">
        <v>1</v>
      </c>
      <c r="B251" s="29" t="s">
        <v>525</v>
      </c>
      <c r="C251" s="134" t="s">
        <v>526</v>
      </c>
      <c r="D251" s="129">
        <v>5681</v>
      </c>
      <c r="E251" s="29"/>
      <c r="F251" s="139">
        <v>46095.625</v>
      </c>
      <c r="G251" s="29"/>
      <c r="H251" s="29"/>
      <c r="I251" s="29"/>
      <c r="J251" s="132"/>
      <c r="K251" s="132"/>
      <c r="L251" s="132"/>
      <c r="M251" s="132"/>
    </row>
    <row r="252" spans="1:13" x14ac:dyDescent="0.25">
      <c r="A252" s="29">
        <v>2</v>
      </c>
      <c r="B252" s="29" t="s">
        <v>527</v>
      </c>
      <c r="C252" s="134" t="s">
        <v>528</v>
      </c>
      <c r="D252" s="129">
        <v>3658</v>
      </c>
      <c r="E252" s="29"/>
      <c r="F252" s="139">
        <v>46095.625</v>
      </c>
      <c r="G252" s="29"/>
      <c r="H252" s="29"/>
      <c r="I252" s="29"/>
      <c r="J252" s="132"/>
      <c r="K252" s="132"/>
      <c r="L252" s="132"/>
      <c r="M252" s="132"/>
    </row>
    <row r="253" spans="1:13" x14ac:dyDescent="0.25">
      <c r="A253" s="29">
        <v>3</v>
      </c>
      <c r="B253" s="29" t="s">
        <v>529</v>
      </c>
      <c r="C253" s="134" t="s">
        <v>530</v>
      </c>
      <c r="D253" s="129">
        <v>1718</v>
      </c>
      <c r="E253" s="29"/>
      <c r="F253" s="139">
        <v>46095.625</v>
      </c>
      <c r="G253" s="29"/>
      <c r="H253" s="29"/>
      <c r="I253" s="29"/>
      <c r="J253" s="132"/>
      <c r="K253" s="132"/>
      <c r="L253" s="132"/>
      <c r="M253" s="132"/>
    </row>
    <row r="254" spans="1:13" x14ac:dyDescent="0.25">
      <c r="A254" s="29">
        <v>4</v>
      </c>
      <c r="B254" s="29" t="s">
        <v>531</v>
      </c>
      <c r="C254" s="134" t="s">
        <v>532</v>
      </c>
      <c r="D254" s="129">
        <v>1002</v>
      </c>
      <c r="E254" s="29"/>
      <c r="F254" s="139">
        <v>46095.625</v>
      </c>
      <c r="G254" s="29"/>
      <c r="H254" s="29"/>
      <c r="I254" s="29"/>
      <c r="J254" s="132"/>
      <c r="K254" s="132"/>
      <c r="L254" s="132"/>
      <c r="M254" s="132"/>
    </row>
    <row r="255" spans="1:13" x14ac:dyDescent="0.25">
      <c r="A255" s="29">
        <v>5</v>
      </c>
      <c r="B255" s="29" t="s">
        <v>533</v>
      </c>
      <c r="C255" s="134" t="s">
        <v>534</v>
      </c>
      <c r="D255" s="129">
        <v>654</v>
      </c>
      <c r="E255" s="29"/>
      <c r="F255" s="139">
        <v>46095.625</v>
      </c>
      <c r="G255" s="29"/>
      <c r="H255" s="29"/>
      <c r="I255" s="29"/>
      <c r="J255" s="132"/>
      <c r="K255" s="132"/>
      <c r="L255" s="132"/>
      <c r="M255" s="132"/>
    </row>
    <row r="256" spans="1:13" x14ac:dyDescent="0.25">
      <c r="A256" s="29">
        <v>6</v>
      </c>
      <c r="B256" s="29" t="s">
        <v>535</v>
      </c>
      <c r="C256" s="134" t="s">
        <v>536</v>
      </c>
      <c r="D256" s="129">
        <v>2864</v>
      </c>
      <c r="E256" s="29"/>
      <c r="F256" s="139">
        <v>46095.625</v>
      </c>
      <c r="G256" s="29"/>
      <c r="H256" s="29"/>
      <c r="I256" s="29"/>
      <c r="J256" s="132"/>
      <c r="K256" s="132"/>
      <c r="L256" s="132"/>
      <c r="M256" s="132"/>
    </row>
    <row r="257" spans="1:13" x14ac:dyDescent="0.25">
      <c r="A257" s="29">
        <v>7</v>
      </c>
      <c r="B257" s="29" t="s">
        <v>537</v>
      </c>
      <c r="C257" s="134" t="s">
        <v>538</v>
      </c>
      <c r="D257" s="129">
        <v>1230</v>
      </c>
      <c r="E257" s="29"/>
      <c r="F257" s="139">
        <v>46095.625</v>
      </c>
      <c r="G257" s="29"/>
      <c r="H257" s="29"/>
      <c r="I257" s="29"/>
      <c r="J257" s="132"/>
      <c r="K257" s="132"/>
      <c r="L257" s="132"/>
      <c r="M257" s="132"/>
    </row>
    <row r="258" spans="1:13" x14ac:dyDescent="0.25">
      <c r="A258" s="29">
        <v>8</v>
      </c>
      <c r="B258" s="29" t="s">
        <v>539</v>
      </c>
      <c r="C258" s="134" t="s">
        <v>540</v>
      </c>
      <c r="D258" s="129">
        <v>5260</v>
      </c>
      <c r="E258" s="29"/>
      <c r="F258" s="139">
        <v>46095.625</v>
      </c>
      <c r="G258" s="29"/>
      <c r="H258" s="29"/>
      <c r="I258" s="29"/>
      <c r="J258" s="132"/>
      <c r="K258" s="132"/>
      <c r="L258" s="132"/>
      <c r="M258" s="132"/>
    </row>
    <row r="259" spans="1:13" x14ac:dyDescent="0.25">
      <c r="A259" s="29">
        <v>9</v>
      </c>
      <c r="B259" s="29" t="s">
        <v>541</v>
      </c>
      <c r="C259" s="134" t="s">
        <v>542</v>
      </c>
      <c r="D259" s="129">
        <v>694</v>
      </c>
      <c r="E259" s="29"/>
      <c r="F259" s="139">
        <v>46095.625</v>
      </c>
      <c r="G259" s="29"/>
      <c r="H259" s="29"/>
      <c r="I259" s="29"/>
      <c r="J259" s="132"/>
      <c r="K259" s="132"/>
      <c r="L259" s="132"/>
      <c r="M259" s="132"/>
    </row>
    <row r="260" spans="1:13" x14ac:dyDescent="0.25">
      <c r="A260" s="29">
        <v>10</v>
      </c>
      <c r="B260" s="29" t="s">
        <v>543</v>
      </c>
      <c r="C260" s="134" t="s">
        <v>544</v>
      </c>
      <c r="D260" s="129">
        <v>534</v>
      </c>
      <c r="E260" s="29"/>
      <c r="F260" s="139">
        <v>46095.625</v>
      </c>
      <c r="G260" s="29"/>
      <c r="H260" s="29"/>
      <c r="I260" s="29"/>
      <c r="J260" s="132"/>
      <c r="K260" s="132"/>
      <c r="L260" s="132"/>
      <c r="M260" s="132"/>
    </row>
    <row r="261" spans="1:13" x14ac:dyDescent="0.25">
      <c r="A261" s="29">
        <v>11</v>
      </c>
      <c r="B261" s="29" t="s">
        <v>545</v>
      </c>
      <c r="C261" s="134" t="s">
        <v>546</v>
      </c>
      <c r="D261" s="129">
        <v>2164</v>
      </c>
      <c r="E261" s="29"/>
      <c r="F261" s="139">
        <v>46095.625</v>
      </c>
      <c r="G261" s="29"/>
      <c r="H261" s="29"/>
      <c r="I261" s="29"/>
      <c r="J261" s="132"/>
      <c r="K261" s="132"/>
      <c r="L261" s="132"/>
      <c r="M261" s="132"/>
    </row>
    <row r="263" spans="1:9" x14ac:dyDescent="0.25">
      <c r="A263" s="133" t="s">
        <v>360</v>
      </c>
      <c r="B263" s="133" t="s">
        <v>367</v>
      </c>
      <c r="C263" s="133" t="s">
        <v>368</v>
      </c>
      <c r="D263" s="133" t="s">
        <v>4</v>
      </c>
      <c r="E263" s="133" t="s">
        <v>5</v>
      </c>
      <c r="F263" s="133" t="s">
        <v>6</v>
      </c>
      <c r="G263" s="133" t="s">
        <v>7</v>
      </c>
      <c r="H263" s="133" t="s">
        <v>8</v>
      </c>
      <c r="I263" s="133" t="s">
        <v>9</v>
      </c>
    </row>
    <row r="264" spans="1:13" x14ac:dyDescent="0.25">
      <c r="A264" s="29">
        <v>1</v>
      </c>
      <c r="B264" s="29" t="s">
        <v>12</v>
      </c>
      <c r="C264" s="134" t="s">
        <v>13</v>
      </c>
      <c r="D264" s="135">
        <v>5.85</v>
      </c>
      <c r="E264" s="135">
        <v>777</v>
      </c>
      <c r="F264" s="29" t="s">
        <v>14</v>
      </c>
      <c r="G264" s="135">
        <v>4545.45</v>
      </c>
      <c r="H264" s="29" t="s">
        <v>15</v>
      </c>
      <c r="I264" s="135">
        <v>4.94</v>
      </c>
      <c r="J264" s="132" t="s">
        <v>16</v>
      </c>
      <c r="K264" s="132" t="s">
        <v>320</v>
      </c>
      <c r="L264" s="132" t="s">
        <v>17</v>
      </c>
      <c r="M264" s="132" t="s">
        <v>18</v>
      </c>
    </row>
    <row r="265" spans="1:13" x14ac:dyDescent="0.25">
      <c r="A265" s="136"/>
      <c r="B265" s="136" t="s">
        <v>96</v>
      </c>
      <c r="C265" s="136"/>
      <c r="D265" s="137"/>
      <c r="E265" s="138">
        <f>=SUM(E264:E264)</f>
      </c>
      <c r="F265" s="136"/>
      <c r="G265" s="138">
        <f>=SUM(G264:G264)</f>
      </c>
      <c r="H265" s="136"/>
      <c r="I265" s="136"/>
      <c r="J265" s="132"/>
      <c r="K265" s="132"/>
      <c r="L265" s="132"/>
      <c r="M265" s="132"/>
    </row>
    <row r="267" spans="1:9" x14ac:dyDescent="0.25">
      <c r="A267" s="3" t="s">
        <v>547</v>
      </c>
      <c r="B267" s="3" t="s">
        <v>359</v>
      </c>
      <c r="C267" s="3" t="s">
        <v>359</v>
      </c>
      <c r="D267" t="s">
        <v>359</v>
      </c>
      <c r="E267" s="3" t="s">
        <v>359</v>
      </c>
      <c r="F267" s="3" t="s">
        <v>359</v>
      </c>
      <c r="G267" s="3" t="s">
        <v>359</v>
      </c>
      <c r="I267" s="3" t="s">
        <v>17</v>
      </c>
    </row>
    <row r="269" spans="1:6" x14ac:dyDescent="0.25">
      <c r="A269" s="3" t="s">
        <v>360</v>
      </c>
      <c r="B269" s="3" t="s">
        <v>361</v>
      </c>
      <c r="C269" s="3" t="s">
        <v>362</v>
      </c>
      <c r="D269" t="s">
        <v>363</v>
      </c>
      <c r="E269" s="3" t="s">
        <v>102</v>
      </c>
      <c r="F269" s="3" t="s">
        <v>364</v>
      </c>
    </row>
    <row r="270" spans="1:13" x14ac:dyDescent="0.25">
      <c r="A270" s="29">
        <v>1</v>
      </c>
      <c r="B270" s="29" t="s">
        <v>548</v>
      </c>
      <c r="C270" s="134" t="s">
        <v>549</v>
      </c>
      <c r="D270" s="129">
        <v>4220</v>
      </c>
      <c r="E270" s="29"/>
      <c r="F270" s="139">
        <v>46095.625</v>
      </c>
      <c r="G270" s="29"/>
      <c r="H270" s="29"/>
      <c r="I270" s="29"/>
      <c r="J270" s="132"/>
      <c r="K270" s="132"/>
      <c r="L270" s="132"/>
      <c r="M270" s="132"/>
    </row>
    <row r="271" spans="1:13" x14ac:dyDescent="0.25">
      <c r="A271" s="29">
        <v>2</v>
      </c>
      <c r="B271" s="29" t="s">
        <v>550</v>
      </c>
      <c r="C271" s="134" t="s">
        <v>551</v>
      </c>
      <c r="D271" s="129">
        <v>8438</v>
      </c>
      <c r="E271" s="29"/>
      <c r="F271" s="139">
        <v>46095.625</v>
      </c>
      <c r="G271" s="29"/>
      <c r="H271" s="29"/>
      <c r="I271" s="29"/>
      <c r="J271" s="132"/>
      <c r="K271" s="132"/>
      <c r="L271" s="132"/>
      <c r="M271" s="132"/>
    </row>
    <row r="273" spans="1:9" x14ac:dyDescent="0.25">
      <c r="A273" s="133" t="s">
        <v>360</v>
      </c>
      <c r="B273" s="133" t="s">
        <v>367</v>
      </c>
      <c r="C273" s="133" t="s">
        <v>368</v>
      </c>
      <c r="D273" s="133" t="s">
        <v>4</v>
      </c>
      <c r="E273" s="133" t="s">
        <v>5</v>
      </c>
      <c r="F273" s="133" t="s">
        <v>6</v>
      </c>
      <c r="G273" s="133" t="s">
        <v>7</v>
      </c>
      <c r="H273" s="133" t="s">
        <v>8</v>
      </c>
      <c r="I273" s="133" t="s">
        <v>9</v>
      </c>
    </row>
    <row r="274" spans="1:13" x14ac:dyDescent="0.25">
      <c r="A274" s="29">
        <v>1</v>
      </c>
      <c r="B274" s="29" t="s">
        <v>39</v>
      </c>
      <c r="C274" s="134" t="s">
        <v>55</v>
      </c>
      <c r="D274" s="135">
        <v>0.01</v>
      </c>
      <c r="E274" s="135">
        <v>12900</v>
      </c>
      <c r="F274" s="29" t="s">
        <v>32</v>
      </c>
      <c r="G274" s="135">
        <v>129</v>
      </c>
      <c r="H274" s="29" t="s">
        <v>15</v>
      </c>
      <c r="I274" s="135">
        <v>81.96</v>
      </c>
      <c r="J274" s="132" t="s">
        <v>16</v>
      </c>
      <c r="K274" s="132" t="s">
        <v>342</v>
      </c>
      <c r="L274" s="132" t="s">
        <v>17</v>
      </c>
      <c r="M274" s="132" t="s">
        <v>17</v>
      </c>
    </row>
    <row r="275" spans="1:13" x14ac:dyDescent="0.25">
      <c r="A275" s="29">
        <v>2</v>
      </c>
      <c r="B275" s="29" t="s">
        <v>39</v>
      </c>
      <c r="C275" s="134" t="s">
        <v>64</v>
      </c>
      <c r="D275" s="135">
        <v>0.01</v>
      </c>
      <c r="E275" s="135">
        <v>12900</v>
      </c>
      <c r="F275" s="29" t="s">
        <v>32</v>
      </c>
      <c r="G275" s="135">
        <v>129</v>
      </c>
      <c r="H275" s="29" t="s">
        <v>15</v>
      </c>
      <c r="I275" s="135">
        <v>81.96</v>
      </c>
      <c r="J275" s="132" t="s">
        <v>16</v>
      </c>
      <c r="K275" s="132" t="s">
        <v>342</v>
      </c>
      <c r="L275" s="132" t="s">
        <v>17</v>
      </c>
      <c r="M275" s="132" t="s">
        <v>17</v>
      </c>
    </row>
    <row r="276" spans="1:13" x14ac:dyDescent="0.25">
      <c r="A276" s="29">
        <v>3</v>
      </c>
      <c r="B276" s="29" t="s">
        <v>91</v>
      </c>
      <c r="C276" s="134" t="s">
        <v>92</v>
      </c>
      <c r="D276" s="135">
        <v>0.26</v>
      </c>
      <c r="E276" s="135">
        <v>12658</v>
      </c>
      <c r="F276" s="29" t="s">
        <v>32</v>
      </c>
      <c r="G276" s="135">
        <v>3291.08</v>
      </c>
      <c r="H276" s="29" t="s">
        <v>15</v>
      </c>
      <c r="I276" s="135">
        <v>80.42</v>
      </c>
      <c r="J276" s="132" t="s">
        <v>16</v>
      </c>
      <c r="K276" s="132" t="s">
        <v>357</v>
      </c>
      <c r="L276" s="132" t="s">
        <v>17</v>
      </c>
      <c r="M276" s="132" t="s">
        <v>17</v>
      </c>
    </row>
    <row r="277" spans="1:13" x14ac:dyDescent="0.25">
      <c r="A277" s="136"/>
      <c r="B277" s="136" t="s">
        <v>96</v>
      </c>
      <c r="C277" s="136"/>
      <c r="D277" s="137"/>
      <c r="E277" s="138">
        <f>=SUM(E274:E276)</f>
      </c>
      <c r="F277" s="136"/>
      <c r="G277" s="138">
        <f>=SUM(G274:G276)</f>
      </c>
      <c r="H277" s="136"/>
      <c r="I277" s="136"/>
      <c r="J277" s="132"/>
      <c r="K277" s="132"/>
      <c r="L277" s="132"/>
      <c r="M277" s="132"/>
    </row>
    <row r="279" spans="1:9" x14ac:dyDescent="0.25">
      <c r="A279" s="3" t="s">
        <v>552</v>
      </c>
      <c r="B279" s="3" t="s">
        <v>359</v>
      </c>
      <c r="C279" s="3" t="s">
        <v>359</v>
      </c>
      <c r="D279" t="s">
        <v>359</v>
      </c>
      <c r="E279" s="3" t="s">
        <v>359</v>
      </c>
      <c r="F279" s="3" t="s">
        <v>359</v>
      </c>
      <c r="G279" s="3" t="s">
        <v>359</v>
      </c>
      <c r="I279" s="3" t="s">
        <v>17</v>
      </c>
    </row>
    <row r="281" spans="1:6" x14ac:dyDescent="0.25">
      <c r="A281" s="3" t="s">
        <v>360</v>
      </c>
      <c r="B281" s="3" t="s">
        <v>361</v>
      </c>
      <c r="C281" s="3" t="s">
        <v>362</v>
      </c>
      <c r="D281" t="s">
        <v>363</v>
      </c>
      <c r="E281" s="3" t="s">
        <v>102</v>
      </c>
      <c r="F281" s="3" t="s">
        <v>364</v>
      </c>
    </row>
    <row r="282" spans="1:13" x14ac:dyDescent="0.25">
      <c r="A282" s="29">
        <v>1</v>
      </c>
      <c r="B282" s="29" t="s">
        <v>553</v>
      </c>
      <c r="C282" s="134" t="s">
        <v>554</v>
      </c>
      <c r="D282" s="129">
        <v>7</v>
      </c>
      <c r="E282" s="29"/>
      <c r="F282" s="139">
        <v>46095.625</v>
      </c>
      <c r="G282" s="29"/>
      <c r="H282" s="29"/>
      <c r="I282" s="29"/>
      <c r="J282" s="132"/>
      <c r="K282" s="132"/>
      <c r="L282" s="132"/>
      <c r="M282" s="132"/>
    </row>
    <row r="283" spans="1:13" x14ac:dyDescent="0.25">
      <c r="A283" s="29">
        <v>2</v>
      </c>
      <c r="B283" s="29" t="s">
        <v>555</v>
      </c>
      <c r="C283" s="134" t="s">
        <v>556</v>
      </c>
      <c r="D283" s="129">
        <v>7</v>
      </c>
      <c r="E283" s="29"/>
      <c r="F283" s="139">
        <v>46095.625</v>
      </c>
      <c r="G283" s="29"/>
      <c r="H283" s="29"/>
      <c r="I283" s="29"/>
      <c r="J283" s="132"/>
      <c r="K283" s="132"/>
      <c r="L283" s="132"/>
      <c r="M283" s="132"/>
    </row>
    <row r="284" spans="1:13" x14ac:dyDescent="0.25">
      <c r="A284" s="29">
        <v>3</v>
      </c>
      <c r="B284" s="29" t="s">
        <v>557</v>
      </c>
      <c r="C284" s="134" t="s">
        <v>558</v>
      </c>
      <c r="D284" s="129">
        <v>8</v>
      </c>
      <c r="E284" s="29"/>
      <c r="F284" s="139">
        <v>46095.625</v>
      </c>
      <c r="G284" s="29"/>
      <c r="H284" s="29"/>
      <c r="I284" s="29"/>
      <c r="J284" s="132"/>
      <c r="K284" s="132"/>
      <c r="L284" s="132"/>
      <c r="M284" s="132"/>
    </row>
    <row r="285" spans="1:13" x14ac:dyDescent="0.25">
      <c r="A285" s="29">
        <v>4</v>
      </c>
      <c r="B285" s="29" t="s">
        <v>559</v>
      </c>
      <c r="C285" s="134" t="s">
        <v>560</v>
      </c>
      <c r="D285" s="129">
        <v>7</v>
      </c>
      <c r="E285" s="29"/>
      <c r="F285" s="139">
        <v>46095.625</v>
      </c>
      <c r="G285" s="29"/>
      <c r="H285" s="29"/>
      <c r="I285" s="29"/>
      <c r="J285" s="132"/>
      <c r="K285" s="132"/>
      <c r="L285" s="132"/>
      <c r="M285" s="132"/>
    </row>
    <row r="286" spans="1:13" x14ac:dyDescent="0.25">
      <c r="A286" s="29">
        <v>5</v>
      </c>
      <c r="B286" s="29" t="s">
        <v>561</v>
      </c>
      <c r="C286" s="134" t="s">
        <v>562</v>
      </c>
      <c r="D286" s="129">
        <v>8</v>
      </c>
      <c r="E286" s="29"/>
      <c r="F286" s="139">
        <v>46095.625</v>
      </c>
      <c r="G286" s="29"/>
      <c r="H286" s="29"/>
      <c r="I286" s="29"/>
      <c r="J286" s="132"/>
      <c r="K286" s="132"/>
      <c r="L286" s="132"/>
      <c r="M286" s="132"/>
    </row>
    <row r="288" spans="1:9" x14ac:dyDescent="0.25">
      <c r="A288" s="133" t="s">
        <v>360</v>
      </c>
      <c r="B288" s="133" t="s">
        <v>367</v>
      </c>
      <c r="C288" s="133" t="s">
        <v>368</v>
      </c>
      <c r="D288" s="133" t="s">
        <v>4</v>
      </c>
      <c r="E288" s="133" t="s">
        <v>5</v>
      </c>
      <c r="F288" s="133" t="s">
        <v>6</v>
      </c>
      <c r="G288" s="133" t="s">
        <v>7</v>
      </c>
      <c r="H288" s="133" t="s">
        <v>8</v>
      </c>
      <c r="I288" s="133" t="s">
        <v>9</v>
      </c>
    </row>
    <row r="289" spans="1:13" x14ac:dyDescent="0.25">
      <c r="A289" s="29">
        <v>1</v>
      </c>
      <c r="B289" s="29" t="s">
        <v>24</v>
      </c>
      <c r="C289" s="134" t="s">
        <v>27</v>
      </c>
      <c r="D289" s="135">
        <v>4.05</v>
      </c>
      <c r="E289" s="135">
        <v>531</v>
      </c>
      <c r="F289" s="29" t="s">
        <v>14</v>
      </c>
      <c r="G289" s="135">
        <v>2150.5499999999997</v>
      </c>
      <c r="H289" s="29" t="s">
        <v>15</v>
      </c>
      <c r="I289" s="135">
        <v>3.37</v>
      </c>
      <c r="J289" s="132" t="s">
        <v>16</v>
      </c>
      <c r="K289" s="132" t="s">
        <v>329</v>
      </c>
      <c r="L289" s="132" t="s">
        <v>28</v>
      </c>
      <c r="M289" s="132" t="s">
        <v>29</v>
      </c>
    </row>
    <row r="290" spans="1:13" x14ac:dyDescent="0.25">
      <c r="A290" s="136"/>
      <c r="B290" s="136" t="s">
        <v>96</v>
      </c>
      <c r="C290" s="136"/>
      <c r="D290" s="137"/>
      <c r="E290" s="138">
        <f>=SUM(E289:E289)</f>
      </c>
      <c r="F290" s="136"/>
      <c r="G290" s="138">
        <f>=SUM(G289:G289)</f>
      </c>
      <c r="H290" s="136"/>
      <c r="I290" s="136"/>
      <c r="J290" s="132"/>
      <c r="K290" s="132"/>
      <c r="L290" s="132"/>
      <c r="M290" s="132"/>
    </row>
    <row r="292" spans="1:9" x14ac:dyDescent="0.25">
      <c r="A292" s="3" t="s">
        <v>563</v>
      </c>
      <c r="B292" s="3" t="s">
        <v>359</v>
      </c>
      <c r="C292" s="3" t="s">
        <v>359</v>
      </c>
      <c r="D292" t="s">
        <v>359</v>
      </c>
      <c r="E292" s="3" t="s">
        <v>359</v>
      </c>
      <c r="F292" s="3" t="s">
        <v>359</v>
      </c>
      <c r="G292" s="3" t="s">
        <v>359</v>
      </c>
      <c r="I292" s="3" t="s">
        <v>17</v>
      </c>
    </row>
    <row r="294" spans="1:6" x14ac:dyDescent="0.25">
      <c r="A294" s="3" t="s">
        <v>360</v>
      </c>
      <c r="B294" s="3" t="s">
        <v>361</v>
      </c>
      <c r="C294" s="3" t="s">
        <v>362</v>
      </c>
      <c r="D294" t="s">
        <v>363</v>
      </c>
      <c r="E294" s="3" t="s">
        <v>102</v>
      </c>
      <c r="F294" s="3" t="s">
        <v>364</v>
      </c>
    </row>
    <row r="295" spans="1:13" x14ac:dyDescent="0.25">
      <c r="A295" s="29">
        <v>1</v>
      </c>
      <c r="B295" s="29" t="s">
        <v>564</v>
      </c>
      <c r="C295" s="134" t="s">
        <v>565</v>
      </c>
      <c r="D295" s="129">
        <v>2850</v>
      </c>
      <c r="E295" s="29"/>
      <c r="F295" s="139">
        <v>46095.625</v>
      </c>
      <c r="G295" s="29"/>
      <c r="H295" s="29"/>
      <c r="I295" s="29"/>
      <c r="J295" s="132"/>
      <c r="K295" s="132"/>
      <c r="L295" s="132"/>
      <c r="M295" s="132"/>
    </row>
    <row r="297" spans="1:9" x14ac:dyDescent="0.25">
      <c r="A297" s="133" t="s">
        <v>360</v>
      </c>
      <c r="B297" s="133" t="s">
        <v>367</v>
      </c>
      <c r="C297" s="133" t="s">
        <v>368</v>
      </c>
      <c r="D297" s="133" t="s">
        <v>4</v>
      </c>
      <c r="E297" s="133" t="s">
        <v>5</v>
      </c>
      <c r="F297" s="133" t="s">
        <v>6</v>
      </c>
      <c r="G297" s="133" t="s">
        <v>7</v>
      </c>
      <c r="H297" s="133" t="s">
        <v>8</v>
      </c>
      <c r="I297" s="133" t="s">
        <v>9</v>
      </c>
    </row>
    <row r="298" spans="1:13" x14ac:dyDescent="0.25">
      <c r="A298" s="29">
        <v>1</v>
      </c>
      <c r="B298" s="29" t="s">
        <v>12</v>
      </c>
      <c r="C298" s="134" t="s">
        <v>22</v>
      </c>
      <c r="D298" s="135">
        <v>0.01</v>
      </c>
      <c r="E298" s="135">
        <v>39</v>
      </c>
      <c r="F298" s="29" t="s">
        <v>14</v>
      </c>
      <c r="G298" s="135">
        <v>0.39</v>
      </c>
      <c r="H298" s="29" t="s">
        <v>15</v>
      </c>
      <c r="I298" s="135">
        <v>0.25</v>
      </c>
      <c r="J298" s="132" t="s">
        <v>16</v>
      </c>
      <c r="K298" s="132" t="s">
        <v>320</v>
      </c>
      <c r="L298" s="132" t="s">
        <v>17</v>
      </c>
      <c r="M298" s="132" t="s">
        <v>18</v>
      </c>
    </row>
    <row r="299" spans="1:13" x14ac:dyDescent="0.25">
      <c r="A299" s="29">
        <v>2</v>
      </c>
      <c r="B299" s="29" t="s">
        <v>12</v>
      </c>
      <c r="C299" s="134" t="s">
        <v>22</v>
      </c>
      <c r="D299" s="135">
        <v>3.04</v>
      </c>
      <c r="E299" s="135">
        <v>161</v>
      </c>
      <c r="F299" s="29" t="s">
        <v>14</v>
      </c>
      <c r="G299" s="135">
        <v>489.44</v>
      </c>
      <c r="H299" s="29" t="s">
        <v>15</v>
      </c>
      <c r="I299" s="135">
        <v>1.02</v>
      </c>
      <c r="J299" s="132" t="s">
        <v>16</v>
      </c>
      <c r="K299" s="132" t="s">
        <v>320</v>
      </c>
      <c r="L299" s="132" t="s">
        <v>17</v>
      </c>
      <c r="M299" s="132" t="s">
        <v>18</v>
      </c>
    </row>
    <row r="300" spans="1:13" x14ac:dyDescent="0.25">
      <c r="A300" s="136"/>
      <c r="B300" s="136" t="s">
        <v>96</v>
      </c>
      <c r="C300" s="136"/>
      <c r="D300" s="137"/>
      <c r="E300" s="138">
        <f>=SUM(E298:E299)</f>
      </c>
      <c r="F300" s="136"/>
      <c r="G300" s="138">
        <f>=SUM(G298:G299)</f>
      </c>
      <c r="H300" s="136"/>
      <c r="I300" s="136"/>
      <c r="J300" s="132"/>
      <c r="K300" s="132"/>
      <c r="L300" s="132"/>
      <c r="M300" s="132"/>
    </row>
    <row r="302" spans="1:9" x14ac:dyDescent="0.25">
      <c r="A302" s="3" t="s">
        <v>566</v>
      </c>
      <c r="B302" s="3" t="s">
        <v>359</v>
      </c>
      <c r="C302" s="3" t="s">
        <v>359</v>
      </c>
      <c r="D302" t="s">
        <v>359</v>
      </c>
      <c r="E302" s="3" t="s">
        <v>359</v>
      </c>
      <c r="F302" s="3" t="s">
        <v>359</v>
      </c>
      <c r="G302" s="3" t="s">
        <v>359</v>
      </c>
      <c r="I302" s="3" t="s">
        <v>17</v>
      </c>
    </row>
    <row r="304" spans="1:6" x14ac:dyDescent="0.25">
      <c r="A304" s="3" t="s">
        <v>360</v>
      </c>
      <c r="B304" s="3" t="s">
        <v>361</v>
      </c>
      <c r="C304" s="3" t="s">
        <v>362</v>
      </c>
      <c r="D304" t="s">
        <v>363</v>
      </c>
      <c r="E304" s="3" t="s">
        <v>102</v>
      </c>
      <c r="F304" s="3" t="s">
        <v>364</v>
      </c>
    </row>
    <row r="305" spans="1:13" x14ac:dyDescent="0.25">
      <c r="A305" s="29">
        <v>1</v>
      </c>
      <c r="B305" s="29" t="s">
        <v>567</v>
      </c>
      <c r="C305" s="134" t="s">
        <v>568</v>
      </c>
      <c r="D305" s="129">
        <v>4324</v>
      </c>
      <c r="E305" s="29"/>
      <c r="F305" s="139">
        <v>46095.625</v>
      </c>
      <c r="G305" s="29"/>
      <c r="H305" s="29"/>
      <c r="I305" s="29"/>
      <c r="J305" s="132"/>
      <c r="K305" s="132"/>
      <c r="L305" s="132"/>
      <c r="M305" s="132"/>
    </row>
    <row r="307" spans="1:9" x14ac:dyDescent="0.25">
      <c r="A307" s="133" t="s">
        <v>360</v>
      </c>
      <c r="B307" s="133" t="s">
        <v>367</v>
      </c>
      <c r="C307" s="133" t="s">
        <v>368</v>
      </c>
      <c r="D307" s="133" t="s">
        <v>4</v>
      </c>
      <c r="E307" s="133" t="s">
        <v>5</v>
      </c>
      <c r="F307" s="133" t="s">
        <v>6</v>
      </c>
      <c r="G307" s="133" t="s">
        <v>7</v>
      </c>
      <c r="H307" s="133" t="s">
        <v>8</v>
      </c>
      <c r="I307" s="133" t="s">
        <v>9</v>
      </c>
    </row>
    <row r="308" spans="1:13" x14ac:dyDescent="0.25">
      <c r="A308" s="29">
        <v>1</v>
      </c>
      <c r="B308" s="29" t="s">
        <v>24</v>
      </c>
      <c r="C308" s="134" t="s">
        <v>25</v>
      </c>
      <c r="D308" s="135">
        <v>2.84</v>
      </c>
      <c r="E308" s="135">
        <v>363</v>
      </c>
      <c r="F308" s="29" t="s">
        <v>14</v>
      </c>
      <c r="G308" s="135">
        <v>1030.9199999999998</v>
      </c>
      <c r="H308" s="29" t="s">
        <v>15</v>
      </c>
      <c r="I308" s="135">
        <v>2.31</v>
      </c>
      <c r="J308" s="132" t="s">
        <v>16</v>
      </c>
      <c r="K308" s="132" t="s">
        <v>329</v>
      </c>
      <c r="L308" s="132" t="s">
        <v>17</v>
      </c>
      <c r="M308" s="132" t="s">
        <v>26</v>
      </c>
    </row>
    <row r="309" spans="1:13" x14ac:dyDescent="0.25">
      <c r="A309" s="29">
        <v>2</v>
      </c>
      <c r="B309" s="29" t="s">
        <v>47</v>
      </c>
      <c r="C309" s="134" t="s">
        <v>48</v>
      </c>
      <c r="D309" s="135">
        <v>0.01</v>
      </c>
      <c r="E309" s="135">
        <v>193</v>
      </c>
      <c r="F309" s="29" t="s">
        <v>32</v>
      </c>
      <c r="G309" s="135">
        <v>1.93</v>
      </c>
      <c r="H309" s="29" t="s">
        <v>15</v>
      </c>
      <c r="I309" s="135">
        <v>1.23</v>
      </c>
      <c r="J309" s="132" t="s">
        <v>16</v>
      </c>
      <c r="K309" s="132" t="s">
        <v>79</v>
      </c>
      <c r="L309" s="132" t="s">
        <v>17</v>
      </c>
      <c r="M309" s="132" t="s">
        <v>17</v>
      </c>
    </row>
    <row r="310" spans="1:13" x14ac:dyDescent="0.25">
      <c r="A310" s="29">
        <v>3</v>
      </c>
      <c r="B310" s="29" t="s">
        <v>47</v>
      </c>
      <c r="C310" s="134" t="s">
        <v>48</v>
      </c>
      <c r="D310" s="135">
        <v>0.11</v>
      </c>
      <c r="E310" s="135">
        <v>8657</v>
      </c>
      <c r="F310" s="29" t="s">
        <v>32</v>
      </c>
      <c r="G310" s="135">
        <v>952.27</v>
      </c>
      <c r="H310" s="29" t="s">
        <v>15</v>
      </c>
      <c r="I310" s="135">
        <v>55</v>
      </c>
      <c r="J310" s="132" t="s">
        <v>16</v>
      </c>
      <c r="K310" s="132" t="s">
        <v>79</v>
      </c>
      <c r="L310" s="132" t="s">
        <v>17</v>
      </c>
      <c r="M310" s="132" t="s">
        <v>17</v>
      </c>
    </row>
    <row r="311" spans="1:13" x14ac:dyDescent="0.25">
      <c r="A311" s="29">
        <v>4</v>
      </c>
      <c r="B311" s="29" t="s">
        <v>49</v>
      </c>
      <c r="C311" s="134" t="s">
        <v>50</v>
      </c>
      <c r="D311" s="135">
        <v>0.01</v>
      </c>
      <c r="E311" s="135">
        <v>200</v>
      </c>
      <c r="F311" s="29" t="s">
        <v>14</v>
      </c>
      <c r="G311" s="135">
        <v>2</v>
      </c>
      <c r="H311" s="29" t="s">
        <v>15</v>
      </c>
      <c r="I311" s="135">
        <v>1.27</v>
      </c>
      <c r="J311" s="132" t="s">
        <v>16</v>
      </c>
      <c r="K311" s="132" t="s">
        <v>345</v>
      </c>
      <c r="L311" s="132" t="s">
        <v>17</v>
      </c>
      <c r="M311" s="132" t="s">
        <v>17</v>
      </c>
    </row>
    <row r="312" spans="1:13" x14ac:dyDescent="0.25">
      <c r="A312" s="29">
        <v>5</v>
      </c>
      <c r="B312" s="29" t="s">
        <v>49</v>
      </c>
      <c r="C312" s="134" t="s">
        <v>50</v>
      </c>
      <c r="D312" s="135">
        <v>0.17</v>
      </c>
      <c r="E312" s="135">
        <v>4100</v>
      </c>
      <c r="F312" s="29" t="s">
        <v>14</v>
      </c>
      <c r="G312" s="135">
        <v>697</v>
      </c>
      <c r="H312" s="29" t="s">
        <v>15</v>
      </c>
      <c r="I312" s="135">
        <v>26.05</v>
      </c>
      <c r="J312" s="132" t="s">
        <v>16</v>
      </c>
      <c r="K312" s="132" t="s">
        <v>345</v>
      </c>
      <c r="L312" s="132" t="s">
        <v>17</v>
      </c>
      <c r="M312" s="132" t="s">
        <v>17</v>
      </c>
    </row>
    <row r="313" spans="1:13" x14ac:dyDescent="0.25">
      <c r="A313" s="29">
        <v>6</v>
      </c>
      <c r="B313" s="29" t="s">
        <v>51</v>
      </c>
      <c r="C313" s="134" t="s">
        <v>53</v>
      </c>
      <c r="D313" s="135">
        <v>0.01</v>
      </c>
      <c r="E313" s="135">
        <v>100</v>
      </c>
      <c r="F313" s="29" t="s">
        <v>14</v>
      </c>
      <c r="G313" s="135">
        <v>1</v>
      </c>
      <c r="H313" s="29" t="s">
        <v>15</v>
      </c>
      <c r="I313" s="135">
        <v>0.64</v>
      </c>
      <c r="J313" s="132" t="s">
        <v>16</v>
      </c>
      <c r="K313" s="132" t="s">
        <v>346</v>
      </c>
      <c r="L313" s="132" t="s">
        <v>17</v>
      </c>
      <c r="M313" s="132" t="s">
        <v>17</v>
      </c>
    </row>
    <row r="314" spans="1:13" x14ac:dyDescent="0.25">
      <c r="A314" s="29">
        <v>7</v>
      </c>
      <c r="B314" s="29" t="s">
        <v>51</v>
      </c>
      <c r="C314" s="134" t="s">
        <v>53</v>
      </c>
      <c r="D314" s="135">
        <v>0.07</v>
      </c>
      <c r="E314" s="135">
        <v>4200</v>
      </c>
      <c r="F314" s="29" t="s">
        <v>14</v>
      </c>
      <c r="G314" s="135">
        <v>294</v>
      </c>
      <c r="H314" s="29" t="s">
        <v>15</v>
      </c>
      <c r="I314" s="135">
        <v>26.69</v>
      </c>
      <c r="J314" s="132" t="s">
        <v>16</v>
      </c>
      <c r="K314" s="132" t="s">
        <v>346</v>
      </c>
      <c r="L314" s="132" t="s">
        <v>17</v>
      </c>
      <c r="M314" s="132" t="s">
        <v>17</v>
      </c>
    </row>
    <row r="315" spans="1:13" x14ac:dyDescent="0.25">
      <c r="A315" s="29">
        <v>8</v>
      </c>
      <c r="B315" s="29" t="s">
        <v>51</v>
      </c>
      <c r="C315" s="134" t="s">
        <v>53</v>
      </c>
      <c r="D315" s="135">
        <v>0.08</v>
      </c>
      <c r="E315" s="135">
        <v>6000</v>
      </c>
      <c r="F315" s="29" t="s">
        <v>14</v>
      </c>
      <c r="G315" s="135">
        <v>480</v>
      </c>
      <c r="H315" s="29" t="s">
        <v>15</v>
      </c>
      <c r="I315" s="135">
        <v>38.12</v>
      </c>
      <c r="J315" s="132" t="s">
        <v>16</v>
      </c>
      <c r="K315" s="132" t="s">
        <v>346</v>
      </c>
      <c r="L315" s="132" t="s">
        <v>17</v>
      </c>
      <c r="M315" s="132" t="s">
        <v>17</v>
      </c>
    </row>
    <row r="316" spans="1:13" x14ac:dyDescent="0.25">
      <c r="A316" s="29">
        <v>9</v>
      </c>
      <c r="B316" s="29" t="s">
        <v>51</v>
      </c>
      <c r="C316" s="134" t="s">
        <v>53</v>
      </c>
      <c r="D316" s="135">
        <v>0.14</v>
      </c>
      <c r="E316" s="135">
        <v>1200</v>
      </c>
      <c r="F316" s="29" t="s">
        <v>14</v>
      </c>
      <c r="G316" s="135">
        <v>168.00000000000003</v>
      </c>
      <c r="H316" s="29" t="s">
        <v>15</v>
      </c>
      <c r="I316" s="135">
        <v>7.62</v>
      </c>
      <c r="J316" s="132" t="s">
        <v>16</v>
      </c>
      <c r="K316" s="132" t="s">
        <v>346</v>
      </c>
      <c r="L316" s="132" t="s">
        <v>17</v>
      </c>
      <c r="M316" s="132" t="s">
        <v>17</v>
      </c>
    </row>
    <row r="317" spans="1:13" x14ac:dyDescent="0.25">
      <c r="A317" s="29">
        <v>10</v>
      </c>
      <c r="B317" s="29" t="s">
        <v>47</v>
      </c>
      <c r="C317" s="134" t="s">
        <v>85</v>
      </c>
      <c r="D317" s="135">
        <v>0.01</v>
      </c>
      <c r="E317" s="135">
        <v>54</v>
      </c>
      <c r="F317" s="29" t="s">
        <v>32</v>
      </c>
      <c r="G317" s="135">
        <v>0.54</v>
      </c>
      <c r="H317" s="29" t="s">
        <v>15</v>
      </c>
      <c r="I317" s="135">
        <v>0.34</v>
      </c>
      <c r="J317" s="132" t="s">
        <v>16</v>
      </c>
      <c r="K317" s="132" t="s">
        <v>79</v>
      </c>
      <c r="L317" s="132" t="s">
        <v>17</v>
      </c>
      <c r="M317" s="132" t="s">
        <v>17</v>
      </c>
    </row>
    <row r="318" spans="1:13" x14ac:dyDescent="0.25">
      <c r="A318" s="29">
        <v>11</v>
      </c>
      <c r="B318" s="29" t="s">
        <v>47</v>
      </c>
      <c r="C318" s="134" t="s">
        <v>85</v>
      </c>
      <c r="D318" s="135">
        <v>0.14</v>
      </c>
      <c r="E318" s="135">
        <v>1906</v>
      </c>
      <c r="F318" s="29" t="s">
        <v>32</v>
      </c>
      <c r="G318" s="135">
        <v>266.84000000000003</v>
      </c>
      <c r="H318" s="29" t="s">
        <v>15</v>
      </c>
      <c r="I318" s="135">
        <v>12.11</v>
      </c>
      <c r="J318" s="132" t="s">
        <v>16</v>
      </c>
      <c r="K318" s="132" t="s">
        <v>79</v>
      </c>
      <c r="L318" s="132" t="s">
        <v>17</v>
      </c>
      <c r="M318" s="132" t="s">
        <v>17</v>
      </c>
    </row>
    <row r="319" spans="1:13" x14ac:dyDescent="0.25">
      <c r="A319" s="29">
        <v>12</v>
      </c>
      <c r="B319" s="29" t="s">
        <v>41</v>
      </c>
      <c r="C319" s="134" t="s">
        <v>85</v>
      </c>
      <c r="D319" s="135">
        <v>0.01</v>
      </c>
      <c r="E319" s="135">
        <v>248</v>
      </c>
      <c r="F319" s="29" t="s">
        <v>32</v>
      </c>
      <c r="G319" s="135">
        <v>2.48</v>
      </c>
      <c r="H319" s="29" t="s">
        <v>15</v>
      </c>
      <c r="I319" s="135">
        <v>1.58</v>
      </c>
      <c r="J319" s="132" t="s">
        <v>16</v>
      </c>
      <c r="K319" s="132" t="s">
        <v>343</v>
      </c>
      <c r="L319" s="132" t="s">
        <v>17</v>
      </c>
      <c r="M319" s="132" t="s">
        <v>17</v>
      </c>
    </row>
    <row r="320" spans="1:13" x14ac:dyDescent="0.25">
      <c r="A320" s="29">
        <v>13</v>
      </c>
      <c r="B320" s="29" t="s">
        <v>41</v>
      </c>
      <c r="C320" s="134" t="s">
        <v>85</v>
      </c>
      <c r="D320" s="135">
        <v>0.14</v>
      </c>
      <c r="E320" s="135">
        <v>11082</v>
      </c>
      <c r="F320" s="29" t="s">
        <v>32</v>
      </c>
      <c r="G320" s="135">
        <v>1551.4800000000002</v>
      </c>
      <c r="H320" s="29" t="s">
        <v>15</v>
      </c>
      <c r="I320" s="135">
        <v>70.41</v>
      </c>
      <c r="J320" s="132" t="s">
        <v>16</v>
      </c>
      <c r="K320" s="132" t="s">
        <v>343</v>
      </c>
      <c r="L320" s="132" t="s">
        <v>17</v>
      </c>
      <c r="M320" s="132" t="s">
        <v>17</v>
      </c>
    </row>
    <row r="321" spans="1:13" x14ac:dyDescent="0.25">
      <c r="A321" s="29">
        <v>14</v>
      </c>
      <c r="B321" s="29" t="s">
        <v>47</v>
      </c>
      <c r="C321" s="134" t="s">
        <v>88</v>
      </c>
      <c r="D321" s="135">
        <v>0.01</v>
      </c>
      <c r="E321" s="135">
        <v>271</v>
      </c>
      <c r="F321" s="29" t="s">
        <v>32</v>
      </c>
      <c r="G321" s="135">
        <v>2.71</v>
      </c>
      <c r="H321" s="29" t="s">
        <v>15</v>
      </c>
      <c r="I321" s="135">
        <v>1.72</v>
      </c>
      <c r="J321" s="132" t="s">
        <v>16</v>
      </c>
      <c r="K321" s="132" t="s">
        <v>79</v>
      </c>
      <c r="L321" s="132" t="s">
        <v>17</v>
      </c>
      <c r="M321" s="132" t="s">
        <v>17</v>
      </c>
    </row>
    <row r="322" spans="1:13" x14ac:dyDescent="0.25">
      <c r="A322" s="29">
        <v>15</v>
      </c>
      <c r="B322" s="29" t="s">
        <v>47</v>
      </c>
      <c r="C322" s="134" t="s">
        <v>88</v>
      </c>
      <c r="D322" s="135">
        <v>0.14</v>
      </c>
      <c r="E322" s="135">
        <v>12979</v>
      </c>
      <c r="F322" s="29" t="s">
        <v>32</v>
      </c>
      <c r="G322" s="135">
        <v>1817.0600000000002</v>
      </c>
      <c r="H322" s="29" t="s">
        <v>15</v>
      </c>
      <c r="I322" s="135">
        <v>82.46</v>
      </c>
      <c r="J322" s="132" t="s">
        <v>16</v>
      </c>
      <c r="K322" s="132" t="s">
        <v>79</v>
      </c>
      <c r="L322" s="132" t="s">
        <v>17</v>
      </c>
      <c r="M322" s="132" t="s">
        <v>17</v>
      </c>
    </row>
    <row r="323" spans="1:13" x14ac:dyDescent="0.25">
      <c r="A323" s="136"/>
      <c r="B323" s="136" t="s">
        <v>96</v>
      </c>
      <c r="C323" s="136"/>
      <c r="D323" s="137"/>
      <c r="E323" s="138">
        <f>=SUM(E308:E322)</f>
      </c>
      <c r="F323" s="136"/>
      <c r="G323" s="138">
        <f>=SUM(G308:G322)</f>
      </c>
      <c r="H323" s="136"/>
      <c r="I323" s="136"/>
      <c r="J323" s="132"/>
      <c r="K323" s="132"/>
      <c r="L323" s="132"/>
      <c r="M323" s="132"/>
    </row>
    <row r="325" spans="1:9" x14ac:dyDescent="0.25">
      <c r="A325" s="3" t="s">
        <v>569</v>
      </c>
      <c r="B325" s="3" t="s">
        <v>359</v>
      </c>
      <c r="C325" s="3" t="s">
        <v>359</v>
      </c>
      <c r="D325" t="s">
        <v>359</v>
      </c>
      <c r="E325" s="3" t="s">
        <v>359</v>
      </c>
      <c r="F325" s="3" t="s">
        <v>359</v>
      </c>
      <c r="G325" s="3" t="s">
        <v>359</v>
      </c>
      <c r="I325" s="3" t="s">
        <v>17</v>
      </c>
    </row>
    <row r="327" spans="1:6" x14ac:dyDescent="0.25">
      <c r="A327" s="3" t="s">
        <v>360</v>
      </c>
      <c r="B327" s="3" t="s">
        <v>361</v>
      </c>
      <c r="C327" s="3" t="s">
        <v>362</v>
      </c>
      <c r="D327" t="s">
        <v>363</v>
      </c>
      <c r="E327" s="3" t="s">
        <v>102</v>
      </c>
      <c r="F327" s="3" t="s">
        <v>364</v>
      </c>
    </row>
    <row r="328" spans="1:13" x14ac:dyDescent="0.25">
      <c r="A328" s="29">
        <v>1</v>
      </c>
      <c r="B328" s="29" t="s">
        <v>570</v>
      </c>
      <c r="C328" s="134" t="s">
        <v>571</v>
      </c>
      <c r="D328" s="129">
        <v>3824</v>
      </c>
      <c r="E328" s="29"/>
      <c r="F328" s="139">
        <v>46095.625</v>
      </c>
      <c r="G328" s="29"/>
      <c r="H328" s="29"/>
      <c r="I328" s="29"/>
      <c r="J328" s="132"/>
      <c r="K328" s="132"/>
      <c r="L328" s="132"/>
      <c r="M328" s="132"/>
    </row>
    <row r="330" spans="1:9" x14ac:dyDescent="0.25">
      <c r="A330" s="133" t="s">
        <v>360</v>
      </c>
      <c r="B330" s="133" t="s">
        <v>367</v>
      </c>
      <c r="C330" s="133" t="s">
        <v>368</v>
      </c>
      <c r="D330" s="133" t="s">
        <v>4</v>
      </c>
      <c r="E330" s="133" t="s">
        <v>5</v>
      </c>
      <c r="F330" s="133" t="s">
        <v>6</v>
      </c>
      <c r="G330" s="133" t="s">
        <v>7</v>
      </c>
      <c r="H330" s="133" t="s">
        <v>8</v>
      </c>
      <c r="I330" s="133" t="s">
        <v>9</v>
      </c>
    </row>
    <row r="331" spans="1:13" x14ac:dyDescent="0.25">
      <c r="A331" s="29">
        <v>1</v>
      </c>
      <c r="B331" s="29" t="s">
        <v>30</v>
      </c>
      <c r="C331" s="134" t="s">
        <v>33</v>
      </c>
      <c r="D331" s="135">
        <v>0.72</v>
      </c>
      <c r="E331" s="135">
        <v>412</v>
      </c>
      <c r="F331" s="29" t="s">
        <v>32</v>
      </c>
      <c r="G331" s="135">
        <v>296.64</v>
      </c>
      <c r="H331" s="29" t="s">
        <v>15</v>
      </c>
      <c r="I331" s="135">
        <v>2.62</v>
      </c>
      <c r="J331" s="132" t="s">
        <v>16</v>
      </c>
      <c r="K331" s="132" t="s">
        <v>340</v>
      </c>
      <c r="L331" s="132" t="s">
        <v>17</v>
      </c>
      <c r="M331" s="132" t="s">
        <v>17</v>
      </c>
    </row>
    <row r="332" spans="1:13" x14ac:dyDescent="0.25">
      <c r="A332" s="29">
        <v>2</v>
      </c>
      <c r="B332" s="29" t="s">
        <v>30</v>
      </c>
      <c r="C332" s="134" t="s">
        <v>33</v>
      </c>
      <c r="D332" s="135">
        <v>0.73</v>
      </c>
      <c r="E332" s="135">
        <v>1238</v>
      </c>
      <c r="F332" s="29" t="s">
        <v>32</v>
      </c>
      <c r="G332" s="135">
        <v>903.74</v>
      </c>
      <c r="H332" s="29" t="s">
        <v>15</v>
      </c>
      <c r="I332" s="135">
        <v>7.87</v>
      </c>
      <c r="J332" s="132" t="s">
        <v>16</v>
      </c>
      <c r="K332" s="132" t="s">
        <v>340</v>
      </c>
      <c r="L332" s="132" t="s">
        <v>17</v>
      </c>
      <c r="M332" s="132" t="s">
        <v>17</v>
      </c>
    </row>
    <row r="333" spans="1:13" x14ac:dyDescent="0.25">
      <c r="A333" s="29">
        <v>3</v>
      </c>
      <c r="B333" s="29" t="s">
        <v>30</v>
      </c>
      <c r="C333" s="134" t="s">
        <v>33</v>
      </c>
      <c r="D333" s="135">
        <v>0.73</v>
      </c>
      <c r="E333" s="135">
        <v>1142</v>
      </c>
      <c r="F333" s="29" t="s">
        <v>32</v>
      </c>
      <c r="G333" s="135">
        <v>833.66</v>
      </c>
      <c r="H333" s="29" t="s">
        <v>15</v>
      </c>
      <c r="I333" s="135">
        <v>7.26</v>
      </c>
      <c r="J333" s="132" t="s">
        <v>16</v>
      </c>
      <c r="K333" s="132" t="s">
        <v>340</v>
      </c>
      <c r="L333" s="132" t="s">
        <v>17</v>
      </c>
      <c r="M333" s="132" t="s">
        <v>17</v>
      </c>
    </row>
    <row r="334" spans="1:13" x14ac:dyDescent="0.25">
      <c r="A334" s="29">
        <v>4</v>
      </c>
      <c r="B334" s="29" t="s">
        <v>30</v>
      </c>
      <c r="C334" s="134" t="s">
        <v>33</v>
      </c>
      <c r="D334" s="135">
        <v>0.74</v>
      </c>
      <c r="E334" s="135">
        <v>722</v>
      </c>
      <c r="F334" s="29" t="s">
        <v>32</v>
      </c>
      <c r="G334" s="135">
        <v>534.28</v>
      </c>
      <c r="H334" s="29" t="s">
        <v>15</v>
      </c>
      <c r="I334" s="135">
        <v>4.59</v>
      </c>
      <c r="J334" s="132" t="s">
        <v>16</v>
      </c>
      <c r="K334" s="132" t="s">
        <v>340</v>
      </c>
      <c r="L334" s="132" t="s">
        <v>17</v>
      </c>
      <c r="M334" s="132" t="s">
        <v>17</v>
      </c>
    </row>
    <row r="335" spans="1:13" x14ac:dyDescent="0.25">
      <c r="A335" s="29">
        <v>5</v>
      </c>
      <c r="B335" s="29" t="s">
        <v>30</v>
      </c>
      <c r="C335" s="134" t="s">
        <v>33</v>
      </c>
      <c r="D335" s="135">
        <v>0.75</v>
      </c>
      <c r="E335" s="135">
        <v>331</v>
      </c>
      <c r="F335" s="29" t="s">
        <v>32</v>
      </c>
      <c r="G335" s="135">
        <v>248.25</v>
      </c>
      <c r="H335" s="29" t="s">
        <v>15</v>
      </c>
      <c r="I335" s="135">
        <v>2.1</v>
      </c>
      <c r="J335" s="132" t="s">
        <v>16</v>
      </c>
      <c r="K335" s="132" t="s">
        <v>340</v>
      </c>
      <c r="L335" s="132" t="s">
        <v>17</v>
      </c>
      <c r="M335" s="132" t="s">
        <v>17</v>
      </c>
    </row>
    <row r="336" spans="1:13" x14ac:dyDescent="0.25">
      <c r="A336" s="136"/>
      <c r="B336" s="136" t="s">
        <v>96</v>
      </c>
      <c r="C336" s="136"/>
      <c r="D336" s="137"/>
      <c r="E336" s="138">
        <f>=SUM(E331:E335)</f>
      </c>
      <c r="F336" s="136"/>
      <c r="G336" s="138">
        <f>=SUM(G331:G335)</f>
      </c>
      <c r="H336" s="136"/>
      <c r="I336" s="136"/>
      <c r="J336" s="132"/>
      <c r="K336" s="132"/>
      <c r="L336" s="132"/>
      <c r="M336" s="132"/>
    </row>
    <row r="338" spans="1:9" x14ac:dyDescent="0.25">
      <c r="A338" s="3" t="s">
        <v>572</v>
      </c>
      <c r="B338" s="3" t="s">
        <v>359</v>
      </c>
      <c r="C338" s="3" t="s">
        <v>359</v>
      </c>
      <c r="D338" t="s">
        <v>359</v>
      </c>
      <c r="E338" s="3" t="s">
        <v>359</v>
      </c>
      <c r="F338" s="3" t="s">
        <v>359</v>
      </c>
      <c r="G338" s="3" t="s">
        <v>359</v>
      </c>
      <c r="I338" s="3" t="s">
        <v>17</v>
      </c>
    </row>
    <row r="340" spans="1:6" x14ac:dyDescent="0.25">
      <c r="A340" s="3" t="s">
        <v>360</v>
      </c>
      <c r="B340" s="3" t="s">
        <v>361</v>
      </c>
      <c r="C340" s="3" t="s">
        <v>362</v>
      </c>
      <c r="D340" t="s">
        <v>363</v>
      </c>
      <c r="E340" s="3" t="s">
        <v>102</v>
      </c>
      <c r="F340" s="3" t="s">
        <v>364</v>
      </c>
    </row>
    <row r="341" spans="1:13" x14ac:dyDescent="0.25">
      <c r="A341" s="29">
        <v>1</v>
      </c>
      <c r="B341" s="29" t="s">
        <v>573</v>
      </c>
      <c r="C341" s="134" t="s">
        <v>574</v>
      </c>
      <c r="D341" s="129">
        <v>618</v>
      </c>
      <c r="E341" s="29"/>
      <c r="F341" s="139">
        <v>46095.625</v>
      </c>
      <c r="G341" s="29"/>
      <c r="H341" s="29"/>
      <c r="I341" s="29"/>
      <c r="J341" s="132"/>
      <c r="K341" s="132"/>
      <c r="L341" s="132"/>
      <c r="M341" s="132"/>
    </row>
    <row r="343" spans="1:9" x14ac:dyDescent="0.25">
      <c r="A343" s="133" t="s">
        <v>360</v>
      </c>
      <c r="B343" s="133" t="s">
        <v>367</v>
      </c>
      <c r="C343" s="133" t="s">
        <v>368</v>
      </c>
      <c r="D343" s="133" t="s">
        <v>4</v>
      </c>
      <c r="E343" s="133" t="s">
        <v>5</v>
      </c>
      <c r="F343" s="133" t="s">
        <v>6</v>
      </c>
      <c r="G343" s="133" t="s">
        <v>7</v>
      </c>
      <c r="H343" s="133" t="s">
        <v>8</v>
      </c>
      <c r="I343" s="133" t="s">
        <v>9</v>
      </c>
    </row>
    <row r="344" spans="1:13" x14ac:dyDescent="0.25">
      <c r="A344" s="29">
        <v>1</v>
      </c>
      <c r="B344" s="29" t="s">
        <v>30</v>
      </c>
      <c r="C344" s="134" t="s">
        <v>33</v>
      </c>
      <c r="D344" s="135">
        <v>0.75</v>
      </c>
      <c r="E344" s="135">
        <v>103</v>
      </c>
      <c r="F344" s="29" t="s">
        <v>32</v>
      </c>
      <c r="G344" s="135">
        <v>77.25</v>
      </c>
      <c r="H344" s="29" t="s">
        <v>15</v>
      </c>
      <c r="I344" s="135">
        <v>0.65</v>
      </c>
      <c r="J344" s="132" t="s">
        <v>16</v>
      </c>
      <c r="K344" s="132" t="s">
        <v>340</v>
      </c>
      <c r="L344" s="132" t="s">
        <v>17</v>
      </c>
      <c r="M344" s="132" t="s">
        <v>17</v>
      </c>
    </row>
    <row r="345" spans="1:13" x14ac:dyDescent="0.25">
      <c r="A345" s="29">
        <v>2</v>
      </c>
      <c r="B345" s="29" t="s">
        <v>30</v>
      </c>
      <c r="C345" s="134" t="s">
        <v>33</v>
      </c>
      <c r="D345" s="135">
        <v>0.74</v>
      </c>
      <c r="E345" s="135">
        <v>123</v>
      </c>
      <c r="F345" s="29" t="s">
        <v>32</v>
      </c>
      <c r="G345" s="135">
        <v>91.02</v>
      </c>
      <c r="H345" s="29" t="s">
        <v>15</v>
      </c>
      <c r="I345" s="135">
        <v>0.78</v>
      </c>
      <c r="J345" s="132" t="s">
        <v>16</v>
      </c>
      <c r="K345" s="132" t="s">
        <v>340</v>
      </c>
      <c r="L345" s="132" t="s">
        <v>17</v>
      </c>
      <c r="M345" s="132" t="s">
        <v>17</v>
      </c>
    </row>
    <row r="346" spans="1:13" x14ac:dyDescent="0.25">
      <c r="A346" s="29">
        <v>3</v>
      </c>
      <c r="B346" s="29" t="s">
        <v>30</v>
      </c>
      <c r="C346" s="134" t="s">
        <v>33</v>
      </c>
      <c r="D346" s="135">
        <v>0.73</v>
      </c>
      <c r="E346" s="135">
        <v>155</v>
      </c>
      <c r="F346" s="29" t="s">
        <v>32</v>
      </c>
      <c r="G346" s="135">
        <v>113.14999999999999</v>
      </c>
      <c r="H346" s="29" t="s">
        <v>15</v>
      </c>
      <c r="I346" s="135">
        <v>0.98</v>
      </c>
      <c r="J346" s="132" t="s">
        <v>16</v>
      </c>
      <c r="K346" s="132" t="s">
        <v>340</v>
      </c>
      <c r="L346" s="132" t="s">
        <v>17</v>
      </c>
      <c r="M346" s="132" t="s">
        <v>17</v>
      </c>
    </row>
    <row r="347" spans="1:13" x14ac:dyDescent="0.25">
      <c r="A347" s="29">
        <v>4</v>
      </c>
      <c r="B347" s="29" t="s">
        <v>30</v>
      </c>
      <c r="C347" s="134" t="s">
        <v>33</v>
      </c>
      <c r="D347" s="135">
        <v>0.73</v>
      </c>
      <c r="E347" s="135">
        <v>170</v>
      </c>
      <c r="F347" s="29" t="s">
        <v>32</v>
      </c>
      <c r="G347" s="135">
        <v>124.1</v>
      </c>
      <c r="H347" s="29" t="s">
        <v>15</v>
      </c>
      <c r="I347" s="135">
        <v>1.08</v>
      </c>
      <c r="J347" s="132" t="s">
        <v>16</v>
      </c>
      <c r="K347" s="132" t="s">
        <v>340</v>
      </c>
      <c r="L347" s="132" t="s">
        <v>17</v>
      </c>
      <c r="M347" s="132" t="s">
        <v>17</v>
      </c>
    </row>
    <row r="348" spans="1:13" x14ac:dyDescent="0.25">
      <c r="A348" s="29">
        <v>5</v>
      </c>
      <c r="B348" s="29" t="s">
        <v>30</v>
      </c>
      <c r="C348" s="134" t="s">
        <v>33</v>
      </c>
      <c r="D348" s="135">
        <v>0.72</v>
      </c>
      <c r="E348" s="135">
        <v>72</v>
      </c>
      <c r="F348" s="29" t="s">
        <v>32</v>
      </c>
      <c r="G348" s="135">
        <v>51.839999999999996</v>
      </c>
      <c r="H348" s="29" t="s">
        <v>15</v>
      </c>
      <c r="I348" s="135">
        <v>0.46</v>
      </c>
      <c r="J348" s="132" t="s">
        <v>16</v>
      </c>
      <c r="K348" s="132" t="s">
        <v>340</v>
      </c>
      <c r="L348" s="132" t="s">
        <v>17</v>
      </c>
      <c r="M348" s="132" t="s">
        <v>17</v>
      </c>
    </row>
    <row r="349" spans="1:13" x14ac:dyDescent="0.25">
      <c r="A349" s="136"/>
      <c r="B349" s="136" t="s">
        <v>96</v>
      </c>
      <c r="C349" s="136"/>
      <c r="D349" s="137"/>
      <c r="E349" s="138">
        <f>=SUM(E344:E348)</f>
      </c>
      <c r="F349" s="136"/>
      <c r="G349" s="138">
        <f>=SUM(G344:G348)</f>
      </c>
      <c r="H349" s="136"/>
      <c r="I349" s="136"/>
      <c r="J349" s="132"/>
      <c r="K349" s="132"/>
      <c r="L349" s="132"/>
      <c r="M349" s="132"/>
    </row>
    <row r="351" spans="1:9" x14ac:dyDescent="0.25">
      <c r="A351" s="3" t="s">
        <v>575</v>
      </c>
      <c r="B351" s="3" t="s">
        <v>359</v>
      </c>
      <c r="C351" s="3" t="s">
        <v>359</v>
      </c>
      <c r="D351" t="s">
        <v>359</v>
      </c>
      <c r="E351" s="3" t="s">
        <v>359</v>
      </c>
      <c r="F351" s="3" t="s">
        <v>359</v>
      </c>
      <c r="G351" s="3" t="s">
        <v>359</v>
      </c>
      <c r="I351" s="3" t="s">
        <v>17</v>
      </c>
    </row>
    <row r="353" spans="1:6" x14ac:dyDescent="0.25">
      <c r="A353" s="3" t="s">
        <v>360</v>
      </c>
      <c r="B353" s="3" t="s">
        <v>361</v>
      </c>
      <c r="C353" s="3" t="s">
        <v>362</v>
      </c>
      <c r="D353" t="s">
        <v>363</v>
      </c>
      <c r="E353" s="3" t="s">
        <v>102</v>
      </c>
      <c r="F353" s="3" t="s">
        <v>364</v>
      </c>
    </row>
    <row r="354" spans="1:13" x14ac:dyDescent="0.25">
      <c r="A354" s="29">
        <v>1</v>
      </c>
      <c r="B354" s="29" t="s">
        <v>576</v>
      </c>
      <c r="C354" s="134" t="s">
        <v>577</v>
      </c>
      <c r="D354" s="129">
        <v>8561</v>
      </c>
      <c r="E354" s="29"/>
      <c r="F354" s="139">
        <v>46095.625</v>
      </c>
      <c r="G354" s="29"/>
      <c r="H354" s="29"/>
      <c r="I354" s="29"/>
      <c r="J354" s="132"/>
      <c r="K354" s="132"/>
      <c r="L354" s="132"/>
      <c r="M354" s="132"/>
    </row>
    <row r="356" spans="1:9" x14ac:dyDescent="0.25">
      <c r="A356" s="133" t="s">
        <v>360</v>
      </c>
      <c r="B356" s="133" t="s">
        <v>367</v>
      </c>
      <c r="C356" s="133" t="s">
        <v>368</v>
      </c>
      <c r="D356" s="133" t="s">
        <v>4</v>
      </c>
      <c r="E356" s="133" t="s">
        <v>5</v>
      </c>
      <c r="F356" s="133" t="s">
        <v>6</v>
      </c>
      <c r="G356" s="133" t="s">
        <v>7</v>
      </c>
      <c r="H356" s="133" t="s">
        <v>8</v>
      </c>
      <c r="I356" s="133" t="s">
        <v>9</v>
      </c>
    </row>
    <row r="357" spans="1:13" x14ac:dyDescent="0.25">
      <c r="A357" s="29">
        <v>1</v>
      </c>
      <c r="B357" s="29" t="s">
        <v>30</v>
      </c>
      <c r="C357" s="134" t="s">
        <v>31</v>
      </c>
      <c r="D357" s="135">
        <v>0.72</v>
      </c>
      <c r="E357" s="135">
        <v>1720</v>
      </c>
      <c r="F357" s="29" t="s">
        <v>32</v>
      </c>
      <c r="G357" s="135">
        <v>1238.3999999999999</v>
      </c>
      <c r="H357" s="29" t="s">
        <v>15</v>
      </c>
      <c r="I357" s="135">
        <v>10.93</v>
      </c>
      <c r="J357" s="132" t="s">
        <v>16</v>
      </c>
      <c r="K357" s="132" t="s">
        <v>340</v>
      </c>
      <c r="L357" s="132" t="s">
        <v>17</v>
      </c>
      <c r="M357" s="132" t="s">
        <v>17</v>
      </c>
    </row>
    <row r="358" spans="1:13" x14ac:dyDescent="0.25">
      <c r="A358" s="29">
        <v>2</v>
      </c>
      <c r="B358" s="29" t="s">
        <v>30</v>
      </c>
      <c r="C358" s="134" t="s">
        <v>31</v>
      </c>
      <c r="D358" s="135">
        <v>0.72</v>
      </c>
      <c r="E358" s="135">
        <v>2517</v>
      </c>
      <c r="F358" s="29" t="s">
        <v>32</v>
      </c>
      <c r="G358" s="135">
        <v>1812.24</v>
      </c>
      <c r="H358" s="29" t="s">
        <v>15</v>
      </c>
      <c r="I358" s="135">
        <v>15.99</v>
      </c>
      <c r="J358" s="132" t="s">
        <v>16</v>
      </c>
      <c r="K358" s="132" t="s">
        <v>340</v>
      </c>
      <c r="L358" s="132" t="s">
        <v>17</v>
      </c>
      <c r="M358" s="132" t="s">
        <v>17</v>
      </c>
    </row>
    <row r="359" spans="1:13" x14ac:dyDescent="0.25">
      <c r="A359" s="29">
        <v>3</v>
      </c>
      <c r="B359" s="29" t="s">
        <v>30</v>
      </c>
      <c r="C359" s="134" t="s">
        <v>31</v>
      </c>
      <c r="D359" s="135">
        <v>0.74</v>
      </c>
      <c r="E359" s="135">
        <v>2125</v>
      </c>
      <c r="F359" s="29" t="s">
        <v>32</v>
      </c>
      <c r="G359" s="135">
        <v>1572.5</v>
      </c>
      <c r="H359" s="29" t="s">
        <v>15</v>
      </c>
      <c r="I359" s="135">
        <v>13.5</v>
      </c>
      <c r="J359" s="132" t="s">
        <v>16</v>
      </c>
      <c r="K359" s="132" t="s">
        <v>340</v>
      </c>
      <c r="L359" s="132" t="s">
        <v>17</v>
      </c>
      <c r="M359" s="132" t="s">
        <v>17</v>
      </c>
    </row>
    <row r="360" spans="1:13" x14ac:dyDescent="0.25">
      <c r="A360" s="29">
        <v>4</v>
      </c>
      <c r="B360" s="29" t="s">
        <v>30</v>
      </c>
      <c r="C360" s="134" t="s">
        <v>31</v>
      </c>
      <c r="D360" s="135">
        <v>0.75</v>
      </c>
      <c r="E360" s="135">
        <v>702</v>
      </c>
      <c r="F360" s="29" t="s">
        <v>32</v>
      </c>
      <c r="G360" s="135">
        <v>526.5</v>
      </c>
      <c r="H360" s="29" t="s">
        <v>15</v>
      </c>
      <c r="I360" s="135">
        <v>4.46</v>
      </c>
      <c r="J360" s="132" t="s">
        <v>16</v>
      </c>
      <c r="K360" s="132" t="s">
        <v>340</v>
      </c>
      <c r="L360" s="132" t="s">
        <v>17</v>
      </c>
      <c r="M360" s="132" t="s">
        <v>17</v>
      </c>
    </row>
    <row r="361" spans="1:13" x14ac:dyDescent="0.25">
      <c r="A361" s="29">
        <v>5</v>
      </c>
      <c r="B361" s="29" t="s">
        <v>30</v>
      </c>
      <c r="C361" s="134" t="s">
        <v>31</v>
      </c>
      <c r="D361" s="135">
        <v>0.74</v>
      </c>
      <c r="E361" s="135">
        <v>1524</v>
      </c>
      <c r="F361" s="29" t="s">
        <v>32</v>
      </c>
      <c r="G361" s="135">
        <v>1127.76</v>
      </c>
      <c r="H361" s="29" t="s">
        <v>15</v>
      </c>
      <c r="I361" s="135">
        <v>9.68</v>
      </c>
      <c r="J361" s="132" t="s">
        <v>16</v>
      </c>
      <c r="K361" s="132" t="s">
        <v>340</v>
      </c>
      <c r="L361" s="132" t="s">
        <v>17</v>
      </c>
      <c r="M361" s="132" t="s">
        <v>17</v>
      </c>
    </row>
    <row r="362" spans="1:13" x14ac:dyDescent="0.25">
      <c r="A362" s="136"/>
      <c r="B362" s="136" t="s">
        <v>96</v>
      </c>
      <c r="C362" s="136"/>
      <c r="D362" s="137"/>
      <c r="E362" s="138">
        <f>=SUM(E357:E361)</f>
      </c>
      <c r="F362" s="136"/>
      <c r="G362" s="138">
        <f>=SUM(G357:G361)</f>
      </c>
      <c r="H362" s="136"/>
      <c r="I362" s="136"/>
      <c r="J362" s="132"/>
      <c r="K362" s="132"/>
      <c r="L362" s="132"/>
      <c r="M362" s="132"/>
    </row>
    <row r="364" spans="1:9" x14ac:dyDescent="0.25">
      <c r="A364" s="3" t="s">
        <v>578</v>
      </c>
      <c r="B364" s="3" t="s">
        <v>359</v>
      </c>
      <c r="C364" s="3" t="s">
        <v>359</v>
      </c>
      <c r="D364" t="s">
        <v>359</v>
      </c>
      <c r="E364" s="3" t="s">
        <v>359</v>
      </c>
      <c r="F364" s="3" t="s">
        <v>359</v>
      </c>
      <c r="G364" s="3" t="s">
        <v>359</v>
      </c>
      <c r="I364" s="3" t="s">
        <v>17</v>
      </c>
    </row>
    <row r="366" spans="1:6" x14ac:dyDescent="0.25">
      <c r="A366" s="3" t="s">
        <v>360</v>
      </c>
      <c r="B366" s="3" t="s">
        <v>361</v>
      </c>
      <c r="C366" s="3" t="s">
        <v>362</v>
      </c>
      <c r="D366" t="s">
        <v>363</v>
      </c>
      <c r="E366" s="3" t="s">
        <v>102</v>
      </c>
      <c r="F366" s="3" t="s">
        <v>364</v>
      </c>
    </row>
    <row r="367" spans="1:13" x14ac:dyDescent="0.25">
      <c r="A367" s="29">
        <v>1</v>
      </c>
      <c r="B367" s="29" t="s">
        <v>579</v>
      </c>
      <c r="C367" s="134" t="s">
        <v>580</v>
      </c>
      <c r="D367" s="129">
        <v>2474</v>
      </c>
      <c r="E367" s="29"/>
      <c r="F367" s="139">
        <v>46095.625</v>
      </c>
      <c r="G367" s="29"/>
      <c r="H367" s="29"/>
      <c r="I367" s="29"/>
      <c r="J367" s="132"/>
      <c r="K367" s="132"/>
      <c r="L367" s="132"/>
      <c r="M367" s="132"/>
    </row>
    <row r="369" spans="1:9" x14ac:dyDescent="0.25">
      <c r="A369" s="133" t="s">
        <v>360</v>
      </c>
      <c r="B369" s="133" t="s">
        <v>367</v>
      </c>
      <c r="C369" s="133" t="s">
        <v>368</v>
      </c>
      <c r="D369" s="133" t="s">
        <v>4</v>
      </c>
      <c r="E369" s="133" t="s">
        <v>5</v>
      </c>
      <c r="F369" s="133" t="s">
        <v>6</v>
      </c>
      <c r="G369" s="133" t="s">
        <v>7</v>
      </c>
      <c r="H369" s="133" t="s">
        <v>8</v>
      </c>
      <c r="I369" s="133" t="s">
        <v>9</v>
      </c>
    </row>
    <row r="370" spans="1:13" x14ac:dyDescent="0.25">
      <c r="A370" s="29">
        <v>1</v>
      </c>
      <c r="B370" s="29" t="s">
        <v>30</v>
      </c>
      <c r="C370" s="134" t="s">
        <v>31</v>
      </c>
      <c r="D370" s="135">
        <v>0.74</v>
      </c>
      <c r="E370" s="135">
        <v>464</v>
      </c>
      <c r="F370" s="29" t="s">
        <v>32</v>
      </c>
      <c r="G370" s="135">
        <v>343.36</v>
      </c>
      <c r="H370" s="29" t="s">
        <v>15</v>
      </c>
      <c r="I370" s="135">
        <v>2.95</v>
      </c>
      <c r="J370" s="132" t="s">
        <v>16</v>
      </c>
      <c r="K370" s="132" t="s">
        <v>340</v>
      </c>
      <c r="L370" s="132" t="s">
        <v>17</v>
      </c>
      <c r="M370" s="132" t="s">
        <v>17</v>
      </c>
    </row>
    <row r="371" spans="1:13" x14ac:dyDescent="0.25">
      <c r="A371" s="29">
        <v>2</v>
      </c>
      <c r="B371" s="29" t="s">
        <v>30</v>
      </c>
      <c r="C371" s="134" t="s">
        <v>31</v>
      </c>
      <c r="D371" s="135">
        <v>0.75</v>
      </c>
      <c r="E371" s="135">
        <v>361</v>
      </c>
      <c r="F371" s="29" t="s">
        <v>32</v>
      </c>
      <c r="G371" s="135">
        <v>270.75</v>
      </c>
      <c r="H371" s="29" t="s">
        <v>15</v>
      </c>
      <c r="I371" s="135">
        <v>2.29</v>
      </c>
      <c r="J371" s="132" t="s">
        <v>16</v>
      </c>
      <c r="K371" s="132" t="s">
        <v>340</v>
      </c>
      <c r="L371" s="132" t="s">
        <v>17</v>
      </c>
      <c r="M371" s="132" t="s">
        <v>17</v>
      </c>
    </row>
    <row r="372" spans="1:13" x14ac:dyDescent="0.25">
      <c r="A372" s="29">
        <v>3</v>
      </c>
      <c r="B372" s="29" t="s">
        <v>30</v>
      </c>
      <c r="C372" s="134" t="s">
        <v>31</v>
      </c>
      <c r="D372" s="135">
        <v>0.74</v>
      </c>
      <c r="E372" s="135">
        <v>618</v>
      </c>
      <c r="F372" s="29" t="s">
        <v>32</v>
      </c>
      <c r="G372" s="135">
        <v>457.32</v>
      </c>
      <c r="H372" s="29" t="s">
        <v>15</v>
      </c>
      <c r="I372" s="135">
        <v>3.93</v>
      </c>
      <c r="J372" s="132" t="s">
        <v>16</v>
      </c>
      <c r="K372" s="132" t="s">
        <v>340</v>
      </c>
      <c r="L372" s="132" t="s">
        <v>17</v>
      </c>
      <c r="M372" s="132" t="s">
        <v>17</v>
      </c>
    </row>
    <row r="373" spans="1:13" x14ac:dyDescent="0.25">
      <c r="A373" s="29">
        <v>4</v>
      </c>
      <c r="B373" s="29" t="s">
        <v>30</v>
      </c>
      <c r="C373" s="134" t="s">
        <v>31</v>
      </c>
      <c r="D373" s="135">
        <v>0.72</v>
      </c>
      <c r="E373" s="135">
        <v>686</v>
      </c>
      <c r="F373" s="29" t="s">
        <v>32</v>
      </c>
      <c r="G373" s="135">
        <v>493.91999999999996</v>
      </c>
      <c r="H373" s="29" t="s">
        <v>15</v>
      </c>
      <c r="I373" s="135">
        <v>4.36</v>
      </c>
      <c r="J373" s="132" t="s">
        <v>16</v>
      </c>
      <c r="K373" s="132" t="s">
        <v>340</v>
      </c>
      <c r="L373" s="132" t="s">
        <v>17</v>
      </c>
      <c r="M373" s="132" t="s">
        <v>17</v>
      </c>
    </row>
    <row r="374" spans="1:13" x14ac:dyDescent="0.25">
      <c r="A374" s="29">
        <v>5</v>
      </c>
      <c r="B374" s="29" t="s">
        <v>30</v>
      </c>
      <c r="C374" s="134" t="s">
        <v>31</v>
      </c>
      <c r="D374" s="135">
        <v>0.72</v>
      </c>
      <c r="E374" s="135">
        <v>361</v>
      </c>
      <c r="F374" s="29" t="s">
        <v>32</v>
      </c>
      <c r="G374" s="135">
        <v>259.92</v>
      </c>
      <c r="H374" s="29" t="s">
        <v>15</v>
      </c>
      <c r="I374" s="135">
        <v>2.29</v>
      </c>
      <c r="J374" s="132" t="s">
        <v>16</v>
      </c>
      <c r="K374" s="132" t="s">
        <v>340</v>
      </c>
      <c r="L374" s="132" t="s">
        <v>17</v>
      </c>
      <c r="M374" s="132" t="s">
        <v>17</v>
      </c>
    </row>
    <row r="375" spans="1:13" x14ac:dyDescent="0.25">
      <c r="A375" s="136"/>
      <c r="B375" s="136" t="s">
        <v>96</v>
      </c>
      <c r="C375" s="136"/>
      <c r="D375" s="137"/>
      <c r="E375" s="138">
        <f>=SUM(E370:E374)</f>
      </c>
      <c r="F375" s="136"/>
      <c r="G375" s="138">
        <f>=SUM(G370:G374)</f>
      </c>
      <c r="H375" s="136"/>
      <c r="I375" s="136"/>
      <c r="J375" s="132"/>
      <c r="K375" s="132"/>
      <c r="L375" s="132"/>
      <c r="M375" s="132"/>
    </row>
    <row r="377" spans="1:9" x14ac:dyDescent="0.25">
      <c r="A377" s="3" t="s">
        <v>581</v>
      </c>
      <c r="B377" s="3" t="s">
        <v>359</v>
      </c>
      <c r="C377" s="3" t="s">
        <v>359</v>
      </c>
      <c r="D377" t="s">
        <v>359</v>
      </c>
      <c r="E377" s="3" t="s">
        <v>359</v>
      </c>
      <c r="F377" s="3" t="s">
        <v>359</v>
      </c>
      <c r="G377" s="3" t="s">
        <v>359</v>
      </c>
      <c r="I377" s="3" t="s">
        <v>17</v>
      </c>
    </row>
    <row r="379" spans="1:6" x14ac:dyDescent="0.25">
      <c r="A379" s="3" t="s">
        <v>360</v>
      </c>
      <c r="B379" s="3" t="s">
        <v>361</v>
      </c>
      <c r="C379" s="3" t="s">
        <v>362</v>
      </c>
      <c r="D379" t="s">
        <v>363</v>
      </c>
      <c r="E379" s="3" t="s">
        <v>102</v>
      </c>
      <c r="F379" s="3" t="s">
        <v>364</v>
      </c>
    </row>
    <row r="380" spans="1:13" x14ac:dyDescent="0.25">
      <c r="A380" s="29">
        <v>1</v>
      </c>
      <c r="B380" s="29" t="s">
        <v>582</v>
      </c>
      <c r="C380" s="134" t="s">
        <v>583</v>
      </c>
      <c r="D380" s="129">
        <v>313</v>
      </c>
      <c r="E380" s="29"/>
      <c r="F380" s="139">
        <v>46095.625</v>
      </c>
      <c r="G380" s="29"/>
      <c r="H380" s="29"/>
      <c r="I380" s="29"/>
      <c r="J380" s="132"/>
      <c r="K380" s="132"/>
      <c r="L380" s="132"/>
      <c r="M380" s="132"/>
    </row>
    <row r="382" spans="1:9" x14ac:dyDescent="0.25">
      <c r="A382" s="133" t="s">
        <v>360</v>
      </c>
      <c r="B382" s="133" t="s">
        <v>367</v>
      </c>
      <c r="C382" s="133" t="s">
        <v>368</v>
      </c>
      <c r="D382" s="133" t="s">
        <v>4</v>
      </c>
      <c r="E382" s="133" t="s">
        <v>5</v>
      </c>
      <c r="F382" s="133" t="s">
        <v>6</v>
      </c>
      <c r="G382" s="133" t="s">
        <v>7</v>
      </c>
      <c r="H382" s="133" t="s">
        <v>8</v>
      </c>
      <c r="I382" s="133" t="s">
        <v>9</v>
      </c>
    </row>
    <row r="383" spans="1:13" x14ac:dyDescent="0.25">
      <c r="A383" s="29">
        <v>1</v>
      </c>
      <c r="B383" s="29" t="s">
        <v>12</v>
      </c>
      <c r="C383" s="134" t="s">
        <v>23</v>
      </c>
      <c r="D383" s="135">
        <v>0.01</v>
      </c>
      <c r="E383" s="135">
        <v>64</v>
      </c>
      <c r="F383" s="29" t="s">
        <v>14</v>
      </c>
      <c r="G383" s="135">
        <v>0.64</v>
      </c>
      <c r="H383" s="29" t="s">
        <v>15</v>
      </c>
      <c r="I383" s="135">
        <v>0.41</v>
      </c>
      <c r="J383" s="132" t="s">
        <v>16</v>
      </c>
      <c r="K383" s="132" t="s">
        <v>320</v>
      </c>
      <c r="L383" s="132" t="s">
        <v>17</v>
      </c>
      <c r="M383" s="132" t="s">
        <v>18</v>
      </c>
    </row>
    <row r="384" spans="1:13" x14ac:dyDescent="0.25">
      <c r="A384" s="29">
        <v>2</v>
      </c>
      <c r="B384" s="29" t="s">
        <v>12</v>
      </c>
      <c r="C384" s="134" t="s">
        <v>23</v>
      </c>
      <c r="D384" s="135">
        <v>3.04</v>
      </c>
      <c r="E384" s="135">
        <v>52</v>
      </c>
      <c r="F384" s="29" t="s">
        <v>14</v>
      </c>
      <c r="G384" s="135">
        <v>158.08</v>
      </c>
      <c r="H384" s="29" t="s">
        <v>15</v>
      </c>
      <c r="I384" s="135">
        <v>0.33</v>
      </c>
      <c r="J384" s="132" t="s">
        <v>16</v>
      </c>
      <c r="K384" s="132" t="s">
        <v>320</v>
      </c>
      <c r="L384" s="132" t="s">
        <v>17</v>
      </c>
      <c r="M384" s="132" t="s">
        <v>18</v>
      </c>
    </row>
    <row r="385" spans="1:13" x14ac:dyDescent="0.25">
      <c r="A385" s="136"/>
      <c r="B385" s="136" t="s">
        <v>96</v>
      </c>
      <c r="C385" s="136"/>
      <c r="D385" s="137"/>
      <c r="E385" s="138">
        <f>=SUM(E383:E384)</f>
      </c>
      <c r="F385" s="136"/>
      <c r="G385" s="138">
        <f>=SUM(G383:G384)</f>
      </c>
      <c r="H385" s="136"/>
      <c r="I385" s="136"/>
      <c r="J385" s="132"/>
      <c r="K385" s="132"/>
      <c r="L385" s="132"/>
      <c r="M385" s="132"/>
    </row>
    <row r="387" spans="1:9" x14ac:dyDescent="0.25">
      <c r="A387" s="3" t="s">
        <v>584</v>
      </c>
      <c r="B387" s="3" t="s">
        <v>359</v>
      </c>
      <c r="C387" s="3" t="s">
        <v>359</v>
      </c>
      <c r="D387" t="s">
        <v>359</v>
      </c>
      <c r="E387" s="3" t="s">
        <v>359</v>
      </c>
      <c r="F387" s="3" t="s">
        <v>359</v>
      </c>
      <c r="G387" s="3" t="s">
        <v>359</v>
      </c>
      <c r="I387" s="3" t="s">
        <v>17</v>
      </c>
    </row>
    <row r="389" spans="1:6" x14ac:dyDescent="0.25">
      <c r="A389" s="3" t="s">
        <v>360</v>
      </c>
      <c r="B389" s="3" t="s">
        <v>361</v>
      </c>
      <c r="C389" s="3" t="s">
        <v>362</v>
      </c>
      <c r="D389" t="s">
        <v>363</v>
      </c>
      <c r="E389" s="3" t="s">
        <v>102</v>
      </c>
      <c r="F389" s="3" t="s">
        <v>364</v>
      </c>
    </row>
    <row r="390" spans="1:13" x14ac:dyDescent="0.25">
      <c r="A390" s="29">
        <v>1</v>
      </c>
      <c r="B390" s="29" t="s">
        <v>585</v>
      </c>
      <c r="C390" s="134" t="s">
        <v>586</v>
      </c>
      <c r="D390" s="129">
        <v>864</v>
      </c>
      <c r="E390" s="29"/>
      <c r="F390" s="139">
        <v>46095.625</v>
      </c>
      <c r="G390" s="29"/>
      <c r="H390" s="29"/>
      <c r="I390" s="29"/>
      <c r="J390" s="132"/>
      <c r="K390" s="132"/>
      <c r="L390" s="132"/>
      <c r="M390" s="132"/>
    </row>
    <row r="392" spans="1:9" x14ac:dyDescent="0.25">
      <c r="A392" s="133" t="s">
        <v>360</v>
      </c>
      <c r="B392" s="133" t="s">
        <v>367</v>
      </c>
      <c r="C392" s="133" t="s">
        <v>368</v>
      </c>
      <c r="D392" s="133" t="s">
        <v>4</v>
      </c>
      <c r="E392" s="133" t="s">
        <v>5</v>
      </c>
      <c r="F392" s="133" t="s">
        <v>6</v>
      </c>
      <c r="G392" s="133" t="s">
        <v>7</v>
      </c>
      <c r="H392" s="133" t="s">
        <v>8</v>
      </c>
      <c r="I392" s="133" t="s">
        <v>9</v>
      </c>
    </row>
    <row r="393" spans="1:13" x14ac:dyDescent="0.25">
      <c r="A393" s="29">
        <v>1</v>
      </c>
      <c r="B393" s="29" t="s">
        <v>12</v>
      </c>
      <c r="C393" s="134" t="s">
        <v>23</v>
      </c>
      <c r="D393" s="135">
        <v>3.04</v>
      </c>
      <c r="E393" s="135">
        <v>214</v>
      </c>
      <c r="F393" s="29" t="s">
        <v>14</v>
      </c>
      <c r="G393" s="135">
        <v>650.5600000000001</v>
      </c>
      <c r="H393" s="29" t="s">
        <v>15</v>
      </c>
      <c r="I393" s="135">
        <v>1.36</v>
      </c>
      <c r="J393" s="132" t="s">
        <v>16</v>
      </c>
      <c r="K393" s="132" t="s">
        <v>320</v>
      </c>
      <c r="L393" s="132" t="s">
        <v>17</v>
      </c>
      <c r="M393" s="132" t="s">
        <v>18</v>
      </c>
    </row>
    <row r="394" spans="1:13" x14ac:dyDescent="0.25">
      <c r="A394" s="136"/>
      <c r="B394" s="136" t="s">
        <v>96</v>
      </c>
      <c r="C394" s="136"/>
      <c r="D394" s="137"/>
      <c r="E394" s="138">
        <f>=SUM(E393:E393)</f>
      </c>
      <c r="F394" s="136"/>
      <c r="G394" s="138">
        <f>=SUM(G393:G393)</f>
      </c>
      <c r="H394" s="136"/>
      <c r="I394" s="136"/>
      <c r="J394" s="132"/>
      <c r="K394" s="132"/>
      <c r="L394" s="132"/>
      <c r="M394" s="132"/>
    </row>
    <row r="396" spans="1:9" x14ac:dyDescent="0.25">
      <c r="A396" s="3" t="s">
        <v>587</v>
      </c>
      <c r="B396" s="3" t="s">
        <v>359</v>
      </c>
      <c r="C396" s="3" t="s">
        <v>359</v>
      </c>
      <c r="D396" t="s">
        <v>359</v>
      </c>
      <c r="E396" s="3" t="s">
        <v>359</v>
      </c>
      <c r="F396" s="3" t="s">
        <v>359</v>
      </c>
      <c r="G396" s="3" t="s">
        <v>359</v>
      </c>
      <c r="I396" s="3" t="s">
        <v>17</v>
      </c>
    </row>
    <row r="398" spans="1:6" x14ac:dyDescent="0.25">
      <c r="A398" s="3" t="s">
        <v>360</v>
      </c>
      <c r="B398" s="3" t="s">
        <v>361</v>
      </c>
      <c r="C398" s="3" t="s">
        <v>362</v>
      </c>
      <c r="D398" t="s">
        <v>363</v>
      </c>
      <c r="E398" s="3" t="s">
        <v>102</v>
      </c>
      <c r="F398" s="3" t="s">
        <v>364</v>
      </c>
    </row>
    <row r="399" spans="1:13" x14ac:dyDescent="0.25">
      <c r="A399" s="29">
        <v>1</v>
      </c>
      <c r="B399" s="29" t="s">
        <v>588</v>
      </c>
      <c r="C399" s="134" t="s">
        <v>589</v>
      </c>
      <c r="D399" s="129">
        <v>1686</v>
      </c>
      <c r="E399" s="29"/>
      <c r="F399" s="139">
        <v>46095.625</v>
      </c>
      <c r="G399" s="29"/>
      <c r="H399" s="29"/>
      <c r="I399" s="29"/>
      <c r="J399" s="132"/>
      <c r="K399" s="132"/>
      <c r="L399" s="132"/>
      <c r="M399" s="132"/>
    </row>
    <row r="400" spans="1:13" x14ac:dyDescent="0.25">
      <c r="A400" s="29">
        <v>2</v>
      </c>
      <c r="B400" s="29" t="s">
        <v>590</v>
      </c>
      <c r="C400" s="134" t="s">
        <v>591</v>
      </c>
      <c r="D400" s="129">
        <v>1992</v>
      </c>
      <c r="E400" s="29"/>
      <c r="F400" s="139">
        <v>46095.625</v>
      </c>
      <c r="G400" s="29"/>
      <c r="H400" s="29"/>
      <c r="I400" s="29"/>
      <c r="J400" s="132"/>
      <c r="K400" s="132"/>
      <c r="L400" s="132"/>
      <c r="M400" s="132"/>
    </row>
    <row r="401" spans="1:13" x14ac:dyDescent="0.25">
      <c r="A401" s="29">
        <v>3</v>
      </c>
      <c r="B401" s="29" t="s">
        <v>592</v>
      </c>
      <c r="C401" s="134" t="s">
        <v>593</v>
      </c>
      <c r="D401" s="129">
        <v>1920</v>
      </c>
      <c r="E401" s="29"/>
      <c r="F401" s="139">
        <v>46095.625</v>
      </c>
      <c r="G401" s="29"/>
      <c r="H401" s="29"/>
      <c r="I401" s="29"/>
      <c r="J401" s="132"/>
      <c r="K401" s="132"/>
      <c r="L401" s="132"/>
      <c r="M401" s="132"/>
    </row>
    <row r="402" spans="1:13" x14ac:dyDescent="0.25">
      <c r="A402" s="29">
        <v>4</v>
      </c>
      <c r="B402" s="29" t="s">
        <v>594</v>
      </c>
      <c r="C402" s="134" t="s">
        <v>595</v>
      </c>
      <c r="D402" s="129">
        <v>1868</v>
      </c>
      <c r="E402" s="29"/>
      <c r="F402" s="139">
        <v>46095.625</v>
      </c>
      <c r="G402" s="29"/>
      <c r="H402" s="29"/>
      <c r="I402" s="29"/>
      <c r="J402" s="132"/>
      <c r="K402" s="132"/>
      <c r="L402" s="132"/>
      <c r="M402" s="132"/>
    </row>
    <row r="403" spans="1:13" x14ac:dyDescent="0.25">
      <c r="A403" s="29">
        <v>5</v>
      </c>
      <c r="B403" s="29" t="s">
        <v>596</v>
      </c>
      <c r="C403" s="134" t="s">
        <v>597</v>
      </c>
      <c r="D403" s="129">
        <v>1994</v>
      </c>
      <c r="E403" s="29"/>
      <c r="F403" s="139">
        <v>46095.625</v>
      </c>
      <c r="G403" s="29"/>
      <c r="H403" s="29"/>
      <c r="I403" s="29"/>
      <c r="J403" s="132"/>
      <c r="K403" s="132"/>
      <c r="L403" s="132"/>
      <c r="M403" s="132"/>
    </row>
    <row r="404" spans="1:13" x14ac:dyDescent="0.25">
      <c r="A404" s="29">
        <v>6</v>
      </c>
      <c r="B404" s="29" t="s">
        <v>598</v>
      </c>
      <c r="C404" s="134" t="s">
        <v>599</v>
      </c>
      <c r="D404" s="129">
        <v>852</v>
      </c>
      <c r="E404" s="29"/>
      <c r="F404" s="139">
        <v>46095.625</v>
      </c>
      <c r="G404" s="29"/>
      <c r="H404" s="29"/>
      <c r="I404" s="29"/>
      <c r="J404" s="132"/>
      <c r="K404" s="132"/>
      <c r="L404" s="132"/>
      <c r="M404" s="132"/>
    </row>
    <row r="405" spans="1:13" x14ac:dyDescent="0.25">
      <c r="A405" s="29">
        <v>7</v>
      </c>
      <c r="B405" s="29" t="s">
        <v>600</v>
      </c>
      <c r="C405" s="134" t="s">
        <v>601</v>
      </c>
      <c r="D405" s="129">
        <v>1416</v>
      </c>
      <c r="E405" s="29"/>
      <c r="F405" s="139">
        <v>46095.625</v>
      </c>
      <c r="G405" s="29"/>
      <c r="H405" s="29"/>
      <c r="I405" s="29"/>
      <c r="J405" s="132"/>
      <c r="K405" s="132"/>
      <c r="L405" s="132"/>
      <c r="M405" s="132"/>
    </row>
    <row r="406" spans="1:13" x14ac:dyDescent="0.25">
      <c r="A406" s="29">
        <v>8</v>
      </c>
      <c r="B406" s="29" t="s">
        <v>602</v>
      </c>
      <c r="C406" s="134" t="s">
        <v>603</v>
      </c>
      <c r="D406" s="129">
        <v>686</v>
      </c>
      <c r="E406" s="29"/>
      <c r="F406" s="139">
        <v>46095.625</v>
      </c>
      <c r="G406" s="29"/>
      <c r="H406" s="29"/>
      <c r="I406" s="29"/>
      <c r="J406" s="132"/>
      <c r="K406" s="132"/>
      <c r="L406" s="132"/>
      <c r="M406" s="132"/>
    </row>
    <row r="408" spans="1:9" x14ac:dyDescent="0.25">
      <c r="A408" s="133" t="s">
        <v>360</v>
      </c>
      <c r="B408" s="133" t="s">
        <v>367</v>
      </c>
      <c r="C408" s="133" t="s">
        <v>368</v>
      </c>
      <c r="D408" s="133" t="s">
        <v>4</v>
      </c>
      <c r="E408" s="133" t="s">
        <v>5</v>
      </c>
      <c r="F408" s="133" t="s">
        <v>6</v>
      </c>
      <c r="G408" s="133" t="s">
        <v>7</v>
      </c>
      <c r="H408" s="133" t="s">
        <v>8</v>
      </c>
      <c r="I408" s="133" t="s">
        <v>9</v>
      </c>
    </row>
    <row r="409" spans="1:13" x14ac:dyDescent="0.25">
      <c r="A409" s="29">
        <v>1</v>
      </c>
      <c r="B409" s="29" t="s">
        <v>19</v>
      </c>
      <c r="C409" s="134" t="s">
        <v>20</v>
      </c>
      <c r="D409" s="135">
        <v>2.8</v>
      </c>
      <c r="E409" s="135">
        <v>100</v>
      </c>
      <c r="F409" s="29" t="s">
        <v>14</v>
      </c>
      <c r="G409" s="135">
        <v>280</v>
      </c>
      <c r="H409" s="29" t="s">
        <v>15</v>
      </c>
      <c r="I409" s="135">
        <v>0.64</v>
      </c>
      <c r="J409" s="132" t="s">
        <v>16</v>
      </c>
      <c r="K409" s="132" t="s">
        <v>326</v>
      </c>
      <c r="L409" s="132" t="s">
        <v>21</v>
      </c>
      <c r="M409" s="132" t="s">
        <v>18</v>
      </c>
    </row>
    <row r="410" spans="1:13" x14ac:dyDescent="0.25">
      <c r="A410" s="136"/>
      <c r="B410" s="136" t="s">
        <v>96</v>
      </c>
      <c r="C410" s="136"/>
      <c r="D410" s="137"/>
      <c r="E410" s="138">
        <f>=SUM(E409:E409)</f>
      </c>
      <c r="F410" s="136"/>
      <c r="G410" s="138">
        <f>=SUM(G409:G409)</f>
      </c>
      <c r="H410" s="136"/>
      <c r="I410" s="136"/>
      <c r="J410" s="132"/>
      <c r="K410" s="132"/>
      <c r="L410" s="132"/>
      <c r="M410" s="132"/>
    </row>
    <row r="412" spans="1:9" x14ac:dyDescent="0.25">
      <c r="A412" s="3" t="s">
        <v>604</v>
      </c>
      <c r="B412" s="3" t="s">
        <v>359</v>
      </c>
      <c r="C412" s="3" t="s">
        <v>359</v>
      </c>
      <c r="D412" t="s">
        <v>359</v>
      </c>
      <c r="E412" s="3" t="s">
        <v>359</v>
      </c>
      <c r="F412" s="3" t="s">
        <v>359</v>
      </c>
      <c r="G412" s="3" t="s">
        <v>359</v>
      </c>
      <c r="I412" s="3" t="s">
        <v>17</v>
      </c>
    </row>
    <row r="414" spans="1:6" x14ac:dyDescent="0.25">
      <c r="A414" s="3" t="s">
        <v>360</v>
      </c>
      <c r="B414" s="3" t="s">
        <v>361</v>
      </c>
      <c r="C414" s="3" t="s">
        <v>362</v>
      </c>
      <c r="D414" t="s">
        <v>363</v>
      </c>
      <c r="E414" s="3" t="s">
        <v>102</v>
      </c>
      <c r="F414" s="3" t="s">
        <v>364</v>
      </c>
    </row>
    <row r="415" spans="1:13" x14ac:dyDescent="0.25">
      <c r="A415" s="29">
        <v>1</v>
      </c>
      <c r="B415" s="29" t="s">
        <v>605</v>
      </c>
      <c r="C415" s="134" t="s">
        <v>606</v>
      </c>
      <c r="D415" s="129">
        <v>1001</v>
      </c>
      <c r="E415" s="29"/>
      <c r="F415" s="139">
        <v>46095.625</v>
      </c>
      <c r="G415" s="29"/>
      <c r="H415" s="29"/>
      <c r="I415" s="29"/>
      <c r="J415" s="132"/>
      <c r="K415" s="132"/>
      <c r="L415" s="132"/>
      <c r="M415" s="132"/>
    </row>
    <row r="416" spans="1:13" x14ac:dyDescent="0.25">
      <c r="A416" s="29">
        <v>2</v>
      </c>
      <c r="B416" s="29" t="s">
        <v>607</v>
      </c>
      <c r="C416" s="134" t="s">
        <v>608</v>
      </c>
      <c r="D416" s="129">
        <v>2001</v>
      </c>
      <c r="E416" s="29"/>
      <c r="F416" s="139">
        <v>46095.625</v>
      </c>
      <c r="G416" s="29"/>
      <c r="H416" s="29"/>
      <c r="I416" s="29"/>
      <c r="J416" s="132"/>
      <c r="K416" s="132"/>
      <c r="L416" s="132"/>
      <c r="M416" s="132"/>
    </row>
    <row r="417" spans="1:13" x14ac:dyDescent="0.25">
      <c r="A417" s="29">
        <v>3</v>
      </c>
      <c r="B417" s="29" t="s">
        <v>609</v>
      </c>
      <c r="C417" s="134" t="s">
        <v>610</v>
      </c>
      <c r="D417" s="129">
        <v>1501</v>
      </c>
      <c r="E417" s="29"/>
      <c r="F417" s="139">
        <v>46095.625</v>
      </c>
      <c r="G417" s="29"/>
      <c r="H417" s="29"/>
      <c r="I417" s="29"/>
      <c r="J417" s="132"/>
      <c r="K417" s="132"/>
      <c r="L417" s="132"/>
      <c r="M417" s="132"/>
    </row>
    <row r="418" spans="1:13" x14ac:dyDescent="0.25">
      <c r="A418" s="29">
        <v>4</v>
      </c>
      <c r="B418" s="29" t="s">
        <v>611</v>
      </c>
      <c r="C418" s="134" t="s">
        <v>612</v>
      </c>
      <c r="D418" s="129">
        <v>1001</v>
      </c>
      <c r="E418" s="29"/>
      <c r="F418" s="139">
        <v>46095.625</v>
      </c>
      <c r="G418" s="29"/>
      <c r="H418" s="29"/>
      <c r="I418" s="29"/>
      <c r="J418" s="132"/>
      <c r="K418" s="132"/>
      <c r="L418" s="132"/>
      <c r="M418" s="132"/>
    </row>
    <row r="419" spans="1:13" x14ac:dyDescent="0.25">
      <c r="A419" s="29">
        <v>5</v>
      </c>
      <c r="B419" s="29" t="s">
        <v>613</v>
      </c>
      <c r="C419" s="134" t="s">
        <v>614</v>
      </c>
      <c r="D419" s="129">
        <v>1501</v>
      </c>
      <c r="E419" s="29"/>
      <c r="F419" s="139">
        <v>46095.625</v>
      </c>
      <c r="G419" s="29"/>
      <c r="H419" s="29"/>
      <c r="I419" s="29"/>
      <c r="J419" s="132"/>
      <c r="K419" s="132"/>
      <c r="L419" s="132"/>
      <c r="M419" s="132"/>
    </row>
    <row r="420" spans="1:13" x14ac:dyDescent="0.25">
      <c r="A420" s="29">
        <v>6</v>
      </c>
      <c r="B420" s="29" t="s">
        <v>615</v>
      </c>
      <c r="C420" s="134" t="s">
        <v>616</v>
      </c>
      <c r="D420" s="129">
        <v>1501</v>
      </c>
      <c r="E420" s="29"/>
      <c r="F420" s="139">
        <v>46095.625</v>
      </c>
      <c r="G420" s="29"/>
      <c r="H420" s="29"/>
      <c r="I420" s="29"/>
      <c r="J420" s="132"/>
      <c r="K420" s="132"/>
      <c r="L420" s="132"/>
      <c r="M420" s="132"/>
    </row>
    <row r="422" spans="1:9" x14ac:dyDescent="0.25">
      <c r="A422" s="133" t="s">
        <v>360</v>
      </c>
      <c r="B422" s="133" t="s">
        <v>367</v>
      </c>
      <c r="C422" s="133" t="s">
        <v>368</v>
      </c>
      <c r="D422" s="133" t="s">
        <v>4</v>
      </c>
      <c r="E422" s="133" t="s">
        <v>5</v>
      </c>
      <c r="F422" s="133" t="s">
        <v>6</v>
      </c>
      <c r="G422" s="133" t="s">
        <v>7</v>
      </c>
      <c r="H422" s="133" t="s">
        <v>8</v>
      </c>
      <c r="I422" s="133" t="s">
        <v>9</v>
      </c>
    </row>
    <row r="423" spans="1:13" x14ac:dyDescent="0.25">
      <c r="A423" s="29">
        <v>1</v>
      </c>
      <c r="B423" s="29" t="s">
        <v>327</v>
      </c>
      <c r="C423" s="134" t="s">
        <v>248</v>
      </c>
      <c r="D423" s="135">
        <v>4.15</v>
      </c>
      <c r="E423" s="135">
        <v>502</v>
      </c>
      <c r="F423" s="29" t="s">
        <v>14</v>
      </c>
      <c r="G423" s="135">
        <v>2083.3</v>
      </c>
      <c r="H423" s="29" t="s">
        <v>15</v>
      </c>
      <c r="I423" s="135">
        <v>3.19</v>
      </c>
      <c r="J423" s="132" t="s">
        <v>16</v>
      </c>
      <c r="K423" s="132" t="s">
        <v>328</v>
      </c>
      <c r="L423" s="132" t="s">
        <v>249</v>
      </c>
      <c r="M423" s="132" t="s">
        <v>18</v>
      </c>
    </row>
    <row r="424" spans="1:13" x14ac:dyDescent="0.25">
      <c r="A424" s="136"/>
      <c r="B424" s="136" t="s">
        <v>96</v>
      </c>
      <c r="C424" s="136"/>
      <c r="D424" s="137"/>
      <c r="E424" s="138">
        <f>=SUM(E423:E423)</f>
      </c>
      <c r="F424" s="136"/>
      <c r="G424" s="138">
        <f>=SUM(G423:G423)</f>
      </c>
      <c r="H424" s="136"/>
      <c r="I424" s="136"/>
      <c r="J424" s="132"/>
      <c r="K424" s="132"/>
      <c r="L424" s="132"/>
      <c r="M424" s="132"/>
    </row>
    <row r="426" spans="1:9" x14ac:dyDescent="0.25">
      <c r="A426" s="3" t="s">
        <v>617</v>
      </c>
      <c r="B426" s="3" t="s">
        <v>359</v>
      </c>
      <c r="C426" s="3" t="s">
        <v>359</v>
      </c>
      <c r="D426" t="s">
        <v>359</v>
      </c>
      <c r="E426" s="3" t="s">
        <v>359</v>
      </c>
      <c r="F426" s="3" t="s">
        <v>359</v>
      </c>
      <c r="G426" s="3" t="s">
        <v>359</v>
      </c>
      <c r="I426" s="3" t="s">
        <v>17</v>
      </c>
    </row>
    <row r="428" spans="1:6" x14ac:dyDescent="0.25">
      <c r="A428" s="3" t="s">
        <v>360</v>
      </c>
      <c r="B428" s="3" t="s">
        <v>361</v>
      </c>
      <c r="C428" s="3" t="s">
        <v>362</v>
      </c>
      <c r="D428" t="s">
        <v>363</v>
      </c>
      <c r="E428" s="3" t="s">
        <v>102</v>
      </c>
      <c r="F428" s="3" t="s">
        <v>364</v>
      </c>
    </row>
    <row r="429" spans="1:13" x14ac:dyDescent="0.25">
      <c r="A429" s="29">
        <v>1</v>
      </c>
      <c r="B429" s="29" t="s">
        <v>618</v>
      </c>
      <c r="C429" s="134" t="s">
        <v>619</v>
      </c>
      <c r="D429" s="129">
        <v>424</v>
      </c>
      <c r="E429" s="29"/>
      <c r="F429" s="139">
        <v>46095.625</v>
      </c>
      <c r="G429" s="29"/>
      <c r="H429" s="29"/>
      <c r="I429" s="29"/>
      <c r="J429" s="132"/>
      <c r="K429" s="132"/>
      <c r="L429" s="132"/>
      <c r="M429" s="132"/>
    </row>
    <row r="431" spans="1:9" x14ac:dyDescent="0.25">
      <c r="A431" s="133" t="s">
        <v>360</v>
      </c>
      <c r="B431" s="133" t="s">
        <v>367</v>
      </c>
      <c r="C431" s="133" t="s">
        <v>368</v>
      </c>
      <c r="D431" s="133" t="s">
        <v>4</v>
      </c>
      <c r="E431" s="133" t="s">
        <v>5</v>
      </c>
      <c r="F431" s="133" t="s">
        <v>6</v>
      </c>
      <c r="G431" s="133" t="s">
        <v>7</v>
      </c>
      <c r="H431" s="133" t="s">
        <v>8</v>
      </c>
      <c r="I431" s="133" t="s">
        <v>9</v>
      </c>
    </row>
    <row r="432" spans="1:13" x14ac:dyDescent="0.25">
      <c r="A432" s="29">
        <v>1</v>
      </c>
      <c r="B432" s="29" t="s">
        <v>91</v>
      </c>
      <c r="C432" s="134" t="s">
        <v>92</v>
      </c>
      <c r="D432" s="135">
        <v>0.14</v>
      </c>
      <c r="E432" s="135">
        <v>424</v>
      </c>
      <c r="F432" s="29" t="s">
        <v>32</v>
      </c>
      <c r="G432" s="135">
        <v>59.36000000000001</v>
      </c>
      <c r="H432" s="29" t="s">
        <v>15</v>
      </c>
      <c r="I432" s="135">
        <v>2.69</v>
      </c>
      <c r="J432" s="132" t="s">
        <v>16</v>
      </c>
      <c r="K432" s="132" t="s">
        <v>357</v>
      </c>
      <c r="L432" s="132" t="s">
        <v>17</v>
      </c>
      <c r="M432" s="132" t="s">
        <v>17</v>
      </c>
    </row>
    <row r="433" spans="1:13" x14ac:dyDescent="0.25">
      <c r="A433" s="136"/>
      <c r="B433" s="136" t="s">
        <v>96</v>
      </c>
      <c r="C433" s="136"/>
      <c r="D433" s="137"/>
      <c r="E433" s="138">
        <f>=SUM(E432:E432)</f>
      </c>
      <c r="F433" s="136"/>
      <c r="G433" s="138">
        <f>=SUM(G432:G432)</f>
      </c>
      <c r="H433" s="136"/>
      <c r="I433" s="136"/>
      <c r="J433" s="132"/>
      <c r="K433" s="132"/>
      <c r="L433" s="132"/>
      <c r="M433" s="132"/>
    </row>
    <row r="435" spans="1:9" x14ac:dyDescent="0.25">
      <c r="A435" s="3" t="s">
        <v>620</v>
      </c>
      <c r="B435" s="3" t="s">
        <v>359</v>
      </c>
      <c r="C435" s="3" t="s">
        <v>359</v>
      </c>
      <c r="D435" t="s">
        <v>359</v>
      </c>
      <c r="E435" s="3" t="s">
        <v>359</v>
      </c>
      <c r="F435" s="3" t="s">
        <v>359</v>
      </c>
      <c r="G435" s="3" t="s">
        <v>359</v>
      </c>
      <c r="I435" s="3" t="s">
        <v>17</v>
      </c>
    </row>
    <row r="437" spans="1:6" x14ac:dyDescent="0.25">
      <c r="A437" s="3" t="s">
        <v>360</v>
      </c>
      <c r="B437" s="3" t="s">
        <v>361</v>
      </c>
      <c r="C437" s="3" t="s">
        <v>362</v>
      </c>
      <c r="D437" t="s">
        <v>363</v>
      </c>
      <c r="E437" s="3" t="s">
        <v>102</v>
      </c>
      <c r="F437" s="3" t="s">
        <v>364</v>
      </c>
    </row>
    <row r="438" spans="1:13" x14ac:dyDescent="0.25">
      <c r="A438" s="29">
        <v>1</v>
      </c>
      <c r="B438" s="29" t="s">
        <v>621</v>
      </c>
      <c r="C438" s="134" t="s">
        <v>622</v>
      </c>
      <c r="D438" s="129">
        <v>3186</v>
      </c>
      <c r="E438" s="29"/>
      <c r="F438" s="139">
        <v>46095.625</v>
      </c>
      <c r="G438" s="29"/>
      <c r="H438" s="29"/>
      <c r="I438" s="29"/>
      <c r="J438" s="132"/>
      <c r="K438" s="132"/>
      <c r="L438" s="132"/>
      <c r="M438" s="132"/>
    </row>
    <row r="439" spans="1:13" x14ac:dyDescent="0.25">
      <c r="A439" s="29">
        <v>2</v>
      </c>
      <c r="B439" s="29" t="s">
        <v>623</v>
      </c>
      <c r="C439" s="134" t="s">
        <v>624</v>
      </c>
      <c r="D439" s="129">
        <v>2126</v>
      </c>
      <c r="E439" s="29"/>
      <c r="F439" s="139">
        <v>46095.625</v>
      </c>
      <c r="G439" s="29"/>
      <c r="H439" s="29"/>
      <c r="I439" s="29"/>
      <c r="J439" s="132"/>
      <c r="K439" s="132"/>
      <c r="L439" s="132"/>
      <c r="M439" s="132"/>
    </row>
    <row r="441" spans="1:9" x14ac:dyDescent="0.25">
      <c r="A441" s="133" t="s">
        <v>360</v>
      </c>
      <c r="B441" s="133" t="s">
        <v>367</v>
      </c>
      <c r="C441" s="133" t="s">
        <v>368</v>
      </c>
      <c r="D441" s="133" t="s">
        <v>4</v>
      </c>
      <c r="E441" s="133" t="s">
        <v>5</v>
      </c>
      <c r="F441" s="133" t="s">
        <v>6</v>
      </c>
      <c r="G441" s="133" t="s">
        <v>7</v>
      </c>
      <c r="H441" s="133" t="s">
        <v>8</v>
      </c>
      <c r="I441" s="133" t="s">
        <v>9</v>
      </c>
    </row>
    <row r="442" spans="1:13" x14ac:dyDescent="0.25">
      <c r="A442" s="29">
        <v>1</v>
      </c>
      <c r="B442" s="29" t="s">
        <v>39</v>
      </c>
      <c r="C442" s="134" t="s">
        <v>64</v>
      </c>
      <c r="D442" s="135">
        <v>0.01</v>
      </c>
      <c r="E442" s="135">
        <v>5400</v>
      </c>
      <c r="F442" s="29" t="s">
        <v>32</v>
      </c>
      <c r="G442" s="135">
        <v>54</v>
      </c>
      <c r="H442" s="29" t="s">
        <v>15</v>
      </c>
      <c r="I442" s="135">
        <v>34.31</v>
      </c>
      <c r="J442" s="132" t="s">
        <v>16</v>
      </c>
      <c r="K442" s="132" t="s">
        <v>342</v>
      </c>
      <c r="L442" s="132" t="s">
        <v>17</v>
      </c>
      <c r="M442" s="132" t="s">
        <v>17</v>
      </c>
    </row>
    <row r="443" spans="1:13" x14ac:dyDescent="0.25">
      <c r="A443" s="29">
        <v>2</v>
      </c>
      <c r="B443" s="29" t="s">
        <v>91</v>
      </c>
      <c r="C443" s="134" t="s">
        <v>92</v>
      </c>
      <c r="D443" s="135">
        <v>0.26</v>
      </c>
      <c r="E443" s="135">
        <v>5312</v>
      </c>
      <c r="F443" s="29" t="s">
        <v>32</v>
      </c>
      <c r="G443" s="135">
        <v>1381.1200000000001</v>
      </c>
      <c r="H443" s="29" t="s">
        <v>15</v>
      </c>
      <c r="I443" s="135">
        <v>33.75</v>
      </c>
      <c r="J443" s="132" t="s">
        <v>16</v>
      </c>
      <c r="K443" s="132" t="s">
        <v>357</v>
      </c>
      <c r="L443" s="132" t="s">
        <v>17</v>
      </c>
      <c r="M443" s="132" t="s">
        <v>17</v>
      </c>
    </row>
    <row r="444" spans="1:13" x14ac:dyDescent="0.25">
      <c r="A444" s="136"/>
      <c r="B444" s="136" t="s">
        <v>96</v>
      </c>
      <c r="C444" s="136"/>
      <c r="D444" s="137"/>
      <c r="E444" s="138">
        <f>=SUM(E442:E443)</f>
      </c>
      <c r="F444" s="136"/>
      <c r="G444" s="138">
        <f>=SUM(G442:G443)</f>
      </c>
      <c r="H444" s="136"/>
      <c r="I444" s="136"/>
      <c r="J444" s="132"/>
      <c r="K444" s="132"/>
      <c r="L444" s="132"/>
      <c r="M444" s="132"/>
    </row>
    <row r="446" spans="1:9" x14ac:dyDescent="0.25">
      <c r="A446" s="3" t="s">
        <v>625</v>
      </c>
      <c r="B446" s="3" t="s">
        <v>359</v>
      </c>
      <c r="C446" s="3" t="s">
        <v>359</v>
      </c>
      <c r="D446" t="s">
        <v>359</v>
      </c>
      <c r="E446" s="3" t="s">
        <v>359</v>
      </c>
      <c r="F446" s="3" t="s">
        <v>359</v>
      </c>
      <c r="G446" s="3" t="s">
        <v>359</v>
      </c>
      <c r="I446" s="3" t="s">
        <v>17</v>
      </c>
    </row>
    <row r="448" spans="1:6" x14ac:dyDescent="0.25">
      <c r="A448" s="3" t="s">
        <v>360</v>
      </c>
      <c r="B448" s="3" t="s">
        <v>361</v>
      </c>
      <c r="C448" s="3" t="s">
        <v>362</v>
      </c>
      <c r="D448" t="s">
        <v>363</v>
      </c>
      <c r="E448" s="3" t="s">
        <v>102</v>
      </c>
      <c r="F448" s="3" t="s">
        <v>364</v>
      </c>
    </row>
    <row r="449" spans="1:13" x14ac:dyDescent="0.25">
      <c r="A449" s="29">
        <v>1</v>
      </c>
      <c r="B449" s="29" t="s">
        <v>626</v>
      </c>
      <c r="C449" s="134" t="s">
        <v>627</v>
      </c>
      <c r="D449" s="129">
        <v>21</v>
      </c>
      <c r="E449" s="29"/>
      <c r="F449" s="139">
        <v>46095.625</v>
      </c>
      <c r="G449" s="29"/>
      <c r="H449" s="29"/>
      <c r="I449" s="29"/>
      <c r="J449" s="132"/>
      <c r="K449" s="132"/>
      <c r="L449" s="132"/>
      <c r="M449" s="132"/>
    </row>
    <row r="450" spans="1:13" x14ac:dyDescent="0.25">
      <c r="A450" s="29">
        <v>2</v>
      </c>
      <c r="B450" s="29" t="s">
        <v>628</v>
      </c>
      <c r="C450" s="134" t="s">
        <v>629</v>
      </c>
      <c r="D450" s="129">
        <v>32</v>
      </c>
      <c r="E450" s="29"/>
      <c r="F450" s="139">
        <v>46095.625</v>
      </c>
      <c r="G450" s="29"/>
      <c r="H450" s="29"/>
      <c r="I450" s="29"/>
      <c r="J450" s="132"/>
      <c r="K450" s="132"/>
      <c r="L450" s="132"/>
      <c r="M450" s="132"/>
    </row>
    <row r="451" spans="1:13" x14ac:dyDescent="0.25">
      <c r="A451" s="29">
        <v>3</v>
      </c>
      <c r="B451" s="29" t="s">
        <v>630</v>
      </c>
      <c r="C451" s="134" t="s">
        <v>631</v>
      </c>
      <c r="D451" s="129">
        <v>20</v>
      </c>
      <c r="E451" s="29"/>
      <c r="F451" s="139">
        <v>46095.625</v>
      </c>
      <c r="G451" s="29"/>
      <c r="H451" s="29"/>
      <c r="I451" s="29"/>
      <c r="J451" s="132"/>
      <c r="K451" s="132"/>
      <c r="L451" s="132"/>
      <c r="M451" s="132"/>
    </row>
    <row r="452" spans="1:13" x14ac:dyDescent="0.25">
      <c r="A452" s="29">
        <v>4</v>
      </c>
      <c r="B452" s="29" t="s">
        <v>632</v>
      </c>
      <c r="C452" s="134" t="s">
        <v>633</v>
      </c>
      <c r="D452" s="129">
        <v>32</v>
      </c>
      <c r="E452" s="29"/>
      <c r="F452" s="139">
        <v>46095.625</v>
      </c>
      <c r="G452" s="29"/>
      <c r="H452" s="29"/>
      <c r="I452" s="29"/>
      <c r="J452" s="132"/>
      <c r="K452" s="132"/>
      <c r="L452" s="132"/>
      <c r="M452" s="132"/>
    </row>
    <row r="453" spans="1:13" x14ac:dyDescent="0.25">
      <c r="A453" s="29">
        <v>5</v>
      </c>
      <c r="B453" s="29" t="s">
        <v>634</v>
      </c>
      <c r="C453" s="134" t="s">
        <v>635</v>
      </c>
      <c r="D453" s="129">
        <v>21</v>
      </c>
      <c r="E453" s="29"/>
      <c r="F453" s="139">
        <v>46095.625</v>
      </c>
      <c r="G453" s="29"/>
      <c r="H453" s="29"/>
      <c r="I453" s="29"/>
      <c r="J453" s="132"/>
      <c r="K453" s="132"/>
      <c r="L453" s="132"/>
      <c r="M453" s="132"/>
    </row>
    <row r="454" spans="1:13" x14ac:dyDescent="0.25">
      <c r="A454" s="29">
        <v>6</v>
      </c>
      <c r="B454" s="29" t="s">
        <v>636</v>
      </c>
      <c r="C454" s="134" t="s">
        <v>637</v>
      </c>
      <c r="D454" s="129">
        <v>32</v>
      </c>
      <c r="E454" s="29"/>
      <c r="F454" s="139">
        <v>46095.625</v>
      </c>
      <c r="G454" s="29"/>
      <c r="H454" s="29"/>
      <c r="I454" s="29"/>
      <c r="J454" s="132"/>
      <c r="K454" s="132"/>
      <c r="L454" s="132"/>
      <c r="M454" s="132"/>
    </row>
    <row r="455" spans="1:13" x14ac:dyDescent="0.25">
      <c r="A455" s="29">
        <v>7</v>
      </c>
      <c r="B455" s="29" t="s">
        <v>638</v>
      </c>
      <c r="C455" s="134" t="s">
        <v>639</v>
      </c>
      <c r="D455" s="129">
        <v>20</v>
      </c>
      <c r="E455" s="29"/>
      <c r="F455" s="139">
        <v>46095.625</v>
      </c>
      <c r="G455" s="29"/>
      <c r="H455" s="29"/>
      <c r="I455" s="29"/>
      <c r="J455" s="132"/>
      <c r="K455" s="132"/>
      <c r="L455" s="132"/>
      <c r="M455" s="132"/>
    </row>
    <row r="456" spans="1:13" x14ac:dyDescent="0.25">
      <c r="A456" s="29">
        <v>8</v>
      </c>
      <c r="B456" s="29" t="s">
        <v>640</v>
      </c>
      <c r="C456" s="134" t="s">
        <v>641</v>
      </c>
      <c r="D456" s="129">
        <v>32</v>
      </c>
      <c r="E456" s="29"/>
      <c r="F456" s="139">
        <v>46095.625</v>
      </c>
      <c r="G456" s="29"/>
      <c r="H456" s="29"/>
      <c r="I456" s="29"/>
      <c r="J456" s="132"/>
      <c r="K456" s="132"/>
      <c r="L456" s="132"/>
      <c r="M456" s="132"/>
    </row>
    <row r="458" spans="1:9" x14ac:dyDescent="0.25">
      <c r="A458" s="133" t="s">
        <v>360</v>
      </c>
      <c r="B458" s="133" t="s">
        <v>367</v>
      </c>
      <c r="C458" s="133" t="s">
        <v>368</v>
      </c>
      <c r="D458" s="133" t="s">
        <v>4</v>
      </c>
      <c r="E458" s="133" t="s">
        <v>5</v>
      </c>
      <c r="F458" s="133" t="s">
        <v>6</v>
      </c>
      <c r="G458" s="133" t="s">
        <v>7</v>
      </c>
      <c r="H458" s="133" t="s">
        <v>8</v>
      </c>
      <c r="I458" s="133" t="s">
        <v>9</v>
      </c>
    </row>
    <row r="459" spans="1:13" x14ac:dyDescent="0.25">
      <c r="A459" s="29">
        <v>1</v>
      </c>
      <c r="B459" s="29" t="s">
        <v>62</v>
      </c>
      <c r="C459" s="134" t="s">
        <v>63</v>
      </c>
      <c r="D459" s="135">
        <v>11.76</v>
      </c>
      <c r="E459" s="135">
        <v>20</v>
      </c>
      <c r="F459" s="29" t="s">
        <v>46</v>
      </c>
      <c r="G459" s="135">
        <v>235.2</v>
      </c>
      <c r="H459" s="29" t="s">
        <v>15</v>
      </c>
      <c r="I459" s="135">
        <v>0.13</v>
      </c>
      <c r="J459" s="132" t="s">
        <v>16</v>
      </c>
      <c r="K459" s="132" t="s">
        <v>349</v>
      </c>
      <c r="L459" s="132" t="s">
        <v>17</v>
      </c>
      <c r="M459" s="132" t="s">
        <v>17</v>
      </c>
    </row>
    <row r="460" spans="1:13" x14ac:dyDescent="0.25">
      <c r="A460" s="136"/>
      <c r="B460" s="136" t="s">
        <v>96</v>
      </c>
      <c r="C460" s="136"/>
      <c r="D460" s="137"/>
      <c r="E460" s="138">
        <f>=SUM(E459:E459)</f>
      </c>
      <c r="F460" s="136"/>
      <c r="G460" s="138">
        <f>=SUM(G459:G459)</f>
      </c>
      <c r="H460" s="136"/>
      <c r="I460" s="136"/>
      <c r="J460" s="132"/>
      <c r="K460" s="132"/>
      <c r="L460" s="132"/>
      <c r="M460" s="132"/>
    </row>
    <row r="462" spans="1:9" x14ac:dyDescent="0.25">
      <c r="A462" s="3" t="s">
        <v>642</v>
      </c>
      <c r="B462" s="3" t="s">
        <v>359</v>
      </c>
      <c r="C462" s="3" t="s">
        <v>359</v>
      </c>
      <c r="D462" t="s">
        <v>359</v>
      </c>
      <c r="E462" s="3" t="s">
        <v>359</v>
      </c>
      <c r="F462" s="3" t="s">
        <v>359</v>
      </c>
      <c r="G462" s="3" t="s">
        <v>359</v>
      </c>
      <c r="I462" s="3" t="s">
        <v>17</v>
      </c>
    </row>
    <row r="464" spans="1:6" x14ac:dyDescent="0.25">
      <c r="A464" s="3" t="s">
        <v>360</v>
      </c>
      <c r="B464" s="3" t="s">
        <v>361</v>
      </c>
      <c r="C464" s="3" t="s">
        <v>362</v>
      </c>
      <c r="D464" t="s">
        <v>363</v>
      </c>
      <c r="E464" s="3" t="s">
        <v>102</v>
      </c>
      <c r="F464" s="3" t="s">
        <v>364</v>
      </c>
    </row>
    <row r="465" spans="1:13" x14ac:dyDescent="0.25">
      <c r="A465" s="29">
        <v>1</v>
      </c>
      <c r="B465" s="29" t="s">
        <v>643</v>
      </c>
      <c r="C465" s="134" t="s">
        <v>644</v>
      </c>
      <c r="D465" s="129">
        <v>874</v>
      </c>
      <c r="E465" s="29"/>
      <c r="F465" s="139">
        <v>46095.625</v>
      </c>
      <c r="G465" s="29"/>
      <c r="H465" s="29"/>
      <c r="I465" s="29"/>
      <c r="J465" s="132"/>
      <c r="K465" s="132"/>
      <c r="L465" s="132"/>
      <c r="M465" s="132"/>
    </row>
    <row r="467" spans="1:9" x14ac:dyDescent="0.25">
      <c r="A467" s="133" t="s">
        <v>360</v>
      </c>
      <c r="B467" s="133" t="s">
        <v>367</v>
      </c>
      <c r="C467" s="133" t="s">
        <v>368</v>
      </c>
      <c r="D467" s="133" t="s">
        <v>4</v>
      </c>
      <c r="E467" s="133" t="s">
        <v>5</v>
      </c>
      <c r="F467" s="133" t="s">
        <v>6</v>
      </c>
      <c r="G467" s="133" t="s">
        <v>7</v>
      </c>
      <c r="H467" s="133" t="s">
        <v>8</v>
      </c>
      <c r="I467" s="133" t="s">
        <v>9</v>
      </c>
    </row>
    <row r="468" spans="1:13" x14ac:dyDescent="0.25">
      <c r="A468" s="29">
        <v>1</v>
      </c>
      <c r="B468" s="29" t="s">
        <v>39</v>
      </c>
      <c r="C468" s="134" t="s">
        <v>55</v>
      </c>
      <c r="D468" s="135">
        <v>0.01</v>
      </c>
      <c r="E468" s="135">
        <v>26</v>
      </c>
      <c r="F468" s="29" t="s">
        <v>32</v>
      </c>
      <c r="G468" s="135">
        <v>0.26</v>
      </c>
      <c r="H468" s="29" t="s">
        <v>15</v>
      </c>
      <c r="I468" s="135">
        <v>0.17</v>
      </c>
      <c r="J468" s="132" t="s">
        <v>16</v>
      </c>
      <c r="K468" s="132" t="s">
        <v>342</v>
      </c>
      <c r="L468" s="132" t="s">
        <v>17</v>
      </c>
      <c r="M468" s="132" t="s">
        <v>17</v>
      </c>
    </row>
    <row r="469" spans="1:13" x14ac:dyDescent="0.25">
      <c r="A469" s="29">
        <v>2</v>
      </c>
      <c r="B469" s="29" t="s">
        <v>39</v>
      </c>
      <c r="C469" s="134" t="s">
        <v>55</v>
      </c>
      <c r="D469" s="135">
        <v>0.01</v>
      </c>
      <c r="E469" s="135">
        <v>874</v>
      </c>
      <c r="F469" s="29" t="s">
        <v>32</v>
      </c>
      <c r="G469" s="135">
        <v>8.74</v>
      </c>
      <c r="H469" s="29" t="s">
        <v>15</v>
      </c>
      <c r="I469" s="135">
        <v>5.55</v>
      </c>
      <c r="J469" s="132" t="s">
        <v>16</v>
      </c>
      <c r="K469" s="132" t="s">
        <v>342</v>
      </c>
      <c r="L469" s="132" t="s">
        <v>17</v>
      </c>
      <c r="M469" s="132" t="s">
        <v>17</v>
      </c>
    </row>
    <row r="470" spans="1:13" x14ac:dyDescent="0.25">
      <c r="A470" s="29">
        <v>3</v>
      </c>
      <c r="B470" s="29" t="s">
        <v>39</v>
      </c>
      <c r="C470" s="134" t="s">
        <v>64</v>
      </c>
      <c r="D470" s="135">
        <v>0.01</v>
      </c>
      <c r="E470" s="135">
        <v>874</v>
      </c>
      <c r="F470" s="29" t="s">
        <v>32</v>
      </c>
      <c r="G470" s="135">
        <v>8.74</v>
      </c>
      <c r="H470" s="29" t="s">
        <v>15</v>
      </c>
      <c r="I470" s="135">
        <v>5.55</v>
      </c>
      <c r="J470" s="132" t="s">
        <v>16</v>
      </c>
      <c r="K470" s="132" t="s">
        <v>342</v>
      </c>
      <c r="L470" s="132" t="s">
        <v>17</v>
      </c>
      <c r="M470" s="132" t="s">
        <v>17</v>
      </c>
    </row>
    <row r="471" spans="1:13" x14ac:dyDescent="0.25">
      <c r="A471" s="29">
        <v>4</v>
      </c>
      <c r="B471" s="29" t="s">
        <v>39</v>
      </c>
      <c r="C471" s="134" t="s">
        <v>64</v>
      </c>
      <c r="D471" s="135">
        <v>0.01</v>
      </c>
      <c r="E471" s="135">
        <v>26</v>
      </c>
      <c r="F471" s="29" t="s">
        <v>32</v>
      </c>
      <c r="G471" s="135">
        <v>0.26</v>
      </c>
      <c r="H471" s="29" t="s">
        <v>15</v>
      </c>
      <c r="I471" s="135">
        <v>0.17</v>
      </c>
      <c r="J471" s="132" t="s">
        <v>16</v>
      </c>
      <c r="K471" s="132" t="s">
        <v>342</v>
      </c>
      <c r="L471" s="132" t="s">
        <v>17</v>
      </c>
      <c r="M471" s="132" t="s">
        <v>17</v>
      </c>
    </row>
    <row r="472" spans="1:13" x14ac:dyDescent="0.25">
      <c r="A472" s="29">
        <v>5</v>
      </c>
      <c r="B472" s="29" t="s">
        <v>91</v>
      </c>
      <c r="C472" s="134" t="s">
        <v>92</v>
      </c>
      <c r="D472" s="135">
        <v>0.26</v>
      </c>
      <c r="E472" s="135">
        <v>874</v>
      </c>
      <c r="F472" s="29" t="s">
        <v>32</v>
      </c>
      <c r="G472" s="135">
        <v>227.24</v>
      </c>
      <c r="H472" s="29" t="s">
        <v>15</v>
      </c>
      <c r="I472" s="135">
        <v>5.55</v>
      </c>
      <c r="J472" s="132" t="s">
        <v>16</v>
      </c>
      <c r="K472" s="132" t="s">
        <v>357</v>
      </c>
      <c r="L472" s="132" t="s">
        <v>17</v>
      </c>
      <c r="M472" s="132" t="s">
        <v>17</v>
      </c>
    </row>
    <row r="473" spans="1:13" x14ac:dyDescent="0.25">
      <c r="A473" s="136"/>
      <c r="B473" s="136" t="s">
        <v>96</v>
      </c>
      <c r="C473" s="136"/>
      <c r="D473" s="137"/>
      <c r="E473" s="138">
        <f>=SUM(E468:E472)</f>
      </c>
      <c r="F473" s="136"/>
      <c r="G473" s="138">
        <f>=SUM(G468:G472)</f>
      </c>
      <c r="H473" s="136"/>
      <c r="I473" s="136"/>
      <c r="J473" s="132"/>
      <c r="K473" s="132"/>
      <c r="L473" s="132"/>
      <c r="M473" s="132"/>
    </row>
    <row r="475" spans="1:9" x14ac:dyDescent="0.25">
      <c r="A475" s="3" t="s">
        <v>645</v>
      </c>
      <c r="B475" s="3" t="s">
        <v>359</v>
      </c>
      <c r="C475" s="3" t="s">
        <v>359</v>
      </c>
      <c r="D475" t="s">
        <v>359</v>
      </c>
      <c r="E475" s="3" t="s">
        <v>359</v>
      </c>
      <c r="F475" s="3" t="s">
        <v>359</v>
      </c>
      <c r="G475" s="3" t="s">
        <v>359</v>
      </c>
      <c r="I475" s="3" t="s">
        <v>17</v>
      </c>
    </row>
    <row r="477" spans="1:6" x14ac:dyDescent="0.25">
      <c r="A477" s="3" t="s">
        <v>360</v>
      </c>
      <c r="B477" s="3" t="s">
        <v>361</v>
      </c>
      <c r="C477" s="3" t="s">
        <v>362</v>
      </c>
      <c r="D477" t="s">
        <v>363</v>
      </c>
      <c r="E477" s="3" t="s">
        <v>102</v>
      </c>
      <c r="F477" s="3" t="s">
        <v>364</v>
      </c>
    </row>
    <row r="478" spans="1:13" x14ac:dyDescent="0.25">
      <c r="A478" s="29">
        <v>1</v>
      </c>
      <c r="B478" s="29" t="s">
        <v>646</v>
      </c>
      <c r="C478" s="134" t="s">
        <v>647</v>
      </c>
      <c r="D478" s="129">
        <v>3091</v>
      </c>
      <c r="E478" s="29"/>
      <c r="F478" s="139">
        <v>46095.625</v>
      </c>
      <c r="G478" s="29"/>
      <c r="H478" s="29"/>
      <c r="I478" s="29"/>
      <c r="J478" s="132"/>
      <c r="K478" s="132"/>
      <c r="L478" s="132"/>
      <c r="M478" s="132"/>
    </row>
    <row r="480" spans="1:9" x14ac:dyDescent="0.25">
      <c r="A480" s="133" t="s">
        <v>360</v>
      </c>
      <c r="B480" s="133" t="s">
        <v>367</v>
      </c>
      <c r="C480" s="133" t="s">
        <v>368</v>
      </c>
      <c r="D480" s="133" t="s">
        <v>4</v>
      </c>
      <c r="E480" s="133" t="s">
        <v>5</v>
      </c>
      <c r="F480" s="133" t="s">
        <v>6</v>
      </c>
      <c r="G480" s="133" t="s">
        <v>7</v>
      </c>
      <c r="H480" s="133" t="s">
        <v>8</v>
      </c>
      <c r="I480" s="133" t="s">
        <v>9</v>
      </c>
    </row>
    <row r="481" spans="1:13" x14ac:dyDescent="0.25">
      <c r="A481" s="29">
        <v>1</v>
      </c>
      <c r="B481" s="29" t="s">
        <v>47</v>
      </c>
      <c r="C481" s="134" t="s">
        <v>48</v>
      </c>
      <c r="D481" s="135">
        <v>0.01</v>
      </c>
      <c r="E481" s="135">
        <v>5950</v>
      </c>
      <c r="F481" s="29" t="s">
        <v>32</v>
      </c>
      <c r="G481" s="135">
        <v>59.5</v>
      </c>
      <c r="H481" s="29" t="s">
        <v>15</v>
      </c>
      <c r="I481" s="135">
        <v>37.8</v>
      </c>
      <c r="J481" s="132" t="s">
        <v>16</v>
      </c>
      <c r="K481" s="132" t="s">
        <v>79</v>
      </c>
      <c r="L481" s="132" t="s">
        <v>17</v>
      </c>
      <c r="M481" s="132" t="s">
        <v>17</v>
      </c>
    </row>
    <row r="482" spans="1:13" x14ac:dyDescent="0.25">
      <c r="A482" s="29">
        <v>2</v>
      </c>
      <c r="B482" s="29" t="s">
        <v>47</v>
      </c>
      <c r="C482" s="134" t="s">
        <v>48</v>
      </c>
      <c r="D482" s="135">
        <v>0.04</v>
      </c>
      <c r="E482" s="135">
        <v>6830</v>
      </c>
      <c r="F482" s="29" t="s">
        <v>32</v>
      </c>
      <c r="G482" s="135">
        <v>273.2</v>
      </c>
      <c r="H482" s="29" t="s">
        <v>15</v>
      </c>
      <c r="I482" s="135">
        <v>43.4</v>
      </c>
      <c r="J482" s="132" t="s">
        <v>16</v>
      </c>
      <c r="K482" s="132" t="s">
        <v>79</v>
      </c>
      <c r="L482" s="132" t="s">
        <v>17</v>
      </c>
      <c r="M482" s="132" t="s">
        <v>17</v>
      </c>
    </row>
    <row r="483" spans="1:13" x14ac:dyDescent="0.25">
      <c r="A483" s="29">
        <v>3</v>
      </c>
      <c r="B483" s="29" t="s">
        <v>51</v>
      </c>
      <c r="C483" s="134" t="s">
        <v>52</v>
      </c>
      <c r="D483" s="135">
        <v>0.06</v>
      </c>
      <c r="E483" s="135">
        <v>8000</v>
      </c>
      <c r="F483" s="29" t="s">
        <v>14</v>
      </c>
      <c r="G483" s="135">
        <v>480</v>
      </c>
      <c r="H483" s="29" t="s">
        <v>15</v>
      </c>
      <c r="I483" s="135">
        <v>50.83</v>
      </c>
      <c r="J483" s="132" t="s">
        <v>16</v>
      </c>
      <c r="K483" s="132" t="s">
        <v>346</v>
      </c>
      <c r="L483" s="132" t="s">
        <v>17</v>
      </c>
      <c r="M483" s="132" t="s">
        <v>17</v>
      </c>
    </row>
    <row r="484" spans="1:13" x14ac:dyDescent="0.25">
      <c r="A484" s="29">
        <v>4</v>
      </c>
      <c r="B484" s="29" t="s">
        <v>44</v>
      </c>
      <c r="C484" s="134" t="s">
        <v>54</v>
      </c>
      <c r="D484" s="135">
        <v>0.03</v>
      </c>
      <c r="E484" s="135">
        <v>11900</v>
      </c>
      <c r="F484" s="29" t="s">
        <v>46</v>
      </c>
      <c r="G484" s="135">
        <v>357</v>
      </c>
      <c r="H484" s="29" t="s">
        <v>15</v>
      </c>
      <c r="I484" s="135">
        <v>75.61</v>
      </c>
      <c r="J484" s="132" t="s">
        <v>16</v>
      </c>
      <c r="K484" s="132" t="s">
        <v>344</v>
      </c>
      <c r="L484" s="132" t="s">
        <v>17</v>
      </c>
      <c r="M484" s="132" t="s">
        <v>17</v>
      </c>
    </row>
    <row r="485" spans="1:13" x14ac:dyDescent="0.25">
      <c r="A485" s="29">
        <v>5</v>
      </c>
      <c r="B485" s="29" t="s">
        <v>44</v>
      </c>
      <c r="C485" s="134" t="s">
        <v>54</v>
      </c>
      <c r="D485" s="135">
        <v>0.02</v>
      </c>
      <c r="E485" s="135">
        <v>13620</v>
      </c>
      <c r="F485" s="29" t="s">
        <v>46</v>
      </c>
      <c r="G485" s="135">
        <v>272.4</v>
      </c>
      <c r="H485" s="29" t="s">
        <v>15</v>
      </c>
      <c r="I485" s="135">
        <v>86.54</v>
      </c>
      <c r="J485" s="132" t="s">
        <v>16</v>
      </c>
      <c r="K485" s="132" t="s">
        <v>344</v>
      </c>
      <c r="L485" s="132" t="s">
        <v>17</v>
      </c>
      <c r="M485" s="132" t="s">
        <v>17</v>
      </c>
    </row>
    <row r="486" spans="1:13" x14ac:dyDescent="0.25">
      <c r="A486" s="29">
        <v>6</v>
      </c>
      <c r="B486" s="29" t="s">
        <v>65</v>
      </c>
      <c r="C486" s="134" t="s">
        <v>66</v>
      </c>
      <c r="D486" s="135">
        <v>0.01</v>
      </c>
      <c r="E486" s="135">
        <v>4534</v>
      </c>
      <c r="F486" s="29" t="s">
        <v>32</v>
      </c>
      <c r="G486" s="135">
        <v>45.34</v>
      </c>
      <c r="H486" s="29" t="s">
        <v>15</v>
      </c>
      <c r="I486" s="135">
        <v>28.81</v>
      </c>
      <c r="J486" s="132" t="s">
        <v>16</v>
      </c>
      <c r="K486" s="132" t="s">
        <v>350</v>
      </c>
      <c r="L486" s="132" t="s">
        <v>17</v>
      </c>
      <c r="M486" s="132" t="s">
        <v>17</v>
      </c>
    </row>
    <row r="487" spans="1:13" x14ac:dyDescent="0.25">
      <c r="A487" s="29">
        <v>7</v>
      </c>
      <c r="B487" s="29" t="s">
        <v>39</v>
      </c>
      <c r="C487" s="134" t="s">
        <v>67</v>
      </c>
      <c r="D487" s="135">
        <v>0.01</v>
      </c>
      <c r="E487" s="135">
        <v>4534</v>
      </c>
      <c r="F487" s="29" t="s">
        <v>32</v>
      </c>
      <c r="G487" s="135">
        <v>45.34</v>
      </c>
      <c r="H487" s="29" t="s">
        <v>15</v>
      </c>
      <c r="I487" s="135">
        <v>28.81</v>
      </c>
      <c r="J487" s="132" t="s">
        <v>16</v>
      </c>
      <c r="K487" s="132" t="s">
        <v>342</v>
      </c>
      <c r="L487" s="132" t="s">
        <v>17</v>
      </c>
      <c r="M487" s="132" t="s">
        <v>17</v>
      </c>
    </row>
    <row r="488" spans="1:13" x14ac:dyDescent="0.25">
      <c r="A488" s="29">
        <v>8</v>
      </c>
      <c r="B488" s="29" t="s">
        <v>69</v>
      </c>
      <c r="C488" s="134" t="s">
        <v>70</v>
      </c>
      <c r="D488" s="135">
        <v>0.04</v>
      </c>
      <c r="E488" s="135">
        <v>3068</v>
      </c>
      <c r="F488" s="29" t="s">
        <v>32</v>
      </c>
      <c r="G488" s="135">
        <v>122.72</v>
      </c>
      <c r="H488" s="29" t="s">
        <v>15</v>
      </c>
      <c r="I488" s="135">
        <v>19.49</v>
      </c>
      <c r="J488" s="132" t="s">
        <v>16</v>
      </c>
      <c r="K488" s="132" t="s">
        <v>351</v>
      </c>
      <c r="L488" s="132" t="s">
        <v>17</v>
      </c>
      <c r="M488" s="132" t="s">
        <v>17</v>
      </c>
    </row>
    <row r="489" spans="1:13" x14ac:dyDescent="0.25">
      <c r="A489" s="29">
        <v>9</v>
      </c>
      <c r="B489" s="29" t="s">
        <v>39</v>
      </c>
      <c r="C489" s="134" t="s">
        <v>71</v>
      </c>
      <c r="D489" s="135">
        <v>0.01</v>
      </c>
      <c r="E489" s="135">
        <v>22</v>
      </c>
      <c r="F489" s="29" t="s">
        <v>32</v>
      </c>
      <c r="G489" s="135">
        <v>0.22</v>
      </c>
      <c r="H489" s="29" t="s">
        <v>15</v>
      </c>
      <c r="I489" s="135">
        <v>0.14</v>
      </c>
      <c r="J489" s="132" t="s">
        <v>16</v>
      </c>
      <c r="K489" s="132" t="s">
        <v>352</v>
      </c>
      <c r="L489" s="132" t="s">
        <v>17</v>
      </c>
      <c r="M489" s="132" t="s">
        <v>17</v>
      </c>
    </row>
    <row r="490" spans="1:13" x14ac:dyDescent="0.25">
      <c r="A490" s="29">
        <v>10</v>
      </c>
      <c r="B490" s="29" t="s">
        <v>39</v>
      </c>
      <c r="C490" s="134" t="s">
        <v>71</v>
      </c>
      <c r="D490" s="135">
        <v>0.01</v>
      </c>
      <c r="E490" s="135">
        <v>3178</v>
      </c>
      <c r="F490" s="29" t="s">
        <v>32</v>
      </c>
      <c r="G490" s="135">
        <v>31.78</v>
      </c>
      <c r="H490" s="29" t="s">
        <v>15</v>
      </c>
      <c r="I490" s="135">
        <v>20.19</v>
      </c>
      <c r="J490" s="132" t="s">
        <v>16</v>
      </c>
      <c r="K490" s="132" t="s">
        <v>352</v>
      </c>
      <c r="L490" s="132" t="s">
        <v>17</v>
      </c>
      <c r="M490" s="132" t="s">
        <v>17</v>
      </c>
    </row>
    <row r="491" spans="1:13" x14ac:dyDescent="0.25">
      <c r="A491" s="29">
        <v>11</v>
      </c>
      <c r="B491" s="29" t="s">
        <v>41</v>
      </c>
      <c r="C491" s="134" t="s">
        <v>73</v>
      </c>
      <c r="D491" s="135">
        <v>0.02</v>
      </c>
      <c r="E491" s="135">
        <v>3091</v>
      </c>
      <c r="F491" s="29" t="s">
        <v>32</v>
      </c>
      <c r="G491" s="135">
        <v>61.82</v>
      </c>
      <c r="H491" s="29" t="s">
        <v>15</v>
      </c>
      <c r="I491" s="135">
        <v>19.64</v>
      </c>
      <c r="J491" s="132" t="s">
        <v>16</v>
      </c>
      <c r="K491" s="132" t="s">
        <v>343</v>
      </c>
      <c r="L491" s="132" t="s">
        <v>17</v>
      </c>
      <c r="M491" s="132" t="s">
        <v>17</v>
      </c>
    </row>
    <row r="492" spans="1:13" x14ac:dyDescent="0.25">
      <c r="A492" s="29">
        <v>12</v>
      </c>
      <c r="B492" s="29" t="s">
        <v>47</v>
      </c>
      <c r="C492" s="134" t="s">
        <v>79</v>
      </c>
      <c r="D492" s="135">
        <v>0.11</v>
      </c>
      <c r="E492" s="135">
        <v>12600</v>
      </c>
      <c r="F492" s="29" t="s">
        <v>32</v>
      </c>
      <c r="G492" s="135">
        <v>1386</v>
      </c>
      <c r="H492" s="29" t="s">
        <v>15</v>
      </c>
      <c r="I492" s="135">
        <v>80.06</v>
      </c>
      <c r="J492" s="132" t="s">
        <v>16</v>
      </c>
      <c r="K492" s="132" t="s">
        <v>79</v>
      </c>
      <c r="L492" s="132" t="s">
        <v>17</v>
      </c>
      <c r="M492" s="132" t="s">
        <v>17</v>
      </c>
    </row>
    <row r="493" spans="1:13" x14ac:dyDescent="0.25">
      <c r="A493" s="29">
        <v>13</v>
      </c>
      <c r="B493" s="29" t="s">
        <v>39</v>
      </c>
      <c r="C493" s="134" t="s">
        <v>84</v>
      </c>
      <c r="D493" s="135">
        <v>0.01</v>
      </c>
      <c r="E493" s="135">
        <v>3091</v>
      </c>
      <c r="F493" s="29" t="s">
        <v>32</v>
      </c>
      <c r="G493" s="135">
        <v>30.91</v>
      </c>
      <c r="H493" s="29" t="s">
        <v>15</v>
      </c>
      <c r="I493" s="135">
        <v>19.64</v>
      </c>
      <c r="J493" s="132" t="s">
        <v>16</v>
      </c>
      <c r="K493" s="132" t="s">
        <v>342</v>
      </c>
      <c r="L493" s="132" t="s">
        <v>17</v>
      </c>
      <c r="M493" s="132" t="s">
        <v>17</v>
      </c>
    </row>
    <row r="494" spans="1:13" x14ac:dyDescent="0.25">
      <c r="A494" s="29">
        <v>14</v>
      </c>
      <c r="B494" s="29" t="s">
        <v>89</v>
      </c>
      <c r="C494" s="134" t="s">
        <v>90</v>
      </c>
      <c r="D494" s="135">
        <v>0.01</v>
      </c>
      <c r="E494" s="135">
        <v>317</v>
      </c>
      <c r="F494" s="29" t="s">
        <v>32</v>
      </c>
      <c r="G494" s="135">
        <v>3.17</v>
      </c>
      <c r="H494" s="29" t="s">
        <v>15</v>
      </c>
      <c r="I494" s="135">
        <v>2.01</v>
      </c>
      <c r="J494" s="132" t="s">
        <v>16</v>
      </c>
      <c r="K494" s="132" t="s">
        <v>356</v>
      </c>
      <c r="L494" s="132" t="s">
        <v>17</v>
      </c>
      <c r="M494" s="132" t="s">
        <v>17</v>
      </c>
    </row>
    <row r="495" spans="1:13" x14ac:dyDescent="0.25">
      <c r="A495" s="29">
        <v>15</v>
      </c>
      <c r="B495" s="29" t="s">
        <v>89</v>
      </c>
      <c r="C495" s="134" t="s">
        <v>90</v>
      </c>
      <c r="D495" s="135">
        <v>0.21</v>
      </c>
      <c r="E495" s="135">
        <v>9283</v>
      </c>
      <c r="F495" s="29" t="s">
        <v>32</v>
      </c>
      <c r="G495" s="135">
        <v>1949.4299999999998</v>
      </c>
      <c r="H495" s="29" t="s">
        <v>15</v>
      </c>
      <c r="I495" s="135">
        <v>58.98</v>
      </c>
      <c r="J495" s="132" t="s">
        <v>16</v>
      </c>
      <c r="K495" s="132" t="s">
        <v>356</v>
      </c>
      <c r="L495" s="132" t="s">
        <v>17</v>
      </c>
      <c r="M495" s="132" t="s">
        <v>17</v>
      </c>
    </row>
    <row r="496" spans="1:13" x14ac:dyDescent="0.25">
      <c r="A496" s="136"/>
      <c r="B496" s="136" t="s">
        <v>96</v>
      </c>
      <c r="C496" s="136"/>
      <c r="D496" s="137"/>
      <c r="E496" s="138">
        <f>=SUM(E481:E495)</f>
      </c>
      <c r="F496" s="136"/>
      <c r="G496" s="138">
        <f>=SUM(G481:G495)</f>
      </c>
      <c r="H496" s="136"/>
      <c r="I496" s="136"/>
      <c r="J496" s="132"/>
      <c r="K496" s="132"/>
      <c r="L496" s="132"/>
      <c r="M496" s="132"/>
    </row>
    <row r="498" spans="1:9" x14ac:dyDescent="0.25">
      <c r="A498" s="3" t="s">
        <v>648</v>
      </c>
      <c r="B498" s="3" t="s">
        <v>359</v>
      </c>
      <c r="C498" s="3" t="s">
        <v>359</v>
      </c>
      <c r="D498" t="s">
        <v>359</v>
      </c>
      <c r="E498" s="3" t="s">
        <v>359</v>
      </c>
      <c r="F498" s="3" t="s">
        <v>359</v>
      </c>
      <c r="G498" s="3" t="s">
        <v>359</v>
      </c>
      <c r="I498" s="3" t="s">
        <v>17</v>
      </c>
    </row>
    <row r="500" spans="1:6" x14ac:dyDescent="0.25">
      <c r="A500" s="3" t="s">
        <v>360</v>
      </c>
      <c r="B500" s="3" t="s">
        <v>361</v>
      </c>
      <c r="C500" s="3" t="s">
        <v>362</v>
      </c>
      <c r="D500" t="s">
        <v>363</v>
      </c>
      <c r="E500" s="3" t="s">
        <v>102</v>
      </c>
      <c r="F500" s="3" t="s">
        <v>364</v>
      </c>
    </row>
    <row r="501" spans="1:13" x14ac:dyDescent="0.25">
      <c r="A501" s="29">
        <v>1</v>
      </c>
      <c r="B501" s="29" t="s">
        <v>649</v>
      </c>
      <c r="C501" s="134" t="s">
        <v>650</v>
      </c>
      <c r="D501" s="129">
        <v>1200</v>
      </c>
      <c r="E501" s="29"/>
      <c r="F501" s="139">
        <v>46095.625</v>
      </c>
      <c r="G501" s="29"/>
      <c r="H501" s="29"/>
      <c r="I501" s="29"/>
      <c r="J501" s="132"/>
      <c r="K501" s="132"/>
      <c r="L501" s="132"/>
      <c r="M501" s="132"/>
    </row>
    <row r="503" spans="1:9" x14ac:dyDescent="0.25">
      <c r="A503" s="133" t="s">
        <v>360</v>
      </c>
      <c r="B503" s="133" t="s">
        <v>367</v>
      </c>
      <c r="C503" s="133" t="s">
        <v>368</v>
      </c>
      <c r="D503" s="133" t="s">
        <v>4</v>
      </c>
      <c r="E503" s="133" t="s">
        <v>5</v>
      </c>
      <c r="F503" s="133" t="s">
        <v>6</v>
      </c>
      <c r="G503" s="133" t="s">
        <v>7</v>
      </c>
      <c r="H503" s="133" t="s">
        <v>8</v>
      </c>
      <c r="I503" s="133" t="s">
        <v>9</v>
      </c>
    </row>
    <row r="504" spans="1:13" x14ac:dyDescent="0.25">
      <c r="A504" s="29">
        <v>1</v>
      </c>
      <c r="B504" s="29" t="s">
        <v>86</v>
      </c>
      <c r="C504" s="134" t="s">
        <v>87</v>
      </c>
      <c r="D504" s="135">
        <v>0.03</v>
      </c>
      <c r="E504" s="135">
        <v>24468</v>
      </c>
      <c r="F504" s="29" t="s">
        <v>82</v>
      </c>
      <c r="G504" s="135">
        <v>734.04</v>
      </c>
      <c r="H504" s="29" t="s">
        <v>15</v>
      </c>
      <c r="I504" s="135">
        <v>155.46</v>
      </c>
      <c r="J504" s="132" t="s">
        <v>16</v>
      </c>
      <c r="K504" s="132" t="s">
        <v>355</v>
      </c>
      <c r="L504" s="132" t="s">
        <v>17</v>
      </c>
      <c r="M504" s="132" t="s">
        <v>17</v>
      </c>
    </row>
    <row r="505" spans="1:13" x14ac:dyDescent="0.25">
      <c r="A505" s="136"/>
      <c r="B505" s="136" t="s">
        <v>96</v>
      </c>
      <c r="C505" s="136"/>
      <c r="D505" s="137"/>
      <c r="E505" s="138">
        <f>=SUM(E504:E504)</f>
      </c>
      <c r="F505" s="136"/>
      <c r="G505" s="138">
        <f>=SUM(G504:G504)</f>
      </c>
      <c r="H505" s="136"/>
      <c r="I505" s="136"/>
      <c r="J505" s="132"/>
      <c r="K505" s="132"/>
      <c r="L505" s="132"/>
      <c r="M505" s="132"/>
    </row>
    <row r="507" spans="1:9" x14ac:dyDescent="0.25">
      <c r="A507" s="3" t="s">
        <v>651</v>
      </c>
      <c r="B507" s="3" t="s">
        <v>359</v>
      </c>
      <c r="C507" s="3" t="s">
        <v>359</v>
      </c>
      <c r="D507" t="s">
        <v>359</v>
      </c>
      <c r="E507" s="3" t="s">
        <v>359</v>
      </c>
      <c r="F507" s="3" t="s">
        <v>359</v>
      </c>
      <c r="G507" s="3" t="s">
        <v>359</v>
      </c>
      <c r="I507" s="3" t="s">
        <v>17</v>
      </c>
    </row>
    <row r="509" spans="1:6" x14ac:dyDescent="0.25">
      <c r="A509" s="3" t="s">
        <v>360</v>
      </c>
      <c r="B509" s="3" t="s">
        <v>361</v>
      </c>
      <c r="C509" s="3" t="s">
        <v>362</v>
      </c>
      <c r="D509" t="s">
        <v>363</v>
      </c>
      <c r="E509" s="3" t="s">
        <v>102</v>
      </c>
      <c r="F509" s="3" t="s">
        <v>364</v>
      </c>
    </row>
    <row r="510" spans="1:13" x14ac:dyDescent="0.25">
      <c r="A510" s="29">
        <v>1</v>
      </c>
      <c r="B510" s="29" t="s">
        <v>652</v>
      </c>
      <c r="C510" s="134" t="s">
        <v>653</v>
      </c>
      <c r="D510" s="129">
        <v>2</v>
      </c>
      <c r="E510" s="29"/>
      <c r="F510" s="139">
        <v>46095.625</v>
      </c>
      <c r="G510" s="29"/>
      <c r="H510" s="29"/>
      <c r="I510" s="29"/>
      <c r="J510" s="132"/>
      <c r="K510" s="132"/>
      <c r="L510" s="132"/>
      <c r="M510" s="132"/>
    </row>
    <row r="511" spans="1:13" x14ac:dyDescent="0.25">
      <c r="A511" s="29">
        <v>2</v>
      </c>
      <c r="B511" s="29" t="s">
        <v>654</v>
      </c>
      <c r="C511" s="134" t="s">
        <v>606</v>
      </c>
      <c r="D511" s="129">
        <v>2</v>
      </c>
      <c r="E511" s="29"/>
      <c r="F511" s="139">
        <v>46095.625</v>
      </c>
      <c r="G511" s="29"/>
      <c r="H511" s="29"/>
      <c r="I511" s="29"/>
      <c r="J511" s="132"/>
      <c r="K511" s="132"/>
      <c r="L511" s="132"/>
      <c r="M511" s="132"/>
    </row>
    <row r="512" spans="1:13" x14ac:dyDescent="0.25">
      <c r="A512" s="29">
        <v>3</v>
      </c>
      <c r="B512" s="29" t="s">
        <v>655</v>
      </c>
      <c r="C512" s="134" t="s">
        <v>608</v>
      </c>
      <c r="D512" s="129">
        <v>2</v>
      </c>
      <c r="E512" s="29"/>
      <c r="F512" s="139">
        <v>46095.625</v>
      </c>
      <c r="G512" s="29"/>
      <c r="H512" s="29"/>
      <c r="I512" s="29"/>
      <c r="J512" s="132"/>
      <c r="K512" s="132"/>
      <c r="L512" s="132"/>
      <c r="M512" s="132"/>
    </row>
    <row r="513" spans="1:13" x14ac:dyDescent="0.25">
      <c r="A513" s="29">
        <v>4</v>
      </c>
      <c r="B513" s="29" t="s">
        <v>656</v>
      </c>
      <c r="C513" s="134" t="s">
        <v>610</v>
      </c>
      <c r="D513" s="129">
        <v>2</v>
      </c>
      <c r="E513" s="29"/>
      <c r="F513" s="139">
        <v>46095.625</v>
      </c>
      <c r="G513" s="29"/>
      <c r="H513" s="29"/>
      <c r="I513" s="29"/>
      <c r="J513" s="132"/>
      <c r="K513" s="132"/>
      <c r="L513" s="132"/>
      <c r="M513" s="132"/>
    </row>
    <row r="514" spans="1:13" x14ac:dyDescent="0.25">
      <c r="A514" s="29">
        <v>5</v>
      </c>
      <c r="B514" s="29" t="s">
        <v>657</v>
      </c>
      <c r="C514" s="134" t="s">
        <v>612</v>
      </c>
      <c r="D514" s="129">
        <v>2</v>
      </c>
      <c r="E514" s="29"/>
      <c r="F514" s="139">
        <v>46095.625</v>
      </c>
      <c r="G514" s="29"/>
      <c r="H514" s="29"/>
      <c r="I514" s="29"/>
      <c r="J514" s="132"/>
      <c r="K514" s="132"/>
      <c r="L514" s="132"/>
      <c r="M514" s="132"/>
    </row>
    <row r="515" spans="1:13" x14ac:dyDescent="0.25">
      <c r="A515" s="29">
        <v>6</v>
      </c>
      <c r="B515" s="29" t="s">
        <v>658</v>
      </c>
      <c r="C515" s="134" t="s">
        <v>614</v>
      </c>
      <c r="D515" s="129">
        <v>2</v>
      </c>
      <c r="E515" s="29"/>
      <c r="F515" s="139">
        <v>46095.625</v>
      </c>
      <c r="G515" s="29"/>
      <c r="H515" s="29"/>
      <c r="I515" s="29"/>
      <c r="J515" s="132"/>
      <c r="K515" s="132"/>
      <c r="L515" s="132"/>
      <c r="M515" s="132"/>
    </row>
    <row r="516" spans="1:13" x14ac:dyDescent="0.25">
      <c r="A516" s="29">
        <v>7</v>
      </c>
      <c r="B516" s="29" t="s">
        <v>659</v>
      </c>
      <c r="C516" s="134" t="s">
        <v>616</v>
      </c>
      <c r="D516" s="129">
        <v>2</v>
      </c>
      <c r="E516" s="29"/>
      <c r="F516" s="139">
        <v>46095.625</v>
      </c>
      <c r="G516" s="29"/>
      <c r="H516" s="29"/>
      <c r="I516" s="29"/>
      <c r="J516" s="132"/>
      <c r="K516" s="132"/>
      <c r="L516" s="132"/>
      <c r="M516" s="132"/>
    </row>
    <row r="517" spans="1:13" x14ac:dyDescent="0.25">
      <c r="A517" s="29">
        <v>8</v>
      </c>
      <c r="B517" s="29" t="s">
        <v>660</v>
      </c>
      <c r="C517" s="134" t="s">
        <v>661</v>
      </c>
      <c r="D517" s="129">
        <v>2</v>
      </c>
      <c r="E517" s="29"/>
      <c r="F517" s="139">
        <v>46095.625</v>
      </c>
      <c r="G517" s="29"/>
      <c r="H517" s="29"/>
      <c r="I517" s="29"/>
      <c r="J517" s="132"/>
      <c r="K517" s="132"/>
      <c r="L517" s="132"/>
      <c r="M517" s="132"/>
    </row>
    <row r="519" spans="1:9" x14ac:dyDescent="0.25">
      <c r="A519" s="133" t="s">
        <v>360</v>
      </c>
      <c r="B519" s="133" t="s">
        <v>367</v>
      </c>
      <c r="C519" s="133" t="s">
        <v>368</v>
      </c>
      <c r="D519" s="133" t="s">
        <v>4</v>
      </c>
      <c r="E519" s="133" t="s">
        <v>5</v>
      </c>
      <c r="F519" s="133" t="s">
        <v>6</v>
      </c>
      <c r="G519" s="133" t="s">
        <v>7</v>
      </c>
      <c r="H519" s="133" t="s">
        <v>8</v>
      </c>
      <c r="I519" s="133" t="s">
        <v>9</v>
      </c>
    </row>
    <row r="520" spans="1:13" x14ac:dyDescent="0.25">
      <c r="A520" s="29">
        <v>1</v>
      </c>
      <c r="B520" s="29" t="s">
        <v>327</v>
      </c>
      <c r="C520" s="134" t="s">
        <v>248</v>
      </c>
      <c r="D520" s="135">
        <v>4.15</v>
      </c>
      <c r="E520" s="135">
        <v>1</v>
      </c>
      <c r="F520" s="29" t="s">
        <v>14</v>
      </c>
      <c r="G520" s="135">
        <v>4.15</v>
      </c>
      <c r="H520" s="29" t="s">
        <v>15</v>
      </c>
      <c r="I520" s="135">
        <v>0.01</v>
      </c>
      <c r="J520" s="132" t="s">
        <v>16</v>
      </c>
      <c r="K520" s="132" t="s">
        <v>328</v>
      </c>
      <c r="L520" s="132" t="s">
        <v>249</v>
      </c>
      <c r="M520" s="132" t="s">
        <v>18</v>
      </c>
    </row>
    <row r="521" spans="1:13" x14ac:dyDescent="0.25">
      <c r="A521" s="136"/>
      <c r="B521" s="136" t="s">
        <v>96</v>
      </c>
      <c r="C521" s="136"/>
      <c r="D521" s="137"/>
      <c r="E521" s="138">
        <f>=SUM(E520:E520)</f>
      </c>
      <c r="F521" s="136"/>
      <c r="G521" s="138">
        <f>=SUM(G520:G520)</f>
      </c>
      <c r="H521" s="136"/>
      <c r="I521" s="136"/>
      <c r="J521" s="132"/>
      <c r="K521" s="132"/>
      <c r="L521" s="132"/>
      <c r="M521" s="132"/>
    </row>
    <row r="523" spans="1:9" x14ac:dyDescent="0.25">
      <c r="A523" s="3" t="s">
        <v>662</v>
      </c>
      <c r="B523" s="3" t="s">
        <v>359</v>
      </c>
      <c r="C523" s="3" t="s">
        <v>359</v>
      </c>
      <c r="D523" t="s">
        <v>359</v>
      </c>
      <c r="E523" s="3" t="s">
        <v>359</v>
      </c>
      <c r="F523" s="3" t="s">
        <v>359</v>
      </c>
      <c r="G523" s="3" t="s">
        <v>359</v>
      </c>
      <c r="I523" s="3" t="s">
        <v>17</v>
      </c>
    </row>
    <row r="525" spans="1:6" x14ac:dyDescent="0.25">
      <c r="A525" s="3" t="s">
        <v>360</v>
      </c>
      <c r="B525" s="3" t="s">
        <v>361</v>
      </c>
      <c r="C525" s="3" t="s">
        <v>362</v>
      </c>
      <c r="D525" t="s">
        <v>363</v>
      </c>
      <c r="E525" s="3" t="s">
        <v>102</v>
      </c>
      <c r="F525" s="3" t="s">
        <v>364</v>
      </c>
    </row>
    <row r="526" spans="1:13" x14ac:dyDescent="0.25">
      <c r="A526" s="29">
        <v>1</v>
      </c>
      <c r="B526" s="29" t="s">
        <v>663</v>
      </c>
      <c r="C526" s="134" t="s">
        <v>653</v>
      </c>
      <c r="D526" s="129">
        <v>4</v>
      </c>
      <c r="E526" s="29"/>
      <c r="F526" s="139">
        <v>46095.625</v>
      </c>
      <c r="G526" s="29"/>
      <c r="H526" s="29"/>
      <c r="I526" s="29"/>
      <c r="J526" s="132"/>
      <c r="K526" s="132"/>
      <c r="L526" s="132"/>
      <c r="M526" s="132"/>
    </row>
    <row r="527" spans="1:13" x14ac:dyDescent="0.25">
      <c r="A527" s="29">
        <v>2</v>
      </c>
      <c r="B527" s="29" t="s">
        <v>664</v>
      </c>
      <c r="C527" s="134" t="s">
        <v>606</v>
      </c>
      <c r="D527" s="129">
        <v>3</v>
      </c>
      <c r="E527" s="29"/>
      <c r="F527" s="139">
        <v>46095.625</v>
      </c>
      <c r="G527" s="29"/>
      <c r="H527" s="29"/>
      <c r="I527" s="29"/>
      <c r="J527" s="132"/>
      <c r="K527" s="132"/>
      <c r="L527" s="132"/>
      <c r="M527" s="132"/>
    </row>
    <row r="528" spans="1:13" x14ac:dyDescent="0.25">
      <c r="A528" s="29">
        <v>3</v>
      </c>
      <c r="B528" s="29" t="s">
        <v>665</v>
      </c>
      <c r="C528" s="134" t="s">
        <v>608</v>
      </c>
      <c r="D528" s="129">
        <v>3</v>
      </c>
      <c r="E528" s="29"/>
      <c r="F528" s="139">
        <v>46095.625</v>
      </c>
      <c r="G528" s="29"/>
      <c r="H528" s="29"/>
      <c r="I528" s="29"/>
      <c r="J528" s="132"/>
      <c r="K528" s="132"/>
      <c r="L528" s="132"/>
      <c r="M528" s="132"/>
    </row>
    <row r="529" spans="1:13" x14ac:dyDescent="0.25">
      <c r="A529" s="29">
        <v>4</v>
      </c>
      <c r="B529" s="29" t="s">
        <v>666</v>
      </c>
      <c r="C529" s="134" t="s">
        <v>610</v>
      </c>
      <c r="D529" s="129">
        <v>3</v>
      </c>
      <c r="E529" s="29"/>
      <c r="F529" s="139">
        <v>46095.625</v>
      </c>
      <c r="G529" s="29"/>
      <c r="H529" s="29"/>
      <c r="I529" s="29"/>
      <c r="J529" s="132"/>
      <c r="K529" s="132"/>
      <c r="L529" s="132"/>
      <c r="M529" s="132"/>
    </row>
    <row r="530" spans="1:13" x14ac:dyDescent="0.25">
      <c r="A530" s="29">
        <v>5</v>
      </c>
      <c r="B530" s="29" t="s">
        <v>667</v>
      </c>
      <c r="C530" s="134" t="s">
        <v>612</v>
      </c>
      <c r="D530" s="129">
        <v>3</v>
      </c>
      <c r="E530" s="29"/>
      <c r="F530" s="139">
        <v>46095.625</v>
      </c>
      <c r="G530" s="29"/>
      <c r="H530" s="29"/>
      <c r="I530" s="29"/>
      <c r="J530" s="132"/>
      <c r="K530" s="132"/>
      <c r="L530" s="132"/>
      <c r="M530" s="132"/>
    </row>
    <row r="531" spans="1:13" x14ac:dyDescent="0.25">
      <c r="A531" s="29">
        <v>6</v>
      </c>
      <c r="B531" s="29" t="s">
        <v>668</v>
      </c>
      <c r="C531" s="134" t="s">
        <v>614</v>
      </c>
      <c r="D531" s="129">
        <v>3</v>
      </c>
      <c r="E531" s="29"/>
      <c r="F531" s="139">
        <v>46095.625</v>
      </c>
      <c r="G531" s="29"/>
      <c r="H531" s="29"/>
      <c r="I531" s="29"/>
      <c r="J531" s="132"/>
      <c r="K531" s="132"/>
      <c r="L531" s="132"/>
      <c r="M531" s="132"/>
    </row>
    <row r="532" spans="1:13" x14ac:dyDescent="0.25">
      <c r="A532" s="29">
        <v>7</v>
      </c>
      <c r="B532" s="29" t="s">
        <v>669</v>
      </c>
      <c r="C532" s="134" t="s">
        <v>616</v>
      </c>
      <c r="D532" s="129">
        <v>3</v>
      </c>
      <c r="E532" s="29"/>
      <c r="F532" s="139">
        <v>46095.625</v>
      </c>
      <c r="G532" s="29"/>
      <c r="H532" s="29"/>
      <c r="I532" s="29"/>
      <c r="J532" s="132"/>
      <c r="K532" s="132"/>
      <c r="L532" s="132"/>
      <c r="M532" s="132"/>
    </row>
    <row r="533" spans="1:13" x14ac:dyDescent="0.25">
      <c r="A533" s="29">
        <v>8</v>
      </c>
      <c r="B533" s="29" t="s">
        <v>670</v>
      </c>
      <c r="C533" s="134" t="s">
        <v>661</v>
      </c>
      <c r="D533" s="129">
        <v>3</v>
      </c>
      <c r="E533" s="29"/>
      <c r="F533" s="139">
        <v>46095.625</v>
      </c>
      <c r="G533" s="29"/>
      <c r="H533" s="29"/>
      <c r="I533" s="29"/>
      <c r="J533" s="132"/>
      <c r="K533" s="132"/>
      <c r="L533" s="132"/>
      <c r="M533" s="132"/>
    </row>
    <row r="535" spans="1:9" x14ac:dyDescent="0.25">
      <c r="A535" s="133" t="s">
        <v>360</v>
      </c>
      <c r="B535" s="133" t="s">
        <v>367</v>
      </c>
      <c r="C535" s="133" t="s">
        <v>368</v>
      </c>
      <c r="D535" s="133" t="s">
        <v>4</v>
      </c>
      <c r="E535" s="133" t="s">
        <v>5</v>
      </c>
      <c r="F535" s="133" t="s">
        <v>6</v>
      </c>
      <c r="G535" s="133" t="s">
        <v>7</v>
      </c>
      <c r="H535" s="133" t="s">
        <v>8</v>
      </c>
      <c r="I535" s="133" t="s">
        <v>9</v>
      </c>
    </row>
    <row r="536" spans="1:13" x14ac:dyDescent="0.25">
      <c r="A536" s="29">
        <v>1</v>
      </c>
      <c r="B536" s="29" t="s">
        <v>327</v>
      </c>
      <c r="C536" s="134" t="s">
        <v>248</v>
      </c>
      <c r="D536" s="135">
        <v>4.15</v>
      </c>
      <c r="E536" s="135">
        <v>2</v>
      </c>
      <c r="F536" s="29" t="s">
        <v>14</v>
      </c>
      <c r="G536" s="135">
        <v>8.3</v>
      </c>
      <c r="H536" s="29" t="s">
        <v>15</v>
      </c>
      <c r="I536" s="135">
        <v>0.01</v>
      </c>
      <c r="J536" s="132" t="s">
        <v>16</v>
      </c>
      <c r="K536" s="132" t="s">
        <v>328</v>
      </c>
      <c r="L536" s="132" t="s">
        <v>249</v>
      </c>
      <c r="M536" s="132" t="s">
        <v>18</v>
      </c>
    </row>
    <row r="537" spans="1:13" x14ac:dyDescent="0.25">
      <c r="A537" s="136"/>
      <c r="B537" s="136" t="s">
        <v>96</v>
      </c>
      <c r="C537" s="136"/>
      <c r="D537" s="137"/>
      <c r="E537" s="138">
        <f>=SUM(E536:E536)</f>
      </c>
      <c r="F537" s="136"/>
      <c r="G537" s="138">
        <f>=SUM(G536:G536)</f>
      </c>
      <c r="H537" s="136"/>
      <c r="I537" s="136"/>
      <c r="J537" s="132"/>
      <c r="K537" s="132"/>
      <c r="L537" s="132"/>
      <c r="M537" s="132"/>
    </row>
    <row r="539" spans="1:9" x14ac:dyDescent="0.25">
      <c r="A539" s="3" t="s">
        <v>671</v>
      </c>
      <c r="B539" s="3" t="s">
        <v>359</v>
      </c>
      <c r="C539" s="3" t="s">
        <v>359</v>
      </c>
      <c r="D539" t="s">
        <v>359</v>
      </c>
      <c r="E539" s="3" t="s">
        <v>359</v>
      </c>
      <c r="F539" s="3" t="s">
        <v>359</v>
      </c>
      <c r="G539" s="3" t="s">
        <v>359</v>
      </c>
      <c r="I539" s="3" t="s">
        <v>17</v>
      </c>
    </row>
    <row r="541" spans="1:6" x14ac:dyDescent="0.25">
      <c r="A541" s="3" t="s">
        <v>360</v>
      </c>
      <c r="B541" s="3" t="s">
        <v>361</v>
      </c>
      <c r="C541" s="3" t="s">
        <v>362</v>
      </c>
      <c r="D541" t="s">
        <v>363</v>
      </c>
      <c r="E541" s="3" t="s">
        <v>102</v>
      </c>
      <c r="F541" s="3" t="s">
        <v>364</v>
      </c>
    </row>
    <row r="542" spans="1:13" x14ac:dyDescent="0.25">
      <c r="A542" s="29">
        <v>1</v>
      </c>
      <c r="B542" s="29" t="s">
        <v>672</v>
      </c>
      <c r="C542" s="134" t="s">
        <v>653</v>
      </c>
      <c r="D542" s="129">
        <v>14</v>
      </c>
      <c r="E542" s="29"/>
      <c r="F542" s="139">
        <v>46095.625</v>
      </c>
      <c r="G542" s="29"/>
      <c r="H542" s="29"/>
      <c r="I542" s="29"/>
      <c r="J542" s="132"/>
      <c r="K542" s="132"/>
      <c r="L542" s="132"/>
      <c r="M542" s="132"/>
    </row>
    <row r="543" spans="1:13" x14ac:dyDescent="0.25">
      <c r="A543" s="29">
        <v>2</v>
      </c>
      <c r="B543" s="29" t="s">
        <v>673</v>
      </c>
      <c r="C543" s="134" t="s">
        <v>606</v>
      </c>
      <c r="D543" s="129">
        <v>22</v>
      </c>
      <c r="E543" s="29"/>
      <c r="F543" s="139">
        <v>46095.625</v>
      </c>
      <c r="G543" s="29"/>
      <c r="H543" s="29"/>
      <c r="I543" s="29"/>
      <c r="J543" s="132"/>
      <c r="K543" s="132"/>
      <c r="L543" s="132"/>
      <c r="M543" s="132"/>
    </row>
    <row r="544" spans="1:13" x14ac:dyDescent="0.25">
      <c r="A544" s="29">
        <v>3</v>
      </c>
      <c r="B544" s="29" t="s">
        <v>674</v>
      </c>
      <c r="C544" s="134" t="s">
        <v>608</v>
      </c>
      <c r="D544" s="129">
        <v>27</v>
      </c>
      <c r="E544" s="29"/>
      <c r="F544" s="139">
        <v>46095.625</v>
      </c>
      <c r="G544" s="29"/>
      <c r="H544" s="29"/>
      <c r="I544" s="29"/>
      <c r="J544" s="132"/>
      <c r="K544" s="132"/>
      <c r="L544" s="132"/>
      <c r="M544" s="132"/>
    </row>
    <row r="545" spans="1:13" x14ac:dyDescent="0.25">
      <c r="A545" s="29">
        <v>4</v>
      </c>
      <c r="B545" s="29" t="s">
        <v>675</v>
      </c>
      <c r="C545" s="134" t="s">
        <v>610</v>
      </c>
      <c r="D545" s="129">
        <v>27</v>
      </c>
      <c r="E545" s="29"/>
      <c r="F545" s="139">
        <v>46095.625</v>
      </c>
      <c r="G545" s="29"/>
      <c r="H545" s="29"/>
      <c r="I545" s="29"/>
      <c r="J545" s="132"/>
      <c r="K545" s="132"/>
      <c r="L545" s="132"/>
      <c r="M545" s="132"/>
    </row>
    <row r="546" spans="1:13" x14ac:dyDescent="0.25">
      <c r="A546" s="29">
        <v>5</v>
      </c>
      <c r="B546" s="29" t="s">
        <v>676</v>
      </c>
      <c r="C546" s="134" t="s">
        <v>612</v>
      </c>
      <c r="D546" s="129">
        <v>22</v>
      </c>
      <c r="E546" s="29"/>
      <c r="F546" s="139">
        <v>46095.625</v>
      </c>
      <c r="G546" s="29"/>
      <c r="H546" s="29"/>
      <c r="I546" s="29"/>
      <c r="J546" s="132"/>
      <c r="K546" s="132"/>
      <c r="L546" s="132"/>
      <c r="M546" s="132"/>
    </row>
    <row r="547" spans="1:13" x14ac:dyDescent="0.25">
      <c r="A547" s="29">
        <v>6</v>
      </c>
      <c r="B547" s="29" t="s">
        <v>677</v>
      </c>
      <c r="C547" s="134" t="s">
        <v>614</v>
      </c>
      <c r="D547" s="129">
        <v>20</v>
      </c>
      <c r="E547" s="29"/>
      <c r="F547" s="139">
        <v>46095.625</v>
      </c>
      <c r="G547" s="29"/>
      <c r="H547" s="29"/>
      <c r="I547" s="29"/>
      <c r="J547" s="132"/>
      <c r="K547" s="132"/>
      <c r="L547" s="132"/>
      <c r="M547" s="132"/>
    </row>
    <row r="548" spans="1:13" x14ac:dyDescent="0.25">
      <c r="A548" s="29">
        <v>7</v>
      </c>
      <c r="B548" s="29" t="s">
        <v>678</v>
      </c>
      <c r="C548" s="134" t="s">
        <v>616</v>
      </c>
      <c r="D548" s="129">
        <v>20</v>
      </c>
      <c r="E548" s="29"/>
      <c r="F548" s="139">
        <v>46095.625</v>
      </c>
      <c r="G548" s="29"/>
      <c r="H548" s="29"/>
      <c r="I548" s="29"/>
      <c r="J548" s="132"/>
      <c r="K548" s="132"/>
      <c r="L548" s="132"/>
      <c r="M548" s="132"/>
    </row>
    <row r="549" spans="1:13" x14ac:dyDescent="0.25">
      <c r="A549" s="29">
        <v>8</v>
      </c>
      <c r="B549" s="29" t="s">
        <v>679</v>
      </c>
      <c r="C549" s="134" t="s">
        <v>661</v>
      </c>
      <c r="D549" s="129">
        <v>14</v>
      </c>
      <c r="E549" s="29"/>
      <c r="F549" s="139">
        <v>46095.625</v>
      </c>
      <c r="G549" s="29"/>
      <c r="H549" s="29"/>
      <c r="I549" s="29"/>
      <c r="J549" s="132"/>
      <c r="K549" s="132"/>
      <c r="L549" s="132"/>
      <c r="M549" s="132"/>
    </row>
    <row r="551" spans="1:9" x14ac:dyDescent="0.25">
      <c r="A551" s="133" t="s">
        <v>360</v>
      </c>
      <c r="B551" s="133" t="s">
        <v>367</v>
      </c>
      <c r="C551" s="133" t="s">
        <v>368</v>
      </c>
      <c r="D551" s="133" t="s">
        <v>4</v>
      </c>
      <c r="E551" s="133" t="s">
        <v>5</v>
      </c>
      <c r="F551" s="133" t="s">
        <v>6</v>
      </c>
      <c r="G551" s="133" t="s">
        <v>7</v>
      </c>
      <c r="H551" s="133" t="s">
        <v>8</v>
      </c>
      <c r="I551" s="133" t="s">
        <v>9</v>
      </c>
    </row>
    <row r="552" spans="1:13" x14ac:dyDescent="0.25">
      <c r="A552" s="29">
        <v>1</v>
      </c>
      <c r="B552" s="29" t="s">
        <v>327</v>
      </c>
      <c r="C552" s="134" t="s">
        <v>248</v>
      </c>
      <c r="D552" s="135">
        <v>4.15</v>
      </c>
      <c r="E552" s="135">
        <v>12</v>
      </c>
      <c r="F552" s="29" t="s">
        <v>14</v>
      </c>
      <c r="G552" s="135">
        <v>49.800000000000004</v>
      </c>
      <c r="H552" s="29" t="s">
        <v>15</v>
      </c>
      <c r="I552" s="135">
        <v>0.08</v>
      </c>
      <c r="J552" s="132" t="s">
        <v>16</v>
      </c>
      <c r="K552" s="132" t="s">
        <v>328</v>
      </c>
      <c r="L552" s="132" t="s">
        <v>249</v>
      </c>
      <c r="M552" s="132" t="s">
        <v>18</v>
      </c>
    </row>
    <row r="553" spans="1:13" x14ac:dyDescent="0.25">
      <c r="A553" s="136"/>
      <c r="B553" s="136" t="s">
        <v>96</v>
      </c>
      <c r="C553" s="136"/>
      <c r="D553" s="137"/>
      <c r="E553" s="138">
        <f>=SUM(E552:E552)</f>
      </c>
      <c r="F553" s="136"/>
      <c r="G553" s="138">
        <f>=SUM(G552:G552)</f>
      </c>
      <c r="H553" s="136"/>
      <c r="I553" s="136"/>
      <c r="J553" s="132"/>
      <c r="K553" s="132"/>
      <c r="L553" s="132"/>
      <c r="M553" s="132"/>
    </row>
    <row r="555" spans="1:9" x14ac:dyDescent="0.25">
      <c r="A555" s="3" t="s">
        <v>680</v>
      </c>
      <c r="B555" s="3" t="s">
        <v>359</v>
      </c>
      <c r="C555" s="3" t="s">
        <v>359</v>
      </c>
      <c r="D555" t="s">
        <v>359</v>
      </c>
      <c r="E555" s="3" t="s">
        <v>359</v>
      </c>
      <c r="F555" s="3" t="s">
        <v>359</v>
      </c>
      <c r="G555" s="3" t="s">
        <v>359</v>
      </c>
      <c r="I555" s="3" t="s">
        <v>17</v>
      </c>
    </row>
    <row r="557" spans="1:6" x14ac:dyDescent="0.25">
      <c r="A557" s="3" t="s">
        <v>360</v>
      </c>
      <c r="B557" s="3" t="s">
        <v>361</v>
      </c>
      <c r="C557" s="3" t="s">
        <v>362</v>
      </c>
      <c r="D557" t="s">
        <v>363</v>
      </c>
      <c r="E557" s="3" t="s">
        <v>102</v>
      </c>
      <c r="F557" s="3" t="s">
        <v>364</v>
      </c>
    </row>
    <row r="558" spans="1:13" x14ac:dyDescent="0.25">
      <c r="A558" s="29">
        <v>1</v>
      </c>
      <c r="B558" s="29" t="s">
        <v>681</v>
      </c>
      <c r="C558" s="134" t="s">
        <v>653</v>
      </c>
      <c r="D558" s="129">
        <v>3</v>
      </c>
      <c r="E558" s="29"/>
      <c r="F558" s="139">
        <v>46095.625</v>
      </c>
      <c r="G558" s="29"/>
      <c r="H558" s="29"/>
      <c r="I558" s="29"/>
      <c r="J558" s="132"/>
      <c r="K558" s="132"/>
      <c r="L558" s="132"/>
      <c r="M558" s="132"/>
    </row>
    <row r="559" spans="1:13" x14ac:dyDescent="0.25">
      <c r="A559" s="29">
        <v>2</v>
      </c>
      <c r="B559" s="29" t="s">
        <v>682</v>
      </c>
      <c r="C559" s="134" t="s">
        <v>606</v>
      </c>
      <c r="D559" s="129">
        <v>13</v>
      </c>
      <c r="E559" s="29"/>
      <c r="F559" s="139">
        <v>46095.625</v>
      </c>
      <c r="G559" s="29"/>
      <c r="H559" s="29"/>
      <c r="I559" s="29"/>
      <c r="J559" s="132"/>
      <c r="K559" s="132"/>
      <c r="L559" s="132"/>
      <c r="M559" s="132"/>
    </row>
    <row r="560" spans="1:13" x14ac:dyDescent="0.25">
      <c r="A560" s="29">
        <v>3</v>
      </c>
      <c r="B560" s="29" t="s">
        <v>683</v>
      </c>
      <c r="C560" s="134" t="s">
        <v>608</v>
      </c>
      <c r="D560" s="129">
        <v>13</v>
      </c>
      <c r="E560" s="29"/>
      <c r="F560" s="139">
        <v>46095.625</v>
      </c>
      <c r="G560" s="29"/>
      <c r="H560" s="29"/>
      <c r="I560" s="29"/>
      <c r="J560" s="132"/>
      <c r="K560" s="132"/>
      <c r="L560" s="132"/>
      <c r="M560" s="132"/>
    </row>
    <row r="561" spans="1:13" x14ac:dyDescent="0.25">
      <c r="A561" s="29">
        <v>4</v>
      </c>
      <c r="B561" s="29" t="s">
        <v>684</v>
      </c>
      <c r="C561" s="134" t="s">
        <v>610</v>
      </c>
      <c r="D561" s="129">
        <v>6</v>
      </c>
      <c r="E561" s="29"/>
      <c r="F561" s="139">
        <v>46095.625</v>
      </c>
      <c r="G561" s="29"/>
      <c r="H561" s="29"/>
      <c r="I561" s="29"/>
      <c r="J561" s="132"/>
      <c r="K561" s="132"/>
      <c r="L561" s="132"/>
      <c r="M561" s="132"/>
    </row>
    <row r="562" spans="1:13" x14ac:dyDescent="0.25">
      <c r="A562" s="29">
        <v>5</v>
      </c>
      <c r="B562" s="29" t="s">
        <v>685</v>
      </c>
      <c r="C562" s="134" t="s">
        <v>612</v>
      </c>
      <c r="D562" s="129">
        <v>6</v>
      </c>
      <c r="E562" s="29"/>
      <c r="F562" s="139">
        <v>46095.625</v>
      </c>
      <c r="G562" s="29"/>
      <c r="H562" s="29"/>
      <c r="I562" s="29"/>
      <c r="J562" s="132"/>
      <c r="K562" s="132"/>
      <c r="L562" s="132"/>
      <c r="M562" s="132"/>
    </row>
    <row r="563" spans="1:13" x14ac:dyDescent="0.25">
      <c r="A563" s="29">
        <v>6</v>
      </c>
      <c r="B563" s="29" t="s">
        <v>686</v>
      </c>
      <c r="C563" s="134" t="s">
        <v>614</v>
      </c>
      <c r="D563" s="129">
        <v>7</v>
      </c>
      <c r="E563" s="29"/>
      <c r="F563" s="139">
        <v>46095.625</v>
      </c>
      <c r="G563" s="29"/>
      <c r="H563" s="29"/>
      <c r="I563" s="29"/>
      <c r="J563" s="132"/>
      <c r="K563" s="132"/>
      <c r="L563" s="132"/>
      <c r="M563" s="132"/>
    </row>
    <row r="564" spans="1:13" x14ac:dyDescent="0.25">
      <c r="A564" s="29">
        <v>7</v>
      </c>
      <c r="B564" s="29" t="s">
        <v>687</v>
      </c>
      <c r="C564" s="134" t="s">
        <v>616</v>
      </c>
      <c r="D564" s="129">
        <v>5</v>
      </c>
      <c r="E564" s="29"/>
      <c r="F564" s="139">
        <v>46095.625</v>
      </c>
      <c r="G564" s="29"/>
      <c r="H564" s="29"/>
      <c r="I564" s="29"/>
      <c r="J564" s="132"/>
      <c r="K564" s="132"/>
      <c r="L564" s="132"/>
      <c r="M564" s="132"/>
    </row>
    <row r="565" spans="1:13" x14ac:dyDescent="0.25">
      <c r="A565" s="29">
        <v>8</v>
      </c>
      <c r="B565" s="29" t="s">
        <v>688</v>
      </c>
      <c r="C565" s="134" t="s">
        <v>661</v>
      </c>
      <c r="D565" s="129">
        <v>4</v>
      </c>
      <c r="E565" s="29"/>
      <c r="F565" s="139">
        <v>46095.625</v>
      </c>
      <c r="G565" s="29"/>
      <c r="H565" s="29"/>
      <c r="I565" s="29"/>
      <c r="J565" s="132"/>
      <c r="K565" s="132"/>
      <c r="L565" s="132"/>
      <c r="M565" s="132"/>
    </row>
    <row r="567" spans="1:9" x14ac:dyDescent="0.25">
      <c r="A567" s="133" t="s">
        <v>360</v>
      </c>
      <c r="B567" s="133" t="s">
        <v>367</v>
      </c>
      <c r="C567" s="133" t="s">
        <v>368</v>
      </c>
      <c r="D567" s="133" t="s">
        <v>4</v>
      </c>
      <c r="E567" s="133" t="s">
        <v>5</v>
      </c>
      <c r="F567" s="133" t="s">
        <v>6</v>
      </c>
      <c r="G567" s="133" t="s">
        <v>7</v>
      </c>
      <c r="H567" s="133" t="s">
        <v>8</v>
      </c>
      <c r="I567" s="133" t="s">
        <v>9</v>
      </c>
    </row>
    <row r="568" spans="1:13" x14ac:dyDescent="0.25">
      <c r="A568" s="29">
        <v>1</v>
      </c>
      <c r="B568" s="29" t="s">
        <v>327</v>
      </c>
      <c r="C568" s="134" t="s">
        <v>248</v>
      </c>
      <c r="D568" s="135">
        <v>4.15</v>
      </c>
      <c r="E568" s="135">
        <v>4</v>
      </c>
      <c r="F568" s="29" t="s">
        <v>14</v>
      </c>
      <c r="G568" s="135">
        <v>16.6</v>
      </c>
      <c r="H568" s="29" t="s">
        <v>15</v>
      </c>
      <c r="I568" s="135">
        <v>0.03</v>
      </c>
      <c r="J568" s="132" t="s">
        <v>16</v>
      </c>
      <c r="K568" s="132" t="s">
        <v>328</v>
      </c>
      <c r="L568" s="132" t="s">
        <v>249</v>
      </c>
      <c r="M568" s="132" t="s">
        <v>18</v>
      </c>
    </row>
    <row r="569" spans="1:13" x14ac:dyDescent="0.25">
      <c r="A569" s="136"/>
      <c r="B569" s="136" t="s">
        <v>96</v>
      </c>
      <c r="C569" s="136"/>
      <c r="D569" s="137"/>
      <c r="E569" s="138">
        <f>=SUM(E568:E568)</f>
      </c>
      <c r="F569" s="136"/>
      <c r="G569" s="138">
        <f>=SUM(G568:G568)</f>
      </c>
      <c r="H569" s="136"/>
      <c r="I569" s="136"/>
      <c r="J569" s="132"/>
      <c r="K569" s="132"/>
      <c r="L569" s="132"/>
      <c r="M569" s="132"/>
    </row>
    <row r="571" spans="1:9" x14ac:dyDescent="0.25">
      <c r="A571" s="3" t="s">
        <v>689</v>
      </c>
      <c r="B571" s="3" t="s">
        <v>359</v>
      </c>
      <c r="C571" s="3" t="s">
        <v>359</v>
      </c>
      <c r="D571" t="s">
        <v>359</v>
      </c>
      <c r="E571" s="3" t="s">
        <v>359</v>
      </c>
      <c r="F571" s="3" t="s">
        <v>359</v>
      </c>
      <c r="G571" s="3" t="s">
        <v>359</v>
      </c>
      <c r="I571" s="3" t="s">
        <v>17</v>
      </c>
    </row>
    <row r="573" spans="1:6" x14ac:dyDescent="0.25">
      <c r="A573" s="3" t="s">
        <v>360</v>
      </c>
      <c r="B573" s="3" t="s">
        <v>361</v>
      </c>
      <c r="C573" s="3" t="s">
        <v>362</v>
      </c>
      <c r="D573" t="s">
        <v>363</v>
      </c>
      <c r="E573" s="3" t="s">
        <v>102</v>
      </c>
      <c r="F573" s="3" t="s">
        <v>364</v>
      </c>
    </row>
    <row r="574" spans="1:13" x14ac:dyDescent="0.25">
      <c r="A574" s="29">
        <v>1</v>
      </c>
      <c r="B574" s="29" t="s">
        <v>690</v>
      </c>
      <c r="C574" s="134" t="s">
        <v>606</v>
      </c>
      <c r="D574" s="129">
        <v>5</v>
      </c>
      <c r="E574" s="29"/>
      <c r="F574" s="139">
        <v>46095.625</v>
      </c>
      <c r="G574" s="29"/>
      <c r="H574" s="29"/>
      <c r="I574" s="29"/>
      <c r="J574" s="132"/>
      <c r="K574" s="132"/>
      <c r="L574" s="132"/>
      <c r="M574" s="132"/>
    </row>
    <row r="575" spans="1:13" x14ac:dyDescent="0.25">
      <c r="A575" s="29">
        <v>2</v>
      </c>
      <c r="B575" s="29" t="s">
        <v>691</v>
      </c>
      <c r="C575" s="134" t="s">
        <v>608</v>
      </c>
      <c r="D575" s="129">
        <v>5</v>
      </c>
      <c r="E575" s="29"/>
      <c r="F575" s="139">
        <v>46095.625</v>
      </c>
      <c r="G575" s="29"/>
      <c r="H575" s="29"/>
      <c r="I575" s="29"/>
      <c r="J575" s="132"/>
      <c r="K575" s="132"/>
      <c r="L575" s="132"/>
      <c r="M575" s="132"/>
    </row>
    <row r="576" spans="1:13" x14ac:dyDescent="0.25">
      <c r="A576" s="29">
        <v>3</v>
      </c>
      <c r="B576" s="29" t="s">
        <v>692</v>
      </c>
      <c r="C576" s="134" t="s">
        <v>610</v>
      </c>
      <c r="D576" s="129">
        <v>5</v>
      </c>
      <c r="E576" s="29"/>
      <c r="F576" s="139">
        <v>46095.625</v>
      </c>
      <c r="G576" s="29"/>
      <c r="H576" s="29"/>
      <c r="I576" s="29"/>
      <c r="J576" s="132"/>
      <c r="K576" s="132"/>
      <c r="L576" s="132"/>
      <c r="M576" s="132"/>
    </row>
    <row r="577" spans="1:13" x14ac:dyDescent="0.25">
      <c r="A577" s="29">
        <v>4</v>
      </c>
      <c r="B577" s="29" t="s">
        <v>693</v>
      </c>
      <c r="C577" s="134" t="s">
        <v>612</v>
      </c>
      <c r="D577" s="129">
        <v>5</v>
      </c>
      <c r="E577" s="29"/>
      <c r="F577" s="139">
        <v>46095.625</v>
      </c>
      <c r="G577" s="29"/>
      <c r="H577" s="29"/>
      <c r="I577" s="29"/>
      <c r="J577" s="132"/>
      <c r="K577" s="132"/>
      <c r="L577" s="132"/>
      <c r="M577" s="132"/>
    </row>
    <row r="578" spans="1:13" x14ac:dyDescent="0.25">
      <c r="A578" s="29">
        <v>5</v>
      </c>
      <c r="B578" s="29" t="s">
        <v>694</v>
      </c>
      <c r="C578" s="134" t="s">
        <v>614</v>
      </c>
      <c r="D578" s="129">
        <v>4</v>
      </c>
      <c r="E578" s="29"/>
      <c r="F578" s="139">
        <v>46095.625</v>
      </c>
      <c r="G578" s="29"/>
      <c r="H578" s="29"/>
      <c r="I578" s="29"/>
      <c r="J578" s="132"/>
      <c r="K578" s="132"/>
      <c r="L578" s="132"/>
      <c r="M578" s="132"/>
    </row>
    <row r="579" spans="1:13" x14ac:dyDescent="0.25">
      <c r="A579" s="29">
        <v>6</v>
      </c>
      <c r="B579" s="29" t="s">
        <v>695</v>
      </c>
      <c r="C579" s="134" t="s">
        <v>616</v>
      </c>
      <c r="D579" s="129">
        <v>4</v>
      </c>
      <c r="E579" s="29"/>
      <c r="F579" s="139">
        <v>46095.625</v>
      </c>
      <c r="G579" s="29"/>
      <c r="H579" s="29"/>
      <c r="I579" s="29"/>
      <c r="J579" s="132"/>
      <c r="K579" s="132"/>
      <c r="L579" s="132"/>
      <c r="M579" s="132"/>
    </row>
    <row r="581" spans="1:9" x14ac:dyDescent="0.25">
      <c r="A581" s="133" t="s">
        <v>360</v>
      </c>
      <c r="B581" s="133" t="s">
        <v>367</v>
      </c>
      <c r="C581" s="133" t="s">
        <v>368</v>
      </c>
      <c r="D581" s="133" t="s">
        <v>4</v>
      </c>
      <c r="E581" s="133" t="s">
        <v>5</v>
      </c>
      <c r="F581" s="133" t="s">
        <v>6</v>
      </c>
      <c r="G581" s="133" t="s">
        <v>7</v>
      </c>
      <c r="H581" s="133" t="s">
        <v>8</v>
      </c>
      <c r="I581" s="133" t="s">
        <v>9</v>
      </c>
    </row>
    <row r="582" spans="1:13" x14ac:dyDescent="0.25">
      <c r="A582" s="29">
        <v>1</v>
      </c>
      <c r="B582" s="29" t="s">
        <v>327</v>
      </c>
      <c r="C582" s="134" t="s">
        <v>248</v>
      </c>
      <c r="D582" s="135">
        <v>4.15</v>
      </c>
      <c r="E582" s="135">
        <v>3</v>
      </c>
      <c r="F582" s="29" t="s">
        <v>14</v>
      </c>
      <c r="G582" s="135">
        <v>12.450000000000001</v>
      </c>
      <c r="H582" s="29" t="s">
        <v>15</v>
      </c>
      <c r="I582" s="135">
        <v>0.02</v>
      </c>
      <c r="J582" s="132" t="s">
        <v>16</v>
      </c>
      <c r="K582" s="132" t="s">
        <v>328</v>
      </c>
      <c r="L582" s="132" t="s">
        <v>249</v>
      </c>
      <c r="M582" s="132" t="s">
        <v>18</v>
      </c>
    </row>
    <row r="583" spans="1:13" x14ac:dyDescent="0.25">
      <c r="A583" s="136"/>
      <c r="B583" s="136" t="s">
        <v>96</v>
      </c>
      <c r="C583" s="136"/>
      <c r="D583" s="137"/>
      <c r="E583" s="138">
        <f>=SUM(E582:E582)</f>
      </c>
      <c r="F583" s="136"/>
      <c r="G583" s="138">
        <f>=SUM(G582:G582)</f>
      </c>
      <c r="H583" s="136"/>
      <c r="I583" s="136"/>
      <c r="J583" s="132"/>
      <c r="K583" s="132"/>
      <c r="L583" s="132"/>
      <c r="M583" s="132"/>
    </row>
    <row r="587" spans="5:7" x14ac:dyDescent="0.25">
      <c r="E587" s="3" t="s">
        <v>696</v>
      </c>
      <c r="G587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697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698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280</v>
      </c>
      <c r="F4" s="49"/>
      <c r="G4" s="141" t="s">
        <v>281</v>
      </c>
      <c r="H4" s="61"/>
      <c r="I4" s="61"/>
      <c r="J4" s="52"/>
      <c r="K4" s="54">
        <v>46095.625</v>
      </c>
    </row>
    <row r="5" ht="15" customHeight="1" spans="1:10" x14ac:dyDescent="0.25">
      <c r="A5" s="1" t="s">
        <v>282</v>
      </c>
      <c r="F5" s="49"/>
      <c r="G5" s="142" t="s">
        <v>699</v>
      </c>
      <c r="H5" s="66"/>
      <c r="J5" s="55"/>
    </row>
    <row r="6" ht="15" customHeight="1" spans="1:11" x14ac:dyDescent="0.25">
      <c r="A6" s="1" t="s">
        <v>284</v>
      </c>
      <c r="G6" s="143"/>
      <c r="H6" s="144"/>
      <c r="I6" s="145"/>
      <c r="J6" s="56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287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289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290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291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294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295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296</v>
      </c>
      <c r="B16" s="48"/>
      <c r="C16" s="49"/>
      <c r="D16" s="48" t="s">
        <v>297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298</v>
      </c>
      <c r="B18" s="73"/>
      <c r="C18" s="73"/>
      <c r="D18" s="148" t="s">
        <v>299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286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700</v>
      </c>
      <c r="B22" s="78"/>
      <c r="C22" s="78"/>
      <c r="D22" s="79" t="s">
        <v>701</v>
      </c>
      <c r="E22" s="79"/>
      <c r="F22" s="79"/>
      <c r="G22" s="79" t="s">
        <v>702</v>
      </c>
      <c r="H22" s="79"/>
      <c r="I22" s="80" t="s">
        <v>703</v>
      </c>
      <c r="J22" s="80" t="s">
        <v>704</v>
      </c>
      <c r="K22" s="81" t="s">
        <v>705</v>
      </c>
    </row>
    <row r="23" ht="15" customHeight="1" spans="1:10" x14ac:dyDescent="0.25">
      <c r="A23" s="1" t="s">
        <v>286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286</v>
      </c>
      <c r="G24" s="1" t="s">
        <v>706</v>
      </c>
    </row>
    <row r="25" ht="15" customHeight="1" spans="4:11" x14ac:dyDescent="0.25">
      <c r="D25" s="51" t="s">
        <v>707</v>
      </c>
      <c r="E25" s="51"/>
      <c r="G25" s="154">
        <f>=VLOOKUP("TOTAL",P!A:I,7,0)</f>
      </c>
      <c r="H25" s="154"/>
      <c r="I25" s="155">
        <f>='BVT.INV'!I60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308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309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310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311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312</v>
      </c>
      <c r="B31" s="163"/>
    </row>
    <row r="32" ht="15" customHeight="1" spans="1:10" x14ac:dyDescent="0.25">
      <c r="A32" s="162" t="s">
        <v>313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314</v>
      </c>
      <c r="B33" s="163"/>
      <c r="D33" s="164" t="s">
        <v>274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708</v>
      </c>
      <c r="B51" s="66"/>
      <c r="C51" s="66"/>
      <c r="D51" s="66"/>
      <c r="E51" s="66"/>
    </row>
    <row r="52" ht="15" customHeight="1" spans="1:11" x14ac:dyDescent="0.25">
      <c r="A52" s="66" t="s">
        <v>316</v>
      </c>
      <c r="B52" s="66"/>
      <c r="C52" s="66"/>
      <c r="H52" s="97" t="s">
        <v>709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40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710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98</v>
      </c>
      <c r="B3" s="170" t="s">
        <v>711</v>
      </c>
      <c r="C3" s="170" t="s">
        <v>99</v>
      </c>
      <c r="D3" s="170" t="s">
        <v>100</v>
      </c>
      <c r="E3" s="170" t="s">
        <v>101</v>
      </c>
      <c r="F3" s="170" t="s">
        <v>102</v>
      </c>
      <c r="G3" s="170" t="s">
        <v>103</v>
      </c>
      <c r="H3" s="170" t="s">
        <v>104</v>
      </c>
      <c r="I3" s="170" t="s">
        <v>105</v>
      </c>
      <c r="J3" s="170" t="s">
        <v>106</v>
      </c>
    </row>
    <row r="4" spans="1:14" x14ac:dyDescent="0.25">
      <c r="A4" s="171" t="s">
        <v>122</v>
      </c>
      <c r="B4" s="171" t="s">
        <v>712</v>
      </c>
      <c r="C4" s="171" t="s">
        <v>81</v>
      </c>
      <c r="D4" s="171" t="s">
        <v>123</v>
      </c>
      <c r="E4" s="171" t="s">
        <v>124</v>
      </c>
      <c r="F4" s="171" t="s">
        <v>82</v>
      </c>
      <c r="G4" s="172">
        <v>30</v>
      </c>
      <c r="H4" s="173">
        <v>2</v>
      </c>
      <c r="I4" s="171" t="s">
        <v>125</v>
      </c>
      <c r="J4" s="171" t="s">
        <v>17</v>
      </c>
      <c r="K4" t="s">
        <v>80</v>
      </c>
      <c r="L4" t="s">
        <v>354</v>
      </c>
      <c r="N4" t="s">
        <v>17</v>
      </c>
    </row>
    <row r="5" spans="1:14" x14ac:dyDescent="0.25">
      <c r="A5" s="171" t="s">
        <v>122</v>
      </c>
      <c r="B5" s="171" t="s">
        <v>713</v>
      </c>
      <c r="C5" s="171" t="s">
        <v>83</v>
      </c>
      <c r="D5" s="171" t="s">
        <v>123</v>
      </c>
      <c r="E5" s="171" t="s">
        <v>124</v>
      </c>
      <c r="F5" s="171" t="s">
        <v>82</v>
      </c>
      <c r="G5" s="172">
        <v>30</v>
      </c>
      <c r="H5" s="173">
        <v>0</v>
      </c>
      <c r="I5" s="171" t="s">
        <v>125</v>
      </c>
      <c r="J5" s="171" t="s">
        <v>17</v>
      </c>
      <c r="K5" t="s">
        <v>80</v>
      </c>
      <c r="L5" t="s">
        <v>354</v>
      </c>
      <c r="N5" t="s">
        <v>17</v>
      </c>
    </row>
    <row r="6" spans="1:14" x14ac:dyDescent="0.25">
      <c r="A6" s="174" t="s">
        <v>274</v>
      </c>
      <c r="B6" s="174"/>
      <c r="C6" s="174" t="s">
        <v>275</v>
      </c>
      <c r="D6" s="174"/>
      <c r="E6" s="174"/>
      <c r="F6" s="174"/>
      <c r="G6" s="175">
        <f>=SUM(G4:G5)</f>
      </c>
      <c r="H6" s="176">
        <f>=SUM(H4:H5)</f>
      </c>
      <c r="I6" s="174" t="s">
        <v>17</v>
      </c>
      <c r="J6" s="174" t="s">
        <v>17</v>
      </c>
    </row>
    <row r="8" spans="1:10" x14ac:dyDescent="0.25">
      <c r="A8" s="169" t="s">
        <v>714</v>
      </c>
      <c r="B8" s="169"/>
      <c r="C8" s="169"/>
      <c r="D8" s="169"/>
      <c r="E8" s="169"/>
      <c r="F8" s="169"/>
      <c r="G8" s="169"/>
      <c r="H8" s="169"/>
      <c r="I8" s="169"/>
      <c r="J8" s="169"/>
    </row>
    <row r="9" spans="1:10" x14ac:dyDescent="0.25">
      <c r="A9" s="170" t="s">
        <v>98</v>
      </c>
      <c r="B9" s="170" t="s">
        <v>711</v>
      </c>
      <c r="C9" s="170" t="s">
        <v>99</v>
      </c>
      <c r="D9" s="170" t="s">
        <v>100</v>
      </c>
      <c r="E9" s="170" t="s">
        <v>101</v>
      </c>
      <c r="F9" s="170" t="s">
        <v>102</v>
      </c>
      <c r="G9" s="170" t="s">
        <v>103</v>
      </c>
      <c r="H9" s="170" t="s">
        <v>104</v>
      </c>
      <c r="I9" s="170" t="s">
        <v>105</v>
      </c>
      <c r="J9" s="170" t="s">
        <v>106</v>
      </c>
    </row>
    <row r="10" spans="1:14" x14ac:dyDescent="0.25">
      <c r="A10" s="171" t="s">
        <v>184</v>
      </c>
      <c r="B10" s="171" t="s">
        <v>715</v>
      </c>
      <c r="C10" s="171" t="s">
        <v>58</v>
      </c>
      <c r="D10" s="171" t="s">
        <v>185</v>
      </c>
      <c r="E10" s="171" t="s">
        <v>186</v>
      </c>
      <c r="F10" s="171" t="s">
        <v>32</v>
      </c>
      <c r="G10" s="172">
        <v>12</v>
      </c>
      <c r="H10" s="173">
        <v>30</v>
      </c>
      <c r="I10" s="171" t="s">
        <v>110</v>
      </c>
      <c r="J10" s="171" t="s">
        <v>17</v>
      </c>
      <c r="K10" t="s">
        <v>57</v>
      </c>
      <c r="L10" t="s">
        <v>347</v>
      </c>
      <c r="N10" t="s">
        <v>17</v>
      </c>
    </row>
    <row r="11" spans="1:14" x14ac:dyDescent="0.25">
      <c r="A11" s="171" t="s">
        <v>184</v>
      </c>
      <c r="B11" s="171" t="s">
        <v>716</v>
      </c>
      <c r="C11" s="171" t="s">
        <v>58</v>
      </c>
      <c r="D11" s="171" t="s">
        <v>187</v>
      </c>
      <c r="E11" s="171" t="s">
        <v>188</v>
      </c>
      <c r="F11" s="171" t="s">
        <v>32</v>
      </c>
      <c r="G11" s="172">
        <v>12</v>
      </c>
      <c r="H11" s="173">
        <v>0</v>
      </c>
      <c r="I11" s="171" t="s">
        <v>110</v>
      </c>
      <c r="J11" s="171" t="s">
        <v>17</v>
      </c>
      <c r="K11" t="s">
        <v>57</v>
      </c>
      <c r="L11" t="s">
        <v>347</v>
      </c>
      <c r="N11" t="s">
        <v>17</v>
      </c>
    </row>
    <row r="12" spans="1:14" x14ac:dyDescent="0.25">
      <c r="A12" s="171" t="s">
        <v>184</v>
      </c>
      <c r="B12" s="171" t="s">
        <v>717</v>
      </c>
      <c r="C12" s="171" t="s">
        <v>58</v>
      </c>
      <c r="D12" s="171" t="s">
        <v>189</v>
      </c>
      <c r="E12" s="171" t="s">
        <v>190</v>
      </c>
      <c r="F12" s="171" t="s">
        <v>32</v>
      </c>
      <c r="G12" s="172">
        <v>12</v>
      </c>
      <c r="H12" s="173"/>
      <c r="I12" s="171"/>
      <c r="J12" s="171"/>
      <c r="K12" t="s">
        <v>57</v>
      </c>
      <c r="L12" t="s">
        <v>347</v>
      </c>
      <c r="N12" t="s">
        <v>17</v>
      </c>
    </row>
    <row r="13" spans="1:14" x14ac:dyDescent="0.25">
      <c r="A13" s="171" t="s">
        <v>184</v>
      </c>
      <c r="B13" s="171" t="s">
        <v>718</v>
      </c>
      <c r="C13" s="171" t="s">
        <v>59</v>
      </c>
      <c r="D13" s="171" t="s">
        <v>189</v>
      </c>
      <c r="E13" s="171" t="s">
        <v>191</v>
      </c>
      <c r="F13" s="171" t="s">
        <v>32</v>
      </c>
      <c r="G13" s="172">
        <v>12</v>
      </c>
      <c r="H13" s="173"/>
      <c r="I13" s="171"/>
      <c r="J13" s="171"/>
      <c r="K13" t="s">
        <v>57</v>
      </c>
      <c r="L13" t="s">
        <v>347</v>
      </c>
      <c r="N13" t="s">
        <v>17</v>
      </c>
    </row>
    <row r="14" spans="1:14" x14ac:dyDescent="0.25">
      <c r="A14" s="171" t="s">
        <v>184</v>
      </c>
      <c r="B14" s="171" t="s">
        <v>719</v>
      </c>
      <c r="C14" s="171" t="s">
        <v>59</v>
      </c>
      <c r="D14" s="171" t="s">
        <v>192</v>
      </c>
      <c r="E14" s="171" t="s">
        <v>193</v>
      </c>
      <c r="F14" s="171" t="s">
        <v>32</v>
      </c>
      <c r="G14" s="172">
        <v>12</v>
      </c>
      <c r="H14" s="173"/>
      <c r="I14" s="171"/>
      <c r="J14" s="171"/>
      <c r="K14" t="s">
        <v>57</v>
      </c>
      <c r="L14" t="s">
        <v>347</v>
      </c>
      <c r="N14" t="s">
        <v>17</v>
      </c>
    </row>
    <row r="15" spans="1:14" x14ac:dyDescent="0.25">
      <c r="A15" s="171" t="s">
        <v>184</v>
      </c>
      <c r="B15" s="171" t="s">
        <v>720</v>
      </c>
      <c r="C15" s="171" t="s">
        <v>94</v>
      </c>
      <c r="D15" s="171" t="s">
        <v>17</v>
      </c>
      <c r="E15" s="171" t="s">
        <v>194</v>
      </c>
      <c r="F15" s="171" t="s">
        <v>95</v>
      </c>
      <c r="G15" s="172">
        <v>1</v>
      </c>
      <c r="H15" s="173"/>
      <c r="I15" s="171"/>
      <c r="J15" s="171"/>
      <c r="K15" t="s">
        <v>93</v>
      </c>
      <c r="L15" t="s">
        <v>358</v>
      </c>
      <c r="N15" t="s">
        <v>17</v>
      </c>
    </row>
    <row r="16" spans="1:14" x14ac:dyDescent="0.25">
      <c r="A16" s="171" t="s">
        <v>184</v>
      </c>
      <c r="B16" s="171" t="s">
        <v>720</v>
      </c>
      <c r="C16" s="171" t="s">
        <v>94</v>
      </c>
      <c r="D16" s="171" t="s">
        <v>17</v>
      </c>
      <c r="E16" s="171" t="s">
        <v>194</v>
      </c>
      <c r="F16" s="171" t="s">
        <v>95</v>
      </c>
      <c r="G16" s="172">
        <v>24</v>
      </c>
      <c r="H16" s="173"/>
      <c r="I16" s="171"/>
      <c r="J16" s="171"/>
      <c r="K16" t="s">
        <v>93</v>
      </c>
      <c r="L16" t="s">
        <v>358</v>
      </c>
      <c r="N16" t="s">
        <v>17</v>
      </c>
    </row>
    <row r="17" spans="1:14" x14ac:dyDescent="0.25">
      <c r="A17" s="174" t="s">
        <v>274</v>
      </c>
      <c r="B17" s="174"/>
      <c r="C17" s="174" t="s">
        <v>275</v>
      </c>
      <c r="D17" s="174"/>
      <c r="E17" s="174"/>
      <c r="F17" s="174"/>
      <c r="G17" s="175">
        <f>=SUM(G10:G16)</f>
      </c>
      <c r="H17" s="176">
        <f>=SUM(H10:H16)</f>
      </c>
      <c r="I17" s="174" t="s">
        <v>17</v>
      </c>
      <c r="J17" s="174" t="s">
        <v>17</v>
      </c>
    </row>
    <row r="19" spans="1:10" x14ac:dyDescent="0.25">
      <c r="A19" s="169" t="s">
        <v>721</v>
      </c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 x14ac:dyDescent="0.25">
      <c r="A20" s="170" t="s">
        <v>98</v>
      </c>
      <c r="B20" s="170" t="s">
        <v>711</v>
      </c>
      <c r="C20" s="170" t="s">
        <v>99</v>
      </c>
      <c r="D20" s="170" t="s">
        <v>100</v>
      </c>
      <c r="E20" s="170" t="s">
        <v>101</v>
      </c>
      <c r="F20" s="170" t="s">
        <v>102</v>
      </c>
      <c r="G20" s="170" t="s">
        <v>103</v>
      </c>
      <c r="H20" s="170" t="s">
        <v>104</v>
      </c>
      <c r="I20" s="170" t="s">
        <v>105</v>
      </c>
      <c r="J20" s="170" t="s">
        <v>106</v>
      </c>
    </row>
    <row r="21" spans="1:14" x14ac:dyDescent="0.25">
      <c r="A21" s="171" t="s">
        <v>195</v>
      </c>
      <c r="B21" s="171" t="s">
        <v>722</v>
      </c>
      <c r="C21" s="171" t="s">
        <v>61</v>
      </c>
      <c r="D21" s="171" t="s">
        <v>17</v>
      </c>
      <c r="E21" s="171" t="s">
        <v>196</v>
      </c>
      <c r="F21" s="171" t="s">
        <v>32</v>
      </c>
      <c r="G21" s="172">
        <v>500</v>
      </c>
      <c r="H21" s="173">
        <v>1</v>
      </c>
      <c r="I21" s="171" t="s">
        <v>110</v>
      </c>
      <c r="J21" s="171" t="s">
        <v>17</v>
      </c>
      <c r="K21" t="s">
        <v>60</v>
      </c>
      <c r="L21" t="s">
        <v>348</v>
      </c>
      <c r="N21" t="s">
        <v>17</v>
      </c>
    </row>
    <row r="22" spans="1:14" x14ac:dyDescent="0.25">
      <c r="A22" s="174" t="s">
        <v>274</v>
      </c>
      <c r="B22" s="174"/>
      <c r="C22" s="174" t="s">
        <v>275</v>
      </c>
      <c r="D22" s="174"/>
      <c r="E22" s="174"/>
      <c r="F22" s="174"/>
      <c r="G22" s="175">
        <f>=SUM(G21:G21)</f>
      </c>
      <c r="H22" s="176">
        <f>=SUM(H21:H21)</f>
      </c>
      <c r="I22" s="174" t="s">
        <v>17</v>
      </c>
      <c r="J22" s="174" t="s">
        <v>17</v>
      </c>
    </row>
    <row r="24" spans="1:10" x14ac:dyDescent="0.25">
      <c r="A24" s="169" t="s">
        <v>723</v>
      </c>
      <c r="B24" s="169"/>
      <c r="C24" s="169"/>
      <c r="D24" s="169"/>
      <c r="E24" s="169"/>
      <c r="F24" s="169"/>
      <c r="G24" s="169"/>
      <c r="H24" s="169"/>
      <c r="I24" s="169"/>
      <c r="J24" s="169"/>
    </row>
    <row r="25" spans="1:10" x14ac:dyDescent="0.25">
      <c r="A25" s="170" t="s">
        <v>98</v>
      </c>
      <c r="B25" s="170" t="s">
        <v>711</v>
      </c>
      <c r="C25" s="170" t="s">
        <v>99</v>
      </c>
      <c r="D25" s="170" t="s">
        <v>100</v>
      </c>
      <c r="E25" s="170" t="s">
        <v>101</v>
      </c>
      <c r="F25" s="170" t="s">
        <v>102</v>
      </c>
      <c r="G25" s="170" t="s">
        <v>103</v>
      </c>
      <c r="H25" s="170" t="s">
        <v>104</v>
      </c>
      <c r="I25" s="170" t="s">
        <v>105</v>
      </c>
      <c r="J25" s="170" t="s">
        <v>106</v>
      </c>
    </row>
    <row r="26" spans="1:14" x14ac:dyDescent="0.25">
      <c r="A26" s="171" t="s">
        <v>237</v>
      </c>
      <c r="B26" s="171" t="s">
        <v>724</v>
      </c>
      <c r="C26" s="171" t="s">
        <v>238</v>
      </c>
      <c r="D26" s="171" t="s">
        <v>239</v>
      </c>
      <c r="E26" s="171" t="s">
        <v>240</v>
      </c>
      <c r="F26" s="171" t="s">
        <v>14</v>
      </c>
      <c r="G26" s="172">
        <v>22</v>
      </c>
      <c r="H26" s="173">
        <v>5</v>
      </c>
      <c r="I26" s="171" t="s">
        <v>125</v>
      </c>
      <c r="J26" s="171" t="s">
        <v>241</v>
      </c>
      <c r="K26" t="s">
        <v>12</v>
      </c>
      <c r="L26" t="s">
        <v>321</v>
      </c>
      <c r="N26" t="s">
        <v>18</v>
      </c>
    </row>
    <row r="27" spans="1:14" x14ac:dyDescent="0.25">
      <c r="A27" s="171" t="s">
        <v>237</v>
      </c>
      <c r="B27" s="171" t="s">
        <v>724</v>
      </c>
      <c r="C27" s="171" t="s">
        <v>238</v>
      </c>
      <c r="D27" s="171" t="s">
        <v>239</v>
      </c>
      <c r="E27" s="171" t="s">
        <v>240</v>
      </c>
      <c r="F27" s="171" t="s">
        <v>14</v>
      </c>
      <c r="G27" s="172">
        <v>245</v>
      </c>
      <c r="H27" s="173">
        <v>0</v>
      </c>
      <c r="I27" s="171" t="s">
        <v>125</v>
      </c>
      <c r="J27" s="171" t="s">
        <v>241</v>
      </c>
      <c r="K27" t="s">
        <v>12</v>
      </c>
      <c r="L27" t="s">
        <v>321</v>
      </c>
      <c r="N27" t="s">
        <v>18</v>
      </c>
    </row>
    <row r="28" spans="1:14" x14ac:dyDescent="0.25">
      <c r="A28" s="171" t="s">
        <v>237</v>
      </c>
      <c r="B28" s="171" t="s">
        <v>725</v>
      </c>
      <c r="C28" s="171" t="s">
        <v>242</v>
      </c>
      <c r="D28" s="171" t="s">
        <v>243</v>
      </c>
      <c r="E28" s="171" t="s">
        <v>244</v>
      </c>
      <c r="F28" s="171" t="s">
        <v>14</v>
      </c>
      <c r="G28" s="172">
        <v>8</v>
      </c>
      <c r="H28" s="173"/>
      <c r="I28" s="171"/>
      <c r="J28" s="171"/>
      <c r="K28" t="s">
        <v>12</v>
      </c>
      <c r="L28" t="s">
        <v>320</v>
      </c>
      <c r="N28" t="s">
        <v>18</v>
      </c>
    </row>
    <row r="29" spans="1:14" x14ac:dyDescent="0.25">
      <c r="A29" s="174" t="s">
        <v>274</v>
      </c>
      <c r="B29" s="174"/>
      <c r="C29" s="174" t="s">
        <v>275</v>
      </c>
      <c r="D29" s="174"/>
      <c r="E29" s="174"/>
      <c r="F29" s="174"/>
      <c r="G29" s="175">
        <f>=SUM(G26:G28)</f>
      </c>
      <c r="H29" s="176">
        <f>=SUM(H26:H28)</f>
      </c>
      <c r="I29" s="174" t="s">
        <v>17</v>
      </c>
      <c r="J29" s="174" t="s">
        <v>17</v>
      </c>
    </row>
    <row r="31" spans="1:10" x14ac:dyDescent="0.25">
      <c r="A31" s="169" t="s">
        <v>726</v>
      </c>
      <c r="B31" s="169"/>
      <c r="C31" s="169"/>
      <c r="D31" s="169"/>
      <c r="E31" s="169"/>
      <c r="F31" s="169"/>
      <c r="G31" s="169"/>
      <c r="H31" s="169"/>
      <c r="I31" s="169"/>
      <c r="J31" s="169"/>
    </row>
    <row r="32" spans="1:10" x14ac:dyDescent="0.25">
      <c r="A32" s="170" t="s">
        <v>98</v>
      </c>
      <c r="B32" s="170" t="s">
        <v>711</v>
      </c>
      <c r="C32" s="170" t="s">
        <v>99</v>
      </c>
      <c r="D32" s="170" t="s">
        <v>100</v>
      </c>
      <c r="E32" s="170" t="s">
        <v>101</v>
      </c>
      <c r="F32" s="170" t="s">
        <v>102</v>
      </c>
      <c r="G32" s="170" t="s">
        <v>103</v>
      </c>
      <c r="H32" s="170" t="s">
        <v>104</v>
      </c>
      <c r="I32" s="170" t="s">
        <v>105</v>
      </c>
      <c r="J32" s="170" t="s">
        <v>106</v>
      </c>
    </row>
    <row r="33" spans="1:14" x14ac:dyDescent="0.25">
      <c r="A33" s="171" t="s">
        <v>237</v>
      </c>
      <c r="B33" s="171" t="s">
        <v>727</v>
      </c>
      <c r="C33" s="171" t="s">
        <v>245</v>
      </c>
      <c r="D33" s="171" t="s">
        <v>246</v>
      </c>
      <c r="E33" s="171" t="s">
        <v>247</v>
      </c>
      <c r="F33" s="171" t="s">
        <v>14</v>
      </c>
      <c r="G33" s="172">
        <v>12</v>
      </c>
      <c r="H33" s="173">
        <v>0</v>
      </c>
      <c r="I33" s="171" t="s">
        <v>125</v>
      </c>
      <c r="J33" s="171" t="s">
        <v>241</v>
      </c>
      <c r="K33" t="s">
        <v>323</v>
      </c>
      <c r="L33" t="s">
        <v>324</v>
      </c>
      <c r="N33" t="s">
        <v>18</v>
      </c>
    </row>
    <row r="34" spans="1:14" x14ac:dyDescent="0.25">
      <c r="A34" s="171" t="s">
        <v>237</v>
      </c>
      <c r="B34" s="171" t="s">
        <v>727</v>
      </c>
      <c r="C34" s="171" t="s">
        <v>245</v>
      </c>
      <c r="D34" s="171" t="s">
        <v>246</v>
      </c>
      <c r="E34" s="171" t="s">
        <v>247</v>
      </c>
      <c r="F34" s="171" t="s">
        <v>14</v>
      </c>
      <c r="G34" s="172">
        <v>38</v>
      </c>
      <c r="H34" s="173"/>
      <c r="I34" s="171"/>
      <c r="J34" s="171"/>
      <c r="K34" t="s">
        <v>323</v>
      </c>
      <c r="L34" t="s">
        <v>324</v>
      </c>
      <c r="N34" t="s">
        <v>18</v>
      </c>
    </row>
    <row r="35" spans="1:14" x14ac:dyDescent="0.25">
      <c r="A35" s="174" t="s">
        <v>274</v>
      </c>
      <c r="B35" s="174"/>
      <c r="C35" s="174" t="s">
        <v>275</v>
      </c>
      <c r="D35" s="174"/>
      <c r="E35" s="174"/>
      <c r="F35" s="174"/>
      <c r="G35" s="175">
        <f>=SUM(G33:G34)</f>
      </c>
      <c r="H35" s="176">
        <f>=SUM(H33:H34)</f>
      </c>
      <c r="I35" s="174" t="s">
        <v>17</v>
      </c>
      <c r="J35" s="174" t="s">
        <v>17</v>
      </c>
    </row>
    <row r="37" spans="1:10" x14ac:dyDescent="0.25">
      <c r="A37" s="169" t="s">
        <v>728</v>
      </c>
      <c r="B37" s="169"/>
      <c r="C37" s="169"/>
      <c r="D37" s="169"/>
      <c r="E37" s="169"/>
      <c r="F37" s="169"/>
      <c r="G37" s="169"/>
      <c r="H37" s="169"/>
      <c r="I37" s="169"/>
      <c r="J37" s="169"/>
    </row>
    <row r="38" spans="1:10" x14ac:dyDescent="0.25">
      <c r="A38" s="170" t="s">
        <v>98</v>
      </c>
      <c r="B38" s="170" t="s">
        <v>711</v>
      </c>
      <c r="C38" s="170" t="s">
        <v>99</v>
      </c>
      <c r="D38" s="170" t="s">
        <v>100</v>
      </c>
      <c r="E38" s="170" t="s">
        <v>101</v>
      </c>
      <c r="F38" s="170" t="s">
        <v>102</v>
      </c>
      <c r="G38" s="170" t="s">
        <v>103</v>
      </c>
      <c r="H38" s="170" t="s">
        <v>104</v>
      </c>
      <c r="I38" s="170" t="s">
        <v>105</v>
      </c>
      <c r="J38" s="170" t="s">
        <v>106</v>
      </c>
    </row>
    <row r="39" spans="1:14" x14ac:dyDescent="0.25">
      <c r="A39" s="171" t="s">
        <v>126</v>
      </c>
      <c r="B39" s="171" t="s">
        <v>729</v>
      </c>
      <c r="C39" s="171" t="s">
        <v>72</v>
      </c>
      <c r="D39" s="171" t="s">
        <v>108</v>
      </c>
      <c r="E39" s="171" t="s">
        <v>127</v>
      </c>
      <c r="F39" s="171" t="s">
        <v>46</v>
      </c>
      <c r="G39" s="172">
        <v>102</v>
      </c>
      <c r="H39" s="173">
        <v>2</v>
      </c>
      <c r="I39" s="171" t="s">
        <v>119</v>
      </c>
      <c r="J39" s="171" t="s">
        <v>128</v>
      </c>
      <c r="K39" t="s">
        <v>34</v>
      </c>
      <c r="L39" t="s">
        <v>341</v>
      </c>
      <c r="N39" t="s">
        <v>17</v>
      </c>
    </row>
    <row r="40" spans="1:14" x14ac:dyDescent="0.25">
      <c r="A40" s="171" t="s">
        <v>126</v>
      </c>
      <c r="B40" s="171" t="s">
        <v>729</v>
      </c>
      <c r="C40" s="171" t="s">
        <v>72</v>
      </c>
      <c r="D40" s="171" t="s">
        <v>108</v>
      </c>
      <c r="E40" s="171" t="s">
        <v>127</v>
      </c>
      <c r="F40" s="171" t="s">
        <v>46</v>
      </c>
      <c r="G40" s="172">
        <v>1196</v>
      </c>
      <c r="H40" s="173">
        <v>0</v>
      </c>
      <c r="I40" s="171" t="s">
        <v>119</v>
      </c>
      <c r="J40" s="171" t="s">
        <v>128</v>
      </c>
      <c r="K40" t="s">
        <v>34</v>
      </c>
      <c r="L40" t="s">
        <v>341</v>
      </c>
      <c r="N40" t="s">
        <v>17</v>
      </c>
    </row>
    <row r="41" spans="1:14" x14ac:dyDescent="0.25">
      <c r="A41" s="171" t="s">
        <v>126</v>
      </c>
      <c r="B41" s="171" t="s">
        <v>730</v>
      </c>
      <c r="C41" s="171" t="s">
        <v>75</v>
      </c>
      <c r="D41" s="171" t="s">
        <v>129</v>
      </c>
      <c r="E41" s="171" t="s">
        <v>130</v>
      </c>
      <c r="F41" s="171" t="s">
        <v>32</v>
      </c>
      <c r="G41" s="172">
        <v>3</v>
      </c>
      <c r="H41" s="173"/>
      <c r="I41" s="171"/>
      <c r="J41" s="171"/>
      <c r="K41" t="s">
        <v>74</v>
      </c>
      <c r="L41" t="s">
        <v>353</v>
      </c>
      <c r="N41" t="s">
        <v>17</v>
      </c>
    </row>
    <row r="42" spans="1:14" x14ac:dyDescent="0.25">
      <c r="A42" s="171" t="s">
        <v>126</v>
      </c>
      <c r="B42" s="171" t="s">
        <v>731</v>
      </c>
      <c r="C42" s="171" t="s">
        <v>75</v>
      </c>
      <c r="D42" s="171" t="s">
        <v>131</v>
      </c>
      <c r="E42" s="171" t="s">
        <v>130</v>
      </c>
      <c r="F42" s="171" t="s">
        <v>32</v>
      </c>
      <c r="G42" s="172">
        <v>3</v>
      </c>
      <c r="H42" s="173"/>
      <c r="I42" s="171"/>
      <c r="J42" s="171"/>
      <c r="K42" t="s">
        <v>74</v>
      </c>
      <c r="L42" t="s">
        <v>353</v>
      </c>
      <c r="N42" t="s">
        <v>17</v>
      </c>
    </row>
    <row r="43" spans="1:14" x14ac:dyDescent="0.25">
      <c r="A43" s="171" t="s">
        <v>126</v>
      </c>
      <c r="B43" s="171" t="s">
        <v>731</v>
      </c>
      <c r="C43" s="171" t="s">
        <v>75</v>
      </c>
      <c r="D43" s="171" t="s">
        <v>131</v>
      </c>
      <c r="E43" s="171" t="s">
        <v>130</v>
      </c>
      <c r="F43" s="171" t="s">
        <v>32</v>
      </c>
      <c r="G43" s="172">
        <v>206</v>
      </c>
      <c r="H43" s="173"/>
      <c r="I43" s="171"/>
      <c r="J43" s="171"/>
      <c r="K43" t="s">
        <v>74</v>
      </c>
      <c r="L43" t="s">
        <v>353</v>
      </c>
      <c r="N43" t="s">
        <v>17</v>
      </c>
    </row>
    <row r="44" spans="1:14" x14ac:dyDescent="0.25">
      <c r="A44" s="171" t="s">
        <v>126</v>
      </c>
      <c r="B44" s="171" t="s">
        <v>730</v>
      </c>
      <c r="C44" s="171" t="s">
        <v>75</v>
      </c>
      <c r="D44" s="171" t="s">
        <v>129</v>
      </c>
      <c r="E44" s="171" t="s">
        <v>130</v>
      </c>
      <c r="F44" s="171" t="s">
        <v>32</v>
      </c>
      <c r="G44" s="172">
        <v>308</v>
      </c>
      <c r="H44" s="173"/>
      <c r="I44" s="171"/>
      <c r="J44" s="171"/>
      <c r="K44" t="s">
        <v>74</v>
      </c>
      <c r="L44" t="s">
        <v>353</v>
      </c>
      <c r="N44" t="s">
        <v>17</v>
      </c>
    </row>
    <row r="45" spans="1:14" x14ac:dyDescent="0.25">
      <c r="A45" s="171" t="s">
        <v>176</v>
      </c>
      <c r="B45" s="171" t="s">
        <v>732</v>
      </c>
      <c r="C45" s="171" t="s">
        <v>68</v>
      </c>
      <c r="D45" s="171" t="s">
        <v>17</v>
      </c>
      <c r="E45" s="171" t="s">
        <v>177</v>
      </c>
      <c r="F45" s="171" t="s">
        <v>32</v>
      </c>
      <c r="G45" s="172">
        <v>485</v>
      </c>
      <c r="H45" s="173">
        <v>1</v>
      </c>
      <c r="I45" s="171" t="s">
        <v>110</v>
      </c>
      <c r="J45" s="171" t="s">
        <v>178</v>
      </c>
      <c r="K45" t="s">
        <v>39</v>
      </c>
      <c r="L45" t="s">
        <v>342</v>
      </c>
      <c r="N45" t="s">
        <v>17</v>
      </c>
    </row>
    <row r="46" spans="1:14" x14ac:dyDescent="0.25">
      <c r="A46" s="171" t="s">
        <v>176</v>
      </c>
      <c r="B46" s="171" t="s">
        <v>733</v>
      </c>
      <c r="C46" s="171" t="s">
        <v>73</v>
      </c>
      <c r="D46" s="171" t="s">
        <v>17</v>
      </c>
      <c r="E46" s="171" t="s">
        <v>17</v>
      </c>
      <c r="F46" s="171" t="s">
        <v>32</v>
      </c>
      <c r="G46" s="172">
        <v>454</v>
      </c>
      <c r="H46" s="173">
        <v>0</v>
      </c>
      <c r="I46" s="171" t="s">
        <v>110</v>
      </c>
      <c r="J46" s="171" t="s">
        <v>178</v>
      </c>
      <c r="K46" t="s">
        <v>41</v>
      </c>
      <c r="L46" t="s">
        <v>343</v>
      </c>
      <c r="N46" t="s">
        <v>17</v>
      </c>
    </row>
    <row r="47" spans="1:14" x14ac:dyDescent="0.25">
      <c r="A47" s="174" t="s">
        <v>274</v>
      </c>
      <c r="B47" s="174"/>
      <c r="C47" s="174" t="s">
        <v>275</v>
      </c>
      <c r="D47" s="174"/>
      <c r="E47" s="174"/>
      <c r="F47" s="174"/>
      <c r="G47" s="175">
        <f>=SUM(G39:G46)</f>
      </c>
      <c r="H47" s="176">
        <f>=SUM(H39:H46)</f>
      </c>
      <c r="I47" s="174" t="s">
        <v>17</v>
      </c>
      <c r="J47" s="174" t="s">
        <v>17</v>
      </c>
    </row>
    <row r="49" spans="1:10" x14ac:dyDescent="0.25">
      <c r="A49" s="169" t="s">
        <v>734</v>
      </c>
      <c r="B49" s="169"/>
      <c r="C49" s="169"/>
      <c r="D49" s="169"/>
      <c r="E49" s="169"/>
      <c r="F49" s="169"/>
      <c r="G49" s="169"/>
      <c r="H49" s="169"/>
      <c r="I49" s="169"/>
      <c r="J49" s="169"/>
    </row>
    <row r="50" spans="1:10" x14ac:dyDescent="0.25">
      <c r="A50" s="170" t="s">
        <v>98</v>
      </c>
      <c r="B50" s="170" t="s">
        <v>711</v>
      </c>
      <c r="C50" s="170" t="s">
        <v>99</v>
      </c>
      <c r="D50" s="170" t="s">
        <v>100</v>
      </c>
      <c r="E50" s="170" t="s">
        <v>101</v>
      </c>
      <c r="F50" s="170" t="s">
        <v>102</v>
      </c>
      <c r="G50" s="170" t="s">
        <v>103</v>
      </c>
      <c r="H50" s="170" t="s">
        <v>104</v>
      </c>
      <c r="I50" s="170" t="s">
        <v>105</v>
      </c>
      <c r="J50" s="170" t="s">
        <v>106</v>
      </c>
    </row>
    <row r="51" spans="1:14" x14ac:dyDescent="0.25">
      <c r="A51" s="171" t="s">
        <v>126</v>
      </c>
      <c r="B51" s="171" t="s">
        <v>735</v>
      </c>
      <c r="C51" s="171" t="s">
        <v>54</v>
      </c>
      <c r="D51" s="171" t="s">
        <v>108</v>
      </c>
      <c r="E51" s="171" t="s">
        <v>132</v>
      </c>
      <c r="F51" s="171" t="s">
        <v>46</v>
      </c>
      <c r="G51" s="172">
        <v>157</v>
      </c>
      <c r="H51" s="173">
        <v>0</v>
      </c>
      <c r="I51" s="171" t="s">
        <v>119</v>
      </c>
      <c r="J51" s="171" t="s">
        <v>128</v>
      </c>
      <c r="K51" t="s">
        <v>44</v>
      </c>
      <c r="L51" t="s">
        <v>344</v>
      </c>
      <c r="N51" t="s">
        <v>17</v>
      </c>
    </row>
    <row r="52" spans="1:14" x14ac:dyDescent="0.25">
      <c r="A52" s="171" t="s">
        <v>126</v>
      </c>
      <c r="B52" s="171" t="s">
        <v>735</v>
      </c>
      <c r="C52" s="171" t="s">
        <v>54</v>
      </c>
      <c r="D52" s="171" t="s">
        <v>108</v>
      </c>
      <c r="E52" s="171" t="s">
        <v>132</v>
      </c>
      <c r="F52" s="171" t="s">
        <v>46</v>
      </c>
      <c r="G52" s="172">
        <v>1547</v>
      </c>
      <c r="H52" s="173"/>
      <c r="I52" s="171"/>
      <c r="J52" s="171"/>
      <c r="K52" t="s">
        <v>44</v>
      </c>
      <c r="L52" t="s">
        <v>344</v>
      </c>
      <c r="N52" t="s">
        <v>17</v>
      </c>
    </row>
    <row r="53" spans="1:14" x14ac:dyDescent="0.25">
      <c r="A53" s="171" t="s">
        <v>126</v>
      </c>
      <c r="B53" s="171" t="s">
        <v>729</v>
      </c>
      <c r="C53" s="171" t="s">
        <v>72</v>
      </c>
      <c r="D53" s="171" t="s">
        <v>108</v>
      </c>
      <c r="E53" s="171" t="s">
        <v>127</v>
      </c>
      <c r="F53" s="171" t="s">
        <v>46</v>
      </c>
      <c r="G53" s="172">
        <v>843</v>
      </c>
      <c r="H53" s="173"/>
      <c r="I53" s="171"/>
      <c r="J53" s="171"/>
      <c r="K53" t="s">
        <v>34</v>
      </c>
      <c r="L53" t="s">
        <v>341</v>
      </c>
      <c r="N53" t="s">
        <v>17</v>
      </c>
    </row>
    <row r="54" spans="1:14" x14ac:dyDescent="0.25">
      <c r="A54" s="171" t="s">
        <v>176</v>
      </c>
      <c r="B54" s="171" t="s">
        <v>732</v>
      </c>
      <c r="C54" s="171" t="s">
        <v>68</v>
      </c>
      <c r="D54" s="171" t="s">
        <v>17</v>
      </c>
      <c r="E54" s="171" t="s">
        <v>177</v>
      </c>
      <c r="F54" s="171" t="s">
        <v>32</v>
      </c>
      <c r="G54" s="172">
        <v>413</v>
      </c>
      <c r="H54" s="173">
        <v>0</v>
      </c>
      <c r="I54" s="171" t="s">
        <v>110</v>
      </c>
      <c r="J54" s="171" t="s">
        <v>178</v>
      </c>
      <c r="K54" t="s">
        <v>39</v>
      </c>
      <c r="L54" t="s">
        <v>342</v>
      </c>
      <c r="N54" t="s">
        <v>17</v>
      </c>
    </row>
    <row r="55" spans="1:14" x14ac:dyDescent="0.25">
      <c r="A55" s="171" t="s">
        <v>176</v>
      </c>
      <c r="B55" s="171" t="s">
        <v>733</v>
      </c>
      <c r="C55" s="171" t="s">
        <v>73</v>
      </c>
      <c r="D55" s="171" t="s">
        <v>17</v>
      </c>
      <c r="E55" s="171" t="s">
        <v>17</v>
      </c>
      <c r="F55" s="171" t="s">
        <v>32</v>
      </c>
      <c r="G55" s="172">
        <v>413</v>
      </c>
      <c r="H55" s="173"/>
      <c r="I55" s="171"/>
      <c r="J55" s="171"/>
      <c r="K55" t="s">
        <v>41</v>
      </c>
      <c r="L55" t="s">
        <v>343</v>
      </c>
      <c r="N55" t="s">
        <v>17</v>
      </c>
    </row>
    <row r="56" spans="1:14" x14ac:dyDescent="0.25">
      <c r="A56" s="174" t="s">
        <v>274</v>
      </c>
      <c r="B56" s="174"/>
      <c r="C56" s="174" t="s">
        <v>275</v>
      </c>
      <c r="D56" s="174"/>
      <c r="E56" s="174"/>
      <c r="F56" s="174"/>
      <c r="G56" s="175">
        <f>=SUM(G51:G55)</f>
      </c>
      <c r="H56" s="176">
        <f>=SUM(H51:H55)</f>
      </c>
      <c r="I56" s="174" t="s">
        <v>17</v>
      </c>
      <c r="J56" s="174" t="s">
        <v>17</v>
      </c>
    </row>
    <row r="58" spans="1:10" x14ac:dyDescent="0.25">
      <c r="A58" s="169" t="s">
        <v>736</v>
      </c>
      <c r="B58" s="169"/>
      <c r="C58" s="169"/>
      <c r="D58" s="169"/>
      <c r="E58" s="169"/>
      <c r="F58" s="169"/>
      <c r="G58" s="169"/>
      <c r="H58" s="169"/>
      <c r="I58" s="169"/>
      <c r="J58" s="169"/>
    </row>
    <row r="59" spans="1:10" x14ac:dyDescent="0.25">
      <c r="A59" s="170" t="s">
        <v>98</v>
      </c>
      <c r="B59" s="170" t="s">
        <v>711</v>
      </c>
      <c r="C59" s="170" t="s">
        <v>99</v>
      </c>
      <c r="D59" s="170" t="s">
        <v>100</v>
      </c>
      <c r="E59" s="170" t="s">
        <v>101</v>
      </c>
      <c r="F59" s="170" t="s">
        <v>102</v>
      </c>
      <c r="G59" s="170" t="s">
        <v>103</v>
      </c>
      <c r="H59" s="170" t="s">
        <v>104</v>
      </c>
      <c r="I59" s="170" t="s">
        <v>105</v>
      </c>
      <c r="J59" s="170" t="s">
        <v>106</v>
      </c>
    </row>
    <row r="60" spans="1:14" x14ac:dyDescent="0.25">
      <c r="A60" s="171" t="s">
        <v>126</v>
      </c>
      <c r="B60" s="171" t="s">
        <v>735</v>
      </c>
      <c r="C60" s="171" t="s">
        <v>54</v>
      </c>
      <c r="D60" s="171" t="s">
        <v>108</v>
      </c>
      <c r="E60" s="171" t="s">
        <v>132</v>
      </c>
      <c r="F60" s="171" t="s">
        <v>46</v>
      </c>
      <c r="G60" s="172">
        <v>2106</v>
      </c>
      <c r="H60" s="173">
        <v>0</v>
      </c>
      <c r="I60" s="171" t="s">
        <v>119</v>
      </c>
      <c r="J60" s="171" t="s">
        <v>128</v>
      </c>
      <c r="K60" t="s">
        <v>44</v>
      </c>
      <c r="L60" t="s">
        <v>344</v>
      </c>
      <c r="N60" t="s">
        <v>17</v>
      </c>
    </row>
    <row r="61" spans="1:14" x14ac:dyDescent="0.25">
      <c r="A61" s="171" t="s">
        <v>126</v>
      </c>
      <c r="B61" s="171" t="s">
        <v>729</v>
      </c>
      <c r="C61" s="171" t="s">
        <v>72</v>
      </c>
      <c r="D61" s="171" t="s">
        <v>108</v>
      </c>
      <c r="E61" s="171" t="s">
        <v>127</v>
      </c>
      <c r="F61" s="171" t="s">
        <v>46</v>
      </c>
      <c r="G61" s="172">
        <v>527</v>
      </c>
      <c r="H61" s="173"/>
      <c r="I61" s="171"/>
      <c r="J61" s="171"/>
      <c r="K61" t="s">
        <v>34</v>
      </c>
      <c r="L61" t="s">
        <v>341</v>
      </c>
      <c r="N61" t="s">
        <v>17</v>
      </c>
    </row>
    <row r="62" spans="1:14" x14ac:dyDescent="0.25">
      <c r="A62" s="171" t="s">
        <v>176</v>
      </c>
      <c r="B62" s="171" t="s">
        <v>737</v>
      </c>
      <c r="C62" s="171" t="s">
        <v>66</v>
      </c>
      <c r="D62" s="171" t="s">
        <v>117</v>
      </c>
      <c r="E62" s="171" t="s">
        <v>179</v>
      </c>
      <c r="F62" s="171" t="s">
        <v>32</v>
      </c>
      <c r="G62" s="172">
        <v>299</v>
      </c>
      <c r="H62" s="173">
        <v>0</v>
      </c>
      <c r="I62" s="171" t="s">
        <v>110</v>
      </c>
      <c r="J62" s="171" t="s">
        <v>178</v>
      </c>
      <c r="K62" t="s">
        <v>65</v>
      </c>
      <c r="L62" t="s">
        <v>350</v>
      </c>
      <c r="N62" t="s">
        <v>17</v>
      </c>
    </row>
    <row r="63" spans="1:14" x14ac:dyDescent="0.25">
      <c r="A63" s="171" t="s">
        <v>176</v>
      </c>
      <c r="B63" s="171" t="s">
        <v>738</v>
      </c>
      <c r="C63" s="171" t="s">
        <v>67</v>
      </c>
      <c r="D63" s="171" t="s">
        <v>117</v>
      </c>
      <c r="E63" s="171" t="s">
        <v>180</v>
      </c>
      <c r="F63" s="171" t="s">
        <v>32</v>
      </c>
      <c r="G63" s="172">
        <v>280</v>
      </c>
      <c r="H63" s="173"/>
      <c r="I63" s="171"/>
      <c r="J63" s="171"/>
      <c r="K63" t="s">
        <v>39</v>
      </c>
      <c r="L63" t="s">
        <v>342</v>
      </c>
      <c r="N63" t="s">
        <v>17</v>
      </c>
    </row>
    <row r="64" spans="1:14" x14ac:dyDescent="0.25">
      <c r="A64" s="171" t="s">
        <v>176</v>
      </c>
      <c r="B64" s="171" t="s">
        <v>732</v>
      </c>
      <c r="C64" s="171" t="s">
        <v>68</v>
      </c>
      <c r="D64" s="171" t="s">
        <v>17</v>
      </c>
      <c r="E64" s="171" t="s">
        <v>177</v>
      </c>
      <c r="F64" s="171" t="s">
        <v>32</v>
      </c>
      <c r="G64" s="172">
        <v>516</v>
      </c>
      <c r="H64" s="173"/>
      <c r="I64" s="171"/>
      <c r="J64" s="171"/>
      <c r="K64" t="s">
        <v>39</v>
      </c>
      <c r="L64" t="s">
        <v>342</v>
      </c>
      <c r="N64" t="s">
        <v>17</v>
      </c>
    </row>
    <row r="65" spans="1:14" x14ac:dyDescent="0.25">
      <c r="A65" s="171" t="s">
        <v>176</v>
      </c>
      <c r="B65" s="171" t="s">
        <v>733</v>
      </c>
      <c r="C65" s="171" t="s">
        <v>73</v>
      </c>
      <c r="D65" s="171" t="s">
        <v>17</v>
      </c>
      <c r="E65" s="171" t="s">
        <v>17</v>
      </c>
      <c r="F65" s="171" t="s">
        <v>32</v>
      </c>
      <c r="G65" s="172">
        <v>516</v>
      </c>
      <c r="H65" s="173"/>
      <c r="I65" s="171"/>
      <c r="J65" s="171"/>
      <c r="K65" t="s">
        <v>41</v>
      </c>
      <c r="L65" t="s">
        <v>343</v>
      </c>
      <c r="N65" t="s">
        <v>17</v>
      </c>
    </row>
    <row r="66" spans="1:14" x14ac:dyDescent="0.25">
      <c r="A66" s="174" t="s">
        <v>274</v>
      </c>
      <c r="B66" s="174"/>
      <c r="C66" s="174" t="s">
        <v>275</v>
      </c>
      <c r="D66" s="174"/>
      <c r="E66" s="174"/>
      <c r="F66" s="174"/>
      <c r="G66" s="175">
        <f>=SUM(G60:G65)</f>
      </c>
      <c r="H66" s="176">
        <f>=SUM(H60:H65)</f>
      </c>
      <c r="I66" s="174" t="s">
        <v>17</v>
      </c>
      <c r="J66" s="174" t="s">
        <v>17</v>
      </c>
    </row>
    <row r="68" spans="1:10" x14ac:dyDescent="0.25">
      <c r="A68" s="169" t="s">
        <v>739</v>
      </c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x14ac:dyDescent="0.25">
      <c r="A69" s="170" t="s">
        <v>98</v>
      </c>
      <c r="B69" s="170" t="s">
        <v>711</v>
      </c>
      <c r="C69" s="170" t="s">
        <v>99</v>
      </c>
      <c r="D69" s="170" t="s">
        <v>100</v>
      </c>
      <c r="E69" s="170" t="s">
        <v>101</v>
      </c>
      <c r="F69" s="170" t="s">
        <v>102</v>
      </c>
      <c r="G69" s="170" t="s">
        <v>103</v>
      </c>
      <c r="H69" s="170" t="s">
        <v>104</v>
      </c>
      <c r="I69" s="170" t="s">
        <v>105</v>
      </c>
      <c r="J69" s="170" t="s">
        <v>106</v>
      </c>
    </row>
    <row r="70" spans="1:14" x14ac:dyDescent="0.25">
      <c r="A70" s="171" t="s">
        <v>126</v>
      </c>
      <c r="B70" s="171" t="s">
        <v>740</v>
      </c>
      <c r="C70" s="171" t="s">
        <v>56</v>
      </c>
      <c r="D70" s="171" t="s">
        <v>108</v>
      </c>
      <c r="E70" s="171" t="s">
        <v>133</v>
      </c>
      <c r="F70" s="171" t="s">
        <v>46</v>
      </c>
      <c r="G70" s="172">
        <v>29</v>
      </c>
      <c r="H70" s="173">
        <v>0</v>
      </c>
      <c r="I70" s="171" t="s">
        <v>119</v>
      </c>
      <c r="J70" s="171" t="s">
        <v>128</v>
      </c>
      <c r="K70" t="s">
        <v>41</v>
      </c>
      <c r="L70" t="s">
        <v>343</v>
      </c>
      <c r="N70" t="s">
        <v>17</v>
      </c>
    </row>
    <row r="71" spans="1:14" x14ac:dyDescent="0.25">
      <c r="A71" s="171" t="s">
        <v>126</v>
      </c>
      <c r="B71" s="171" t="s">
        <v>740</v>
      </c>
      <c r="C71" s="171" t="s">
        <v>56</v>
      </c>
      <c r="D71" s="171" t="s">
        <v>108</v>
      </c>
      <c r="E71" s="171" t="s">
        <v>133</v>
      </c>
      <c r="F71" s="171" t="s">
        <v>46</v>
      </c>
      <c r="G71" s="172">
        <v>821</v>
      </c>
      <c r="H71" s="173"/>
      <c r="I71" s="171"/>
      <c r="J71" s="171"/>
      <c r="K71" t="s">
        <v>41</v>
      </c>
      <c r="L71" t="s">
        <v>343</v>
      </c>
      <c r="N71" t="s">
        <v>17</v>
      </c>
    </row>
    <row r="72" spans="1:14" x14ac:dyDescent="0.25">
      <c r="A72" s="171" t="s">
        <v>126</v>
      </c>
      <c r="B72" s="171" t="s">
        <v>729</v>
      </c>
      <c r="C72" s="171" t="s">
        <v>72</v>
      </c>
      <c r="D72" s="171" t="s">
        <v>108</v>
      </c>
      <c r="E72" s="171" t="s">
        <v>127</v>
      </c>
      <c r="F72" s="171" t="s">
        <v>46</v>
      </c>
      <c r="G72" s="172">
        <v>842</v>
      </c>
      <c r="H72" s="173"/>
      <c r="I72" s="171"/>
      <c r="J72" s="171"/>
      <c r="K72" t="s">
        <v>34</v>
      </c>
      <c r="L72" t="s">
        <v>341</v>
      </c>
      <c r="N72" t="s">
        <v>17</v>
      </c>
    </row>
    <row r="73" spans="1:14" x14ac:dyDescent="0.25">
      <c r="A73" s="171" t="s">
        <v>176</v>
      </c>
      <c r="B73" s="171" t="s">
        <v>732</v>
      </c>
      <c r="C73" s="171" t="s">
        <v>68</v>
      </c>
      <c r="D73" s="171" t="s">
        <v>17</v>
      </c>
      <c r="E73" s="171" t="s">
        <v>177</v>
      </c>
      <c r="F73" s="171" t="s">
        <v>32</v>
      </c>
      <c r="G73" s="172">
        <v>825</v>
      </c>
      <c r="H73" s="173">
        <v>0</v>
      </c>
      <c r="I73" s="171" t="s">
        <v>110</v>
      </c>
      <c r="J73" s="171" t="s">
        <v>178</v>
      </c>
      <c r="K73" t="s">
        <v>39</v>
      </c>
      <c r="L73" t="s">
        <v>342</v>
      </c>
      <c r="N73" t="s">
        <v>17</v>
      </c>
    </row>
    <row r="74" spans="1:14" x14ac:dyDescent="0.25">
      <c r="A74" s="171" t="s">
        <v>176</v>
      </c>
      <c r="B74" s="171" t="s">
        <v>733</v>
      </c>
      <c r="C74" s="171" t="s">
        <v>73</v>
      </c>
      <c r="D74" s="171" t="s">
        <v>17</v>
      </c>
      <c r="E74" s="171" t="s">
        <v>17</v>
      </c>
      <c r="F74" s="171" t="s">
        <v>32</v>
      </c>
      <c r="G74" s="172">
        <v>825</v>
      </c>
      <c r="H74" s="173"/>
      <c r="I74" s="171"/>
      <c r="J74" s="171"/>
      <c r="K74" t="s">
        <v>41</v>
      </c>
      <c r="L74" t="s">
        <v>343</v>
      </c>
      <c r="N74" t="s">
        <v>17</v>
      </c>
    </row>
    <row r="75" spans="1:14" x14ac:dyDescent="0.25">
      <c r="A75" s="174" t="s">
        <v>274</v>
      </c>
      <c r="B75" s="174"/>
      <c r="C75" s="174" t="s">
        <v>275</v>
      </c>
      <c r="D75" s="174"/>
      <c r="E75" s="174"/>
      <c r="F75" s="174"/>
      <c r="G75" s="175">
        <f>=SUM(G70:G74)</f>
      </c>
      <c r="H75" s="176">
        <f>=SUM(H70:H74)</f>
      </c>
      <c r="I75" s="174" t="s">
        <v>17</v>
      </c>
      <c r="J75" s="174" t="s">
        <v>17</v>
      </c>
    </row>
    <row r="77" spans="1:10" x14ac:dyDescent="0.25">
      <c r="A77" s="169" t="s">
        <v>741</v>
      </c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x14ac:dyDescent="0.25">
      <c r="A78" s="170" t="s">
        <v>98</v>
      </c>
      <c r="B78" s="170" t="s">
        <v>711</v>
      </c>
      <c r="C78" s="170" t="s">
        <v>99</v>
      </c>
      <c r="D78" s="170" t="s">
        <v>100</v>
      </c>
      <c r="E78" s="170" t="s">
        <v>101</v>
      </c>
      <c r="F78" s="170" t="s">
        <v>102</v>
      </c>
      <c r="G78" s="170" t="s">
        <v>103</v>
      </c>
      <c r="H78" s="170" t="s">
        <v>104</v>
      </c>
      <c r="I78" s="170" t="s">
        <v>105</v>
      </c>
      <c r="J78" s="170" t="s">
        <v>106</v>
      </c>
    </row>
    <row r="79" spans="1:14" x14ac:dyDescent="0.25">
      <c r="A79" s="171" t="s">
        <v>235</v>
      </c>
      <c r="B79" s="171" t="s">
        <v>742</v>
      </c>
      <c r="C79" s="171" t="s">
        <v>40</v>
      </c>
      <c r="D79" s="171" t="s">
        <v>117</v>
      </c>
      <c r="E79" s="171" t="s">
        <v>236</v>
      </c>
      <c r="F79" s="171" t="s">
        <v>32</v>
      </c>
      <c r="G79" s="172">
        <v>100</v>
      </c>
      <c r="H79" s="173">
        <v>1</v>
      </c>
      <c r="I79" s="171" t="s">
        <v>119</v>
      </c>
      <c r="J79" s="171" t="s">
        <v>17</v>
      </c>
      <c r="K79" t="s">
        <v>39</v>
      </c>
      <c r="L79" t="s">
        <v>342</v>
      </c>
      <c r="N79" t="s">
        <v>17</v>
      </c>
    </row>
    <row r="80" spans="1:14" x14ac:dyDescent="0.25">
      <c r="A80" s="171" t="s">
        <v>235</v>
      </c>
      <c r="B80" s="171" t="s">
        <v>742</v>
      </c>
      <c r="C80" s="171" t="s">
        <v>40</v>
      </c>
      <c r="D80" s="171" t="s">
        <v>117</v>
      </c>
      <c r="E80" s="171" t="s">
        <v>236</v>
      </c>
      <c r="F80" s="171" t="s">
        <v>32</v>
      </c>
      <c r="G80" s="172">
        <v>800</v>
      </c>
      <c r="H80" s="173">
        <v>0</v>
      </c>
      <c r="I80" s="171" t="s">
        <v>119</v>
      </c>
      <c r="J80" s="171" t="s">
        <v>17</v>
      </c>
      <c r="K80" t="s">
        <v>39</v>
      </c>
      <c r="L80" t="s">
        <v>342</v>
      </c>
      <c r="N80" t="s">
        <v>17</v>
      </c>
    </row>
    <row r="81" spans="1:14" x14ac:dyDescent="0.25">
      <c r="A81" s="174" t="s">
        <v>274</v>
      </c>
      <c r="B81" s="174"/>
      <c r="C81" s="174" t="s">
        <v>275</v>
      </c>
      <c r="D81" s="174"/>
      <c r="E81" s="174"/>
      <c r="F81" s="174"/>
      <c r="G81" s="175">
        <f>=SUM(G79:G80)</f>
      </c>
      <c r="H81" s="176">
        <f>=SUM(H79:H80)</f>
      </c>
      <c r="I81" s="174" t="s">
        <v>17</v>
      </c>
      <c r="J81" s="174" t="s">
        <v>17</v>
      </c>
    </row>
    <row r="83" spans="1:10" x14ac:dyDescent="0.25">
      <c r="A83" s="169" t="s">
        <v>743</v>
      </c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 x14ac:dyDescent="0.25">
      <c r="A84" s="170" t="s">
        <v>98</v>
      </c>
      <c r="B84" s="170" t="s">
        <v>711</v>
      </c>
      <c r="C84" s="170" t="s">
        <v>99</v>
      </c>
      <c r="D84" s="170" t="s">
        <v>100</v>
      </c>
      <c r="E84" s="170" t="s">
        <v>101</v>
      </c>
      <c r="F84" s="170" t="s">
        <v>102</v>
      </c>
      <c r="G84" s="170" t="s">
        <v>103</v>
      </c>
      <c r="H84" s="170" t="s">
        <v>104</v>
      </c>
      <c r="I84" s="170" t="s">
        <v>105</v>
      </c>
      <c r="J84" s="170" t="s">
        <v>106</v>
      </c>
    </row>
    <row r="85" spans="1:14" x14ac:dyDescent="0.25">
      <c r="A85" s="171" t="s">
        <v>197</v>
      </c>
      <c r="B85" s="171" t="s">
        <v>744</v>
      </c>
      <c r="C85" s="171" t="s">
        <v>198</v>
      </c>
      <c r="D85" s="171" t="s">
        <v>108</v>
      </c>
      <c r="E85" s="171" t="s">
        <v>199</v>
      </c>
      <c r="F85" s="171" t="s">
        <v>14</v>
      </c>
      <c r="G85" s="172">
        <v>1</v>
      </c>
      <c r="H85" s="173">
        <v>8</v>
      </c>
      <c r="I85" s="171" t="s">
        <v>110</v>
      </c>
      <c r="J85" s="171" t="s">
        <v>200</v>
      </c>
      <c r="K85" t="s">
        <v>330</v>
      </c>
      <c r="L85" t="s">
        <v>331</v>
      </c>
      <c r="N85" t="s">
        <v>333</v>
      </c>
    </row>
    <row r="86" spans="1:14" x14ac:dyDescent="0.25">
      <c r="A86" s="171" t="s">
        <v>197</v>
      </c>
      <c r="B86" s="171" t="s">
        <v>744</v>
      </c>
      <c r="C86" s="171" t="s">
        <v>198</v>
      </c>
      <c r="D86" s="171" t="s">
        <v>108</v>
      </c>
      <c r="E86" s="171" t="s">
        <v>199</v>
      </c>
      <c r="F86" s="171" t="s">
        <v>14</v>
      </c>
      <c r="G86" s="172">
        <v>1</v>
      </c>
      <c r="H86" s="173">
        <v>0</v>
      </c>
      <c r="I86" s="171" t="s">
        <v>110</v>
      </c>
      <c r="J86" s="171" t="s">
        <v>200</v>
      </c>
      <c r="K86" t="s">
        <v>330</v>
      </c>
      <c r="L86" t="s">
        <v>331</v>
      </c>
      <c r="N86" t="s">
        <v>333</v>
      </c>
    </row>
    <row r="87" spans="1:14" x14ac:dyDescent="0.25">
      <c r="A87" s="171" t="s">
        <v>197</v>
      </c>
      <c r="B87" s="171" t="s">
        <v>744</v>
      </c>
      <c r="C87" s="171" t="s">
        <v>198</v>
      </c>
      <c r="D87" s="171" t="s">
        <v>108</v>
      </c>
      <c r="E87" s="171" t="s">
        <v>199</v>
      </c>
      <c r="F87" s="171" t="s">
        <v>14</v>
      </c>
      <c r="G87" s="172">
        <v>7</v>
      </c>
      <c r="H87" s="173"/>
      <c r="I87" s="171"/>
      <c r="J87" s="171"/>
      <c r="K87" t="s">
        <v>330</v>
      </c>
      <c r="L87" t="s">
        <v>331</v>
      </c>
      <c r="N87" t="s">
        <v>333</v>
      </c>
    </row>
    <row r="88" spans="1:14" x14ac:dyDescent="0.25">
      <c r="A88" s="171" t="s">
        <v>197</v>
      </c>
      <c r="B88" s="171" t="s">
        <v>744</v>
      </c>
      <c r="C88" s="171" t="s">
        <v>198</v>
      </c>
      <c r="D88" s="171" t="s">
        <v>108</v>
      </c>
      <c r="E88" s="171" t="s">
        <v>199</v>
      </c>
      <c r="F88" s="171" t="s">
        <v>14</v>
      </c>
      <c r="G88" s="172">
        <v>51</v>
      </c>
      <c r="H88" s="173"/>
      <c r="I88" s="171"/>
      <c r="J88" s="171"/>
      <c r="K88" t="s">
        <v>330</v>
      </c>
      <c r="L88" t="s">
        <v>331</v>
      </c>
      <c r="N88" t="s">
        <v>333</v>
      </c>
    </row>
    <row r="89" spans="1:14" x14ac:dyDescent="0.25">
      <c r="A89" s="171" t="s">
        <v>197</v>
      </c>
      <c r="B89" s="171" t="s">
        <v>744</v>
      </c>
      <c r="C89" s="171" t="s">
        <v>198</v>
      </c>
      <c r="D89" s="171" t="s">
        <v>108</v>
      </c>
      <c r="E89" s="171" t="s">
        <v>199</v>
      </c>
      <c r="F89" s="171" t="s">
        <v>14</v>
      </c>
      <c r="G89" s="172">
        <v>73</v>
      </c>
      <c r="H89" s="173"/>
      <c r="I89" s="171"/>
      <c r="J89" s="171"/>
      <c r="K89" t="s">
        <v>330</v>
      </c>
      <c r="L89" t="s">
        <v>331</v>
      </c>
      <c r="N89" t="s">
        <v>333</v>
      </c>
    </row>
    <row r="90" spans="1:14" x14ac:dyDescent="0.25">
      <c r="A90" s="171" t="s">
        <v>197</v>
      </c>
      <c r="B90" s="171" t="s">
        <v>744</v>
      </c>
      <c r="C90" s="171" t="s">
        <v>198</v>
      </c>
      <c r="D90" s="171" t="s">
        <v>108</v>
      </c>
      <c r="E90" s="171" t="s">
        <v>199</v>
      </c>
      <c r="F90" s="171" t="s">
        <v>14</v>
      </c>
      <c r="G90" s="172">
        <v>80</v>
      </c>
      <c r="H90" s="173"/>
      <c r="I90" s="171"/>
      <c r="J90" s="171"/>
      <c r="K90" t="s">
        <v>330</v>
      </c>
      <c r="L90" t="s">
        <v>331</v>
      </c>
      <c r="N90" t="s">
        <v>333</v>
      </c>
    </row>
    <row r="91" spans="1:14" x14ac:dyDescent="0.25">
      <c r="A91" s="171" t="s">
        <v>197</v>
      </c>
      <c r="B91" s="171" t="s">
        <v>744</v>
      </c>
      <c r="C91" s="171" t="s">
        <v>198</v>
      </c>
      <c r="D91" s="171" t="s">
        <v>108</v>
      </c>
      <c r="E91" s="171" t="s">
        <v>199</v>
      </c>
      <c r="F91" s="171" t="s">
        <v>14</v>
      </c>
      <c r="G91" s="172">
        <v>182</v>
      </c>
      <c r="H91" s="173"/>
      <c r="I91" s="171"/>
      <c r="J91" s="171"/>
      <c r="K91" t="s">
        <v>330</v>
      </c>
      <c r="L91" t="s">
        <v>331</v>
      </c>
      <c r="N91" t="s">
        <v>333</v>
      </c>
    </row>
    <row r="92" spans="1:14" x14ac:dyDescent="0.25">
      <c r="A92" s="171" t="s">
        <v>203</v>
      </c>
      <c r="B92" s="171" t="s">
        <v>745</v>
      </c>
      <c r="C92" s="171" t="s">
        <v>35</v>
      </c>
      <c r="D92" s="171" t="s">
        <v>204</v>
      </c>
      <c r="E92" s="171" t="s">
        <v>205</v>
      </c>
      <c r="F92" s="171" t="s">
        <v>32</v>
      </c>
      <c r="G92" s="172">
        <v>1034</v>
      </c>
      <c r="H92" s="173">
        <v>6</v>
      </c>
      <c r="I92" s="171" t="s">
        <v>125</v>
      </c>
      <c r="J92" s="171" t="s">
        <v>200</v>
      </c>
      <c r="K92" t="s">
        <v>34</v>
      </c>
      <c r="L92" t="s">
        <v>341</v>
      </c>
      <c r="N92" t="s">
        <v>17</v>
      </c>
    </row>
    <row r="93" spans="1:14" x14ac:dyDescent="0.25">
      <c r="A93" s="171" t="s">
        <v>203</v>
      </c>
      <c r="B93" s="171" t="s">
        <v>745</v>
      </c>
      <c r="C93" s="171" t="s">
        <v>35</v>
      </c>
      <c r="D93" s="171" t="s">
        <v>204</v>
      </c>
      <c r="E93" s="171" t="s">
        <v>205</v>
      </c>
      <c r="F93" s="171" t="s">
        <v>32</v>
      </c>
      <c r="G93" s="172">
        <v>1040</v>
      </c>
      <c r="H93" s="173">
        <v>0</v>
      </c>
      <c r="I93" s="171" t="s">
        <v>125</v>
      </c>
      <c r="J93" s="171" t="s">
        <v>200</v>
      </c>
      <c r="K93" t="s">
        <v>34</v>
      </c>
      <c r="L93" t="s">
        <v>341</v>
      </c>
      <c r="N93" t="s">
        <v>17</v>
      </c>
    </row>
    <row r="94" spans="1:14" x14ac:dyDescent="0.25">
      <c r="A94" s="171" t="s">
        <v>203</v>
      </c>
      <c r="B94" s="171" t="s">
        <v>745</v>
      </c>
      <c r="C94" s="171" t="s">
        <v>35</v>
      </c>
      <c r="D94" s="171" t="s">
        <v>204</v>
      </c>
      <c r="E94" s="171" t="s">
        <v>205</v>
      </c>
      <c r="F94" s="171" t="s">
        <v>32</v>
      </c>
      <c r="G94" s="172">
        <v>3087</v>
      </c>
      <c r="H94" s="173"/>
      <c r="I94" s="171"/>
      <c r="J94" s="171"/>
      <c r="K94" t="s">
        <v>34</v>
      </c>
      <c r="L94" t="s">
        <v>341</v>
      </c>
      <c r="N94" t="s">
        <v>17</v>
      </c>
    </row>
    <row r="95" spans="1:14" x14ac:dyDescent="0.25">
      <c r="A95" s="171" t="s">
        <v>203</v>
      </c>
      <c r="B95" s="171" t="s">
        <v>745</v>
      </c>
      <c r="C95" s="171" t="s">
        <v>35</v>
      </c>
      <c r="D95" s="171" t="s">
        <v>204</v>
      </c>
      <c r="E95" s="171" t="s">
        <v>205</v>
      </c>
      <c r="F95" s="171" t="s">
        <v>32</v>
      </c>
      <c r="G95" s="172">
        <v>6697</v>
      </c>
      <c r="H95" s="173"/>
      <c r="I95" s="171"/>
      <c r="J95" s="171"/>
      <c r="K95" t="s">
        <v>34</v>
      </c>
      <c r="L95" t="s">
        <v>341</v>
      </c>
      <c r="N95" t="s">
        <v>17</v>
      </c>
    </row>
    <row r="96" spans="1:14" x14ac:dyDescent="0.25">
      <c r="A96" s="171" t="s">
        <v>203</v>
      </c>
      <c r="B96" s="171" t="s">
        <v>746</v>
      </c>
      <c r="C96" s="171" t="s">
        <v>36</v>
      </c>
      <c r="D96" s="171" t="s">
        <v>204</v>
      </c>
      <c r="E96" s="171" t="s">
        <v>206</v>
      </c>
      <c r="F96" s="171" t="s">
        <v>32</v>
      </c>
      <c r="G96" s="172">
        <v>1034</v>
      </c>
      <c r="H96" s="173"/>
      <c r="I96" s="171"/>
      <c r="J96" s="171"/>
      <c r="K96" t="s">
        <v>34</v>
      </c>
      <c r="L96" t="s">
        <v>341</v>
      </c>
      <c r="N96" t="s">
        <v>17</v>
      </c>
    </row>
    <row r="97" spans="1:14" x14ac:dyDescent="0.25">
      <c r="A97" s="171" t="s">
        <v>203</v>
      </c>
      <c r="B97" s="171" t="s">
        <v>746</v>
      </c>
      <c r="C97" s="171" t="s">
        <v>36</v>
      </c>
      <c r="D97" s="171" t="s">
        <v>204</v>
      </c>
      <c r="E97" s="171" t="s">
        <v>206</v>
      </c>
      <c r="F97" s="171" t="s">
        <v>32</v>
      </c>
      <c r="G97" s="172">
        <v>1040</v>
      </c>
      <c r="H97" s="173"/>
      <c r="I97" s="171"/>
      <c r="J97" s="171"/>
      <c r="K97" t="s">
        <v>34</v>
      </c>
      <c r="L97" t="s">
        <v>341</v>
      </c>
      <c r="N97" t="s">
        <v>17</v>
      </c>
    </row>
    <row r="98" spans="1:14" x14ac:dyDescent="0.25">
      <c r="A98" s="171" t="s">
        <v>203</v>
      </c>
      <c r="B98" s="171" t="s">
        <v>746</v>
      </c>
      <c r="C98" s="171" t="s">
        <v>36</v>
      </c>
      <c r="D98" s="171" t="s">
        <v>204</v>
      </c>
      <c r="E98" s="171" t="s">
        <v>206</v>
      </c>
      <c r="F98" s="171" t="s">
        <v>32</v>
      </c>
      <c r="G98" s="172">
        <v>3087</v>
      </c>
      <c r="H98" s="173"/>
      <c r="I98" s="171"/>
      <c r="J98" s="171"/>
      <c r="K98" t="s">
        <v>34</v>
      </c>
      <c r="L98" t="s">
        <v>341</v>
      </c>
      <c r="N98" t="s">
        <v>17</v>
      </c>
    </row>
    <row r="99" spans="1:14" x14ac:dyDescent="0.25">
      <c r="A99" s="171" t="s">
        <v>203</v>
      </c>
      <c r="B99" s="171" t="s">
        <v>746</v>
      </c>
      <c r="C99" s="171" t="s">
        <v>36</v>
      </c>
      <c r="D99" s="171" t="s">
        <v>204</v>
      </c>
      <c r="E99" s="171" t="s">
        <v>206</v>
      </c>
      <c r="F99" s="171" t="s">
        <v>32</v>
      </c>
      <c r="G99" s="172">
        <v>6697</v>
      </c>
      <c r="H99" s="173"/>
      <c r="I99" s="171"/>
      <c r="J99" s="171"/>
      <c r="K99" t="s">
        <v>34</v>
      </c>
      <c r="L99" t="s">
        <v>341</v>
      </c>
      <c r="N99" t="s">
        <v>17</v>
      </c>
    </row>
    <row r="100" spans="1:14" x14ac:dyDescent="0.25">
      <c r="A100" s="171" t="s">
        <v>203</v>
      </c>
      <c r="B100" s="171" t="s">
        <v>747</v>
      </c>
      <c r="C100" s="171" t="s">
        <v>37</v>
      </c>
      <c r="D100" s="171" t="s">
        <v>204</v>
      </c>
      <c r="E100" s="171" t="s">
        <v>207</v>
      </c>
      <c r="F100" s="171" t="s">
        <v>32</v>
      </c>
      <c r="G100" s="172">
        <v>3087</v>
      </c>
      <c r="H100" s="173"/>
      <c r="I100" s="171"/>
      <c r="J100" s="171"/>
      <c r="K100" t="s">
        <v>34</v>
      </c>
      <c r="L100" t="s">
        <v>341</v>
      </c>
      <c r="N100" t="s">
        <v>17</v>
      </c>
    </row>
    <row r="101" spans="1:14" x14ac:dyDescent="0.25">
      <c r="A101" s="171" t="s">
        <v>203</v>
      </c>
      <c r="B101" s="171" t="s">
        <v>747</v>
      </c>
      <c r="C101" s="171" t="s">
        <v>37</v>
      </c>
      <c r="D101" s="171" t="s">
        <v>204</v>
      </c>
      <c r="E101" s="171" t="s">
        <v>207</v>
      </c>
      <c r="F101" s="171" t="s">
        <v>32</v>
      </c>
      <c r="G101" s="172">
        <v>3101</v>
      </c>
      <c r="H101" s="173"/>
      <c r="I101" s="171"/>
      <c r="J101" s="171"/>
      <c r="K101" t="s">
        <v>34</v>
      </c>
      <c r="L101" t="s">
        <v>341</v>
      </c>
      <c r="N101" t="s">
        <v>17</v>
      </c>
    </row>
    <row r="102" spans="1:14" x14ac:dyDescent="0.25">
      <c r="A102" s="171" t="s">
        <v>203</v>
      </c>
      <c r="B102" s="171" t="s">
        <v>747</v>
      </c>
      <c r="C102" s="171" t="s">
        <v>37</v>
      </c>
      <c r="D102" s="171" t="s">
        <v>204</v>
      </c>
      <c r="E102" s="171" t="s">
        <v>207</v>
      </c>
      <c r="F102" s="171" t="s">
        <v>32</v>
      </c>
      <c r="G102" s="172">
        <v>5130</v>
      </c>
      <c r="H102" s="173"/>
      <c r="I102" s="171"/>
      <c r="J102" s="171"/>
      <c r="K102" t="s">
        <v>34</v>
      </c>
      <c r="L102" t="s">
        <v>341</v>
      </c>
      <c r="N102" t="s">
        <v>17</v>
      </c>
    </row>
    <row r="103" spans="1:14" x14ac:dyDescent="0.25">
      <c r="A103" s="171" t="s">
        <v>203</v>
      </c>
      <c r="B103" s="171" t="s">
        <v>747</v>
      </c>
      <c r="C103" s="171" t="s">
        <v>37</v>
      </c>
      <c r="D103" s="171" t="s">
        <v>204</v>
      </c>
      <c r="E103" s="171" t="s">
        <v>207</v>
      </c>
      <c r="F103" s="171" t="s">
        <v>32</v>
      </c>
      <c r="G103" s="172">
        <v>11151</v>
      </c>
      <c r="H103" s="173"/>
      <c r="I103" s="171"/>
      <c r="J103" s="171"/>
      <c r="K103" t="s">
        <v>34</v>
      </c>
      <c r="L103" t="s">
        <v>341</v>
      </c>
      <c r="N103" t="s">
        <v>17</v>
      </c>
    </row>
    <row r="104" spans="1:14" x14ac:dyDescent="0.25">
      <c r="A104" s="171" t="s">
        <v>203</v>
      </c>
      <c r="B104" s="171" t="s">
        <v>748</v>
      </c>
      <c r="C104" s="171" t="s">
        <v>38</v>
      </c>
      <c r="D104" s="171" t="s">
        <v>204</v>
      </c>
      <c r="E104" s="171" t="s">
        <v>208</v>
      </c>
      <c r="F104" s="171" t="s">
        <v>32</v>
      </c>
      <c r="G104" s="172">
        <v>3087</v>
      </c>
      <c r="H104" s="173"/>
      <c r="I104" s="171"/>
      <c r="J104" s="171"/>
      <c r="K104" t="s">
        <v>34</v>
      </c>
      <c r="L104" t="s">
        <v>341</v>
      </c>
      <c r="N104" t="s">
        <v>17</v>
      </c>
    </row>
    <row r="105" spans="1:14" x14ac:dyDescent="0.25">
      <c r="A105" s="171" t="s">
        <v>203</v>
      </c>
      <c r="B105" s="171" t="s">
        <v>748</v>
      </c>
      <c r="C105" s="171" t="s">
        <v>38</v>
      </c>
      <c r="D105" s="171" t="s">
        <v>204</v>
      </c>
      <c r="E105" s="171" t="s">
        <v>208</v>
      </c>
      <c r="F105" s="171" t="s">
        <v>32</v>
      </c>
      <c r="G105" s="172">
        <v>3101</v>
      </c>
      <c r="H105" s="173"/>
      <c r="I105" s="171"/>
      <c r="J105" s="171"/>
      <c r="K105" t="s">
        <v>34</v>
      </c>
      <c r="L105" t="s">
        <v>341</v>
      </c>
      <c r="N105" t="s">
        <v>17</v>
      </c>
    </row>
    <row r="106" spans="1:14" x14ac:dyDescent="0.25">
      <c r="A106" s="171" t="s">
        <v>203</v>
      </c>
      <c r="B106" s="171" t="s">
        <v>748</v>
      </c>
      <c r="C106" s="171" t="s">
        <v>38</v>
      </c>
      <c r="D106" s="171" t="s">
        <v>204</v>
      </c>
      <c r="E106" s="171" t="s">
        <v>208</v>
      </c>
      <c r="F106" s="171" t="s">
        <v>32</v>
      </c>
      <c r="G106" s="172">
        <v>5130</v>
      </c>
      <c r="H106" s="173"/>
      <c r="I106" s="171"/>
      <c r="J106" s="171"/>
      <c r="K106" t="s">
        <v>34</v>
      </c>
      <c r="L106" t="s">
        <v>341</v>
      </c>
      <c r="N106" t="s">
        <v>17</v>
      </c>
    </row>
    <row r="107" spans="1:14" x14ac:dyDescent="0.25">
      <c r="A107" s="171" t="s">
        <v>203</v>
      </c>
      <c r="B107" s="171" t="s">
        <v>748</v>
      </c>
      <c r="C107" s="171" t="s">
        <v>38</v>
      </c>
      <c r="D107" s="171" t="s">
        <v>204</v>
      </c>
      <c r="E107" s="171" t="s">
        <v>208</v>
      </c>
      <c r="F107" s="171" t="s">
        <v>32</v>
      </c>
      <c r="G107" s="172">
        <v>11151</v>
      </c>
      <c r="H107" s="173"/>
      <c r="I107" s="171"/>
      <c r="J107" s="171"/>
      <c r="K107" t="s">
        <v>34</v>
      </c>
      <c r="L107" t="s">
        <v>341</v>
      </c>
      <c r="N107" t="s">
        <v>17</v>
      </c>
    </row>
    <row r="108" spans="1:14" x14ac:dyDescent="0.25">
      <c r="A108" s="171" t="s">
        <v>203</v>
      </c>
      <c r="B108" s="171" t="s">
        <v>749</v>
      </c>
      <c r="C108" s="171" t="s">
        <v>43</v>
      </c>
      <c r="D108" s="171" t="s">
        <v>209</v>
      </c>
      <c r="E108" s="171" t="s">
        <v>210</v>
      </c>
      <c r="F108" s="171" t="s">
        <v>32</v>
      </c>
      <c r="G108" s="172">
        <v>1029</v>
      </c>
      <c r="H108" s="173"/>
      <c r="I108" s="171"/>
      <c r="J108" s="171"/>
      <c r="K108" t="s">
        <v>41</v>
      </c>
      <c r="L108" t="s">
        <v>343</v>
      </c>
      <c r="N108" t="s">
        <v>17</v>
      </c>
    </row>
    <row r="109" spans="1:14" x14ac:dyDescent="0.25">
      <c r="A109" s="171" t="s">
        <v>203</v>
      </c>
      <c r="B109" s="171" t="s">
        <v>749</v>
      </c>
      <c r="C109" s="171" t="s">
        <v>43</v>
      </c>
      <c r="D109" s="171" t="s">
        <v>209</v>
      </c>
      <c r="E109" s="171" t="s">
        <v>210</v>
      </c>
      <c r="F109" s="171" t="s">
        <v>32</v>
      </c>
      <c r="G109" s="172">
        <v>1029</v>
      </c>
      <c r="H109" s="173"/>
      <c r="I109" s="171"/>
      <c r="J109" s="171"/>
      <c r="K109" t="s">
        <v>41</v>
      </c>
      <c r="L109" t="s">
        <v>343</v>
      </c>
      <c r="N109" t="s">
        <v>17</v>
      </c>
    </row>
    <row r="110" spans="1:14" x14ac:dyDescent="0.25">
      <c r="A110" s="171" t="s">
        <v>203</v>
      </c>
      <c r="B110" s="171" t="s">
        <v>749</v>
      </c>
      <c r="C110" s="171" t="s">
        <v>43</v>
      </c>
      <c r="D110" s="171" t="s">
        <v>209</v>
      </c>
      <c r="E110" s="171" t="s">
        <v>210</v>
      </c>
      <c r="F110" s="171" t="s">
        <v>32</v>
      </c>
      <c r="G110" s="172">
        <v>1034</v>
      </c>
      <c r="H110" s="173"/>
      <c r="I110" s="171"/>
      <c r="J110" s="171"/>
      <c r="K110" t="s">
        <v>41</v>
      </c>
      <c r="L110" t="s">
        <v>343</v>
      </c>
      <c r="N110" t="s">
        <v>17</v>
      </c>
    </row>
    <row r="111" spans="1:14" x14ac:dyDescent="0.25">
      <c r="A111" s="171" t="s">
        <v>203</v>
      </c>
      <c r="B111" s="171" t="s">
        <v>749</v>
      </c>
      <c r="C111" s="171" t="s">
        <v>43</v>
      </c>
      <c r="D111" s="171" t="s">
        <v>209</v>
      </c>
      <c r="E111" s="171" t="s">
        <v>210</v>
      </c>
      <c r="F111" s="171" t="s">
        <v>32</v>
      </c>
      <c r="G111" s="172">
        <v>2239</v>
      </c>
      <c r="H111" s="173"/>
      <c r="I111" s="171"/>
      <c r="J111" s="171"/>
      <c r="K111" t="s">
        <v>41</v>
      </c>
      <c r="L111" t="s">
        <v>343</v>
      </c>
      <c r="N111" t="s">
        <v>17</v>
      </c>
    </row>
    <row r="112" spans="1:14" x14ac:dyDescent="0.25">
      <c r="A112" s="171" t="s">
        <v>203</v>
      </c>
      <c r="B112" s="171" t="s">
        <v>750</v>
      </c>
      <c r="C112" s="171" t="s">
        <v>45</v>
      </c>
      <c r="D112" s="171" t="s">
        <v>204</v>
      </c>
      <c r="E112" s="171" t="s">
        <v>211</v>
      </c>
      <c r="F112" s="171" t="s">
        <v>46</v>
      </c>
      <c r="G112" s="172">
        <v>4116</v>
      </c>
      <c r="H112" s="173"/>
      <c r="I112" s="171"/>
      <c r="J112" s="171"/>
      <c r="K112" t="s">
        <v>44</v>
      </c>
      <c r="L112" t="s">
        <v>344</v>
      </c>
      <c r="N112" t="s">
        <v>17</v>
      </c>
    </row>
    <row r="113" spans="1:14" x14ac:dyDescent="0.25">
      <c r="A113" s="171" t="s">
        <v>203</v>
      </c>
      <c r="B113" s="171" t="s">
        <v>750</v>
      </c>
      <c r="C113" s="171" t="s">
        <v>45</v>
      </c>
      <c r="D113" s="171" t="s">
        <v>204</v>
      </c>
      <c r="E113" s="171" t="s">
        <v>211</v>
      </c>
      <c r="F113" s="171" t="s">
        <v>46</v>
      </c>
      <c r="G113" s="172">
        <v>4116</v>
      </c>
      <c r="H113" s="173"/>
      <c r="I113" s="171"/>
      <c r="J113" s="171"/>
      <c r="K113" t="s">
        <v>44</v>
      </c>
      <c r="L113" t="s">
        <v>344</v>
      </c>
      <c r="N113" t="s">
        <v>17</v>
      </c>
    </row>
    <row r="114" spans="1:14" x14ac:dyDescent="0.25">
      <c r="A114" s="171" t="s">
        <v>203</v>
      </c>
      <c r="B114" s="171" t="s">
        <v>750</v>
      </c>
      <c r="C114" s="171" t="s">
        <v>45</v>
      </c>
      <c r="D114" s="171" t="s">
        <v>204</v>
      </c>
      <c r="E114" s="171" t="s">
        <v>211</v>
      </c>
      <c r="F114" s="171" t="s">
        <v>46</v>
      </c>
      <c r="G114" s="172">
        <v>4134</v>
      </c>
      <c r="H114" s="173"/>
      <c r="I114" s="171"/>
      <c r="J114" s="171"/>
      <c r="K114" t="s">
        <v>44</v>
      </c>
      <c r="L114" t="s">
        <v>344</v>
      </c>
      <c r="N114" t="s">
        <v>17</v>
      </c>
    </row>
    <row r="115" spans="1:14" x14ac:dyDescent="0.25">
      <c r="A115" s="171" t="s">
        <v>203</v>
      </c>
      <c r="B115" s="171" t="s">
        <v>750</v>
      </c>
      <c r="C115" s="171" t="s">
        <v>45</v>
      </c>
      <c r="D115" s="171" t="s">
        <v>204</v>
      </c>
      <c r="E115" s="171" t="s">
        <v>211</v>
      </c>
      <c r="F115" s="171" t="s">
        <v>46</v>
      </c>
      <c r="G115" s="172">
        <v>8930</v>
      </c>
      <c r="H115" s="173"/>
      <c r="I115" s="171"/>
      <c r="J115" s="171"/>
      <c r="K115" t="s">
        <v>44</v>
      </c>
      <c r="L115" t="s">
        <v>344</v>
      </c>
      <c r="N115" t="s">
        <v>17</v>
      </c>
    </row>
    <row r="116" spans="1:14" x14ac:dyDescent="0.25">
      <c r="A116" s="171" t="s">
        <v>203</v>
      </c>
      <c r="B116" s="171" t="s">
        <v>751</v>
      </c>
      <c r="C116" s="171" t="s">
        <v>76</v>
      </c>
      <c r="D116" s="171" t="s">
        <v>212</v>
      </c>
      <c r="E116" s="171" t="s">
        <v>213</v>
      </c>
      <c r="F116" s="171" t="s">
        <v>32</v>
      </c>
      <c r="G116" s="172">
        <v>1035</v>
      </c>
      <c r="H116" s="173"/>
      <c r="I116" s="171"/>
      <c r="J116" s="171"/>
      <c r="K116" t="s">
        <v>34</v>
      </c>
      <c r="L116" t="s">
        <v>341</v>
      </c>
      <c r="N116" t="s">
        <v>17</v>
      </c>
    </row>
    <row r="117" spans="1:14" x14ac:dyDescent="0.25">
      <c r="A117" s="171" t="s">
        <v>203</v>
      </c>
      <c r="B117" s="171" t="s">
        <v>752</v>
      </c>
      <c r="C117" s="171" t="s">
        <v>76</v>
      </c>
      <c r="D117" s="171" t="s">
        <v>212</v>
      </c>
      <c r="E117" s="171" t="s">
        <v>214</v>
      </c>
      <c r="F117" s="171" t="s">
        <v>32</v>
      </c>
      <c r="G117" s="172">
        <v>1035</v>
      </c>
      <c r="H117" s="173"/>
      <c r="I117" s="171"/>
      <c r="J117" s="171"/>
      <c r="K117" t="s">
        <v>34</v>
      </c>
      <c r="L117" t="s">
        <v>341</v>
      </c>
      <c r="N117" t="s">
        <v>17</v>
      </c>
    </row>
    <row r="118" spans="1:14" x14ac:dyDescent="0.25">
      <c r="A118" s="171" t="s">
        <v>203</v>
      </c>
      <c r="B118" s="171" t="s">
        <v>751</v>
      </c>
      <c r="C118" s="171" t="s">
        <v>76</v>
      </c>
      <c r="D118" s="171" t="s">
        <v>212</v>
      </c>
      <c r="E118" s="171" t="s">
        <v>213</v>
      </c>
      <c r="F118" s="171" t="s">
        <v>32</v>
      </c>
      <c r="G118" s="172">
        <v>2250</v>
      </c>
      <c r="H118" s="173"/>
      <c r="I118" s="171"/>
      <c r="J118" s="171"/>
      <c r="K118" t="s">
        <v>34</v>
      </c>
      <c r="L118" t="s">
        <v>341</v>
      </c>
      <c r="N118" t="s">
        <v>17</v>
      </c>
    </row>
    <row r="119" spans="1:14" x14ac:dyDescent="0.25">
      <c r="A119" s="171" t="s">
        <v>203</v>
      </c>
      <c r="B119" s="171" t="s">
        <v>752</v>
      </c>
      <c r="C119" s="171" t="s">
        <v>76</v>
      </c>
      <c r="D119" s="171" t="s">
        <v>212</v>
      </c>
      <c r="E119" s="171" t="s">
        <v>214</v>
      </c>
      <c r="F119" s="171" t="s">
        <v>32</v>
      </c>
      <c r="G119" s="172">
        <v>2250</v>
      </c>
      <c r="H119" s="173"/>
      <c r="I119" s="171"/>
      <c r="J119" s="171"/>
      <c r="K119" t="s">
        <v>34</v>
      </c>
      <c r="L119" t="s">
        <v>341</v>
      </c>
      <c r="N119" t="s">
        <v>17</v>
      </c>
    </row>
    <row r="120" spans="1:14" x14ac:dyDescent="0.25">
      <c r="A120" s="171" t="s">
        <v>203</v>
      </c>
      <c r="B120" s="171" t="s">
        <v>753</v>
      </c>
      <c r="C120" s="171" t="s">
        <v>77</v>
      </c>
      <c r="D120" s="171" t="s">
        <v>212</v>
      </c>
      <c r="E120" s="171" t="s">
        <v>215</v>
      </c>
      <c r="F120" s="171" t="s">
        <v>32</v>
      </c>
      <c r="G120" s="172">
        <v>1040</v>
      </c>
      <c r="H120" s="173"/>
      <c r="I120" s="171"/>
      <c r="J120" s="171"/>
      <c r="K120" t="s">
        <v>34</v>
      </c>
      <c r="L120" t="s">
        <v>341</v>
      </c>
      <c r="N120" t="s">
        <v>17</v>
      </c>
    </row>
    <row r="121" spans="1:14" x14ac:dyDescent="0.25">
      <c r="A121" s="171" t="s">
        <v>203</v>
      </c>
      <c r="B121" s="171" t="s">
        <v>753</v>
      </c>
      <c r="C121" s="171" t="s">
        <v>77</v>
      </c>
      <c r="D121" s="171" t="s">
        <v>212</v>
      </c>
      <c r="E121" s="171" t="s">
        <v>215</v>
      </c>
      <c r="F121" s="171" t="s">
        <v>32</v>
      </c>
      <c r="G121" s="172">
        <v>3087</v>
      </c>
      <c r="H121" s="173"/>
      <c r="I121" s="171"/>
      <c r="J121" s="171"/>
      <c r="K121" t="s">
        <v>34</v>
      </c>
      <c r="L121" t="s">
        <v>341</v>
      </c>
      <c r="N121" t="s">
        <v>17</v>
      </c>
    </row>
    <row r="122" spans="1:14" x14ac:dyDescent="0.25">
      <c r="A122" s="171" t="s">
        <v>203</v>
      </c>
      <c r="B122" s="171" t="s">
        <v>754</v>
      </c>
      <c r="C122" s="171" t="s">
        <v>77</v>
      </c>
      <c r="D122" s="171" t="s">
        <v>212</v>
      </c>
      <c r="E122" s="171" t="s">
        <v>216</v>
      </c>
      <c r="F122" s="171" t="s">
        <v>32</v>
      </c>
      <c r="G122" s="172">
        <v>3100</v>
      </c>
      <c r="H122" s="173"/>
      <c r="I122" s="171"/>
      <c r="J122" s="171"/>
      <c r="K122" t="s">
        <v>34</v>
      </c>
      <c r="L122" t="s">
        <v>341</v>
      </c>
      <c r="N122" t="s">
        <v>17</v>
      </c>
    </row>
    <row r="123" spans="1:14" x14ac:dyDescent="0.25">
      <c r="A123" s="171" t="s">
        <v>203</v>
      </c>
      <c r="B123" s="171" t="s">
        <v>754</v>
      </c>
      <c r="C123" s="171" t="s">
        <v>77</v>
      </c>
      <c r="D123" s="171" t="s">
        <v>212</v>
      </c>
      <c r="E123" s="171" t="s">
        <v>216</v>
      </c>
      <c r="F123" s="171" t="s">
        <v>32</v>
      </c>
      <c r="G123" s="172">
        <v>5130</v>
      </c>
      <c r="H123" s="173"/>
      <c r="I123" s="171"/>
      <c r="J123" s="171"/>
      <c r="K123" t="s">
        <v>34</v>
      </c>
      <c r="L123" t="s">
        <v>341</v>
      </c>
      <c r="N123" t="s">
        <v>17</v>
      </c>
    </row>
    <row r="124" spans="1:14" x14ac:dyDescent="0.25">
      <c r="A124" s="171" t="s">
        <v>203</v>
      </c>
      <c r="B124" s="171" t="s">
        <v>753</v>
      </c>
      <c r="C124" s="171" t="s">
        <v>77</v>
      </c>
      <c r="D124" s="171" t="s">
        <v>212</v>
      </c>
      <c r="E124" s="171" t="s">
        <v>215</v>
      </c>
      <c r="F124" s="171" t="s">
        <v>32</v>
      </c>
      <c r="G124" s="172">
        <v>6697</v>
      </c>
      <c r="H124" s="173"/>
      <c r="I124" s="171"/>
      <c r="J124" s="171"/>
      <c r="K124" t="s">
        <v>34</v>
      </c>
      <c r="L124" t="s">
        <v>341</v>
      </c>
      <c r="N124" t="s">
        <v>17</v>
      </c>
    </row>
    <row r="125" spans="1:14" x14ac:dyDescent="0.25">
      <c r="A125" s="171" t="s">
        <v>203</v>
      </c>
      <c r="B125" s="171" t="s">
        <v>754</v>
      </c>
      <c r="C125" s="171" t="s">
        <v>77</v>
      </c>
      <c r="D125" s="171" t="s">
        <v>212</v>
      </c>
      <c r="E125" s="171" t="s">
        <v>216</v>
      </c>
      <c r="F125" s="171" t="s">
        <v>32</v>
      </c>
      <c r="G125" s="172">
        <v>11151</v>
      </c>
      <c r="H125" s="173"/>
      <c r="I125" s="171"/>
      <c r="J125" s="171"/>
      <c r="K125" t="s">
        <v>34</v>
      </c>
      <c r="L125" t="s">
        <v>341</v>
      </c>
      <c r="N125" t="s">
        <v>17</v>
      </c>
    </row>
    <row r="126" spans="1:14" x14ac:dyDescent="0.25">
      <c r="A126" s="174" t="s">
        <v>274</v>
      </c>
      <c r="B126" s="174"/>
      <c r="C126" s="174" t="s">
        <v>275</v>
      </c>
      <c r="D126" s="174"/>
      <c r="E126" s="174"/>
      <c r="F126" s="174"/>
      <c r="G126" s="175">
        <f>=SUM(G85:G125)</f>
      </c>
      <c r="H126" s="176">
        <f>=SUM(H85:H125)</f>
      </c>
      <c r="I126" s="174" t="s">
        <v>17</v>
      </c>
      <c r="J126" s="174" t="s">
        <v>17</v>
      </c>
    </row>
    <row r="128" spans="1:10" x14ac:dyDescent="0.25">
      <c r="A128" s="169" t="s">
        <v>755</v>
      </c>
      <c r="B128" s="169"/>
      <c r="C128" s="169"/>
      <c r="D128" s="169"/>
      <c r="E128" s="169"/>
      <c r="F128" s="169"/>
      <c r="G128" s="169"/>
      <c r="H128" s="169"/>
      <c r="I128" s="169"/>
      <c r="J128" s="169"/>
    </row>
    <row r="129" spans="1:10" x14ac:dyDescent="0.25">
      <c r="A129" s="170" t="s">
        <v>98</v>
      </c>
      <c r="B129" s="170" t="s">
        <v>711</v>
      </c>
      <c r="C129" s="170" t="s">
        <v>99</v>
      </c>
      <c r="D129" s="170" t="s">
        <v>100</v>
      </c>
      <c r="E129" s="170" t="s">
        <v>101</v>
      </c>
      <c r="F129" s="170" t="s">
        <v>102</v>
      </c>
      <c r="G129" s="170" t="s">
        <v>103</v>
      </c>
      <c r="H129" s="170" t="s">
        <v>104</v>
      </c>
      <c r="I129" s="170" t="s">
        <v>105</v>
      </c>
      <c r="J129" s="170" t="s">
        <v>106</v>
      </c>
    </row>
    <row r="130" spans="1:14" x14ac:dyDescent="0.25">
      <c r="A130" s="171" t="s">
        <v>197</v>
      </c>
      <c r="B130" s="171" t="s">
        <v>744</v>
      </c>
      <c r="C130" s="171" t="s">
        <v>198</v>
      </c>
      <c r="D130" s="171" t="s">
        <v>108</v>
      </c>
      <c r="E130" s="171" t="s">
        <v>199</v>
      </c>
      <c r="F130" s="171" t="s">
        <v>14</v>
      </c>
      <c r="G130" s="172">
        <v>2</v>
      </c>
      <c r="H130" s="173">
        <v>0</v>
      </c>
      <c r="I130" s="171" t="s">
        <v>110</v>
      </c>
      <c r="J130" s="171" t="s">
        <v>200</v>
      </c>
      <c r="K130" t="s">
        <v>330</v>
      </c>
      <c r="L130" t="s">
        <v>331</v>
      </c>
      <c r="N130" t="s">
        <v>333</v>
      </c>
    </row>
    <row r="131" spans="1:14" x14ac:dyDescent="0.25">
      <c r="A131" s="171" t="s">
        <v>197</v>
      </c>
      <c r="B131" s="171" t="s">
        <v>744</v>
      </c>
      <c r="C131" s="171" t="s">
        <v>198</v>
      </c>
      <c r="D131" s="171" t="s">
        <v>108</v>
      </c>
      <c r="E131" s="171" t="s">
        <v>199</v>
      </c>
      <c r="F131" s="171" t="s">
        <v>14</v>
      </c>
      <c r="G131" s="172">
        <v>5</v>
      </c>
      <c r="H131" s="173"/>
      <c r="I131" s="171"/>
      <c r="J131" s="171"/>
      <c r="K131" t="s">
        <v>330</v>
      </c>
      <c r="L131" t="s">
        <v>331</v>
      </c>
      <c r="N131" t="s">
        <v>333</v>
      </c>
    </row>
    <row r="132" spans="1:14" x14ac:dyDescent="0.25">
      <c r="A132" s="171" t="s">
        <v>197</v>
      </c>
      <c r="B132" s="171" t="s">
        <v>744</v>
      </c>
      <c r="C132" s="171" t="s">
        <v>198</v>
      </c>
      <c r="D132" s="171" t="s">
        <v>108</v>
      </c>
      <c r="E132" s="171" t="s">
        <v>199</v>
      </c>
      <c r="F132" s="171" t="s">
        <v>14</v>
      </c>
      <c r="G132" s="172">
        <v>42</v>
      </c>
      <c r="H132" s="173"/>
      <c r="I132" s="171"/>
      <c r="J132" s="171"/>
      <c r="K132" t="s">
        <v>330</v>
      </c>
      <c r="L132" t="s">
        <v>331</v>
      </c>
      <c r="N132" t="s">
        <v>333</v>
      </c>
    </row>
    <row r="133" spans="1:14" x14ac:dyDescent="0.25">
      <c r="A133" s="171" t="s">
        <v>197</v>
      </c>
      <c r="B133" s="171" t="s">
        <v>744</v>
      </c>
      <c r="C133" s="171" t="s">
        <v>198</v>
      </c>
      <c r="D133" s="171" t="s">
        <v>108</v>
      </c>
      <c r="E133" s="171" t="s">
        <v>199</v>
      </c>
      <c r="F133" s="171" t="s">
        <v>14</v>
      </c>
      <c r="G133" s="172">
        <v>100</v>
      </c>
      <c r="H133" s="173"/>
      <c r="I133" s="171"/>
      <c r="J133" s="171"/>
      <c r="K133" t="s">
        <v>330</v>
      </c>
      <c r="L133" t="s">
        <v>331</v>
      </c>
      <c r="N133" t="s">
        <v>333</v>
      </c>
    </row>
    <row r="134" spans="1:14" x14ac:dyDescent="0.25">
      <c r="A134" s="171" t="s">
        <v>197</v>
      </c>
      <c r="B134" s="171" t="s">
        <v>744</v>
      </c>
      <c r="C134" s="171" t="s">
        <v>198</v>
      </c>
      <c r="D134" s="171" t="s">
        <v>108</v>
      </c>
      <c r="E134" s="171" t="s">
        <v>199</v>
      </c>
      <c r="F134" s="171" t="s">
        <v>14</v>
      </c>
      <c r="G134" s="172">
        <v>156</v>
      </c>
      <c r="H134" s="173"/>
      <c r="I134" s="171"/>
      <c r="J134" s="171"/>
      <c r="K134" t="s">
        <v>330</v>
      </c>
      <c r="L134" t="s">
        <v>331</v>
      </c>
      <c r="N134" t="s">
        <v>333</v>
      </c>
    </row>
    <row r="135" spans="1:14" x14ac:dyDescent="0.25">
      <c r="A135" s="171" t="s">
        <v>203</v>
      </c>
      <c r="B135" s="171" t="s">
        <v>745</v>
      </c>
      <c r="C135" s="171" t="s">
        <v>35</v>
      </c>
      <c r="D135" s="171" t="s">
        <v>204</v>
      </c>
      <c r="E135" s="171" t="s">
        <v>205</v>
      </c>
      <c r="F135" s="171" t="s">
        <v>32</v>
      </c>
      <c r="G135" s="172">
        <v>4101</v>
      </c>
      <c r="H135" s="173">
        <v>0</v>
      </c>
      <c r="I135" s="171" t="s">
        <v>125</v>
      </c>
      <c r="J135" s="171" t="s">
        <v>200</v>
      </c>
      <c r="K135" t="s">
        <v>34</v>
      </c>
      <c r="L135" t="s">
        <v>341</v>
      </c>
      <c r="N135" t="s">
        <v>17</v>
      </c>
    </row>
    <row r="136" spans="1:14" x14ac:dyDescent="0.25">
      <c r="A136" s="171" t="s">
        <v>203</v>
      </c>
      <c r="B136" s="171" t="s">
        <v>745</v>
      </c>
      <c r="C136" s="171" t="s">
        <v>35</v>
      </c>
      <c r="D136" s="171" t="s">
        <v>204</v>
      </c>
      <c r="E136" s="171" t="s">
        <v>205</v>
      </c>
      <c r="F136" s="171" t="s">
        <v>32</v>
      </c>
      <c r="G136" s="172">
        <v>5130</v>
      </c>
      <c r="H136" s="173"/>
      <c r="I136" s="171"/>
      <c r="J136" s="171"/>
      <c r="K136" t="s">
        <v>34</v>
      </c>
      <c r="L136" t="s">
        <v>341</v>
      </c>
      <c r="N136" t="s">
        <v>17</v>
      </c>
    </row>
    <row r="137" spans="1:14" x14ac:dyDescent="0.25">
      <c r="A137" s="171" t="s">
        <v>203</v>
      </c>
      <c r="B137" s="171" t="s">
        <v>745</v>
      </c>
      <c r="C137" s="171" t="s">
        <v>35</v>
      </c>
      <c r="D137" s="171" t="s">
        <v>204</v>
      </c>
      <c r="E137" s="171" t="s">
        <v>205</v>
      </c>
      <c r="F137" s="171" t="s">
        <v>32</v>
      </c>
      <c r="G137" s="172">
        <v>6557</v>
      </c>
      <c r="H137" s="173"/>
      <c r="I137" s="171"/>
      <c r="J137" s="171"/>
      <c r="K137" t="s">
        <v>34</v>
      </c>
      <c r="L137" t="s">
        <v>341</v>
      </c>
      <c r="N137" t="s">
        <v>17</v>
      </c>
    </row>
    <row r="138" spans="1:14" x14ac:dyDescent="0.25">
      <c r="A138" s="171" t="s">
        <v>203</v>
      </c>
      <c r="B138" s="171" t="s">
        <v>746</v>
      </c>
      <c r="C138" s="171" t="s">
        <v>36</v>
      </c>
      <c r="D138" s="171" t="s">
        <v>204</v>
      </c>
      <c r="E138" s="171" t="s">
        <v>206</v>
      </c>
      <c r="F138" s="171" t="s">
        <v>32</v>
      </c>
      <c r="G138" s="172">
        <v>4101</v>
      </c>
      <c r="H138" s="173"/>
      <c r="I138" s="171"/>
      <c r="J138" s="171"/>
      <c r="K138" t="s">
        <v>34</v>
      </c>
      <c r="L138" t="s">
        <v>341</v>
      </c>
      <c r="N138" t="s">
        <v>17</v>
      </c>
    </row>
    <row r="139" spans="1:14" x14ac:dyDescent="0.25">
      <c r="A139" s="171" t="s">
        <v>203</v>
      </c>
      <c r="B139" s="171" t="s">
        <v>746</v>
      </c>
      <c r="C139" s="171" t="s">
        <v>36</v>
      </c>
      <c r="D139" s="171" t="s">
        <v>204</v>
      </c>
      <c r="E139" s="171" t="s">
        <v>206</v>
      </c>
      <c r="F139" s="171" t="s">
        <v>32</v>
      </c>
      <c r="G139" s="172">
        <v>5130</v>
      </c>
      <c r="H139" s="173"/>
      <c r="I139" s="171"/>
      <c r="J139" s="171"/>
      <c r="K139" t="s">
        <v>34</v>
      </c>
      <c r="L139" t="s">
        <v>341</v>
      </c>
      <c r="N139" t="s">
        <v>17</v>
      </c>
    </row>
    <row r="140" spans="1:14" x14ac:dyDescent="0.25">
      <c r="A140" s="171" t="s">
        <v>203</v>
      </c>
      <c r="B140" s="171" t="s">
        <v>746</v>
      </c>
      <c r="C140" s="171" t="s">
        <v>36</v>
      </c>
      <c r="D140" s="171" t="s">
        <v>204</v>
      </c>
      <c r="E140" s="171" t="s">
        <v>206</v>
      </c>
      <c r="F140" s="171" t="s">
        <v>32</v>
      </c>
      <c r="G140" s="172">
        <v>6557</v>
      </c>
      <c r="H140" s="173"/>
      <c r="I140" s="171"/>
      <c r="J140" s="171"/>
      <c r="K140" t="s">
        <v>34</v>
      </c>
      <c r="L140" t="s">
        <v>341</v>
      </c>
      <c r="N140" t="s">
        <v>17</v>
      </c>
    </row>
    <row r="141" spans="1:14" x14ac:dyDescent="0.25">
      <c r="A141" s="171" t="s">
        <v>203</v>
      </c>
      <c r="B141" s="171" t="s">
        <v>747</v>
      </c>
      <c r="C141" s="171" t="s">
        <v>37</v>
      </c>
      <c r="D141" s="171" t="s">
        <v>204</v>
      </c>
      <c r="E141" s="171" t="s">
        <v>207</v>
      </c>
      <c r="F141" s="171" t="s">
        <v>32</v>
      </c>
      <c r="G141" s="172">
        <v>2061</v>
      </c>
      <c r="H141" s="173"/>
      <c r="I141" s="171"/>
      <c r="J141" s="171"/>
      <c r="K141" t="s">
        <v>34</v>
      </c>
      <c r="L141" t="s">
        <v>341</v>
      </c>
      <c r="N141" t="s">
        <v>17</v>
      </c>
    </row>
    <row r="142" spans="1:14" x14ac:dyDescent="0.25">
      <c r="A142" s="171" t="s">
        <v>203</v>
      </c>
      <c r="B142" s="171" t="s">
        <v>747</v>
      </c>
      <c r="C142" s="171" t="s">
        <v>37</v>
      </c>
      <c r="D142" s="171" t="s">
        <v>204</v>
      </c>
      <c r="E142" s="171" t="s">
        <v>207</v>
      </c>
      <c r="F142" s="171" t="s">
        <v>32</v>
      </c>
      <c r="G142" s="172">
        <v>3288</v>
      </c>
      <c r="H142" s="173"/>
      <c r="I142" s="171"/>
      <c r="J142" s="171"/>
      <c r="K142" t="s">
        <v>34</v>
      </c>
      <c r="L142" t="s">
        <v>341</v>
      </c>
      <c r="N142" t="s">
        <v>17</v>
      </c>
    </row>
    <row r="143" spans="1:14" x14ac:dyDescent="0.25">
      <c r="A143" s="171" t="s">
        <v>203</v>
      </c>
      <c r="B143" s="171" t="s">
        <v>747</v>
      </c>
      <c r="C143" s="171" t="s">
        <v>37</v>
      </c>
      <c r="D143" s="171" t="s">
        <v>204</v>
      </c>
      <c r="E143" s="171" t="s">
        <v>207</v>
      </c>
      <c r="F143" s="171" t="s">
        <v>32</v>
      </c>
      <c r="G143" s="172">
        <v>5130</v>
      </c>
      <c r="H143" s="173"/>
      <c r="I143" s="171"/>
      <c r="J143" s="171"/>
      <c r="K143" t="s">
        <v>34</v>
      </c>
      <c r="L143" t="s">
        <v>341</v>
      </c>
      <c r="N143" t="s">
        <v>17</v>
      </c>
    </row>
    <row r="144" spans="1:14" x14ac:dyDescent="0.25">
      <c r="A144" s="171" t="s">
        <v>203</v>
      </c>
      <c r="B144" s="171" t="s">
        <v>748</v>
      </c>
      <c r="C144" s="171" t="s">
        <v>38</v>
      </c>
      <c r="D144" s="171" t="s">
        <v>204</v>
      </c>
      <c r="E144" s="171" t="s">
        <v>208</v>
      </c>
      <c r="F144" s="171" t="s">
        <v>32</v>
      </c>
      <c r="G144" s="172">
        <v>2061</v>
      </c>
      <c r="H144" s="173"/>
      <c r="I144" s="171"/>
      <c r="J144" s="171"/>
      <c r="K144" t="s">
        <v>34</v>
      </c>
      <c r="L144" t="s">
        <v>341</v>
      </c>
      <c r="N144" t="s">
        <v>17</v>
      </c>
    </row>
    <row r="145" spans="1:14" x14ac:dyDescent="0.25">
      <c r="A145" s="171" t="s">
        <v>203</v>
      </c>
      <c r="B145" s="171" t="s">
        <v>748</v>
      </c>
      <c r="C145" s="171" t="s">
        <v>38</v>
      </c>
      <c r="D145" s="171" t="s">
        <v>204</v>
      </c>
      <c r="E145" s="171" t="s">
        <v>208</v>
      </c>
      <c r="F145" s="171" t="s">
        <v>32</v>
      </c>
      <c r="G145" s="172">
        <v>3288</v>
      </c>
      <c r="H145" s="173"/>
      <c r="I145" s="171"/>
      <c r="J145" s="171"/>
      <c r="K145" t="s">
        <v>34</v>
      </c>
      <c r="L145" t="s">
        <v>341</v>
      </c>
      <c r="N145" t="s">
        <v>17</v>
      </c>
    </row>
    <row r="146" spans="1:14" x14ac:dyDescent="0.25">
      <c r="A146" s="171" t="s">
        <v>203</v>
      </c>
      <c r="B146" s="171" t="s">
        <v>748</v>
      </c>
      <c r="C146" s="171" t="s">
        <v>38</v>
      </c>
      <c r="D146" s="171" t="s">
        <v>204</v>
      </c>
      <c r="E146" s="171" t="s">
        <v>208</v>
      </c>
      <c r="F146" s="171" t="s">
        <v>32</v>
      </c>
      <c r="G146" s="172">
        <v>5130</v>
      </c>
      <c r="H146" s="173"/>
      <c r="I146" s="171"/>
      <c r="J146" s="171"/>
      <c r="K146" t="s">
        <v>34</v>
      </c>
      <c r="L146" t="s">
        <v>341</v>
      </c>
      <c r="N146" t="s">
        <v>17</v>
      </c>
    </row>
    <row r="147" spans="1:14" x14ac:dyDescent="0.25">
      <c r="A147" s="171" t="s">
        <v>203</v>
      </c>
      <c r="B147" s="171" t="s">
        <v>756</v>
      </c>
      <c r="C147" s="171" t="s">
        <v>42</v>
      </c>
      <c r="D147" s="171" t="s">
        <v>209</v>
      </c>
      <c r="E147" s="171" t="s">
        <v>217</v>
      </c>
      <c r="F147" s="171" t="s">
        <v>32</v>
      </c>
      <c r="G147" s="172">
        <v>515</v>
      </c>
      <c r="H147" s="173"/>
      <c r="I147" s="171"/>
      <c r="J147" s="171"/>
      <c r="K147" t="s">
        <v>41</v>
      </c>
      <c r="L147" t="s">
        <v>343</v>
      </c>
      <c r="N147" t="s">
        <v>17</v>
      </c>
    </row>
    <row r="148" spans="1:14" x14ac:dyDescent="0.25">
      <c r="A148" s="171" t="s">
        <v>203</v>
      </c>
      <c r="B148" s="171" t="s">
        <v>756</v>
      </c>
      <c r="C148" s="171" t="s">
        <v>42</v>
      </c>
      <c r="D148" s="171" t="s">
        <v>209</v>
      </c>
      <c r="E148" s="171" t="s">
        <v>217</v>
      </c>
      <c r="F148" s="171" t="s">
        <v>32</v>
      </c>
      <c r="G148" s="172">
        <v>595</v>
      </c>
      <c r="H148" s="173"/>
      <c r="I148" s="171"/>
      <c r="J148" s="171"/>
      <c r="K148" t="s">
        <v>41</v>
      </c>
      <c r="L148" t="s">
        <v>343</v>
      </c>
      <c r="N148" t="s">
        <v>17</v>
      </c>
    </row>
    <row r="149" spans="1:14" x14ac:dyDescent="0.25">
      <c r="A149" s="171" t="s">
        <v>203</v>
      </c>
      <c r="B149" s="171" t="s">
        <v>756</v>
      </c>
      <c r="C149" s="171" t="s">
        <v>42</v>
      </c>
      <c r="D149" s="171" t="s">
        <v>209</v>
      </c>
      <c r="E149" s="171" t="s">
        <v>217</v>
      </c>
      <c r="F149" s="171" t="s">
        <v>32</v>
      </c>
      <c r="G149" s="172">
        <v>786</v>
      </c>
      <c r="H149" s="173"/>
      <c r="I149" s="171"/>
      <c r="J149" s="171"/>
      <c r="K149" t="s">
        <v>41</v>
      </c>
      <c r="L149" t="s">
        <v>343</v>
      </c>
      <c r="N149" t="s">
        <v>17</v>
      </c>
    </row>
    <row r="150" spans="1:14" x14ac:dyDescent="0.25">
      <c r="A150" s="171" t="s">
        <v>203</v>
      </c>
      <c r="B150" s="171" t="s">
        <v>756</v>
      </c>
      <c r="C150" s="171" t="s">
        <v>42</v>
      </c>
      <c r="D150" s="171" t="s">
        <v>209</v>
      </c>
      <c r="E150" s="171" t="s">
        <v>217</v>
      </c>
      <c r="F150" s="171" t="s">
        <v>32</v>
      </c>
      <c r="G150" s="172">
        <v>826</v>
      </c>
      <c r="H150" s="173"/>
      <c r="I150" s="171"/>
      <c r="J150" s="171"/>
      <c r="K150" t="s">
        <v>41</v>
      </c>
      <c r="L150" t="s">
        <v>343</v>
      </c>
      <c r="N150" t="s">
        <v>17</v>
      </c>
    </row>
    <row r="151" spans="1:14" x14ac:dyDescent="0.25">
      <c r="A151" s="171" t="s">
        <v>203</v>
      </c>
      <c r="B151" s="171" t="s">
        <v>749</v>
      </c>
      <c r="C151" s="171" t="s">
        <v>43</v>
      </c>
      <c r="D151" s="171" t="s">
        <v>209</v>
      </c>
      <c r="E151" s="171" t="s">
        <v>210</v>
      </c>
      <c r="F151" s="171" t="s">
        <v>32</v>
      </c>
      <c r="G151" s="172">
        <v>1026</v>
      </c>
      <c r="H151" s="173"/>
      <c r="I151" s="171"/>
      <c r="J151" s="171"/>
      <c r="K151" t="s">
        <v>41</v>
      </c>
      <c r="L151" t="s">
        <v>343</v>
      </c>
      <c r="N151" t="s">
        <v>17</v>
      </c>
    </row>
    <row r="152" spans="1:14" x14ac:dyDescent="0.25">
      <c r="A152" s="171" t="s">
        <v>203</v>
      </c>
      <c r="B152" s="171" t="s">
        <v>749</v>
      </c>
      <c r="C152" s="171" t="s">
        <v>43</v>
      </c>
      <c r="D152" s="171" t="s">
        <v>209</v>
      </c>
      <c r="E152" s="171" t="s">
        <v>210</v>
      </c>
      <c r="F152" s="171" t="s">
        <v>32</v>
      </c>
      <c r="G152" s="172">
        <v>1029</v>
      </c>
      <c r="H152" s="173"/>
      <c r="I152" s="171"/>
      <c r="J152" s="171"/>
      <c r="K152" t="s">
        <v>41</v>
      </c>
      <c r="L152" t="s">
        <v>343</v>
      </c>
      <c r="N152" t="s">
        <v>17</v>
      </c>
    </row>
    <row r="153" spans="1:14" x14ac:dyDescent="0.25">
      <c r="A153" s="171" t="s">
        <v>203</v>
      </c>
      <c r="B153" s="171" t="s">
        <v>749</v>
      </c>
      <c r="C153" s="171" t="s">
        <v>43</v>
      </c>
      <c r="D153" s="171" t="s">
        <v>209</v>
      </c>
      <c r="E153" s="171" t="s">
        <v>210</v>
      </c>
      <c r="F153" s="171" t="s">
        <v>32</v>
      </c>
      <c r="G153" s="172">
        <v>1644</v>
      </c>
      <c r="H153" s="173"/>
      <c r="I153" s="171"/>
      <c r="J153" s="171"/>
      <c r="K153" t="s">
        <v>41</v>
      </c>
      <c r="L153" t="s">
        <v>343</v>
      </c>
      <c r="N153" t="s">
        <v>17</v>
      </c>
    </row>
    <row r="154" spans="1:14" x14ac:dyDescent="0.25">
      <c r="A154" s="171" t="s">
        <v>203</v>
      </c>
      <c r="B154" s="171" t="s">
        <v>750</v>
      </c>
      <c r="C154" s="171" t="s">
        <v>45</v>
      </c>
      <c r="D154" s="171" t="s">
        <v>204</v>
      </c>
      <c r="E154" s="171" t="s">
        <v>211</v>
      </c>
      <c r="F154" s="171" t="s">
        <v>46</v>
      </c>
      <c r="G154" s="172">
        <v>4101</v>
      </c>
      <c r="H154" s="173"/>
      <c r="I154" s="171"/>
      <c r="J154" s="171"/>
      <c r="K154" t="s">
        <v>44</v>
      </c>
      <c r="L154" t="s">
        <v>344</v>
      </c>
      <c r="N154" t="s">
        <v>17</v>
      </c>
    </row>
    <row r="155" spans="1:14" x14ac:dyDescent="0.25">
      <c r="A155" s="171" t="s">
        <v>203</v>
      </c>
      <c r="B155" s="171" t="s">
        <v>750</v>
      </c>
      <c r="C155" s="171" t="s">
        <v>45</v>
      </c>
      <c r="D155" s="171" t="s">
        <v>204</v>
      </c>
      <c r="E155" s="171" t="s">
        <v>211</v>
      </c>
      <c r="F155" s="171" t="s">
        <v>46</v>
      </c>
      <c r="G155" s="172">
        <v>4116</v>
      </c>
      <c r="H155" s="173"/>
      <c r="I155" s="171"/>
      <c r="J155" s="171"/>
      <c r="K155" t="s">
        <v>44</v>
      </c>
      <c r="L155" t="s">
        <v>344</v>
      </c>
      <c r="N155" t="s">
        <v>17</v>
      </c>
    </row>
    <row r="156" spans="1:14" x14ac:dyDescent="0.25">
      <c r="A156" s="171" t="s">
        <v>203</v>
      </c>
      <c r="B156" s="171" t="s">
        <v>750</v>
      </c>
      <c r="C156" s="171" t="s">
        <v>45</v>
      </c>
      <c r="D156" s="171" t="s">
        <v>204</v>
      </c>
      <c r="E156" s="171" t="s">
        <v>211</v>
      </c>
      <c r="F156" s="171" t="s">
        <v>46</v>
      </c>
      <c r="G156" s="172">
        <v>6557</v>
      </c>
      <c r="H156" s="173"/>
      <c r="I156" s="171"/>
      <c r="J156" s="171"/>
      <c r="K156" t="s">
        <v>44</v>
      </c>
      <c r="L156" t="s">
        <v>344</v>
      </c>
      <c r="N156" t="s">
        <v>17</v>
      </c>
    </row>
    <row r="157" spans="1:14" x14ac:dyDescent="0.25">
      <c r="A157" s="171" t="s">
        <v>203</v>
      </c>
      <c r="B157" s="171" t="s">
        <v>751</v>
      </c>
      <c r="C157" s="171" t="s">
        <v>76</v>
      </c>
      <c r="D157" s="171" t="s">
        <v>212</v>
      </c>
      <c r="E157" s="171" t="s">
        <v>213</v>
      </c>
      <c r="F157" s="171" t="s">
        <v>32</v>
      </c>
      <c r="G157" s="172">
        <v>1031</v>
      </c>
      <c r="H157" s="173"/>
      <c r="I157" s="171"/>
      <c r="J157" s="171"/>
      <c r="K157" t="s">
        <v>34</v>
      </c>
      <c r="L157" t="s">
        <v>341</v>
      </c>
      <c r="N157" t="s">
        <v>17</v>
      </c>
    </row>
    <row r="158" spans="1:14" x14ac:dyDescent="0.25">
      <c r="A158" s="171" t="s">
        <v>203</v>
      </c>
      <c r="B158" s="171" t="s">
        <v>752</v>
      </c>
      <c r="C158" s="171" t="s">
        <v>76</v>
      </c>
      <c r="D158" s="171" t="s">
        <v>212</v>
      </c>
      <c r="E158" s="171" t="s">
        <v>214</v>
      </c>
      <c r="F158" s="171" t="s">
        <v>32</v>
      </c>
      <c r="G158" s="172">
        <v>1031</v>
      </c>
      <c r="H158" s="173"/>
      <c r="I158" s="171"/>
      <c r="J158" s="171"/>
      <c r="K158" t="s">
        <v>34</v>
      </c>
      <c r="L158" t="s">
        <v>341</v>
      </c>
      <c r="N158" t="s">
        <v>17</v>
      </c>
    </row>
    <row r="159" spans="1:14" x14ac:dyDescent="0.25">
      <c r="A159" s="171" t="s">
        <v>203</v>
      </c>
      <c r="B159" s="171" t="s">
        <v>751</v>
      </c>
      <c r="C159" s="171" t="s">
        <v>76</v>
      </c>
      <c r="D159" s="171" t="s">
        <v>212</v>
      </c>
      <c r="E159" s="171" t="s">
        <v>213</v>
      </c>
      <c r="F159" s="171" t="s">
        <v>32</v>
      </c>
      <c r="G159" s="172">
        <v>1034</v>
      </c>
      <c r="H159" s="173"/>
      <c r="I159" s="171"/>
      <c r="J159" s="171"/>
      <c r="K159" t="s">
        <v>34</v>
      </c>
      <c r="L159" t="s">
        <v>341</v>
      </c>
      <c r="N159" t="s">
        <v>17</v>
      </c>
    </row>
    <row r="160" spans="1:14" x14ac:dyDescent="0.25">
      <c r="A160" s="171" t="s">
        <v>203</v>
      </c>
      <c r="B160" s="171" t="s">
        <v>752</v>
      </c>
      <c r="C160" s="171" t="s">
        <v>76</v>
      </c>
      <c r="D160" s="171" t="s">
        <v>212</v>
      </c>
      <c r="E160" s="171" t="s">
        <v>214</v>
      </c>
      <c r="F160" s="171" t="s">
        <v>32</v>
      </c>
      <c r="G160" s="172">
        <v>1034</v>
      </c>
      <c r="H160" s="173"/>
      <c r="I160" s="171"/>
      <c r="J160" s="171"/>
      <c r="K160" t="s">
        <v>34</v>
      </c>
      <c r="L160" t="s">
        <v>341</v>
      </c>
      <c r="N160" t="s">
        <v>17</v>
      </c>
    </row>
    <row r="161" spans="1:14" x14ac:dyDescent="0.25">
      <c r="A161" s="171" t="s">
        <v>203</v>
      </c>
      <c r="B161" s="171" t="s">
        <v>751</v>
      </c>
      <c r="C161" s="171" t="s">
        <v>76</v>
      </c>
      <c r="D161" s="171" t="s">
        <v>212</v>
      </c>
      <c r="E161" s="171" t="s">
        <v>213</v>
      </c>
      <c r="F161" s="171" t="s">
        <v>32</v>
      </c>
      <c r="G161" s="172">
        <v>1652</v>
      </c>
      <c r="H161" s="173"/>
      <c r="I161" s="171"/>
      <c r="J161" s="171"/>
      <c r="K161" t="s">
        <v>34</v>
      </c>
      <c r="L161" t="s">
        <v>341</v>
      </c>
      <c r="N161" t="s">
        <v>17</v>
      </c>
    </row>
    <row r="162" spans="1:14" x14ac:dyDescent="0.25">
      <c r="A162" s="171" t="s">
        <v>203</v>
      </c>
      <c r="B162" s="171" t="s">
        <v>752</v>
      </c>
      <c r="C162" s="171" t="s">
        <v>76</v>
      </c>
      <c r="D162" s="171" t="s">
        <v>212</v>
      </c>
      <c r="E162" s="171" t="s">
        <v>214</v>
      </c>
      <c r="F162" s="171" t="s">
        <v>32</v>
      </c>
      <c r="G162" s="172">
        <v>1652</v>
      </c>
      <c r="H162" s="173"/>
      <c r="I162" s="171"/>
      <c r="J162" s="171"/>
      <c r="K162" t="s">
        <v>34</v>
      </c>
      <c r="L162" t="s">
        <v>341</v>
      </c>
      <c r="N162" t="s">
        <v>17</v>
      </c>
    </row>
    <row r="163" spans="1:14" x14ac:dyDescent="0.25">
      <c r="A163" s="171" t="s">
        <v>203</v>
      </c>
      <c r="B163" s="171" t="s">
        <v>754</v>
      </c>
      <c r="C163" s="171" t="s">
        <v>77</v>
      </c>
      <c r="D163" s="171" t="s">
        <v>212</v>
      </c>
      <c r="E163" s="171" t="s">
        <v>216</v>
      </c>
      <c r="F163" s="171" t="s">
        <v>32</v>
      </c>
      <c r="G163" s="172">
        <v>2061</v>
      </c>
      <c r="H163" s="173"/>
      <c r="I163" s="171"/>
      <c r="J163" s="171"/>
      <c r="K163" t="s">
        <v>34</v>
      </c>
      <c r="L163" t="s">
        <v>341</v>
      </c>
      <c r="N163" t="s">
        <v>17</v>
      </c>
    </row>
    <row r="164" spans="1:14" x14ac:dyDescent="0.25">
      <c r="A164" s="171" t="s">
        <v>203</v>
      </c>
      <c r="B164" s="171" t="s">
        <v>754</v>
      </c>
      <c r="C164" s="171" t="s">
        <v>77</v>
      </c>
      <c r="D164" s="171" t="s">
        <v>212</v>
      </c>
      <c r="E164" s="171" t="s">
        <v>216</v>
      </c>
      <c r="F164" s="171" t="s">
        <v>32</v>
      </c>
      <c r="G164" s="172">
        <v>3288</v>
      </c>
      <c r="H164" s="173"/>
      <c r="I164" s="171"/>
      <c r="J164" s="171"/>
      <c r="K164" t="s">
        <v>34</v>
      </c>
      <c r="L164" t="s">
        <v>341</v>
      </c>
      <c r="N164" t="s">
        <v>17</v>
      </c>
    </row>
    <row r="165" spans="1:14" x14ac:dyDescent="0.25">
      <c r="A165" s="171" t="s">
        <v>203</v>
      </c>
      <c r="B165" s="171" t="s">
        <v>753</v>
      </c>
      <c r="C165" s="171" t="s">
        <v>77</v>
      </c>
      <c r="D165" s="171" t="s">
        <v>212</v>
      </c>
      <c r="E165" s="171" t="s">
        <v>215</v>
      </c>
      <c r="F165" s="171" t="s">
        <v>32</v>
      </c>
      <c r="G165" s="172">
        <v>4101</v>
      </c>
      <c r="H165" s="173"/>
      <c r="I165" s="171"/>
      <c r="J165" s="171"/>
      <c r="K165" t="s">
        <v>34</v>
      </c>
      <c r="L165" t="s">
        <v>341</v>
      </c>
      <c r="N165" t="s">
        <v>17</v>
      </c>
    </row>
    <row r="166" spans="1:14" x14ac:dyDescent="0.25">
      <c r="A166" s="171" t="s">
        <v>203</v>
      </c>
      <c r="B166" s="171" t="s">
        <v>754</v>
      </c>
      <c r="C166" s="171" t="s">
        <v>77</v>
      </c>
      <c r="D166" s="171" t="s">
        <v>212</v>
      </c>
      <c r="E166" s="171" t="s">
        <v>216</v>
      </c>
      <c r="F166" s="171" t="s">
        <v>32</v>
      </c>
      <c r="G166" s="172">
        <v>5130</v>
      </c>
      <c r="H166" s="173"/>
      <c r="I166" s="171"/>
      <c r="J166" s="171"/>
      <c r="K166" t="s">
        <v>34</v>
      </c>
      <c r="L166" t="s">
        <v>341</v>
      </c>
      <c r="N166" t="s">
        <v>17</v>
      </c>
    </row>
    <row r="167" spans="1:14" x14ac:dyDescent="0.25">
      <c r="A167" s="171" t="s">
        <v>203</v>
      </c>
      <c r="B167" s="171" t="s">
        <v>753</v>
      </c>
      <c r="C167" s="171" t="s">
        <v>77</v>
      </c>
      <c r="D167" s="171" t="s">
        <v>212</v>
      </c>
      <c r="E167" s="171" t="s">
        <v>215</v>
      </c>
      <c r="F167" s="171" t="s">
        <v>32</v>
      </c>
      <c r="G167" s="172">
        <v>5130</v>
      </c>
      <c r="H167" s="173"/>
      <c r="I167" s="171"/>
      <c r="J167" s="171"/>
      <c r="K167" t="s">
        <v>34</v>
      </c>
      <c r="L167" t="s">
        <v>341</v>
      </c>
      <c r="N167" t="s">
        <v>17</v>
      </c>
    </row>
    <row r="168" spans="1:14" x14ac:dyDescent="0.25">
      <c r="A168" s="171" t="s">
        <v>203</v>
      </c>
      <c r="B168" s="171" t="s">
        <v>753</v>
      </c>
      <c r="C168" s="171" t="s">
        <v>77</v>
      </c>
      <c r="D168" s="171" t="s">
        <v>212</v>
      </c>
      <c r="E168" s="171" t="s">
        <v>215</v>
      </c>
      <c r="F168" s="171" t="s">
        <v>32</v>
      </c>
      <c r="G168" s="172">
        <v>6557</v>
      </c>
      <c r="H168" s="173"/>
      <c r="I168" s="171"/>
      <c r="J168" s="171"/>
      <c r="K168" t="s">
        <v>34</v>
      </c>
      <c r="L168" t="s">
        <v>341</v>
      </c>
      <c r="N168" t="s">
        <v>17</v>
      </c>
    </row>
    <row r="169" spans="1:14" x14ac:dyDescent="0.25">
      <c r="A169" s="174" t="s">
        <v>274</v>
      </c>
      <c r="B169" s="174"/>
      <c r="C169" s="174" t="s">
        <v>275</v>
      </c>
      <c r="D169" s="174"/>
      <c r="E169" s="174"/>
      <c r="F169" s="174"/>
      <c r="G169" s="175">
        <f>=SUM(G130:G168)</f>
      </c>
      <c r="H169" s="176">
        <f>=SUM(H130:H168)</f>
      </c>
      <c r="I169" s="174" t="s">
        <v>17</v>
      </c>
      <c r="J169" s="174" t="s">
        <v>17</v>
      </c>
    </row>
    <row r="171" spans="1:10" x14ac:dyDescent="0.25">
      <c r="A171" s="169" t="s">
        <v>757</v>
      </c>
      <c r="B171" s="169"/>
      <c r="C171" s="169"/>
      <c r="D171" s="169"/>
      <c r="E171" s="169"/>
      <c r="F171" s="169"/>
      <c r="G171" s="169"/>
      <c r="H171" s="169"/>
      <c r="I171" s="169"/>
      <c r="J171" s="169"/>
    </row>
    <row r="172" spans="1:10" x14ac:dyDescent="0.25">
      <c r="A172" s="170" t="s">
        <v>98</v>
      </c>
      <c r="B172" s="170" t="s">
        <v>711</v>
      </c>
      <c r="C172" s="170" t="s">
        <v>99</v>
      </c>
      <c r="D172" s="170" t="s">
        <v>100</v>
      </c>
      <c r="E172" s="170" t="s">
        <v>101</v>
      </c>
      <c r="F172" s="170" t="s">
        <v>102</v>
      </c>
      <c r="G172" s="170" t="s">
        <v>103</v>
      </c>
      <c r="H172" s="170" t="s">
        <v>104</v>
      </c>
      <c r="I172" s="170" t="s">
        <v>105</v>
      </c>
      <c r="J172" s="170" t="s">
        <v>106</v>
      </c>
    </row>
    <row r="173" spans="1:14" x14ac:dyDescent="0.25">
      <c r="A173" s="171" t="s">
        <v>197</v>
      </c>
      <c r="B173" s="171" t="s">
        <v>744</v>
      </c>
      <c r="C173" s="171" t="s">
        <v>198</v>
      </c>
      <c r="D173" s="171" t="s">
        <v>108</v>
      </c>
      <c r="E173" s="171" t="s">
        <v>199</v>
      </c>
      <c r="F173" s="171" t="s">
        <v>14</v>
      </c>
      <c r="G173" s="172">
        <v>90</v>
      </c>
      <c r="H173" s="173">
        <v>0</v>
      </c>
      <c r="I173" s="171" t="s">
        <v>110</v>
      </c>
      <c r="J173" s="171" t="s">
        <v>200</v>
      </c>
      <c r="K173" t="s">
        <v>330</v>
      </c>
      <c r="L173" t="s">
        <v>331</v>
      </c>
      <c r="N173" t="s">
        <v>333</v>
      </c>
    </row>
    <row r="174" spans="1:14" x14ac:dyDescent="0.25">
      <c r="A174" s="171" t="s">
        <v>197</v>
      </c>
      <c r="B174" s="171" t="s">
        <v>758</v>
      </c>
      <c r="C174" s="171" t="s">
        <v>201</v>
      </c>
      <c r="D174" s="171" t="s">
        <v>108</v>
      </c>
      <c r="E174" s="171" t="s">
        <v>202</v>
      </c>
      <c r="F174" s="171" t="s">
        <v>14</v>
      </c>
      <c r="G174" s="172">
        <v>11</v>
      </c>
      <c r="H174" s="173"/>
      <c r="I174" s="171"/>
      <c r="J174" s="171"/>
      <c r="K174" t="s">
        <v>334</v>
      </c>
      <c r="L174" t="s">
        <v>335</v>
      </c>
      <c r="N174" t="s">
        <v>333</v>
      </c>
    </row>
    <row r="175" spans="1:14" x14ac:dyDescent="0.25">
      <c r="A175" s="171" t="s">
        <v>197</v>
      </c>
      <c r="B175" s="171" t="s">
        <v>758</v>
      </c>
      <c r="C175" s="171" t="s">
        <v>201</v>
      </c>
      <c r="D175" s="171" t="s">
        <v>108</v>
      </c>
      <c r="E175" s="171" t="s">
        <v>202</v>
      </c>
      <c r="F175" s="171" t="s">
        <v>14</v>
      </c>
      <c r="G175" s="172">
        <v>19</v>
      </c>
      <c r="H175" s="173"/>
      <c r="I175" s="171"/>
      <c r="J175" s="171"/>
      <c r="K175" t="s">
        <v>334</v>
      </c>
      <c r="L175" t="s">
        <v>335</v>
      </c>
      <c r="N175" t="s">
        <v>333</v>
      </c>
    </row>
    <row r="176" spans="1:14" x14ac:dyDescent="0.25">
      <c r="A176" s="171" t="s">
        <v>197</v>
      </c>
      <c r="B176" s="171" t="s">
        <v>758</v>
      </c>
      <c r="C176" s="171" t="s">
        <v>201</v>
      </c>
      <c r="D176" s="171" t="s">
        <v>108</v>
      </c>
      <c r="E176" s="171" t="s">
        <v>202</v>
      </c>
      <c r="F176" s="171" t="s">
        <v>14</v>
      </c>
      <c r="G176" s="172">
        <v>22</v>
      </c>
      <c r="H176" s="173"/>
      <c r="I176" s="171"/>
      <c r="J176" s="171"/>
      <c r="K176" t="s">
        <v>334</v>
      </c>
      <c r="L176" t="s">
        <v>335</v>
      </c>
      <c r="N176" t="s">
        <v>333</v>
      </c>
    </row>
    <row r="177" spans="1:14" x14ac:dyDescent="0.25">
      <c r="A177" s="171" t="s">
        <v>197</v>
      </c>
      <c r="B177" s="171" t="s">
        <v>758</v>
      </c>
      <c r="C177" s="171" t="s">
        <v>201</v>
      </c>
      <c r="D177" s="171" t="s">
        <v>108</v>
      </c>
      <c r="E177" s="171" t="s">
        <v>202</v>
      </c>
      <c r="F177" s="171" t="s">
        <v>14</v>
      </c>
      <c r="G177" s="172">
        <v>39</v>
      </c>
      <c r="H177" s="173"/>
      <c r="I177" s="171"/>
      <c r="J177" s="171"/>
      <c r="K177" t="s">
        <v>334</v>
      </c>
      <c r="L177" t="s">
        <v>335</v>
      </c>
      <c r="N177" t="s">
        <v>333</v>
      </c>
    </row>
    <row r="178" spans="1:14" x14ac:dyDescent="0.25">
      <c r="A178" s="171" t="s">
        <v>197</v>
      </c>
      <c r="B178" s="171" t="s">
        <v>758</v>
      </c>
      <c r="C178" s="171" t="s">
        <v>201</v>
      </c>
      <c r="D178" s="171" t="s">
        <v>108</v>
      </c>
      <c r="E178" s="171" t="s">
        <v>202</v>
      </c>
      <c r="F178" s="171" t="s">
        <v>14</v>
      </c>
      <c r="G178" s="172">
        <v>53</v>
      </c>
      <c r="H178" s="173"/>
      <c r="I178" s="171"/>
      <c r="J178" s="171"/>
      <c r="K178" t="s">
        <v>334</v>
      </c>
      <c r="L178" t="s">
        <v>335</v>
      </c>
      <c r="N178" t="s">
        <v>333</v>
      </c>
    </row>
    <row r="179" spans="1:14" x14ac:dyDescent="0.25">
      <c r="A179" s="171" t="s">
        <v>197</v>
      </c>
      <c r="B179" s="171" t="s">
        <v>758</v>
      </c>
      <c r="C179" s="171" t="s">
        <v>201</v>
      </c>
      <c r="D179" s="171" t="s">
        <v>108</v>
      </c>
      <c r="E179" s="171" t="s">
        <v>202</v>
      </c>
      <c r="F179" s="171" t="s">
        <v>14</v>
      </c>
      <c r="G179" s="172">
        <v>147</v>
      </c>
      <c r="H179" s="173"/>
      <c r="I179" s="171"/>
      <c r="J179" s="171"/>
      <c r="K179" t="s">
        <v>334</v>
      </c>
      <c r="L179" t="s">
        <v>335</v>
      </c>
      <c r="N179" t="s">
        <v>333</v>
      </c>
    </row>
    <row r="180" spans="1:14" x14ac:dyDescent="0.25">
      <c r="A180" s="171" t="s">
        <v>197</v>
      </c>
      <c r="B180" s="171" t="s">
        <v>758</v>
      </c>
      <c r="C180" s="171" t="s">
        <v>201</v>
      </c>
      <c r="D180" s="171" t="s">
        <v>108</v>
      </c>
      <c r="E180" s="171" t="s">
        <v>202</v>
      </c>
      <c r="F180" s="171" t="s">
        <v>14</v>
      </c>
      <c r="G180" s="172">
        <v>208</v>
      </c>
      <c r="H180" s="173"/>
      <c r="I180" s="171"/>
      <c r="J180" s="171"/>
      <c r="K180" t="s">
        <v>334</v>
      </c>
      <c r="L180" t="s">
        <v>335</v>
      </c>
      <c r="N180" t="s">
        <v>333</v>
      </c>
    </row>
    <row r="181" spans="1:14" x14ac:dyDescent="0.25">
      <c r="A181" s="171" t="s">
        <v>203</v>
      </c>
      <c r="B181" s="171" t="s">
        <v>745</v>
      </c>
      <c r="C181" s="171" t="s">
        <v>35</v>
      </c>
      <c r="D181" s="171" t="s">
        <v>204</v>
      </c>
      <c r="E181" s="171" t="s">
        <v>205</v>
      </c>
      <c r="F181" s="171" t="s">
        <v>32</v>
      </c>
      <c r="G181" s="172">
        <v>1021</v>
      </c>
      <c r="H181" s="173">
        <v>0</v>
      </c>
      <c r="I181" s="171" t="s">
        <v>125</v>
      </c>
      <c r="J181" s="171" t="s">
        <v>200</v>
      </c>
      <c r="K181" t="s">
        <v>34</v>
      </c>
      <c r="L181" t="s">
        <v>341</v>
      </c>
      <c r="N181" t="s">
        <v>17</v>
      </c>
    </row>
    <row r="182" spans="1:14" x14ac:dyDescent="0.25">
      <c r="A182" s="171" t="s">
        <v>203</v>
      </c>
      <c r="B182" s="171" t="s">
        <v>745</v>
      </c>
      <c r="C182" s="171" t="s">
        <v>35</v>
      </c>
      <c r="D182" s="171" t="s">
        <v>204</v>
      </c>
      <c r="E182" s="171" t="s">
        <v>205</v>
      </c>
      <c r="F182" s="171" t="s">
        <v>32</v>
      </c>
      <c r="G182" s="172">
        <v>1139</v>
      </c>
      <c r="H182" s="173"/>
      <c r="I182" s="171"/>
      <c r="J182" s="171"/>
      <c r="K182" t="s">
        <v>34</v>
      </c>
      <c r="L182" t="s">
        <v>341</v>
      </c>
      <c r="N182" t="s">
        <v>17</v>
      </c>
    </row>
    <row r="183" spans="1:14" x14ac:dyDescent="0.25">
      <c r="A183" s="171" t="s">
        <v>203</v>
      </c>
      <c r="B183" s="171" t="s">
        <v>745</v>
      </c>
      <c r="C183" s="171" t="s">
        <v>35</v>
      </c>
      <c r="D183" s="171" t="s">
        <v>204</v>
      </c>
      <c r="E183" s="171" t="s">
        <v>205</v>
      </c>
      <c r="F183" s="171" t="s">
        <v>32</v>
      </c>
      <c r="G183" s="172">
        <v>2077</v>
      </c>
      <c r="H183" s="173"/>
      <c r="I183" s="171"/>
      <c r="J183" s="171"/>
      <c r="K183" t="s">
        <v>34</v>
      </c>
      <c r="L183" t="s">
        <v>341</v>
      </c>
      <c r="N183" t="s">
        <v>17</v>
      </c>
    </row>
    <row r="184" spans="1:14" x14ac:dyDescent="0.25">
      <c r="A184" s="171" t="s">
        <v>203</v>
      </c>
      <c r="B184" s="171" t="s">
        <v>745</v>
      </c>
      <c r="C184" s="171" t="s">
        <v>35</v>
      </c>
      <c r="D184" s="171" t="s">
        <v>204</v>
      </c>
      <c r="E184" s="171" t="s">
        <v>205</v>
      </c>
      <c r="F184" s="171" t="s">
        <v>32</v>
      </c>
      <c r="G184" s="172">
        <v>3075</v>
      </c>
      <c r="H184" s="173"/>
      <c r="I184" s="171"/>
      <c r="J184" s="171"/>
      <c r="K184" t="s">
        <v>34</v>
      </c>
      <c r="L184" t="s">
        <v>341</v>
      </c>
      <c r="N184" t="s">
        <v>17</v>
      </c>
    </row>
    <row r="185" spans="1:14" x14ac:dyDescent="0.25">
      <c r="A185" s="171" t="s">
        <v>203</v>
      </c>
      <c r="B185" s="171" t="s">
        <v>746</v>
      </c>
      <c r="C185" s="171" t="s">
        <v>36</v>
      </c>
      <c r="D185" s="171" t="s">
        <v>204</v>
      </c>
      <c r="E185" s="171" t="s">
        <v>206</v>
      </c>
      <c r="F185" s="171" t="s">
        <v>32</v>
      </c>
      <c r="G185" s="172">
        <v>1021</v>
      </c>
      <c r="H185" s="173"/>
      <c r="I185" s="171"/>
      <c r="J185" s="171"/>
      <c r="K185" t="s">
        <v>34</v>
      </c>
      <c r="L185" t="s">
        <v>341</v>
      </c>
      <c r="N185" t="s">
        <v>17</v>
      </c>
    </row>
    <row r="186" spans="1:14" x14ac:dyDescent="0.25">
      <c r="A186" s="171" t="s">
        <v>203</v>
      </c>
      <c r="B186" s="171" t="s">
        <v>746</v>
      </c>
      <c r="C186" s="171" t="s">
        <v>36</v>
      </c>
      <c r="D186" s="171" t="s">
        <v>204</v>
      </c>
      <c r="E186" s="171" t="s">
        <v>206</v>
      </c>
      <c r="F186" s="171" t="s">
        <v>32</v>
      </c>
      <c r="G186" s="172">
        <v>1139</v>
      </c>
      <c r="H186" s="173"/>
      <c r="I186" s="171"/>
      <c r="J186" s="171"/>
      <c r="K186" t="s">
        <v>34</v>
      </c>
      <c r="L186" t="s">
        <v>341</v>
      </c>
      <c r="N186" t="s">
        <v>17</v>
      </c>
    </row>
    <row r="187" spans="1:14" x14ac:dyDescent="0.25">
      <c r="A187" s="171" t="s">
        <v>203</v>
      </c>
      <c r="B187" s="171" t="s">
        <v>746</v>
      </c>
      <c r="C187" s="171" t="s">
        <v>36</v>
      </c>
      <c r="D187" s="171" t="s">
        <v>204</v>
      </c>
      <c r="E187" s="171" t="s">
        <v>206</v>
      </c>
      <c r="F187" s="171" t="s">
        <v>32</v>
      </c>
      <c r="G187" s="172">
        <v>2077</v>
      </c>
      <c r="H187" s="173"/>
      <c r="I187" s="171"/>
      <c r="J187" s="171"/>
      <c r="K187" t="s">
        <v>34</v>
      </c>
      <c r="L187" t="s">
        <v>341</v>
      </c>
      <c r="N187" t="s">
        <v>17</v>
      </c>
    </row>
    <row r="188" spans="1:14" x14ac:dyDescent="0.25">
      <c r="A188" s="171" t="s">
        <v>203</v>
      </c>
      <c r="B188" s="171" t="s">
        <v>746</v>
      </c>
      <c r="C188" s="171" t="s">
        <v>36</v>
      </c>
      <c r="D188" s="171" t="s">
        <v>204</v>
      </c>
      <c r="E188" s="171" t="s">
        <v>206</v>
      </c>
      <c r="F188" s="171" t="s">
        <v>32</v>
      </c>
      <c r="G188" s="172">
        <v>3075</v>
      </c>
      <c r="H188" s="173"/>
      <c r="I188" s="171"/>
      <c r="J188" s="171"/>
      <c r="K188" t="s">
        <v>34</v>
      </c>
      <c r="L188" t="s">
        <v>341</v>
      </c>
      <c r="N188" t="s">
        <v>17</v>
      </c>
    </row>
    <row r="189" spans="1:14" x14ac:dyDescent="0.25">
      <c r="A189" s="171" t="s">
        <v>203</v>
      </c>
      <c r="B189" s="171" t="s">
        <v>747</v>
      </c>
      <c r="C189" s="171" t="s">
        <v>37</v>
      </c>
      <c r="D189" s="171" t="s">
        <v>204</v>
      </c>
      <c r="E189" s="171" t="s">
        <v>207</v>
      </c>
      <c r="F189" s="171" t="s">
        <v>32</v>
      </c>
      <c r="G189" s="172">
        <v>1021</v>
      </c>
      <c r="H189" s="173"/>
      <c r="I189" s="171"/>
      <c r="J189" s="171"/>
      <c r="K189" t="s">
        <v>34</v>
      </c>
      <c r="L189" t="s">
        <v>341</v>
      </c>
      <c r="N189" t="s">
        <v>17</v>
      </c>
    </row>
    <row r="190" spans="1:14" x14ac:dyDescent="0.25">
      <c r="A190" s="171" t="s">
        <v>203</v>
      </c>
      <c r="B190" s="171" t="s">
        <v>747</v>
      </c>
      <c r="C190" s="171" t="s">
        <v>37</v>
      </c>
      <c r="D190" s="171" t="s">
        <v>204</v>
      </c>
      <c r="E190" s="171" t="s">
        <v>207</v>
      </c>
      <c r="F190" s="171" t="s">
        <v>32</v>
      </c>
      <c r="G190" s="172">
        <v>3401</v>
      </c>
      <c r="H190" s="173"/>
      <c r="I190" s="171"/>
      <c r="J190" s="171"/>
      <c r="K190" t="s">
        <v>34</v>
      </c>
      <c r="L190" t="s">
        <v>341</v>
      </c>
      <c r="N190" t="s">
        <v>17</v>
      </c>
    </row>
    <row r="191" spans="1:14" x14ac:dyDescent="0.25">
      <c r="A191" s="171" t="s">
        <v>203</v>
      </c>
      <c r="B191" s="171" t="s">
        <v>747</v>
      </c>
      <c r="C191" s="171" t="s">
        <v>37</v>
      </c>
      <c r="D191" s="171" t="s">
        <v>204</v>
      </c>
      <c r="E191" s="171" t="s">
        <v>207</v>
      </c>
      <c r="F191" s="171" t="s">
        <v>32</v>
      </c>
      <c r="G191" s="172">
        <v>5110</v>
      </c>
      <c r="H191" s="173"/>
      <c r="I191" s="171"/>
      <c r="J191" s="171"/>
      <c r="K191" t="s">
        <v>34</v>
      </c>
      <c r="L191" t="s">
        <v>341</v>
      </c>
      <c r="N191" t="s">
        <v>17</v>
      </c>
    </row>
    <row r="192" spans="1:14" x14ac:dyDescent="0.25">
      <c r="A192" s="171" t="s">
        <v>203</v>
      </c>
      <c r="B192" s="171" t="s">
        <v>747</v>
      </c>
      <c r="C192" s="171" t="s">
        <v>37</v>
      </c>
      <c r="D192" s="171" t="s">
        <v>204</v>
      </c>
      <c r="E192" s="171" t="s">
        <v>207</v>
      </c>
      <c r="F192" s="171" t="s">
        <v>32</v>
      </c>
      <c r="G192" s="172">
        <v>6180</v>
      </c>
      <c r="H192" s="173"/>
      <c r="I192" s="171"/>
      <c r="J192" s="171"/>
      <c r="K192" t="s">
        <v>34</v>
      </c>
      <c r="L192" t="s">
        <v>341</v>
      </c>
      <c r="N192" t="s">
        <v>17</v>
      </c>
    </row>
    <row r="193" spans="1:14" x14ac:dyDescent="0.25">
      <c r="A193" s="171" t="s">
        <v>203</v>
      </c>
      <c r="B193" s="171" t="s">
        <v>748</v>
      </c>
      <c r="C193" s="171" t="s">
        <v>38</v>
      </c>
      <c r="D193" s="171" t="s">
        <v>204</v>
      </c>
      <c r="E193" s="171" t="s">
        <v>208</v>
      </c>
      <c r="F193" s="171" t="s">
        <v>32</v>
      </c>
      <c r="G193" s="172">
        <v>1021</v>
      </c>
      <c r="H193" s="173"/>
      <c r="I193" s="171"/>
      <c r="J193" s="171"/>
      <c r="K193" t="s">
        <v>34</v>
      </c>
      <c r="L193" t="s">
        <v>341</v>
      </c>
      <c r="N193" t="s">
        <v>17</v>
      </c>
    </row>
    <row r="194" spans="1:14" x14ac:dyDescent="0.25">
      <c r="A194" s="171" t="s">
        <v>203</v>
      </c>
      <c r="B194" s="171" t="s">
        <v>748</v>
      </c>
      <c r="C194" s="171" t="s">
        <v>38</v>
      </c>
      <c r="D194" s="171" t="s">
        <v>204</v>
      </c>
      <c r="E194" s="171" t="s">
        <v>208</v>
      </c>
      <c r="F194" s="171" t="s">
        <v>32</v>
      </c>
      <c r="G194" s="172">
        <v>3401</v>
      </c>
      <c r="H194" s="173"/>
      <c r="I194" s="171"/>
      <c r="J194" s="171"/>
      <c r="K194" t="s">
        <v>34</v>
      </c>
      <c r="L194" t="s">
        <v>341</v>
      </c>
      <c r="N194" t="s">
        <v>17</v>
      </c>
    </row>
    <row r="195" spans="1:14" x14ac:dyDescent="0.25">
      <c r="A195" s="171" t="s">
        <v>203</v>
      </c>
      <c r="B195" s="171" t="s">
        <v>748</v>
      </c>
      <c r="C195" s="171" t="s">
        <v>38</v>
      </c>
      <c r="D195" s="171" t="s">
        <v>204</v>
      </c>
      <c r="E195" s="171" t="s">
        <v>208</v>
      </c>
      <c r="F195" s="171" t="s">
        <v>32</v>
      </c>
      <c r="G195" s="172">
        <v>5110</v>
      </c>
      <c r="H195" s="173"/>
      <c r="I195" s="171"/>
      <c r="J195" s="171"/>
      <c r="K195" t="s">
        <v>34</v>
      </c>
      <c r="L195" t="s">
        <v>341</v>
      </c>
      <c r="N195" t="s">
        <v>17</v>
      </c>
    </row>
    <row r="196" spans="1:14" x14ac:dyDescent="0.25">
      <c r="A196" s="171" t="s">
        <v>203</v>
      </c>
      <c r="B196" s="171" t="s">
        <v>748</v>
      </c>
      <c r="C196" s="171" t="s">
        <v>38</v>
      </c>
      <c r="D196" s="171" t="s">
        <v>204</v>
      </c>
      <c r="E196" s="171" t="s">
        <v>208</v>
      </c>
      <c r="F196" s="171" t="s">
        <v>32</v>
      </c>
      <c r="G196" s="172">
        <v>6180</v>
      </c>
      <c r="H196" s="173"/>
      <c r="I196" s="171"/>
      <c r="J196" s="171"/>
      <c r="K196" t="s">
        <v>34</v>
      </c>
      <c r="L196" t="s">
        <v>341</v>
      </c>
      <c r="N196" t="s">
        <v>17</v>
      </c>
    </row>
    <row r="197" spans="1:14" x14ac:dyDescent="0.25">
      <c r="A197" s="171" t="s">
        <v>203</v>
      </c>
      <c r="B197" s="171" t="s">
        <v>756</v>
      </c>
      <c r="C197" s="171" t="s">
        <v>42</v>
      </c>
      <c r="D197" s="171" t="s">
        <v>209</v>
      </c>
      <c r="E197" s="171" t="s">
        <v>217</v>
      </c>
      <c r="F197" s="171" t="s">
        <v>32</v>
      </c>
      <c r="G197" s="172">
        <v>515</v>
      </c>
      <c r="H197" s="173"/>
      <c r="I197" s="171"/>
      <c r="J197" s="171"/>
      <c r="K197" t="s">
        <v>41</v>
      </c>
      <c r="L197" t="s">
        <v>343</v>
      </c>
      <c r="N197" t="s">
        <v>17</v>
      </c>
    </row>
    <row r="198" spans="1:14" x14ac:dyDescent="0.25">
      <c r="A198" s="171" t="s">
        <v>203</v>
      </c>
      <c r="B198" s="171" t="s">
        <v>756</v>
      </c>
      <c r="C198" s="171" t="s">
        <v>42</v>
      </c>
      <c r="D198" s="171" t="s">
        <v>209</v>
      </c>
      <c r="E198" s="171" t="s">
        <v>217</v>
      </c>
      <c r="F198" s="171" t="s">
        <v>32</v>
      </c>
      <c r="G198" s="172">
        <v>570</v>
      </c>
      <c r="H198" s="173"/>
      <c r="I198" s="171"/>
      <c r="J198" s="171"/>
      <c r="K198" t="s">
        <v>41</v>
      </c>
      <c r="L198" t="s">
        <v>343</v>
      </c>
      <c r="N198" t="s">
        <v>17</v>
      </c>
    </row>
    <row r="199" spans="1:14" x14ac:dyDescent="0.25">
      <c r="A199" s="171" t="s">
        <v>203</v>
      </c>
      <c r="B199" s="171" t="s">
        <v>749</v>
      </c>
      <c r="C199" s="171" t="s">
        <v>43</v>
      </c>
      <c r="D199" s="171" t="s">
        <v>209</v>
      </c>
      <c r="E199" s="171" t="s">
        <v>210</v>
      </c>
      <c r="F199" s="171" t="s">
        <v>32</v>
      </c>
      <c r="G199" s="172">
        <v>1010</v>
      </c>
      <c r="H199" s="173"/>
      <c r="I199" s="171"/>
      <c r="J199" s="171"/>
      <c r="K199" t="s">
        <v>41</v>
      </c>
      <c r="L199" t="s">
        <v>343</v>
      </c>
      <c r="N199" t="s">
        <v>17</v>
      </c>
    </row>
    <row r="200" spans="1:14" x14ac:dyDescent="0.25">
      <c r="A200" s="171" t="s">
        <v>203</v>
      </c>
      <c r="B200" s="171" t="s">
        <v>749</v>
      </c>
      <c r="C200" s="171" t="s">
        <v>43</v>
      </c>
      <c r="D200" s="171" t="s">
        <v>209</v>
      </c>
      <c r="E200" s="171" t="s">
        <v>210</v>
      </c>
      <c r="F200" s="171" t="s">
        <v>32</v>
      </c>
      <c r="G200" s="172">
        <v>1025</v>
      </c>
      <c r="H200" s="173"/>
      <c r="I200" s="171"/>
      <c r="J200" s="171"/>
      <c r="K200" t="s">
        <v>41</v>
      </c>
      <c r="L200" t="s">
        <v>343</v>
      </c>
      <c r="N200" t="s">
        <v>17</v>
      </c>
    </row>
    <row r="201" spans="1:14" x14ac:dyDescent="0.25">
      <c r="A201" s="171" t="s">
        <v>203</v>
      </c>
      <c r="B201" s="171" t="s">
        <v>749</v>
      </c>
      <c r="C201" s="171" t="s">
        <v>43</v>
      </c>
      <c r="D201" s="171" t="s">
        <v>209</v>
      </c>
      <c r="E201" s="171" t="s">
        <v>210</v>
      </c>
      <c r="F201" s="171" t="s">
        <v>32</v>
      </c>
      <c r="G201" s="172">
        <v>1134</v>
      </c>
      <c r="H201" s="173"/>
      <c r="I201" s="171"/>
      <c r="J201" s="171"/>
      <c r="K201" t="s">
        <v>41</v>
      </c>
      <c r="L201" t="s">
        <v>343</v>
      </c>
      <c r="N201" t="s">
        <v>17</v>
      </c>
    </row>
    <row r="202" spans="1:14" x14ac:dyDescent="0.25">
      <c r="A202" s="171" t="s">
        <v>203</v>
      </c>
      <c r="B202" s="171" t="s">
        <v>750</v>
      </c>
      <c r="C202" s="171" t="s">
        <v>45</v>
      </c>
      <c r="D202" s="171" t="s">
        <v>204</v>
      </c>
      <c r="E202" s="171" t="s">
        <v>211</v>
      </c>
      <c r="F202" s="171" t="s">
        <v>46</v>
      </c>
      <c r="G202" s="172">
        <v>2068</v>
      </c>
      <c r="H202" s="173"/>
      <c r="I202" s="171"/>
      <c r="J202" s="171"/>
      <c r="K202" t="s">
        <v>44</v>
      </c>
      <c r="L202" t="s">
        <v>344</v>
      </c>
      <c r="N202" t="s">
        <v>17</v>
      </c>
    </row>
    <row r="203" spans="1:14" x14ac:dyDescent="0.25">
      <c r="A203" s="171" t="s">
        <v>203</v>
      </c>
      <c r="B203" s="171" t="s">
        <v>750</v>
      </c>
      <c r="C203" s="171" t="s">
        <v>45</v>
      </c>
      <c r="D203" s="171" t="s">
        <v>204</v>
      </c>
      <c r="E203" s="171" t="s">
        <v>211</v>
      </c>
      <c r="F203" s="171" t="s">
        <v>46</v>
      </c>
      <c r="G203" s="172">
        <v>2692</v>
      </c>
      <c r="H203" s="173"/>
      <c r="I203" s="171"/>
      <c r="J203" s="171"/>
      <c r="K203" t="s">
        <v>44</v>
      </c>
      <c r="L203" t="s">
        <v>344</v>
      </c>
      <c r="N203" t="s">
        <v>17</v>
      </c>
    </row>
    <row r="204" spans="1:14" x14ac:dyDescent="0.25">
      <c r="A204" s="171" t="s">
        <v>203</v>
      </c>
      <c r="B204" s="171" t="s">
        <v>750</v>
      </c>
      <c r="C204" s="171" t="s">
        <v>45</v>
      </c>
      <c r="D204" s="171" t="s">
        <v>204</v>
      </c>
      <c r="E204" s="171" t="s">
        <v>211</v>
      </c>
      <c r="F204" s="171" t="s">
        <v>46</v>
      </c>
      <c r="G204" s="172">
        <v>4100</v>
      </c>
      <c r="H204" s="173"/>
      <c r="I204" s="171"/>
      <c r="J204" s="171"/>
      <c r="K204" t="s">
        <v>44</v>
      </c>
      <c r="L204" t="s">
        <v>344</v>
      </c>
      <c r="N204" t="s">
        <v>17</v>
      </c>
    </row>
    <row r="205" spans="1:14" x14ac:dyDescent="0.25">
      <c r="A205" s="171" t="s">
        <v>203</v>
      </c>
      <c r="B205" s="171" t="s">
        <v>750</v>
      </c>
      <c r="C205" s="171" t="s">
        <v>45</v>
      </c>
      <c r="D205" s="171" t="s">
        <v>204</v>
      </c>
      <c r="E205" s="171" t="s">
        <v>211</v>
      </c>
      <c r="F205" s="171" t="s">
        <v>46</v>
      </c>
      <c r="G205" s="172">
        <v>4535</v>
      </c>
      <c r="H205" s="173"/>
      <c r="I205" s="171"/>
      <c r="J205" s="171"/>
      <c r="K205" t="s">
        <v>44</v>
      </c>
      <c r="L205" t="s">
        <v>344</v>
      </c>
      <c r="N205" t="s">
        <v>17</v>
      </c>
    </row>
    <row r="206" spans="1:14" x14ac:dyDescent="0.25">
      <c r="A206" s="171" t="s">
        <v>203</v>
      </c>
      <c r="B206" s="171" t="s">
        <v>750</v>
      </c>
      <c r="C206" s="171" t="s">
        <v>45</v>
      </c>
      <c r="D206" s="171" t="s">
        <v>204</v>
      </c>
      <c r="E206" s="171" t="s">
        <v>211</v>
      </c>
      <c r="F206" s="171" t="s">
        <v>46</v>
      </c>
      <c r="G206" s="172">
        <v>5025</v>
      </c>
      <c r="H206" s="173"/>
      <c r="I206" s="171"/>
      <c r="J206" s="171"/>
      <c r="K206" t="s">
        <v>44</v>
      </c>
      <c r="L206" t="s">
        <v>344</v>
      </c>
      <c r="N206" t="s">
        <v>17</v>
      </c>
    </row>
    <row r="207" spans="1:14" x14ac:dyDescent="0.25">
      <c r="A207" s="171" t="s">
        <v>203</v>
      </c>
      <c r="B207" s="171" t="s">
        <v>751</v>
      </c>
      <c r="C207" s="171" t="s">
        <v>76</v>
      </c>
      <c r="D207" s="171" t="s">
        <v>212</v>
      </c>
      <c r="E207" s="171" t="s">
        <v>213</v>
      </c>
      <c r="F207" s="171" t="s">
        <v>32</v>
      </c>
      <c r="G207" s="172">
        <v>1030</v>
      </c>
      <c r="H207" s="173"/>
      <c r="I207" s="171"/>
      <c r="J207" s="171"/>
      <c r="K207" t="s">
        <v>34</v>
      </c>
      <c r="L207" t="s">
        <v>341</v>
      </c>
      <c r="N207" t="s">
        <v>17</v>
      </c>
    </row>
    <row r="208" spans="1:14" x14ac:dyDescent="0.25">
      <c r="A208" s="171" t="s">
        <v>203</v>
      </c>
      <c r="B208" s="171" t="s">
        <v>752</v>
      </c>
      <c r="C208" s="171" t="s">
        <v>76</v>
      </c>
      <c r="D208" s="171" t="s">
        <v>212</v>
      </c>
      <c r="E208" s="171" t="s">
        <v>214</v>
      </c>
      <c r="F208" s="171" t="s">
        <v>32</v>
      </c>
      <c r="G208" s="172">
        <v>1030</v>
      </c>
      <c r="H208" s="173"/>
      <c r="I208" s="171"/>
      <c r="J208" s="171"/>
      <c r="K208" t="s">
        <v>34</v>
      </c>
      <c r="L208" t="s">
        <v>341</v>
      </c>
      <c r="N208" t="s">
        <v>17</v>
      </c>
    </row>
    <row r="209" spans="1:14" x14ac:dyDescent="0.25">
      <c r="A209" s="171" t="s">
        <v>203</v>
      </c>
      <c r="B209" s="171" t="s">
        <v>751</v>
      </c>
      <c r="C209" s="171" t="s">
        <v>76</v>
      </c>
      <c r="D209" s="171" t="s">
        <v>212</v>
      </c>
      <c r="E209" s="171" t="s">
        <v>213</v>
      </c>
      <c r="F209" s="171" t="s">
        <v>32</v>
      </c>
      <c r="G209" s="172">
        <v>1140</v>
      </c>
      <c r="H209" s="173"/>
      <c r="I209" s="171"/>
      <c r="J209" s="171"/>
      <c r="K209" t="s">
        <v>34</v>
      </c>
      <c r="L209" t="s">
        <v>341</v>
      </c>
      <c r="N209" t="s">
        <v>17</v>
      </c>
    </row>
    <row r="210" spans="1:14" x14ac:dyDescent="0.25">
      <c r="A210" s="171" t="s">
        <v>203</v>
      </c>
      <c r="B210" s="171" t="s">
        <v>752</v>
      </c>
      <c r="C210" s="171" t="s">
        <v>76</v>
      </c>
      <c r="D210" s="171" t="s">
        <v>212</v>
      </c>
      <c r="E210" s="171" t="s">
        <v>214</v>
      </c>
      <c r="F210" s="171" t="s">
        <v>32</v>
      </c>
      <c r="G210" s="172">
        <v>1140</v>
      </c>
      <c r="H210" s="173"/>
      <c r="I210" s="171"/>
      <c r="J210" s="171"/>
      <c r="K210" t="s">
        <v>34</v>
      </c>
      <c r="L210" t="s">
        <v>341</v>
      </c>
      <c r="N210" t="s">
        <v>17</v>
      </c>
    </row>
    <row r="211" spans="1:14" x14ac:dyDescent="0.25">
      <c r="A211" s="171" t="s">
        <v>203</v>
      </c>
      <c r="B211" s="171" t="s">
        <v>751</v>
      </c>
      <c r="C211" s="171" t="s">
        <v>76</v>
      </c>
      <c r="D211" s="171" t="s">
        <v>212</v>
      </c>
      <c r="E211" s="171" t="s">
        <v>213</v>
      </c>
      <c r="F211" s="171" t="s">
        <v>32</v>
      </c>
      <c r="G211" s="172">
        <v>2077</v>
      </c>
      <c r="H211" s="173"/>
      <c r="I211" s="171"/>
      <c r="J211" s="171"/>
      <c r="K211" t="s">
        <v>34</v>
      </c>
      <c r="L211" t="s">
        <v>341</v>
      </c>
      <c r="N211" t="s">
        <v>17</v>
      </c>
    </row>
    <row r="212" spans="1:14" x14ac:dyDescent="0.25">
      <c r="A212" s="171" t="s">
        <v>203</v>
      </c>
      <c r="B212" s="171" t="s">
        <v>752</v>
      </c>
      <c r="C212" s="171" t="s">
        <v>76</v>
      </c>
      <c r="D212" s="171" t="s">
        <v>212</v>
      </c>
      <c r="E212" s="171" t="s">
        <v>214</v>
      </c>
      <c r="F212" s="171" t="s">
        <v>32</v>
      </c>
      <c r="G212" s="172">
        <v>2077</v>
      </c>
      <c r="H212" s="173"/>
      <c r="I212" s="171"/>
      <c r="J212" s="171"/>
      <c r="K212" t="s">
        <v>34</v>
      </c>
      <c r="L212" t="s">
        <v>341</v>
      </c>
      <c r="N212" t="s">
        <v>17</v>
      </c>
    </row>
    <row r="213" spans="1:14" x14ac:dyDescent="0.25">
      <c r="A213" s="171" t="s">
        <v>203</v>
      </c>
      <c r="B213" s="171" t="s">
        <v>759</v>
      </c>
      <c r="C213" s="171" t="s">
        <v>77</v>
      </c>
      <c r="D213" s="171" t="s">
        <v>212</v>
      </c>
      <c r="E213" s="171" t="s">
        <v>218</v>
      </c>
      <c r="F213" s="171" t="s">
        <v>32</v>
      </c>
      <c r="G213" s="172">
        <v>2021</v>
      </c>
      <c r="H213" s="173"/>
      <c r="I213" s="171"/>
      <c r="J213" s="171"/>
      <c r="K213" t="s">
        <v>34</v>
      </c>
      <c r="L213" t="s">
        <v>341</v>
      </c>
      <c r="N213" t="s">
        <v>17</v>
      </c>
    </row>
    <row r="214" spans="1:14" x14ac:dyDescent="0.25">
      <c r="A214" s="171" t="s">
        <v>203</v>
      </c>
      <c r="B214" s="171" t="s">
        <v>759</v>
      </c>
      <c r="C214" s="171" t="s">
        <v>77</v>
      </c>
      <c r="D214" s="171" t="s">
        <v>212</v>
      </c>
      <c r="E214" s="171" t="s">
        <v>218</v>
      </c>
      <c r="F214" s="171" t="s">
        <v>32</v>
      </c>
      <c r="G214" s="172">
        <v>4535</v>
      </c>
      <c r="H214" s="173"/>
      <c r="I214" s="171"/>
      <c r="J214" s="171"/>
      <c r="K214" t="s">
        <v>34</v>
      </c>
      <c r="L214" t="s">
        <v>341</v>
      </c>
      <c r="N214" t="s">
        <v>17</v>
      </c>
    </row>
    <row r="215" spans="1:14" x14ac:dyDescent="0.25">
      <c r="A215" s="171" t="s">
        <v>203</v>
      </c>
      <c r="B215" s="171" t="s">
        <v>759</v>
      </c>
      <c r="C215" s="171" t="s">
        <v>77</v>
      </c>
      <c r="D215" s="171" t="s">
        <v>212</v>
      </c>
      <c r="E215" s="171" t="s">
        <v>218</v>
      </c>
      <c r="F215" s="171" t="s">
        <v>32</v>
      </c>
      <c r="G215" s="172">
        <v>8176</v>
      </c>
      <c r="H215" s="173"/>
      <c r="I215" s="171"/>
      <c r="J215" s="171"/>
      <c r="K215" t="s">
        <v>34</v>
      </c>
      <c r="L215" t="s">
        <v>341</v>
      </c>
      <c r="N215" t="s">
        <v>17</v>
      </c>
    </row>
    <row r="216" spans="1:14" x14ac:dyDescent="0.25">
      <c r="A216" s="171" t="s">
        <v>203</v>
      </c>
      <c r="B216" s="171" t="s">
        <v>759</v>
      </c>
      <c r="C216" s="171" t="s">
        <v>77</v>
      </c>
      <c r="D216" s="171" t="s">
        <v>212</v>
      </c>
      <c r="E216" s="171" t="s">
        <v>218</v>
      </c>
      <c r="F216" s="171" t="s">
        <v>32</v>
      </c>
      <c r="G216" s="172">
        <v>8240</v>
      </c>
      <c r="H216" s="173"/>
      <c r="I216" s="171"/>
      <c r="J216" s="171"/>
      <c r="K216" t="s">
        <v>34</v>
      </c>
      <c r="L216" t="s">
        <v>341</v>
      </c>
      <c r="N216" t="s">
        <v>17</v>
      </c>
    </row>
    <row r="217" spans="1:14" x14ac:dyDescent="0.25">
      <c r="A217" s="171" t="s">
        <v>203</v>
      </c>
      <c r="B217" s="171" t="s">
        <v>760</v>
      </c>
      <c r="C217" s="171" t="s">
        <v>78</v>
      </c>
      <c r="D217" s="171" t="s">
        <v>212</v>
      </c>
      <c r="E217" s="171" t="s">
        <v>218</v>
      </c>
      <c r="F217" s="171" t="s">
        <v>32</v>
      </c>
      <c r="G217" s="172">
        <v>2020</v>
      </c>
      <c r="H217" s="173"/>
      <c r="I217" s="171"/>
      <c r="J217" s="171"/>
      <c r="K217" t="s">
        <v>34</v>
      </c>
      <c r="L217" t="s">
        <v>341</v>
      </c>
      <c r="N217" t="s">
        <v>17</v>
      </c>
    </row>
    <row r="218" spans="1:14" x14ac:dyDescent="0.25">
      <c r="A218" s="174" t="s">
        <v>274</v>
      </c>
      <c r="B218" s="174"/>
      <c r="C218" s="174" t="s">
        <v>275</v>
      </c>
      <c r="D218" s="174"/>
      <c r="E218" s="174"/>
      <c r="F218" s="174"/>
      <c r="G218" s="175">
        <f>=SUM(G173:G217)</f>
      </c>
      <c r="H218" s="176">
        <f>=SUM(H173:H217)</f>
      </c>
      <c r="I218" s="174" t="s">
        <v>17</v>
      </c>
      <c r="J218" s="174" t="s">
        <v>17</v>
      </c>
    </row>
    <row r="220" spans="1:10" x14ac:dyDescent="0.25">
      <c r="A220" s="169" t="s">
        <v>761</v>
      </c>
      <c r="B220" s="169"/>
      <c r="C220" s="169"/>
      <c r="D220" s="169"/>
      <c r="E220" s="169"/>
      <c r="F220" s="169"/>
      <c r="G220" s="169"/>
      <c r="H220" s="169"/>
      <c r="I220" s="169"/>
      <c r="J220" s="169"/>
    </row>
    <row r="221" spans="1:10" x14ac:dyDescent="0.25">
      <c r="A221" s="170" t="s">
        <v>98</v>
      </c>
      <c r="B221" s="170" t="s">
        <v>711</v>
      </c>
      <c r="C221" s="170" t="s">
        <v>99</v>
      </c>
      <c r="D221" s="170" t="s">
        <v>100</v>
      </c>
      <c r="E221" s="170" t="s">
        <v>101</v>
      </c>
      <c r="F221" s="170" t="s">
        <v>102</v>
      </c>
      <c r="G221" s="170" t="s">
        <v>103</v>
      </c>
      <c r="H221" s="170" t="s">
        <v>104</v>
      </c>
      <c r="I221" s="170" t="s">
        <v>105</v>
      </c>
      <c r="J221" s="170" t="s">
        <v>106</v>
      </c>
    </row>
    <row r="222" spans="1:14" x14ac:dyDescent="0.25">
      <c r="A222" s="171" t="s">
        <v>262</v>
      </c>
      <c r="B222" s="171" t="s">
        <v>762</v>
      </c>
      <c r="C222" s="171" t="s">
        <v>263</v>
      </c>
      <c r="D222" s="171" t="s">
        <v>264</v>
      </c>
      <c r="E222" s="171" t="s">
        <v>265</v>
      </c>
      <c r="F222" s="171" t="s">
        <v>32</v>
      </c>
      <c r="G222" s="172">
        <v>4</v>
      </c>
      <c r="H222" s="173">
        <v>7</v>
      </c>
      <c r="I222" s="171" t="s">
        <v>125</v>
      </c>
      <c r="J222" s="171" t="s">
        <v>266</v>
      </c>
      <c r="K222" t="s">
        <v>337</v>
      </c>
      <c r="L222" t="s">
        <v>338</v>
      </c>
      <c r="N222" t="s">
        <v>339</v>
      </c>
    </row>
    <row r="223" spans="1:14" x14ac:dyDescent="0.25">
      <c r="A223" s="171" t="s">
        <v>262</v>
      </c>
      <c r="B223" s="171" t="s">
        <v>763</v>
      </c>
      <c r="C223" s="171" t="s">
        <v>263</v>
      </c>
      <c r="D223" s="171" t="s">
        <v>264</v>
      </c>
      <c r="E223" s="171" t="s">
        <v>267</v>
      </c>
      <c r="F223" s="171" t="s">
        <v>32</v>
      </c>
      <c r="G223" s="172">
        <v>6</v>
      </c>
      <c r="H223" s="173">
        <v>0</v>
      </c>
      <c r="I223" s="171" t="s">
        <v>125</v>
      </c>
      <c r="J223" s="171" t="s">
        <v>266</v>
      </c>
      <c r="K223" t="s">
        <v>337</v>
      </c>
      <c r="L223" t="s">
        <v>338</v>
      </c>
      <c r="N223" t="s">
        <v>339</v>
      </c>
    </row>
    <row r="224" spans="1:14" x14ac:dyDescent="0.25">
      <c r="A224" s="171" t="s">
        <v>262</v>
      </c>
      <c r="B224" s="171" t="s">
        <v>764</v>
      </c>
      <c r="C224" s="171" t="s">
        <v>263</v>
      </c>
      <c r="D224" s="171" t="s">
        <v>264</v>
      </c>
      <c r="E224" s="171" t="s">
        <v>268</v>
      </c>
      <c r="F224" s="171" t="s">
        <v>32</v>
      </c>
      <c r="G224" s="172">
        <v>13</v>
      </c>
      <c r="H224" s="173"/>
      <c r="I224" s="171"/>
      <c r="J224" s="171"/>
      <c r="K224" t="s">
        <v>337</v>
      </c>
      <c r="L224" t="s">
        <v>338</v>
      </c>
      <c r="N224" t="s">
        <v>339</v>
      </c>
    </row>
    <row r="225" spans="1:14" x14ac:dyDescent="0.25">
      <c r="A225" s="171" t="s">
        <v>262</v>
      </c>
      <c r="B225" s="171" t="s">
        <v>765</v>
      </c>
      <c r="C225" s="171" t="s">
        <v>263</v>
      </c>
      <c r="D225" s="171" t="s">
        <v>264</v>
      </c>
      <c r="E225" s="171" t="s">
        <v>269</v>
      </c>
      <c r="F225" s="171" t="s">
        <v>32</v>
      </c>
      <c r="G225" s="172">
        <v>14</v>
      </c>
      <c r="H225" s="173"/>
      <c r="I225" s="171"/>
      <c r="J225" s="171"/>
      <c r="K225" t="s">
        <v>337</v>
      </c>
      <c r="L225" t="s">
        <v>338</v>
      </c>
      <c r="N225" t="s">
        <v>339</v>
      </c>
    </row>
    <row r="226" spans="1:14" x14ac:dyDescent="0.25">
      <c r="A226" s="171" t="s">
        <v>262</v>
      </c>
      <c r="B226" s="171" t="s">
        <v>766</v>
      </c>
      <c r="C226" s="171" t="s">
        <v>263</v>
      </c>
      <c r="D226" s="171" t="s">
        <v>264</v>
      </c>
      <c r="E226" s="171" t="s">
        <v>270</v>
      </c>
      <c r="F226" s="171" t="s">
        <v>32</v>
      </c>
      <c r="G226" s="172">
        <v>16</v>
      </c>
      <c r="H226" s="173"/>
      <c r="I226" s="171"/>
      <c r="J226" s="171"/>
      <c r="K226" t="s">
        <v>337</v>
      </c>
      <c r="L226" t="s">
        <v>338</v>
      </c>
      <c r="N226" t="s">
        <v>339</v>
      </c>
    </row>
    <row r="227" spans="1:14" x14ac:dyDescent="0.25">
      <c r="A227" s="171" t="s">
        <v>262</v>
      </c>
      <c r="B227" s="171" t="s">
        <v>762</v>
      </c>
      <c r="C227" s="171" t="s">
        <v>263</v>
      </c>
      <c r="D227" s="171" t="s">
        <v>264</v>
      </c>
      <c r="E227" s="171" t="s">
        <v>265</v>
      </c>
      <c r="F227" s="171" t="s">
        <v>32</v>
      </c>
      <c r="G227" s="172">
        <v>16</v>
      </c>
      <c r="H227" s="173"/>
      <c r="I227" s="171"/>
      <c r="J227" s="171"/>
      <c r="K227" t="s">
        <v>337</v>
      </c>
      <c r="L227" t="s">
        <v>338</v>
      </c>
      <c r="N227" t="s">
        <v>339</v>
      </c>
    </row>
    <row r="228" spans="1:14" x14ac:dyDescent="0.25">
      <c r="A228" s="171" t="s">
        <v>262</v>
      </c>
      <c r="B228" s="171" t="s">
        <v>764</v>
      </c>
      <c r="C228" s="171" t="s">
        <v>263</v>
      </c>
      <c r="D228" s="171" t="s">
        <v>264</v>
      </c>
      <c r="E228" s="171" t="s">
        <v>268</v>
      </c>
      <c r="F228" s="171" t="s">
        <v>32</v>
      </c>
      <c r="G228" s="172">
        <v>17</v>
      </c>
      <c r="H228" s="173"/>
      <c r="I228" s="171"/>
      <c r="J228" s="171"/>
      <c r="K228" t="s">
        <v>337</v>
      </c>
      <c r="L228" t="s">
        <v>338</v>
      </c>
      <c r="N228" t="s">
        <v>339</v>
      </c>
    </row>
    <row r="229" spans="1:14" x14ac:dyDescent="0.25">
      <c r="A229" s="171" t="s">
        <v>262</v>
      </c>
      <c r="B229" s="171" t="s">
        <v>763</v>
      </c>
      <c r="C229" s="171" t="s">
        <v>263</v>
      </c>
      <c r="D229" s="171" t="s">
        <v>264</v>
      </c>
      <c r="E229" s="171" t="s">
        <v>267</v>
      </c>
      <c r="F229" s="171" t="s">
        <v>32</v>
      </c>
      <c r="G229" s="172">
        <v>21</v>
      </c>
      <c r="H229" s="173"/>
      <c r="I229" s="171"/>
      <c r="J229" s="171"/>
      <c r="K229" t="s">
        <v>337</v>
      </c>
      <c r="L229" t="s">
        <v>338</v>
      </c>
      <c r="N229" t="s">
        <v>339</v>
      </c>
    </row>
    <row r="230" spans="1:14" x14ac:dyDescent="0.25">
      <c r="A230" s="171" t="s">
        <v>262</v>
      </c>
      <c r="B230" s="171" t="s">
        <v>766</v>
      </c>
      <c r="C230" s="171" t="s">
        <v>263</v>
      </c>
      <c r="D230" s="171" t="s">
        <v>264</v>
      </c>
      <c r="E230" s="171" t="s">
        <v>270</v>
      </c>
      <c r="F230" s="171" t="s">
        <v>32</v>
      </c>
      <c r="G230" s="172">
        <v>38</v>
      </c>
      <c r="H230" s="173"/>
      <c r="I230" s="171"/>
      <c r="J230" s="171"/>
      <c r="K230" t="s">
        <v>337</v>
      </c>
      <c r="L230" t="s">
        <v>338</v>
      </c>
      <c r="N230" t="s">
        <v>339</v>
      </c>
    </row>
    <row r="231" spans="1:14" x14ac:dyDescent="0.25">
      <c r="A231" s="171" t="s">
        <v>262</v>
      </c>
      <c r="B231" s="171" t="s">
        <v>767</v>
      </c>
      <c r="C231" s="171" t="s">
        <v>263</v>
      </c>
      <c r="D231" s="171" t="s">
        <v>264</v>
      </c>
      <c r="E231" s="171" t="s">
        <v>271</v>
      </c>
      <c r="F231" s="171" t="s">
        <v>32</v>
      </c>
      <c r="G231" s="172">
        <v>38</v>
      </c>
      <c r="H231" s="173"/>
      <c r="I231" s="171"/>
      <c r="J231" s="171"/>
      <c r="K231" t="s">
        <v>337</v>
      </c>
      <c r="L231" t="s">
        <v>338</v>
      </c>
      <c r="N231" t="s">
        <v>339</v>
      </c>
    </row>
    <row r="232" spans="1:14" x14ac:dyDescent="0.25">
      <c r="A232" s="171" t="s">
        <v>262</v>
      </c>
      <c r="B232" s="171" t="s">
        <v>767</v>
      </c>
      <c r="C232" s="171" t="s">
        <v>263</v>
      </c>
      <c r="D232" s="171" t="s">
        <v>264</v>
      </c>
      <c r="E232" s="171" t="s">
        <v>271</v>
      </c>
      <c r="F232" s="171" t="s">
        <v>32</v>
      </c>
      <c r="G232" s="172">
        <v>48</v>
      </c>
      <c r="H232" s="173"/>
      <c r="I232" s="171"/>
      <c r="J232" s="171"/>
      <c r="K232" t="s">
        <v>337</v>
      </c>
      <c r="L232" t="s">
        <v>338</v>
      </c>
      <c r="N232" t="s">
        <v>339</v>
      </c>
    </row>
    <row r="233" spans="1:14" x14ac:dyDescent="0.25">
      <c r="A233" s="171" t="s">
        <v>262</v>
      </c>
      <c r="B233" s="171" t="s">
        <v>766</v>
      </c>
      <c r="C233" s="171" t="s">
        <v>263</v>
      </c>
      <c r="D233" s="171" t="s">
        <v>264</v>
      </c>
      <c r="E233" s="171" t="s">
        <v>270</v>
      </c>
      <c r="F233" s="171" t="s">
        <v>32</v>
      </c>
      <c r="G233" s="172">
        <v>71</v>
      </c>
      <c r="H233" s="173"/>
      <c r="I233" s="171"/>
      <c r="J233" s="171"/>
      <c r="K233" t="s">
        <v>337</v>
      </c>
      <c r="L233" t="s">
        <v>338</v>
      </c>
      <c r="N233" t="s">
        <v>339</v>
      </c>
    </row>
    <row r="234" spans="1:14" x14ac:dyDescent="0.25">
      <c r="A234" s="171" t="s">
        <v>262</v>
      </c>
      <c r="B234" s="171" t="s">
        <v>765</v>
      </c>
      <c r="C234" s="171" t="s">
        <v>263</v>
      </c>
      <c r="D234" s="171" t="s">
        <v>264</v>
      </c>
      <c r="E234" s="171" t="s">
        <v>269</v>
      </c>
      <c r="F234" s="171" t="s">
        <v>32</v>
      </c>
      <c r="G234" s="172">
        <v>82</v>
      </c>
      <c r="H234" s="173"/>
      <c r="I234" s="171"/>
      <c r="J234" s="171"/>
      <c r="K234" t="s">
        <v>337</v>
      </c>
      <c r="L234" t="s">
        <v>338</v>
      </c>
      <c r="N234" t="s">
        <v>339</v>
      </c>
    </row>
    <row r="235" spans="1:14" x14ac:dyDescent="0.25">
      <c r="A235" s="171" t="s">
        <v>262</v>
      </c>
      <c r="B235" s="171" t="s">
        <v>762</v>
      </c>
      <c r="C235" s="171" t="s">
        <v>263</v>
      </c>
      <c r="D235" s="171" t="s">
        <v>264</v>
      </c>
      <c r="E235" s="171" t="s">
        <v>265</v>
      </c>
      <c r="F235" s="171" t="s">
        <v>32</v>
      </c>
      <c r="G235" s="172">
        <v>200</v>
      </c>
      <c r="H235" s="173"/>
      <c r="I235" s="171"/>
      <c r="J235" s="171"/>
      <c r="K235" t="s">
        <v>337</v>
      </c>
      <c r="L235" t="s">
        <v>338</v>
      </c>
      <c r="N235" t="s">
        <v>339</v>
      </c>
    </row>
    <row r="236" spans="1:14" x14ac:dyDescent="0.25">
      <c r="A236" s="171" t="s">
        <v>262</v>
      </c>
      <c r="B236" s="171" t="s">
        <v>766</v>
      </c>
      <c r="C236" s="171" t="s">
        <v>263</v>
      </c>
      <c r="D236" s="171" t="s">
        <v>264</v>
      </c>
      <c r="E236" s="171" t="s">
        <v>270</v>
      </c>
      <c r="F236" s="171" t="s">
        <v>32</v>
      </c>
      <c r="G236" s="172">
        <v>234</v>
      </c>
      <c r="H236" s="173"/>
      <c r="I236" s="171"/>
      <c r="J236" s="171"/>
      <c r="K236" t="s">
        <v>337</v>
      </c>
      <c r="L236" t="s">
        <v>338</v>
      </c>
      <c r="N236" t="s">
        <v>339</v>
      </c>
    </row>
    <row r="237" spans="1:14" x14ac:dyDescent="0.25">
      <c r="A237" s="171" t="s">
        <v>262</v>
      </c>
      <c r="B237" s="171" t="s">
        <v>766</v>
      </c>
      <c r="C237" s="171" t="s">
        <v>263</v>
      </c>
      <c r="D237" s="171" t="s">
        <v>264</v>
      </c>
      <c r="E237" s="171" t="s">
        <v>270</v>
      </c>
      <c r="F237" s="171" t="s">
        <v>32</v>
      </c>
      <c r="G237" s="172">
        <v>260</v>
      </c>
      <c r="H237" s="173"/>
      <c r="I237" s="171"/>
      <c r="J237" s="171"/>
      <c r="K237" t="s">
        <v>337</v>
      </c>
      <c r="L237" t="s">
        <v>338</v>
      </c>
      <c r="N237" t="s">
        <v>339</v>
      </c>
    </row>
    <row r="238" spans="1:14" x14ac:dyDescent="0.25">
      <c r="A238" s="171" t="s">
        <v>262</v>
      </c>
      <c r="B238" s="171" t="s">
        <v>766</v>
      </c>
      <c r="C238" s="171" t="s">
        <v>263</v>
      </c>
      <c r="D238" s="171" t="s">
        <v>264</v>
      </c>
      <c r="E238" s="171" t="s">
        <v>270</v>
      </c>
      <c r="F238" s="171" t="s">
        <v>32</v>
      </c>
      <c r="G238" s="172">
        <v>261</v>
      </c>
      <c r="H238" s="173"/>
      <c r="I238" s="171"/>
      <c r="J238" s="171"/>
      <c r="K238" t="s">
        <v>337</v>
      </c>
      <c r="L238" t="s">
        <v>338</v>
      </c>
      <c r="N238" t="s">
        <v>339</v>
      </c>
    </row>
    <row r="239" spans="1:14" x14ac:dyDescent="0.25">
      <c r="A239" s="171" t="s">
        <v>262</v>
      </c>
      <c r="B239" s="171" t="s">
        <v>763</v>
      </c>
      <c r="C239" s="171" t="s">
        <v>263</v>
      </c>
      <c r="D239" s="171" t="s">
        <v>264</v>
      </c>
      <c r="E239" s="171" t="s">
        <v>267</v>
      </c>
      <c r="F239" s="171" t="s">
        <v>32</v>
      </c>
      <c r="G239" s="172">
        <v>313</v>
      </c>
      <c r="H239" s="173"/>
      <c r="I239" s="171"/>
      <c r="J239" s="171"/>
      <c r="K239" t="s">
        <v>337</v>
      </c>
      <c r="L239" t="s">
        <v>338</v>
      </c>
      <c r="N239" t="s">
        <v>339</v>
      </c>
    </row>
    <row r="240" spans="1:14" x14ac:dyDescent="0.25">
      <c r="A240" s="171" t="s">
        <v>262</v>
      </c>
      <c r="B240" s="171" t="s">
        <v>765</v>
      </c>
      <c r="C240" s="171" t="s">
        <v>263</v>
      </c>
      <c r="D240" s="171" t="s">
        <v>264</v>
      </c>
      <c r="E240" s="171" t="s">
        <v>269</v>
      </c>
      <c r="F240" s="171" t="s">
        <v>32</v>
      </c>
      <c r="G240" s="172">
        <v>696</v>
      </c>
      <c r="H240" s="173"/>
      <c r="I240" s="171"/>
      <c r="J240" s="171"/>
      <c r="K240" t="s">
        <v>337</v>
      </c>
      <c r="L240" t="s">
        <v>338</v>
      </c>
      <c r="N240" t="s">
        <v>339</v>
      </c>
    </row>
    <row r="241" spans="1:14" x14ac:dyDescent="0.25">
      <c r="A241" s="171" t="s">
        <v>262</v>
      </c>
      <c r="B241" s="171" t="s">
        <v>767</v>
      </c>
      <c r="C241" s="171" t="s">
        <v>263</v>
      </c>
      <c r="D241" s="171" t="s">
        <v>264</v>
      </c>
      <c r="E241" s="171" t="s">
        <v>271</v>
      </c>
      <c r="F241" s="171" t="s">
        <v>32</v>
      </c>
      <c r="G241" s="172">
        <v>834</v>
      </c>
      <c r="H241" s="173"/>
      <c r="I241" s="171"/>
      <c r="J241" s="171"/>
      <c r="K241" t="s">
        <v>337</v>
      </c>
      <c r="L241" t="s">
        <v>338</v>
      </c>
      <c r="N241" t="s">
        <v>339</v>
      </c>
    </row>
    <row r="242" spans="1:14" x14ac:dyDescent="0.25">
      <c r="A242" s="171" t="s">
        <v>262</v>
      </c>
      <c r="B242" s="171" t="s">
        <v>764</v>
      </c>
      <c r="C242" s="171" t="s">
        <v>263</v>
      </c>
      <c r="D242" s="171" t="s">
        <v>264</v>
      </c>
      <c r="E242" s="171" t="s">
        <v>268</v>
      </c>
      <c r="F242" s="171" t="s">
        <v>32</v>
      </c>
      <c r="G242" s="172">
        <v>850</v>
      </c>
      <c r="H242" s="173"/>
      <c r="I242" s="171"/>
      <c r="J242" s="171"/>
      <c r="K242" t="s">
        <v>337</v>
      </c>
      <c r="L242" t="s">
        <v>338</v>
      </c>
      <c r="N242" t="s">
        <v>339</v>
      </c>
    </row>
    <row r="243" spans="1:14" x14ac:dyDescent="0.25">
      <c r="A243" s="174" t="s">
        <v>274</v>
      </c>
      <c r="B243" s="174"/>
      <c r="C243" s="174" t="s">
        <v>275</v>
      </c>
      <c r="D243" s="174"/>
      <c r="E243" s="174"/>
      <c r="F243" s="174"/>
      <c r="G243" s="175">
        <f>=SUM(G222:G242)</f>
      </c>
      <c r="H243" s="176">
        <f>=SUM(H222:H242)</f>
      </c>
      <c r="I243" s="174" t="s">
        <v>17</v>
      </c>
      <c r="J243" s="174" t="s">
        <v>17</v>
      </c>
    </row>
    <row r="245" spans="1:10" x14ac:dyDescent="0.25">
      <c r="A245" s="169" t="s">
        <v>768</v>
      </c>
      <c r="B245" s="169"/>
      <c r="C245" s="169"/>
      <c r="D245" s="169"/>
      <c r="E245" s="169"/>
      <c r="F245" s="169"/>
      <c r="G245" s="169"/>
      <c r="H245" s="169"/>
      <c r="I245" s="169"/>
      <c r="J245" s="169"/>
    </row>
    <row r="246" spans="1:10" x14ac:dyDescent="0.25">
      <c r="A246" s="170" t="s">
        <v>98</v>
      </c>
      <c r="B246" s="170" t="s">
        <v>711</v>
      </c>
      <c r="C246" s="170" t="s">
        <v>99</v>
      </c>
      <c r="D246" s="170" t="s">
        <v>100</v>
      </c>
      <c r="E246" s="170" t="s">
        <v>101</v>
      </c>
      <c r="F246" s="170" t="s">
        <v>102</v>
      </c>
      <c r="G246" s="170" t="s">
        <v>103</v>
      </c>
      <c r="H246" s="170" t="s">
        <v>104</v>
      </c>
      <c r="I246" s="170" t="s">
        <v>105</v>
      </c>
      <c r="J246" s="170" t="s">
        <v>106</v>
      </c>
    </row>
    <row r="247" spans="1:14" x14ac:dyDescent="0.25">
      <c r="A247" s="171" t="s">
        <v>262</v>
      </c>
      <c r="B247" s="171" t="s">
        <v>769</v>
      </c>
      <c r="C247" s="171" t="s">
        <v>263</v>
      </c>
      <c r="D247" s="171" t="s">
        <v>272</v>
      </c>
      <c r="E247" s="171" t="s">
        <v>273</v>
      </c>
      <c r="F247" s="171" t="s">
        <v>32</v>
      </c>
      <c r="G247" s="172">
        <v>3</v>
      </c>
      <c r="H247" s="173">
        <v>0</v>
      </c>
      <c r="I247" s="171" t="s">
        <v>125</v>
      </c>
      <c r="J247" s="171" t="s">
        <v>266</v>
      </c>
      <c r="K247" t="s">
        <v>337</v>
      </c>
      <c r="L247" t="s">
        <v>338</v>
      </c>
      <c r="N247" t="s">
        <v>339</v>
      </c>
    </row>
    <row r="248" spans="1:14" x14ac:dyDescent="0.25">
      <c r="A248" s="171" t="s">
        <v>262</v>
      </c>
      <c r="B248" s="171" t="s">
        <v>769</v>
      </c>
      <c r="C248" s="171" t="s">
        <v>263</v>
      </c>
      <c r="D248" s="171" t="s">
        <v>272</v>
      </c>
      <c r="E248" s="171" t="s">
        <v>273</v>
      </c>
      <c r="F248" s="171" t="s">
        <v>32</v>
      </c>
      <c r="G248" s="172">
        <v>25</v>
      </c>
      <c r="H248" s="173"/>
      <c r="I248" s="171"/>
      <c r="J248" s="171"/>
      <c r="K248" t="s">
        <v>337</v>
      </c>
      <c r="L248" t="s">
        <v>338</v>
      </c>
      <c r="N248" t="s">
        <v>339</v>
      </c>
    </row>
    <row r="249" spans="1:14" x14ac:dyDescent="0.25">
      <c r="A249" s="171" t="s">
        <v>262</v>
      </c>
      <c r="B249" s="171" t="s">
        <v>769</v>
      </c>
      <c r="C249" s="171" t="s">
        <v>263</v>
      </c>
      <c r="D249" s="171" t="s">
        <v>272</v>
      </c>
      <c r="E249" s="171" t="s">
        <v>273</v>
      </c>
      <c r="F249" s="171" t="s">
        <v>32</v>
      </c>
      <c r="G249" s="172">
        <v>172</v>
      </c>
      <c r="H249" s="173"/>
      <c r="I249" s="171"/>
      <c r="J249" s="171"/>
      <c r="K249" t="s">
        <v>337</v>
      </c>
      <c r="L249" t="s">
        <v>338</v>
      </c>
      <c r="N249" t="s">
        <v>339</v>
      </c>
    </row>
    <row r="250" spans="1:14" x14ac:dyDescent="0.25">
      <c r="A250" s="174" t="s">
        <v>274</v>
      </c>
      <c r="B250" s="174"/>
      <c r="C250" s="174" t="s">
        <v>275</v>
      </c>
      <c r="D250" s="174"/>
      <c r="E250" s="174"/>
      <c r="F250" s="174"/>
      <c r="G250" s="175">
        <f>=SUM(G247:G249)</f>
      </c>
      <c r="H250" s="176">
        <f>=SUM(H247:H249)</f>
      </c>
      <c r="I250" s="174" t="s">
        <v>17</v>
      </c>
      <c r="J250" s="174" t="s">
        <v>17</v>
      </c>
    </row>
    <row r="252" spans="1:10" x14ac:dyDescent="0.25">
      <c r="A252" s="169" t="s">
        <v>770</v>
      </c>
      <c r="B252" s="169"/>
      <c r="C252" s="169"/>
      <c r="D252" s="169"/>
      <c r="E252" s="169"/>
      <c r="F252" s="169"/>
      <c r="G252" s="169"/>
      <c r="H252" s="169"/>
      <c r="I252" s="169"/>
      <c r="J252" s="169"/>
    </row>
    <row r="253" spans="1:10" x14ac:dyDescent="0.25">
      <c r="A253" s="170" t="s">
        <v>98</v>
      </c>
      <c r="B253" s="170" t="s">
        <v>711</v>
      </c>
      <c r="C253" s="170" t="s">
        <v>99</v>
      </c>
      <c r="D253" s="170" t="s">
        <v>100</v>
      </c>
      <c r="E253" s="170" t="s">
        <v>101</v>
      </c>
      <c r="F253" s="170" t="s">
        <v>102</v>
      </c>
      <c r="G253" s="170" t="s">
        <v>103</v>
      </c>
      <c r="H253" s="170" t="s">
        <v>104</v>
      </c>
      <c r="I253" s="170" t="s">
        <v>105</v>
      </c>
      <c r="J253" s="170" t="s">
        <v>106</v>
      </c>
    </row>
    <row r="254" spans="1:14" x14ac:dyDescent="0.25">
      <c r="A254" s="171" t="s">
        <v>255</v>
      </c>
      <c r="B254" s="171" t="s">
        <v>771</v>
      </c>
      <c r="C254" s="171" t="s">
        <v>13</v>
      </c>
      <c r="D254" s="171" t="s">
        <v>256</v>
      </c>
      <c r="E254" s="171" t="s">
        <v>257</v>
      </c>
      <c r="F254" s="171" t="s">
        <v>14</v>
      </c>
      <c r="G254" s="172">
        <v>777</v>
      </c>
      <c r="H254" s="173">
        <v>7</v>
      </c>
      <c r="I254" s="171" t="s">
        <v>110</v>
      </c>
      <c r="J254" s="171" t="s">
        <v>17</v>
      </c>
      <c r="K254" t="s">
        <v>12</v>
      </c>
      <c r="L254" t="s">
        <v>320</v>
      </c>
      <c r="N254" t="s">
        <v>18</v>
      </c>
    </row>
    <row r="255" spans="1:14" x14ac:dyDescent="0.25">
      <c r="A255" s="174" t="s">
        <v>274</v>
      </c>
      <c r="B255" s="174"/>
      <c r="C255" s="174" t="s">
        <v>275</v>
      </c>
      <c r="D255" s="174"/>
      <c r="E255" s="174"/>
      <c r="F255" s="174"/>
      <c r="G255" s="175">
        <f>=SUM(G254:G254)</f>
      </c>
      <c r="H255" s="176">
        <f>=SUM(H254:H254)</f>
      </c>
      <c r="I255" s="174" t="s">
        <v>17</v>
      </c>
      <c r="J255" s="174" t="s">
        <v>17</v>
      </c>
    </row>
    <row r="257" spans="1:10" x14ac:dyDescent="0.25">
      <c r="A257" s="169" t="s">
        <v>772</v>
      </c>
      <c r="B257" s="169"/>
      <c r="C257" s="169"/>
      <c r="D257" s="169"/>
      <c r="E257" s="169"/>
      <c r="F257" s="169"/>
      <c r="G257" s="169"/>
      <c r="H257" s="169"/>
      <c r="I257" s="169"/>
      <c r="J257" s="169"/>
    </row>
    <row r="258" spans="1:10" x14ac:dyDescent="0.25">
      <c r="A258" s="170" t="s">
        <v>98</v>
      </c>
      <c r="B258" s="170" t="s">
        <v>711</v>
      </c>
      <c r="C258" s="170" t="s">
        <v>99</v>
      </c>
      <c r="D258" s="170" t="s">
        <v>100</v>
      </c>
      <c r="E258" s="170" t="s">
        <v>101</v>
      </c>
      <c r="F258" s="170" t="s">
        <v>102</v>
      </c>
      <c r="G258" s="170" t="s">
        <v>103</v>
      </c>
      <c r="H258" s="170" t="s">
        <v>104</v>
      </c>
      <c r="I258" s="170" t="s">
        <v>105</v>
      </c>
      <c r="J258" s="170" t="s">
        <v>106</v>
      </c>
    </row>
    <row r="259" spans="1:14" x14ac:dyDescent="0.25">
      <c r="A259" s="171" t="s">
        <v>116</v>
      </c>
      <c r="B259" s="171" t="s">
        <v>773</v>
      </c>
      <c r="C259" s="171" t="s">
        <v>92</v>
      </c>
      <c r="D259" s="171" t="s">
        <v>117</v>
      </c>
      <c r="E259" s="171" t="s">
        <v>118</v>
      </c>
      <c r="F259" s="171" t="s">
        <v>32</v>
      </c>
      <c r="G259" s="172">
        <v>4220</v>
      </c>
      <c r="H259" s="173">
        <v>47</v>
      </c>
      <c r="I259" s="171" t="s">
        <v>119</v>
      </c>
      <c r="J259" s="171" t="s">
        <v>120</v>
      </c>
      <c r="K259" t="s">
        <v>91</v>
      </c>
      <c r="L259" t="s">
        <v>357</v>
      </c>
      <c r="N259" t="s">
        <v>17</v>
      </c>
    </row>
    <row r="260" spans="1:14" x14ac:dyDescent="0.25">
      <c r="A260" s="171" t="s">
        <v>116</v>
      </c>
      <c r="B260" s="171" t="s">
        <v>773</v>
      </c>
      <c r="C260" s="171" t="s">
        <v>92</v>
      </c>
      <c r="D260" s="171" t="s">
        <v>117</v>
      </c>
      <c r="E260" s="171" t="s">
        <v>118</v>
      </c>
      <c r="F260" s="171" t="s">
        <v>32</v>
      </c>
      <c r="G260" s="172">
        <v>8438</v>
      </c>
      <c r="H260" s="173">
        <v>0</v>
      </c>
      <c r="I260" s="171" t="s">
        <v>119</v>
      </c>
      <c r="J260" s="171" t="s">
        <v>120</v>
      </c>
      <c r="K260" t="s">
        <v>91</v>
      </c>
      <c r="L260" t="s">
        <v>357</v>
      </c>
      <c r="N260" t="s">
        <v>17</v>
      </c>
    </row>
    <row r="261" spans="1:14" x14ac:dyDescent="0.25">
      <c r="A261" s="171" t="s">
        <v>258</v>
      </c>
      <c r="B261" s="171" t="s">
        <v>774</v>
      </c>
      <c r="C261" s="171" t="s">
        <v>55</v>
      </c>
      <c r="D261" s="171" t="s">
        <v>117</v>
      </c>
      <c r="E261" s="171" t="s">
        <v>259</v>
      </c>
      <c r="F261" s="171" t="s">
        <v>32</v>
      </c>
      <c r="G261" s="172">
        <v>242</v>
      </c>
      <c r="H261" s="173">
        <v>4</v>
      </c>
      <c r="I261" s="171" t="s">
        <v>260</v>
      </c>
      <c r="J261" s="171" t="s">
        <v>17</v>
      </c>
      <c r="K261" t="s">
        <v>39</v>
      </c>
      <c r="L261" t="s">
        <v>342</v>
      </c>
      <c r="N261" t="s">
        <v>17</v>
      </c>
    </row>
    <row r="262" spans="1:14" x14ac:dyDescent="0.25">
      <c r="A262" s="171" t="s">
        <v>258</v>
      </c>
      <c r="B262" s="171" t="s">
        <v>774</v>
      </c>
      <c r="C262" s="171" t="s">
        <v>55</v>
      </c>
      <c r="D262" s="171" t="s">
        <v>117</v>
      </c>
      <c r="E262" s="171" t="s">
        <v>259</v>
      </c>
      <c r="F262" s="171" t="s">
        <v>32</v>
      </c>
      <c r="G262" s="172">
        <v>4220</v>
      </c>
      <c r="H262" s="173">
        <v>0</v>
      </c>
      <c r="I262" s="171" t="s">
        <v>260</v>
      </c>
      <c r="J262" s="171" t="s">
        <v>17</v>
      </c>
      <c r="K262" t="s">
        <v>39</v>
      </c>
      <c r="L262" t="s">
        <v>342</v>
      </c>
      <c r="N262" t="s">
        <v>17</v>
      </c>
    </row>
    <row r="263" spans="1:14" x14ac:dyDescent="0.25">
      <c r="A263" s="171" t="s">
        <v>258</v>
      </c>
      <c r="B263" s="171" t="s">
        <v>774</v>
      </c>
      <c r="C263" s="171" t="s">
        <v>55</v>
      </c>
      <c r="D263" s="171" t="s">
        <v>117</v>
      </c>
      <c r="E263" s="171" t="s">
        <v>259</v>
      </c>
      <c r="F263" s="171" t="s">
        <v>32</v>
      </c>
      <c r="G263" s="172">
        <v>8438</v>
      </c>
      <c r="H263" s="173"/>
      <c r="I263" s="171"/>
      <c r="J263" s="171"/>
      <c r="K263" t="s">
        <v>39</v>
      </c>
      <c r="L263" t="s">
        <v>342</v>
      </c>
      <c r="N263" t="s">
        <v>17</v>
      </c>
    </row>
    <row r="264" spans="1:14" x14ac:dyDescent="0.25">
      <c r="A264" s="171" t="s">
        <v>258</v>
      </c>
      <c r="B264" s="171" t="s">
        <v>775</v>
      </c>
      <c r="C264" s="171" t="s">
        <v>64</v>
      </c>
      <c r="D264" s="171" t="s">
        <v>117</v>
      </c>
      <c r="E264" s="171" t="s">
        <v>261</v>
      </c>
      <c r="F264" s="171" t="s">
        <v>32</v>
      </c>
      <c r="G264" s="172">
        <v>242</v>
      </c>
      <c r="H264" s="173"/>
      <c r="I264" s="171"/>
      <c r="J264" s="171"/>
      <c r="K264" t="s">
        <v>39</v>
      </c>
      <c r="L264" t="s">
        <v>342</v>
      </c>
      <c r="N264" t="s">
        <v>17</v>
      </c>
    </row>
    <row r="265" spans="1:14" x14ac:dyDescent="0.25">
      <c r="A265" s="171" t="s">
        <v>258</v>
      </c>
      <c r="B265" s="171" t="s">
        <v>775</v>
      </c>
      <c r="C265" s="171" t="s">
        <v>64</v>
      </c>
      <c r="D265" s="171" t="s">
        <v>117</v>
      </c>
      <c r="E265" s="171" t="s">
        <v>261</v>
      </c>
      <c r="F265" s="171" t="s">
        <v>32</v>
      </c>
      <c r="G265" s="172">
        <v>4220</v>
      </c>
      <c r="H265" s="173"/>
      <c r="I265" s="171"/>
      <c r="J265" s="171"/>
      <c r="K265" t="s">
        <v>39</v>
      </c>
      <c r="L265" t="s">
        <v>342</v>
      </c>
      <c r="N265" t="s">
        <v>17</v>
      </c>
    </row>
    <row r="266" spans="1:14" x14ac:dyDescent="0.25">
      <c r="A266" s="171" t="s">
        <v>258</v>
      </c>
      <c r="B266" s="171" t="s">
        <v>775</v>
      </c>
      <c r="C266" s="171" t="s">
        <v>64</v>
      </c>
      <c r="D266" s="171" t="s">
        <v>117</v>
      </c>
      <c r="E266" s="171" t="s">
        <v>261</v>
      </c>
      <c r="F266" s="171" t="s">
        <v>32</v>
      </c>
      <c r="G266" s="172">
        <v>8438</v>
      </c>
      <c r="H266" s="173"/>
      <c r="I266" s="171"/>
      <c r="J266" s="171"/>
      <c r="K266" t="s">
        <v>39</v>
      </c>
      <c r="L266" t="s">
        <v>342</v>
      </c>
      <c r="N266" t="s">
        <v>17</v>
      </c>
    </row>
    <row r="267" spans="1:14" x14ac:dyDescent="0.25">
      <c r="A267" s="174" t="s">
        <v>274</v>
      </c>
      <c r="B267" s="174"/>
      <c r="C267" s="174" t="s">
        <v>275</v>
      </c>
      <c r="D267" s="174"/>
      <c r="E267" s="174"/>
      <c r="F267" s="174"/>
      <c r="G267" s="175">
        <f>=SUM(G259:G266)</f>
      </c>
      <c r="H267" s="176">
        <f>=SUM(H259:H266)</f>
      </c>
      <c r="I267" s="174" t="s">
        <v>17</v>
      </c>
      <c r="J267" s="174" t="s">
        <v>17</v>
      </c>
    </row>
    <row r="269" spans="1:10" x14ac:dyDescent="0.25">
      <c r="A269" s="169" t="s">
        <v>776</v>
      </c>
      <c r="B269" s="169"/>
      <c r="C269" s="169"/>
      <c r="D269" s="169"/>
      <c r="E269" s="169"/>
      <c r="F269" s="169"/>
      <c r="G269" s="169"/>
      <c r="H269" s="169"/>
      <c r="I269" s="169"/>
      <c r="J269" s="169"/>
    </row>
    <row r="270" spans="1:10" x14ac:dyDescent="0.25">
      <c r="A270" s="170" t="s">
        <v>98</v>
      </c>
      <c r="B270" s="170" t="s">
        <v>711</v>
      </c>
      <c r="C270" s="170" t="s">
        <v>99</v>
      </c>
      <c r="D270" s="170" t="s">
        <v>100</v>
      </c>
      <c r="E270" s="170" t="s">
        <v>101</v>
      </c>
      <c r="F270" s="170" t="s">
        <v>102</v>
      </c>
      <c r="G270" s="170" t="s">
        <v>103</v>
      </c>
      <c r="H270" s="170" t="s">
        <v>104</v>
      </c>
      <c r="I270" s="170" t="s">
        <v>105</v>
      </c>
      <c r="J270" s="170" t="s">
        <v>106</v>
      </c>
    </row>
    <row r="271" spans="1:14" x14ac:dyDescent="0.25">
      <c r="A271" s="171" t="s">
        <v>251</v>
      </c>
      <c r="B271" s="171" t="s">
        <v>777</v>
      </c>
      <c r="C271" s="171" t="s">
        <v>27</v>
      </c>
      <c r="D271" s="171" t="s">
        <v>209</v>
      </c>
      <c r="E271" s="171" t="s">
        <v>252</v>
      </c>
      <c r="F271" s="171" t="s">
        <v>14</v>
      </c>
      <c r="G271" s="172">
        <v>2</v>
      </c>
      <c r="H271" s="173">
        <v>8</v>
      </c>
      <c r="I271" s="171" t="s">
        <v>125</v>
      </c>
      <c r="J271" s="171" t="s">
        <v>17</v>
      </c>
      <c r="K271" t="s">
        <v>24</v>
      </c>
      <c r="L271" t="s">
        <v>329</v>
      </c>
      <c r="N271" t="s">
        <v>29</v>
      </c>
    </row>
    <row r="272" spans="1:14" x14ac:dyDescent="0.25">
      <c r="A272" s="171" t="s">
        <v>251</v>
      </c>
      <c r="B272" s="171" t="s">
        <v>777</v>
      </c>
      <c r="C272" s="171" t="s">
        <v>27</v>
      </c>
      <c r="D272" s="171" t="s">
        <v>209</v>
      </c>
      <c r="E272" s="171" t="s">
        <v>252</v>
      </c>
      <c r="F272" s="171" t="s">
        <v>14</v>
      </c>
      <c r="G272" s="172">
        <v>2</v>
      </c>
      <c r="H272" s="173">
        <v>0</v>
      </c>
      <c r="I272" s="171" t="s">
        <v>125</v>
      </c>
      <c r="J272" s="171" t="s">
        <v>17</v>
      </c>
      <c r="K272" t="s">
        <v>24</v>
      </c>
      <c r="L272" t="s">
        <v>329</v>
      </c>
      <c r="N272" t="s">
        <v>29</v>
      </c>
    </row>
    <row r="273" spans="1:14" x14ac:dyDescent="0.25">
      <c r="A273" s="171" t="s">
        <v>251</v>
      </c>
      <c r="B273" s="171" t="s">
        <v>777</v>
      </c>
      <c r="C273" s="171" t="s">
        <v>27</v>
      </c>
      <c r="D273" s="171" t="s">
        <v>209</v>
      </c>
      <c r="E273" s="171" t="s">
        <v>252</v>
      </c>
      <c r="F273" s="171" t="s">
        <v>14</v>
      </c>
      <c r="G273" s="172">
        <v>2</v>
      </c>
      <c r="H273" s="173"/>
      <c r="I273" s="171"/>
      <c r="J273" s="171"/>
      <c r="K273" t="s">
        <v>24</v>
      </c>
      <c r="L273" t="s">
        <v>329</v>
      </c>
      <c r="N273" t="s">
        <v>29</v>
      </c>
    </row>
    <row r="274" spans="1:14" x14ac:dyDescent="0.25">
      <c r="A274" s="171" t="s">
        <v>251</v>
      </c>
      <c r="B274" s="171" t="s">
        <v>777</v>
      </c>
      <c r="C274" s="171" t="s">
        <v>27</v>
      </c>
      <c r="D274" s="171" t="s">
        <v>209</v>
      </c>
      <c r="E274" s="171" t="s">
        <v>252</v>
      </c>
      <c r="F274" s="171" t="s">
        <v>14</v>
      </c>
      <c r="G274" s="172">
        <v>2</v>
      </c>
      <c r="H274" s="173"/>
      <c r="I274" s="171"/>
      <c r="J274" s="171"/>
      <c r="K274" t="s">
        <v>24</v>
      </c>
      <c r="L274" t="s">
        <v>329</v>
      </c>
      <c r="N274" t="s">
        <v>29</v>
      </c>
    </row>
    <row r="275" spans="1:14" x14ac:dyDescent="0.25">
      <c r="A275" s="171" t="s">
        <v>251</v>
      </c>
      <c r="B275" s="171" t="s">
        <v>777</v>
      </c>
      <c r="C275" s="171" t="s">
        <v>27</v>
      </c>
      <c r="D275" s="171" t="s">
        <v>209</v>
      </c>
      <c r="E275" s="171" t="s">
        <v>252</v>
      </c>
      <c r="F275" s="171" t="s">
        <v>14</v>
      </c>
      <c r="G275" s="172">
        <v>2</v>
      </c>
      <c r="H275" s="173"/>
      <c r="I275" s="171"/>
      <c r="J275" s="171"/>
      <c r="K275" t="s">
        <v>24</v>
      </c>
      <c r="L275" t="s">
        <v>329</v>
      </c>
      <c r="N275" t="s">
        <v>29</v>
      </c>
    </row>
    <row r="276" spans="1:14" x14ac:dyDescent="0.25">
      <c r="A276" s="171" t="s">
        <v>251</v>
      </c>
      <c r="B276" s="171" t="s">
        <v>777</v>
      </c>
      <c r="C276" s="171" t="s">
        <v>27</v>
      </c>
      <c r="D276" s="171" t="s">
        <v>209</v>
      </c>
      <c r="E276" s="171" t="s">
        <v>252</v>
      </c>
      <c r="F276" s="171" t="s">
        <v>14</v>
      </c>
      <c r="G276" s="172">
        <v>31</v>
      </c>
      <c r="H276" s="173"/>
      <c r="I276" s="171"/>
      <c r="J276" s="171"/>
      <c r="K276" t="s">
        <v>24</v>
      </c>
      <c r="L276" t="s">
        <v>329</v>
      </c>
      <c r="N276" t="s">
        <v>29</v>
      </c>
    </row>
    <row r="277" spans="1:14" x14ac:dyDescent="0.25">
      <c r="A277" s="171" t="s">
        <v>251</v>
      </c>
      <c r="B277" s="171" t="s">
        <v>777</v>
      </c>
      <c r="C277" s="171" t="s">
        <v>27</v>
      </c>
      <c r="D277" s="171" t="s">
        <v>209</v>
      </c>
      <c r="E277" s="171" t="s">
        <v>252</v>
      </c>
      <c r="F277" s="171" t="s">
        <v>14</v>
      </c>
      <c r="G277" s="172">
        <v>490</v>
      </c>
      <c r="H277" s="173"/>
      <c r="I277" s="171"/>
      <c r="J277" s="171"/>
      <c r="K277" t="s">
        <v>24</v>
      </c>
      <c r="L277" t="s">
        <v>329</v>
      </c>
      <c r="N277" t="s">
        <v>29</v>
      </c>
    </row>
    <row r="278" spans="1:14" x14ac:dyDescent="0.25">
      <c r="A278" s="174" t="s">
        <v>274</v>
      </c>
      <c r="B278" s="174"/>
      <c r="C278" s="174" t="s">
        <v>275</v>
      </c>
      <c r="D278" s="174"/>
      <c r="E278" s="174"/>
      <c r="F278" s="174"/>
      <c r="G278" s="175">
        <f>=SUM(G271:G277)</f>
      </c>
      <c r="H278" s="176">
        <f>=SUM(H271:H277)</f>
      </c>
      <c r="I278" s="174" t="s">
        <v>17</v>
      </c>
      <c r="J278" s="174" t="s">
        <v>17</v>
      </c>
    </row>
    <row r="280" spans="1:10" x14ac:dyDescent="0.25">
      <c r="A280" s="169" t="s">
        <v>778</v>
      </c>
      <c r="B280" s="169"/>
      <c r="C280" s="169"/>
      <c r="D280" s="169"/>
      <c r="E280" s="169"/>
      <c r="F280" s="169"/>
      <c r="G280" s="169"/>
      <c r="H280" s="169"/>
      <c r="I280" s="169"/>
      <c r="J280" s="169"/>
    </row>
    <row r="281" spans="1:10" x14ac:dyDescent="0.25">
      <c r="A281" s="170" t="s">
        <v>98</v>
      </c>
      <c r="B281" s="170" t="s">
        <v>711</v>
      </c>
      <c r="C281" s="170" t="s">
        <v>99</v>
      </c>
      <c r="D281" s="170" t="s">
        <v>100</v>
      </c>
      <c r="E281" s="170" t="s">
        <v>101</v>
      </c>
      <c r="F281" s="170" t="s">
        <v>102</v>
      </c>
      <c r="G281" s="170" t="s">
        <v>103</v>
      </c>
      <c r="H281" s="170" t="s">
        <v>104</v>
      </c>
      <c r="I281" s="170" t="s">
        <v>105</v>
      </c>
      <c r="J281" s="170" t="s">
        <v>106</v>
      </c>
    </row>
    <row r="282" spans="1:14" x14ac:dyDescent="0.25">
      <c r="A282" s="171" t="s">
        <v>166</v>
      </c>
      <c r="B282" s="171" t="s">
        <v>779</v>
      </c>
      <c r="C282" s="171" t="s">
        <v>22</v>
      </c>
      <c r="D282" s="171" t="s">
        <v>167</v>
      </c>
      <c r="E282" s="171" t="s">
        <v>168</v>
      </c>
      <c r="F282" s="171" t="s">
        <v>14</v>
      </c>
      <c r="G282" s="172">
        <v>39</v>
      </c>
      <c r="H282" s="173">
        <v>2</v>
      </c>
      <c r="I282" s="171" t="s">
        <v>119</v>
      </c>
      <c r="J282" s="171" t="s">
        <v>169</v>
      </c>
      <c r="K282" t="s">
        <v>12</v>
      </c>
      <c r="L282" t="s">
        <v>320</v>
      </c>
      <c r="N282" t="s">
        <v>18</v>
      </c>
    </row>
    <row r="283" spans="1:14" x14ac:dyDescent="0.25">
      <c r="A283" s="171" t="s">
        <v>166</v>
      </c>
      <c r="B283" s="171" t="s">
        <v>779</v>
      </c>
      <c r="C283" s="171" t="s">
        <v>22</v>
      </c>
      <c r="D283" s="171" t="s">
        <v>167</v>
      </c>
      <c r="E283" s="171" t="s">
        <v>168</v>
      </c>
      <c r="F283" s="171" t="s">
        <v>14</v>
      </c>
      <c r="G283" s="172">
        <v>57</v>
      </c>
      <c r="H283" s="173">
        <v>0</v>
      </c>
      <c r="I283" s="171" t="s">
        <v>119</v>
      </c>
      <c r="J283" s="171" t="s">
        <v>169</v>
      </c>
      <c r="K283" t="s">
        <v>12</v>
      </c>
      <c r="L283" t="s">
        <v>320</v>
      </c>
      <c r="N283" t="s">
        <v>18</v>
      </c>
    </row>
    <row r="284" spans="1:14" x14ac:dyDescent="0.25">
      <c r="A284" s="171" t="s">
        <v>166</v>
      </c>
      <c r="B284" s="171" t="s">
        <v>779</v>
      </c>
      <c r="C284" s="171" t="s">
        <v>22</v>
      </c>
      <c r="D284" s="171" t="s">
        <v>167</v>
      </c>
      <c r="E284" s="171" t="s">
        <v>168</v>
      </c>
      <c r="F284" s="171" t="s">
        <v>14</v>
      </c>
      <c r="G284" s="172">
        <v>104</v>
      </c>
      <c r="H284" s="173"/>
      <c r="I284" s="171"/>
      <c r="J284" s="171"/>
      <c r="K284" t="s">
        <v>12</v>
      </c>
      <c r="L284" t="s">
        <v>320</v>
      </c>
      <c r="N284" t="s">
        <v>18</v>
      </c>
    </row>
    <row r="285" spans="1:14" x14ac:dyDescent="0.25">
      <c r="A285" s="174" t="s">
        <v>274</v>
      </c>
      <c r="B285" s="174"/>
      <c r="C285" s="174" t="s">
        <v>275</v>
      </c>
      <c r="D285" s="174"/>
      <c r="E285" s="174"/>
      <c r="F285" s="174"/>
      <c r="G285" s="175">
        <f>=SUM(G282:G284)</f>
      </c>
      <c r="H285" s="176">
        <f>=SUM(H282:H284)</f>
      </c>
      <c r="I285" s="174" t="s">
        <v>17</v>
      </c>
      <c r="J285" s="174" t="s">
        <v>17</v>
      </c>
    </row>
    <row r="287" spans="1:10" x14ac:dyDescent="0.25">
      <c r="A287" s="169" t="s">
        <v>780</v>
      </c>
      <c r="B287" s="169"/>
      <c r="C287" s="169"/>
      <c r="D287" s="169"/>
      <c r="E287" s="169"/>
      <c r="F287" s="169"/>
      <c r="G287" s="169"/>
      <c r="H287" s="169"/>
      <c r="I287" s="169"/>
      <c r="J287" s="169"/>
    </row>
    <row r="288" spans="1:10" x14ac:dyDescent="0.25">
      <c r="A288" s="170" t="s">
        <v>98</v>
      </c>
      <c r="B288" s="170" t="s">
        <v>711</v>
      </c>
      <c r="C288" s="170" t="s">
        <v>99</v>
      </c>
      <c r="D288" s="170" t="s">
        <v>100</v>
      </c>
      <c r="E288" s="170" t="s">
        <v>101</v>
      </c>
      <c r="F288" s="170" t="s">
        <v>102</v>
      </c>
      <c r="G288" s="170" t="s">
        <v>103</v>
      </c>
      <c r="H288" s="170" t="s">
        <v>104</v>
      </c>
      <c r="I288" s="170" t="s">
        <v>105</v>
      </c>
      <c r="J288" s="170" t="s">
        <v>106</v>
      </c>
    </row>
    <row r="289" spans="1:14" x14ac:dyDescent="0.25">
      <c r="A289" s="171" t="s">
        <v>136</v>
      </c>
      <c r="B289" s="171" t="s">
        <v>781</v>
      </c>
      <c r="C289" s="171" t="s">
        <v>25</v>
      </c>
      <c r="D289" s="171" t="s">
        <v>108</v>
      </c>
      <c r="E289" s="171" t="s">
        <v>137</v>
      </c>
      <c r="F289" s="171" t="s">
        <v>14</v>
      </c>
      <c r="G289" s="172">
        <v>363</v>
      </c>
      <c r="H289" s="173">
        <v>3</v>
      </c>
      <c r="I289" s="171" t="s">
        <v>125</v>
      </c>
      <c r="J289" s="171" t="s">
        <v>17</v>
      </c>
      <c r="K289" t="s">
        <v>24</v>
      </c>
      <c r="L289" t="s">
        <v>329</v>
      </c>
      <c r="N289" t="s">
        <v>26</v>
      </c>
    </row>
    <row r="290" spans="1:14" x14ac:dyDescent="0.25">
      <c r="A290" s="171" t="s">
        <v>138</v>
      </c>
      <c r="B290" s="171" t="s">
        <v>782</v>
      </c>
      <c r="C290" s="171" t="s">
        <v>48</v>
      </c>
      <c r="D290" s="171" t="s">
        <v>108</v>
      </c>
      <c r="E290" s="171" t="s">
        <v>139</v>
      </c>
      <c r="F290" s="171" t="s">
        <v>32</v>
      </c>
      <c r="G290" s="172">
        <v>4</v>
      </c>
      <c r="H290" s="173">
        <v>4</v>
      </c>
      <c r="I290" s="171" t="s">
        <v>110</v>
      </c>
      <c r="J290" s="171" t="s">
        <v>17</v>
      </c>
      <c r="K290" t="s">
        <v>47</v>
      </c>
      <c r="L290" t="s">
        <v>79</v>
      </c>
      <c r="N290" t="s">
        <v>17</v>
      </c>
    </row>
    <row r="291" spans="1:14" x14ac:dyDescent="0.25">
      <c r="A291" s="171" t="s">
        <v>138</v>
      </c>
      <c r="B291" s="171" t="s">
        <v>782</v>
      </c>
      <c r="C291" s="171" t="s">
        <v>48</v>
      </c>
      <c r="D291" s="171" t="s">
        <v>108</v>
      </c>
      <c r="E291" s="171" t="s">
        <v>139</v>
      </c>
      <c r="F291" s="171" t="s">
        <v>32</v>
      </c>
      <c r="G291" s="172">
        <v>193</v>
      </c>
      <c r="H291" s="173">
        <v>0</v>
      </c>
      <c r="I291" s="171" t="s">
        <v>110</v>
      </c>
      <c r="J291" s="171" t="s">
        <v>17</v>
      </c>
      <c r="K291" t="s">
        <v>47</v>
      </c>
      <c r="L291" t="s">
        <v>79</v>
      </c>
      <c r="N291" t="s">
        <v>17</v>
      </c>
    </row>
    <row r="292" spans="1:14" x14ac:dyDescent="0.25">
      <c r="A292" s="171" t="s">
        <v>138</v>
      </c>
      <c r="B292" s="171" t="s">
        <v>782</v>
      </c>
      <c r="C292" s="171" t="s">
        <v>48</v>
      </c>
      <c r="D292" s="171" t="s">
        <v>108</v>
      </c>
      <c r="E292" s="171" t="s">
        <v>139</v>
      </c>
      <c r="F292" s="171" t="s">
        <v>32</v>
      </c>
      <c r="G292" s="172">
        <v>521</v>
      </c>
      <c r="H292" s="173"/>
      <c r="I292" s="171"/>
      <c r="J292" s="171"/>
      <c r="K292" t="s">
        <v>47</v>
      </c>
      <c r="L292" t="s">
        <v>79</v>
      </c>
      <c r="N292" t="s">
        <v>17</v>
      </c>
    </row>
    <row r="293" spans="1:14" x14ac:dyDescent="0.25">
      <c r="A293" s="171" t="s">
        <v>138</v>
      </c>
      <c r="B293" s="171" t="s">
        <v>782</v>
      </c>
      <c r="C293" s="171" t="s">
        <v>48</v>
      </c>
      <c r="D293" s="171" t="s">
        <v>108</v>
      </c>
      <c r="E293" s="171" t="s">
        <v>139</v>
      </c>
      <c r="F293" s="171" t="s">
        <v>32</v>
      </c>
      <c r="G293" s="172">
        <v>1401</v>
      </c>
      <c r="H293" s="173"/>
      <c r="I293" s="171"/>
      <c r="J293" s="171"/>
      <c r="K293" t="s">
        <v>47</v>
      </c>
      <c r="L293" t="s">
        <v>79</v>
      </c>
      <c r="N293" t="s">
        <v>17</v>
      </c>
    </row>
    <row r="294" spans="1:14" x14ac:dyDescent="0.25">
      <c r="A294" s="171" t="s">
        <v>138</v>
      </c>
      <c r="B294" s="171" t="s">
        <v>782</v>
      </c>
      <c r="C294" s="171" t="s">
        <v>48</v>
      </c>
      <c r="D294" s="171" t="s">
        <v>108</v>
      </c>
      <c r="E294" s="171" t="s">
        <v>139</v>
      </c>
      <c r="F294" s="171" t="s">
        <v>32</v>
      </c>
      <c r="G294" s="172">
        <v>6731</v>
      </c>
      <c r="H294" s="173"/>
      <c r="I294" s="171"/>
      <c r="J294" s="171"/>
      <c r="K294" t="s">
        <v>47</v>
      </c>
      <c r="L294" t="s">
        <v>79</v>
      </c>
      <c r="N294" t="s">
        <v>17</v>
      </c>
    </row>
    <row r="295" spans="1:14" x14ac:dyDescent="0.25">
      <c r="A295" s="171" t="s">
        <v>138</v>
      </c>
      <c r="B295" s="171" t="s">
        <v>783</v>
      </c>
      <c r="C295" s="171" t="s">
        <v>50</v>
      </c>
      <c r="D295" s="171" t="s">
        <v>140</v>
      </c>
      <c r="E295" s="171" t="s">
        <v>141</v>
      </c>
      <c r="F295" s="171" t="s">
        <v>14</v>
      </c>
      <c r="G295" s="172">
        <v>2</v>
      </c>
      <c r="H295" s="173"/>
      <c r="I295" s="171"/>
      <c r="J295" s="171"/>
      <c r="K295" t="s">
        <v>49</v>
      </c>
      <c r="L295" t="s">
        <v>345</v>
      </c>
      <c r="N295" t="s">
        <v>17</v>
      </c>
    </row>
    <row r="296" spans="1:14" x14ac:dyDescent="0.25">
      <c r="A296" s="171" t="s">
        <v>138</v>
      </c>
      <c r="B296" s="171" t="s">
        <v>784</v>
      </c>
      <c r="C296" s="171" t="s">
        <v>50</v>
      </c>
      <c r="D296" s="171" t="s">
        <v>108</v>
      </c>
      <c r="E296" s="171" t="s">
        <v>141</v>
      </c>
      <c r="F296" s="171" t="s">
        <v>14</v>
      </c>
      <c r="G296" s="172">
        <v>30</v>
      </c>
      <c r="H296" s="173"/>
      <c r="I296" s="171"/>
      <c r="J296" s="171"/>
      <c r="K296" t="s">
        <v>49</v>
      </c>
      <c r="L296" t="s">
        <v>345</v>
      </c>
      <c r="N296" t="s">
        <v>17</v>
      </c>
    </row>
    <row r="297" spans="1:14" x14ac:dyDescent="0.25">
      <c r="A297" s="171" t="s">
        <v>138</v>
      </c>
      <c r="B297" s="171" t="s">
        <v>783</v>
      </c>
      <c r="C297" s="171" t="s">
        <v>50</v>
      </c>
      <c r="D297" s="171" t="s">
        <v>140</v>
      </c>
      <c r="E297" s="171" t="s">
        <v>141</v>
      </c>
      <c r="F297" s="171" t="s">
        <v>14</v>
      </c>
      <c r="G297" s="172">
        <v>46</v>
      </c>
      <c r="H297" s="173"/>
      <c r="I297" s="171"/>
      <c r="J297" s="171"/>
      <c r="K297" t="s">
        <v>49</v>
      </c>
      <c r="L297" t="s">
        <v>345</v>
      </c>
      <c r="N297" t="s">
        <v>17</v>
      </c>
    </row>
    <row r="298" spans="1:14" x14ac:dyDescent="0.25">
      <c r="A298" s="171" t="s">
        <v>138</v>
      </c>
      <c r="B298" s="171" t="s">
        <v>784</v>
      </c>
      <c r="C298" s="171" t="s">
        <v>50</v>
      </c>
      <c r="D298" s="171" t="s">
        <v>108</v>
      </c>
      <c r="E298" s="171" t="s">
        <v>141</v>
      </c>
      <c r="F298" s="171" t="s">
        <v>14</v>
      </c>
      <c r="G298" s="172">
        <v>200</v>
      </c>
      <c r="H298" s="173"/>
      <c r="I298" s="171"/>
      <c r="J298" s="171"/>
      <c r="K298" t="s">
        <v>49</v>
      </c>
      <c r="L298" t="s">
        <v>345</v>
      </c>
      <c r="N298" t="s">
        <v>17</v>
      </c>
    </row>
    <row r="299" spans="1:14" x14ac:dyDescent="0.25">
      <c r="A299" s="171" t="s">
        <v>138</v>
      </c>
      <c r="B299" s="171" t="s">
        <v>784</v>
      </c>
      <c r="C299" s="171" t="s">
        <v>50</v>
      </c>
      <c r="D299" s="171" t="s">
        <v>108</v>
      </c>
      <c r="E299" s="171" t="s">
        <v>141</v>
      </c>
      <c r="F299" s="171" t="s">
        <v>14</v>
      </c>
      <c r="G299" s="172">
        <v>267</v>
      </c>
      <c r="H299" s="173"/>
      <c r="I299" s="171"/>
      <c r="J299" s="171"/>
      <c r="K299" t="s">
        <v>49</v>
      </c>
      <c r="L299" t="s">
        <v>345</v>
      </c>
      <c r="N299" t="s">
        <v>17</v>
      </c>
    </row>
    <row r="300" spans="1:14" x14ac:dyDescent="0.25">
      <c r="A300" s="171" t="s">
        <v>138</v>
      </c>
      <c r="B300" s="171" t="s">
        <v>783</v>
      </c>
      <c r="C300" s="171" t="s">
        <v>50</v>
      </c>
      <c r="D300" s="171" t="s">
        <v>140</v>
      </c>
      <c r="E300" s="171" t="s">
        <v>141</v>
      </c>
      <c r="F300" s="171" t="s">
        <v>14</v>
      </c>
      <c r="G300" s="172">
        <v>652</v>
      </c>
      <c r="H300" s="173"/>
      <c r="I300" s="171"/>
      <c r="J300" s="171"/>
      <c r="K300" t="s">
        <v>49</v>
      </c>
      <c r="L300" t="s">
        <v>345</v>
      </c>
      <c r="N300" t="s">
        <v>17</v>
      </c>
    </row>
    <row r="301" spans="1:14" x14ac:dyDescent="0.25">
      <c r="A301" s="171" t="s">
        <v>138</v>
      </c>
      <c r="B301" s="171" t="s">
        <v>784</v>
      </c>
      <c r="C301" s="171" t="s">
        <v>50</v>
      </c>
      <c r="D301" s="171" t="s">
        <v>108</v>
      </c>
      <c r="E301" s="171" t="s">
        <v>141</v>
      </c>
      <c r="F301" s="171" t="s">
        <v>14</v>
      </c>
      <c r="G301" s="172">
        <v>716</v>
      </c>
      <c r="H301" s="173"/>
      <c r="I301" s="171"/>
      <c r="J301" s="171"/>
      <c r="K301" t="s">
        <v>49</v>
      </c>
      <c r="L301" t="s">
        <v>345</v>
      </c>
      <c r="N301" t="s">
        <v>17</v>
      </c>
    </row>
    <row r="302" spans="1:14" x14ac:dyDescent="0.25">
      <c r="A302" s="171" t="s">
        <v>138</v>
      </c>
      <c r="B302" s="171" t="s">
        <v>784</v>
      </c>
      <c r="C302" s="171" t="s">
        <v>50</v>
      </c>
      <c r="D302" s="171" t="s">
        <v>108</v>
      </c>
      <c r="E302" s="171" t="s">
        <v>141</v>
      </c>
      <c r="F302" s="171" t="s">
        <v>14</v>
      </c>
      <c r="G302" s="172">
        <v>2387</v>
      </c>
      <c r="H302" s="173"/>
      <c r="I302" s="171"/>
      <c r="J302" s="171"/>
      <c r="K302" t="s">
        <v>49</v>
      </c>
      <c r="L302" t="s">
        <v>345</v>
      </c>
      <c r="N302" t="s">
        <v>17</v>
      </c>
    </row>
    <row r="303" spans="1:14" x14ac:dyDescent="0.25">
      <c r="A303" s="171" t="s">
        <v>138</v>
      </c>
      <c r="B303" s="171" t="s">
        <v>785</v>
      </c>
      <c r="C303" s="171" t="s">
        <v>53</v>
      </c>
      <c r="D303" s="171" t="s">
        <v>108</v>
      </c>
      <c r="E303" s="171" t="s">
        <v>142</v>
      </c>
      <c r="F303" s="171" t="s">
        <v>14</v>
      </c>
      <c r="G303" s="172">
        <v>2</v>
      </c>
      <c r="H303" s="173"/>
      <c r="I303" s="171"/>
      <c r="J303" s="171"/>
      <c r="K303" t="s">
        <v>51</v>
      </c>
      <c r="L303" t="s">
        <v>346</v>
      </c>
      <c r="N303" t="s">
        <v>17</v>
      </c>
    </row>
    <row r="304" spans="1:14" x14ac:dyDescent="0.25">
      <c r="A304" s="171" t="s">
        <v>138</v>
      </c>
      <c r="B304" s="171" t="s">
        <v>786</v>
      </c>
      <c r="C304" s="171" t="s">
        <v>53</v>
      </c>
      <c r="D304" s="171" t="s">
        <v>143</v>
      </c>
      <c r="E304" s="171" t="s">
        <v>142</v>
      </c>
      <c r="F304" s="171" t="s">
        <v>14</v>
      </c>
      <c r="G304" s="172">
        <v>4</v>
      </c>
      <c r="H304" s="173"/>
      <c r="I304" s="171"/>
      <c r="J304" s="171"/>
      <c r="K304" t="s">
        <v>51</v>
      </c>
      <c r="L304" t="s">
        <v>346</v>
      </c>
      <c r="N304" t="s">
        <v>17</v>
      </c>
    </row>
    <row r="305" spans="1:14" x14ac:dyDescent="0.25">
      <c r="A305" s="171" t="s">
        <v>138</v>
      </c>
      <c r="B305" s="171" t="s">
        <v>785</v>
      </c>
      <c r="C305" s="171" t="s">
        <v>53</v>
      </c>
      <c r="D305" s="171" t="s">
        <v>108</v>
      </c>
      <c r="E305" s="171" t="s">
        <v>142</v>
      </c>
      <c r="F305" s="171" t="s">
        <v>14</v>
      </c>
      <c r="G305" s="172">
        <v>10</v>
      </c>
      <c r="H305" s="173"/>
      <c r="I305" s="171"/>
      <c r="J305" s="171"/>
      <c r="K305" t="s">
        <v>51</v>
      </c>
      <c r="L305" t="s">
        <v>346</v>
      </c>
      <c r="N305" t="s">
        <v>17</v>
      </c>
    </row>
    <row r="306" spans="1:14" x14ac:dyDescent="0.25">
      <c r="A306" s="171" t="s">
        <v>138</v>
      </c>
      <c r="B306" s="171" t="s">
        <v>786</v>
      </c>
      <c r="C306" s="171" t="s">
        <v>53</v>
      </c>
      <c r="D306" s="171" t="s">
        <v>143</v>
      </c>
      <c r="E306" s="171" t="s">
        <v>142</v>
      </c>
      <c r="F306" s="171" t="s">
        <v>14</v>
      </c>
      <c r="G306" s="172">
        <v>43</v>
      </c>
      <c r="H306" s="173"/>
      <c r="I306" s="171"/>
      <c r="J306" s="171"/>
      <c r="K306" t="s">
        <v>51</v>
      </c>
      <c r="L306" t="s">
        <v>346</v>
      </c>
      <c r="N306" t="s">
        <v>17</v>
      </c>
    </row>
    <row r="307" spans="1:14" x14ac:dyDescent="0.25">
      <c r="A307" s="171" t="s">
        <v>138</v>
      </c>
      <c r="B307" s="171" t="s">
        <v>785</v>
      </c>
      <c r="C307" s="171" t="s">
        <v>53</v>
      </c>
      <c r="D307" s="171" t="s">
        <v>108</v>
      </c>
      <c r="E307" s="171" t="s">
        <v>142</v>
      </c>
      <c r="F307" s="171" t="s">
        <v>14</v>
      </c>
      <c r="G307" s="172">
        <v>100</v>
      </c>
      <c r="H307" s="173"/>
      <c r="I307" s="171"/>
      <c r="J307" s="171"/>
      <c r="K307" t="s">
        <v>51</v>
      </c>
      <c r="L307" t="s">
        <v>346</v>
      </c>
      <c r="N307" t="s">
        <v>17</v>
      </c>
    </row>
    <row r="308" spans="1:14" x14ac:dyDescent="0.25">
      <c r="A308" s="171" t="s">
        <v>138</v>
      </c>
      <c r="B308" s="171" t="s">
        <v>787</v>
      </c>
      <c r="C308" s="171" t="s">
        <v>53</v>
      </c>
      <c r="D308" s="171" t="s">
        <v>144</v>
      </c>
      <c r="E308" s="171" t="s">
        <v>142</v>
      </c>
      <c r="F308" s="171" t="s">
        <v>14</v>
      </c>
      <c r="G308" s="172">
        <v>130</v>
      </c>
      <c r="H308" s="173"/>
      <c r="I308" s="171"/>
      <c r="J308" s="171"/>
      <c r="K308" t="s">
        <v>51</v>
      </c>
      <c r="L308" t="s">
        <v>346</v>
      </c>
      <c r="N308" t="s">
        <v>17</v>
      </c>
    </row>
    <row r="309" spans="1:14" x14ac:dyDescent="0.25">
      <c r="A309" s="171" t="s">
        <v>138</v>
      </c>
      <c r="B309" s="171" t="s">
        <v>785</v>
      </c>
      <c r="C309" s="171" t="s">
        <v>53</v>
      </c>
      <c r="D309" s="171" t="s">
        <v>108</v>
      </c>
      <c r="E309" s="171" t="s">
        <v>142</v>
      </c>
      <c r="F309" s="171" t="s">
        <v>14</v>
      </c>
      <c r="G309" s="172">
        <v>252</v>
      </c>
      <c r="H309" s="173"/>
      <c r="I309" s="171"/>
      <c r="J309" s="171"/>
      <c r="K309" t="s">
        <v>51</v>
      </c>
      <c r="L309" t="s">
        <v>346</v>
      </c>
      <c r="N309" t="s">
        <v>17</v>
      </c>
    </row>
    <row r="310" spans="1:14" x14ac:dyDescent="0.25">
      <c r="A310" s="171" t="s">
        <v>138</v>
      </c>
      <c r="B310" s="171" t="s">
        <v>787</v>
      </c>
      <c r="C310" s="171" t="s">
        <v>53</v>
      </c>
      <c r="D310" s="171" t="s">
        <v>144</v>
      </c>
      <c r="E310" s="171" t="s">
        <v>142</v>
      </c>
      <c r="F310" s="171" t="s">
        <v>14</v>
      </c>
      <c r="G310" s="172">
        <v>422</v>
      </c>
      <c r="H310" s="173"/>
      <c r="I310" s="171"/>
      <c r="J310" s="171"/>
      <c r="K310" t="s">
        <v>51</v>
      </c>
      <c r="L310" t="s">
        <v>346</v>
      </c>
      <c r="N310" t="s">
        <v>17</v>
      </c>
    </row>
    <row r="311" spans="1:14" x14ac:dyDescent="0.25">
      <c r="A311" s="171" t="s">
        <v>138</v>
      </c>
      <c r="B311" s="171" t="s">
        <v>785</v>
      </c>
      <c r="C311" s="171" t="s">
        <v>53</v>
      </c>
      <c r="D311" s="171" t="s">
        <v>108</v>
      </c>
      <c r="E311" s="171" t="s">
        <v>142</v>
      </c>
      <c r="F311" s="171" t="s">
        <v>14</v>
      </c>
      <c r="G311" s="172">
        <v>678</v>
      </c>
      <c r="H311" s="173"/>
      <c r="I311" s="171"/>
      <c r="J311" s="171"/>
      <c r="K311" t="s">
        <v>51</v>
      </c>
      <c r="L311" t="s">
        <v>346</v>
      </c>
      <c r="N311" t="s">
        <v>17</v>
      </c>
    </row>
    <row r="312" spans="1:14" x14ac:dyDescent="0.25">
      <c r="A312" s="171" t="s">
        <v>138</v>
      </c>
      <c r="B312" s="171" t="s">
        <v>786</v>
      </c>
      <c r="C312" s="171" t="s">
        <v>53</v>
      </c>
      <c r="D312" s="171" t="s">
        <v>143</v>
      </c>
      <c r="E312" s="171" t="s">
        <v>142</v>
      </c>
      <c r="F312" s="171" t="s">
        <v>14</v>
      </c>
      <c r="G312" s="172">
        <v>1153</v>
      </c>
      <c r="H312" s="173"/>
      <c r="I312" s="171"/>
      <c r="J312" s="171"/>
      <c r="K312" t="s">
        <v>51</v>
      </c>
      <c r="L312" t="s">
        <v>346</v>
      </c>
      <c r="N312" t="s">
        <v>17</v>
      </c>
    </row>
    <row r="313" spans="1:14" x14ac:dyDescent="0.25">
      <c r="A313" s="171" t="s">
        <v>138</v>
      </c>
      <c r="B313" s="171" t="s">
        <v>787</v>
      </c>
      <c r="C313" s="171" t="s">
        <v>53</v>
      </c>
      <c r="D313" s="171" t="s">
        <v>144</v>
      </c>
      <c r="E313" s="171" t="s">
        <v>142</v>
      </c>
      <c r="F313" s="171" t="s">
        <v>14</v>
      </c>
      <c r="G313" s="172">
        <v>1268</v>
      </c>
      <c r="H313" s="173"/>
      <c r="I313" s="171"/>
      <c r="J313" s="171"/>
      <c r="K313" t="s">
        <v>51</v>
      </c>
      <c r="L313" t="s">
        <v>346</v>
      </c>
      <c r="N313" t="s">
        <v>17</v>
      </c>
    </row>
    <row r="314" spans="1:14" x14ac:dyDescent="0.25">
      <c r="A314" s="171" t="s">
        <v>138</v>
      </c>
      <c r="B314" s="171" t="s">
        <v>785</v>
      </c>
      <c r="C314" s="171" t="s">
        <v>53</v>
      </c>
      <c r="D314" s="171" t="s">
        <v>108</v>
      </c>
      <c r="E314" s="171" t="s">
        <v>142</v>
      </c>
      <c r="F314" s="171" t="s">
        <v>14</v>
      </c>
      <c r="G314" s="172">
        <v>3258</v>
      </c>
      <c r="H314" s="173"/>
      <c r="I314" s="171"/>
      <c r="J314" s="171"/>
      <c r="K314" t="s">
        <v>51</v>
      </c>
      <c r="L314" t="s">
        <v>346</v>
      </c>
      <c r="N314" t="s">
        <v>17</v>
      </c>
    </row>
    <row r="315" spans="1:14" x14ac:dyDescent="0.25">
      <c r="A315" s="171" t="s">
        <v>138</v>
      </c>
      <c r="B315" s="171" t="s">
        <v>787</v>
      </c>
      <c r="C315" s="171" t="s">
        <v>53</v>
      </c>
      <c r="D315" s="171" t="s">
        <v>144</v>
      </c>
      <c r="E315" s="171" t="s">
        <v>142</v>
      </c>
      <c r="F315" s="171" t="s">
        <v>14</v>
      </c>
      <c r="G315" s="172">
        <v>4180</v>
      </c>
      <c r="H315" s="173"/>
      <c r="I315" s="171"/>
      <c r="J315" s="171"/>
      <c r="K315" t="s">
        <v>51</v>
      </c>
      <c r="L315" t="s">
        <v>346</v>
      </c>
      <c r="N315" t="s">
        <v>17</v>
      </c>
    </row>
    <row r="316" spans="1:14" x14ac:dyDescent="0.25">
      <c r="A316" s="171" t="s">
        <v>138</v>
      </c>
      <c r="B316" s="171" t="s">
        <v>788</v>
      </c>
      <c r="C316" s="171" t="s">
        <v>85</v>
      </c>
      <c r="D316" s="171" t="s">
        <v>145</v>
      </c>
      <c r="E316" s="171" t="s">
        <v>146</v>
      </c>
      <c r="F316" s="171" t="s">
        <v>32</v>
      </c>
      <c r="G316" s="172">
        <v>6</v>
      </c>
      <c r="H316" s="173"/>
      <c r="I316" s="171"/>
      <c r="J316" s="171"/>
      <c r="K316" t="s">
        <v>47</v>
      </c>
      <c r="L316" t="s">
        <v>79</v>
      </c>
      <c r="N316" t="s">
        <v>17</v>
      </c>
    </row>
    <row r="317" spans="1:14" x14ac:dyDescent="0.25">
      <c r="A317" s="171" t="s">
        <v>138</v>
      </c>
      <c r="B317" s="171" t="s">
        <v>788</v>
      </c>
      <c r="C317" s="171" t="s">
        <v>85</v>
      </c>
      <c r="D317" s="171" t="s">
        <v>145</v>
      </c>
      <c r="E317" s="171" t="s">
        <v>146</v>
      </c>
      <c r="F317" s="171" t="s">
        <v>32</v>
      </c>
      <c r="G317" s="172">
        <v>54</v>
      </c>
      <c r="H317" s="173"/>
      <c r="I317" s="171"/>
      <c r="J317" s="171"/>
      <c r="K317" t="s">
        <v>47</v>
      </c>
      <c r="L317" t="s">
        <v>79</v>
      </c>
      <c r="N317" t="s">
        <v>17</v>
      </c>
    </row>
    <row r="318" spans="1:14" x14ac:dyDescent="0.25">
      <c r="A318" s="171" t="s">
        <v>138</v>
      </c>
      <c r="B318" s="171" t="s">
        <v>789</v>
      </c>
      <c r="C318" s="171" t="s">
        <v>85</v>
      </c>
      <c r="D318" s="171" t="s">
        <v>108</v>
      </c>
      <c r="E318" s="171" t="s">
        <v>146</v>
      </c>
      <c r="F318" s="171" t="s">
        <v>32</v>
      </c>
      <c r="G318" s="172">
        <v>248</v>
      </c>
      <c r="H318" s="173"/>
      <c r="I318" s="171"/>
      <c r="J318" s="171"/>
      <c r="K318" t="s">
        <v>41</v>
      </c>
      <c r="L318" t="s">
        <v>343</v>
      </c>
      <c r="N318" t="s">
        <v>17</v>
      </c>
    </row>
    <row r="319" spans="1:14" x14ac:dyDescent="0.25">
      <c r="A319" s="171" t="s">
        <v>138</v>
      </c>
      <c r="B319" s="171" t="s">
        <v>789</v>
      </c>
      <c r="C319" s="171" t="s">
        <v>85</v>
      </c>
      <c r="D319" s="171" t="s">
        <v>108</v>
      </c>
      <c r="E319" s="171" t="s">
        <v>146</v>
      </c>
      <c r="F319" s="171" t="s">
        <v>32</v>
      </c>
      <c r="G319" s="172">
        <v>780</v>
      </c>
      <c r="H319" s="173"/>
      <c r="I319" s="171"/>
      <c r="J319" s="171"/>
      <c r="K319" t="s">
        <v>41</v>
      </c>
      <c r="L319" t="s">
        <v>343</v>
      </c>
      <c r="N319" t="s">
        <v>17</v>
      </c>
    </row>
    <row r="320" spans="1:14" x14ac:dyDescent="0.25">
      <c r="A320" s="171" t="s">
        <v>138</v>
      </c>
      <c r="B320" s="171" t="s">
        <v>788</v>
      </c>
      <c r="C320" s="171" t="s">
        <v>85</v>
      </c>
      <c r="D320" s="171" t="s">
        <v>145</v>
      </c>
      <c r="E320" s="171" t="s">
        <v>146</v>
      </c>
      <c r="F320" s="171" t="s">
        <v>32</v>
      </c>
      <c r="G320" s="172">
        <v>1900</v>
      </c>
      <c r="H320" s="173"/>
      <c r="I320" s="171"/>
      <c r="J320" s="171"/>
      <c r="K320" t="s">
        <v>47</v>
      </c>
      <c r="L320" t="s">
        <v>79</v>
      </c>
      <c r="N320" t="s">
        <v>17</v>
      </c>
    </row>
    <row r="321" spans="1:14" x14ac:dyDescent="0.25">
      <c r="A321" s="171" t="s">
        <v>138</v>
      </c>
      <c r="B321" s="171" t="s">
        <v>789</v>
      </c>
      <c r="C321" s="171" t="s">
        <v>85</v>
      </c>
      <c r="D321" s="171" t="s">
        <v>108</v>
      </c>
      <c r="E321" s="171" t="s">
        <v>146</v>
      </c>
      <c r="F321" s="171" t="s">
        <v>32</v>
      </c>
      <c r="G321" s="172">
        <v>2097</v>
      </c>
      <c r="H321" s="173"/>
      <c r="I321" s="171"/>
      <c r="J321" s="171"/>
      <c r="K321" t="s">
        <v>41</v>
      </c>
      <c r="L321" t="s">
        <v>343</v>
      </c>
      <c r="N321" t="s">
        <v>17</v>
      </c>
    </row>
    <row r="322" spans="1:14" x14ac:dyDescent="0.25">
      <c r="A322" s="171" t="s">
        <v>138</v>
      </c>
      <c r="B322" s="171" t="s">
        <v>789</v>
      </c>
      <c r="C322" s="171" t="s">
        <v>85</v>
      </c>
      <c r="D322" s="171" t="s">
        <v>108</v>
      </c>
      <c r="E322" s="171" t="s">
        <v>146</v>
      </c>
      <c r="F322" s="171" t="s">
        <v>32</v>
      </c>
      <c r="G322" s="172">
        <v>8205</v>
      </c>
      <c r="H322" s="173"/>
      <c r="I322" s="171"/>
      <c r="J322" s="171"/>
      <c r="K322" t="s">
        <v>41</v>
      </c>
      <c r="L322" t="s">
        <v>343</v>
      </c>
      <c r="N322" t="s">
        <v>17</v>
      </c>
    </row>
    <row r="323" spans="1:14" x14ac:dyDescent="0.25">
      <c r="A323" s="171" t="s">
        <v>138</v>
      </c>
      <c r="B323" s="171" t="s">
        <v>790</v>
      </c>
      <c r="C323" s="171" t="s">
        <v>88</v>
      </c>
      <c r="D323" s="171" t="s">
        <v>147</v>
      </c>
      <c r="E323" s="171" t="s">
        <v>148</v>
      </c>
      <c r="F323" s="171" t="s">
        <v>32</v>
      </c>
      <c r="G323" s="172">
        <v>6</v>
      </c>
      <c r="H323" s="173"/>
      <c r="I323" s="171"/>
      <c r="J323" s="171"/>
      <c r="K323" t="s">
        <v>47</v>
      </c>
      <c r="L323" t="s">
        <v>79</v>
      </c>
      <c r="N323" t="s">
        <v>17</v>
      </c>
    </row>
    <row r="324" spans="1:14" x14ac:dyDescent="0.25">
      <c r="A324" s="171" t="s">
        <v>138</v>
      </c>
      <c r="B324" s="171" t="s">
        <v>790</v>
      </c>
      <c r="C324" s="171" t="s">
        <v>88</v>
      </c>
      <c r="D324" s="171" t="s">
        <v>147</v>
      </c>
      <c r="E324" s="171" t="s">
        <v>148</v>
      </c>
      <c r="F324" s="171" t="s">
        <v>32</v>
      </c>
      <c r="G324" s="172">
        <v>271</v>
      </c>
      <c r="H324" s="173"/>
      <c r="I324" s="171"/>
      <c r="J324" s="171"/>
      <c r="K324" t="s">
        <v>47</v>
      </c>
      <c r="L324" t="s">
        <v>79</v>
      </c>
      <c r="N324" t="s">
        <v>17</v>
      </c>
    </row>
    <row r="325" spans="1:14" x14ac:dyDescent="0.25">
      <c r="A325" s="171" t="s">
        <v>138</v>
      </c>
      <c r="B325" s="171" t="s">
        <v>790</v>
      </c>
      <c r="C325" s="171" t="s">
        <v>88</v>
      </c>
      <c r="D325" s="171" t="s">
        <v>147</v>
      </c>
      <c r="E325" s="171" t="s">
        <v>148</v>
      </c>
      <c r="F325" s="171" t="s">
        <v>32</v>
      </c>
      <c r="G325" s="172">
        <v>780</v>
      </c>
      <c r="H325" s="173"/>
      <c r="I325" s="171"/>
      <c r="J325" s="171"/>
      <c r="K325" t="s">
        <v>47</v>
      </c>
      <c r="L325" t="s">
        <v>79</v>
      </c>
      <c r="N325" t="s">
        <v>17</v>
      </c>
    </row>
    <row r="326" spans="1:14" x14ac:dyDescent="0.25">
      <c r="A326" s="171" t="s">
        <v>138</v>
      </c>
      <c r="B326" s="171" t="s">
        <v>790</v>
      </c>
      <c r="C326" s="171" t="s">
        <v>88</v>
      </c>
      <c r="D326" s="171" t="s">
        <v>147</v>
      </c>
      <c r="E326" s="171" t="s">
        <v>148</v>
      </c>
      <c r="F326" s="171" t="s">
        <v>32</v>
      </c>
      <c r="G326" s="172">
        <v>2101</v>
      </c>
      <c r="H326" s="173"/>
      <c r="I326" s="171"/>
      <c r="J326" s="171"/>
      <c r="K326" t="s">
        <v>47</v>
      </c>
      <c r="L326" t="s">
        <v>79</v>
      </c>
      <c r="N326" t="s">
        <v>17</v>
      </c>
    </row>
    <row r="327" spans="1:14" x14ac:dyDescent="0.25">
      <c r="A327" s="171" t="s">
        <v>138</v>
      </c>
      <c r="B327" s="171" t="s">
        <v>790</v>
      </c>
      <c r="C327" s="171" t="s">
        <v>88</v>
      </c>
      <c r="D327" s="171" t="s">
        <v>147</v>
      </c>
      <c r="E327" s="171" t="s">
        <v>148</v>
      </c>
      <c r="F327" s="171" t="s">
        <v>32</v>
      </c>
      <c r="G327" s="172">
        <v>10092</v>
      </c>
      <c r="H327" s="173"/>
      <c r="I327" s="171"/>
      <c r="J327" s="171"/>
      <c r="K327" t="s">
        <v>47</v>
      </c>
      <c r="L327" t="s">
        <v>79</v>
      </c>
      <c r="N327" t="s">
        <v>17</v>
      </c>
    </row>
    <row r="328" spans="1:14" x14ac:dyDescent="0.25">
      <c r="A328" s="174" t="s">
        <v>274</v>
      </c>
      <c r="B328" s="174"/>
      <c r="C328" s="174" t="s">
        <v>275</v>
      </c>
      <c r="D328" s="174"/>
      <c r="E328" s="174"/>
      <c r="F328" s="174"/>
      <c r="G328" s="175">
        <f>=SUM(G289:G327)</f>
      </c>
      <c r="H328" s="176">
        <f>=SUM(H289:H327)</f>
      </c>
      <c r="I328" s="174" t="s">
        <v>17</v>
      </c>
      <c r="J328" s="174" t="s">
        <v>17</v>
      </c>
    </row>
    <row r="330" spans="1:10" x14ac:dyDescent="0.25">
      <c r="A330" s="169" t="s">
        <v>791</v>
      </c>
      <c r="B330" s="169"/>
      <c r="C330" s="169"/>
      <c r="D330" s="169"/>
      <c r="E330" s="169"/>
      <c r="F330" s="169"/>
      <c r="G330" s="169"/>
      <c r="H330" s="169"/>
      <c r="I330" s="169"/>
      <c r="J330" s="169"/>
    </row>
    <row r="331" spans="1:10" x14ac:dyDescent="0.25">
      <c r="A331" s="170" t="s">
        <v>98</v>
      </c>
      <c r="B331" s="170" t="s">
        <v>711</v>
      </c>
      <c r="C331" s="170" t="s">
        <v>99</v>
      </c>
      <c r="D331" s="170" t="s">
        <v>100</v>
      </c>
      <c r="E331" s="170" t="s">
        <v>101</v>
      </c>
      <c r="F331" s="170" t="s">
        <v>102</v>
      </c>
      <c r="G331" s="170" t="s">
        <v>103</v>
      </c>
      <c r="H331" s="170" t="s">
        <v>104</v>
      </c>
      <c r="I331" s="170" t="s">
        <v>105</v>
      </c>
      <c r="J331" s="170" t="s">
        <v>106</v>
      </c>
    </row>
    <row r="332" spans="1:14" x14ac:dyDescent="0.25">
      <c r="A332" s="171" t="s">
        <v>222</v>
      </c>
      <c r="B332" s="171" t="s">
        <v>792</v>
      </c>
      <c r="C332" s="171" t="s">
        <v>33</v>
      </c>
      <c r="D332" s="171" t="s">
        <v>223</v>
      </c>
      <c r="E332" s="171" t="s">
        <v>230</v>
      </c>
      <c r="F332" s="171" t="s">
        <v>32</v>
      </c>
      <c r="G332" s="172">
        <v>119</v>
      </c>
      <c r="H332" s="173">
        <v>9</v>
      </c>
      <c r="I332" s="171" t="s">
        <v>119</v>
      </c>
      <c r="J332" s="171" t="s">
        <v>17</v>
      </c>
      <c r="K332" t="s">
        <v>30</v>
      </c>
      <c r="L332" t="s">
        <v>340</v>
      </c>
      <c r="N332" t="s">
        <v>17</v>
      </c>
    </row>
    <row r="333" spans="1:14" x14ac:dyDescent="0.25">
      <c r="A333" s="171" t="s">
        <v>222</v>
      </c>
      <c r="B333" s="171" t="s">
        <v>793</v>
      </c>
      <c r="C333" s="171" t="s">
        <v>33</v>
      </c>
      <c r="D333" s="171" t="s">
        <v>225</v>
      </c>
      <c r="E333" s="171" t="s">
        <v>230</v>
      </c>
      <c r="F333" s="171" t="s">
        <v>32</v>
      </c>
      <c r="G333" s="172">
        <v>212</v>
      </c>
      <c r="H333" s="173">
        <v>0</v>
      </c>
      <c r="I333" s="171" t="s">
        <v>119</v>
      </c>
      <c r="J333" s="171" t="s">
        <v>17</v>
      </c>
      <c r="K333" t="s">
        <v>30</v>
      </c>
      <c r="L333" t="s">
        <v>340</v>
      </c>
      <c r="N333" t="s">
        <v>17</v>
      </c>
    </row>
    <row r="334" spans="1:14" x14ac:dyDescent="0.25">
      <c r="A334" s="171" t="s">
        <v>222</v>
      </c>
      <c r="B334" s="171" t="s">
        <v>794</v>
      </c>
      <c r="C334" s="171" t="s">
        <v>33</v>
      </c>
      <c r="D334" s="171" t="s">
        <v>223</v>
      </c>
      <c r="E334" s="171" t="s">
        <v>231</v>
      </c>
      <c r="F334" s="171" t="s">
        <v>32</v>
      </c>
      <c r="G334" s="172">
        <v>258</v>
      </c>
      <c r="H334" s="173"/>
      <c r="I334" s="171"/>
      <c r="J334" s="171"/>
      <c r="K334" t="s">
        <v>30</v>
      </c>
      <c r="L334" t="s">
        <v>340</v>
      </c>
      <c r="N334" t="s">
        <v>17</v>
      </c>
    </row>
    <row r="335" spans="1:14" x14ac:dyDescent="0.25">
      <c r="A335" s="171" t="s">
        <v>222</v>
      </c>
      <c r="B335" s="171" t="s">
        <v>795</v>
      </c>
      <c r="C335" s="171" t="s">
        <v>33</v>
      </c>
      <c r="D335" s="171" t="s">
        <v>223</v>
      </c>
      <c r="E335" s="171" t="s">
        <v>232</v>
      </c>
      <c r="F335" s="171" t="s">
        <v>32</v>
      </c>
      <c r="G335" s="172">
        <v>412</v>
      </c>
      <c r="H335" s="173"/>
      <c r="I335" s="171"/>
      <c r="J335" s="171"/>
      <c r="K335" t="s">
        <v>30</v>
      </c>
      <c r="L335" t="s">
        <v>340</v>
      </c>
      <c r="N335" t="s">
        <v>17</v>
      </c>
    </row>
    <row r="336" spans="1:14" x14ac:dyDescent="0.25">
      <c r="A336" s="171" t="s">
        <v>222</v>
      </c>
      <c r="B336" s="171" t="s">
        <v>796</v>
      </c>
      <c r="C336" s="171" t="s">
        <v>33</v>
      </c>
      <c r="D336" s="171" t="s">
        <v>225</v>
      </c>
      <c r="E336" s="171" t="s">
        <v>231</v>
      </c>
      <c r="F336" s="171" t="s">
        <v>32</v>
      </c>
      <c r="G336" s="172">
        <v>464</v>
      </c>
      <c r="H336" s="173"/>
      <c r="I336" s="171"/>
      <c r="J336" s="171"/>
      <c r="K336" t="s">
        <v>30</v>
      </c>
      <c r="L336" t="s">
        <v>340</v>
      </c>
      <c r="N336" t="s">
        <v>17</v>
      </c>
    </row>
    <row r="337" spans="1:14" x14ac:dyDescent="0.25">
      <c r="A337" s="171" t="s">
        <v>222</v>
      </c>
      <c r="B337" s="171" t="s">
        <v>797</v>
      </c>
      <c r="C337" s="171" t="s">
        <v>33</v>
      </c>
      <c r="D337" s="171" t="s">
        <v>225</v>
      </c>
      <c r="E337" s="171" t="s">
        <v>233</v>
      </c>
      <c r="F337" s="171" t="s">
        <v>32</v>
      </c>
      <c r="G337" s="172">
        <v>484</v>
      </c>
      <c r="H337" s="173"/>
      <c r="I337" s="171"/>
      <c r="J337" s="171"/>
      <c r="K337" t="s">
        <v>30</v>
      </c>
      <c r="L337" t="s">
        <v>340</v>
      </c>
      <c r="N337" t="s">
        <v>17</v>
      </c>
    </row>
    <row r="338" spans="1:14" x14ac:dyDescent="0.25">
      <c r="A338" s="171" t="s">
        <v>222</v>
      </c>
      <c r="B338" s="171" t="s">
        <v>798</v>
      </c>
      <c r="C338" s="171" t="s">
        <v>33</v>
      </c>
      <c r="D338" s="171" t="s">
        <v>223</v>
      </c>
      <c r="E338" s="171" t="s">
        <v>234</v>
      </c>
      <c r="F338" s="171" t="s">
        <v>32</v>
      </c>
      <c r="G338" s="172">
        <v>536</v>
      </c>
      <c r="H338" s="173"/>
      <c r="I338" s="171"/>
      <c r="J338" s="171"/>
      <c r="K338" t="s">
        <v>30</v>
      </c>
      <c r="L338" t="s">
        <v>340</v>
      </c>
      <c r="N338" t="s">
        <v>17</v>
      </c>
    </row>
    <row r="339" spans="1:14" x14ac:dyDescent="0.25">
      <c r="A339" s="171" t="s">
        <v>222</v>
      </c>
      <c r="B339" s="171" t="s">
        <v>799</v>
      </c>
      <c r="C339" s="171" t="s">
        <v>33</v>
      </c>
      <c r="D339" s="171" t="s">
        <v>225</v>
      </c>
      <c r="E339" s="171" t="s">
        <v>234</v>
      </c>
      <c r="F339" s="171" t="s">
        <v>32</v>
      </c>
      <c r="G339" s="172">
        <v>606</v>
      </c>
      <c r="H339" s="173"/>
      <c r="I339" s="171"/>
      <c r="J339" s="171"/>
      <c r="K339" t="s">
        <v>30</v>
      </c>
      <c r="L339" t="s">
        <v>340</v>
      </c>
      <c r="N339" t="s">
        <v>17</v>
      </c>
    </row>
    <row r="340" spans="1:14" x14ac:dyDescent="0.25">
      <c r="A340" s="171" t="s">
        <v>222</v>
      </c>
      <c r="B340" s="171" t="s">
        <v>800</v>
      </c>
      <c r="C340" s="171" t="s">
        <v>33</v>
      </c>
      <c r="D340" s="171" t="s">
        <v>223</v>
      </c>
      <c r="E340" s="171" t="s">
        <v>233</v>
      </c>
      <c r="F340" s="171" t="s">
        <v>32</v>
      </c>
      <c r="G340" s="172">
        <v>754</v>
      </c>
      <c r="H340" s="173"/>
      <c r="I340" s="171"/>
      <c r="J340" s="171"/>
      <c r="K340" t="s">
        <v>30</v>
      </c>
      <c r="L340" t="s">
        <v>340</v>
      </c>
      <c r="N340" t="s">
        <v>17</v>
      </c>
    </row>
    <row r="341" spans="1:14" x14ac:dyDescent="0.25">
      <c r="A341" s="174" t="s">
        <v>274</v>
      </c>
      <c r="B341" s="174"/>
      <c r="C341" s="174" t="s">
        <v>275</v>
      </c>
      <c r="D341" s="174"/>
      <c r="E341" s="174"/>
      <c r="F341" s="174"/>
      <c r="G341" s="175">
        <f>=SUM(G332:G340)</f>
      </c>
      <c r="H341" s="176">
        <f>=SUM(H332:H340)</f>
      </c>
      <c r="I341" s="174" t="s">
        <v>17</v>
      </c>
      <c r="J341" s="174" t="s">
        <v>17</v>
      </c>
    </row>
    <row r="343" spans="1:10" x14ac:dyDescent="0.25">
      <c r="A343" s="169" t="s">
        <v>801</v>
      </c>
      <c r="B343" s="169"/>
      <c r="C343" s="169"/>
      <c r="D343" s="169"/>
      <c r="E343" s="169"/>
      <c r="F343" s="169"/>
      <c r="G343" s="169"/>
      <c r="H343" s="169"/>
      <c r="I343" s="169"/>
      <c r="J343" s="169"/>
    </row>
    <row r="344" spans="1:10" x14ac:dyDescent="0.25">
      <c r="A344" s="170" t="s">
        <v>98</v>
      </c>
      <c r="B344" s="170" t="s">
        <v>711</v>
      </c>
      <c r="C344" s="170" t="s">
        <v>99</v>
      </c>
      <c r="D344" s="170" t="s">
        <v>100</v>
      </c>
      <c r="E344" s="170" t="s">
        <v>101</v>
      </c>
      <c r="F344" s="170" t="s">
        <v>102</v>
      </c>
      <c r="G344" s="170" t="s">
        <v>103</v>
      </c>
      <c r="H344" s="170" t="s">
        <v>104</v>
      </c>
      <c r="I344" s="170" t="s">
        <v>105</v>
      </c>
      <c r="J344" s="170" t="s">
        <v>106</v>
      </c>
    </row>
    <row r="345" spans="1:14" x14ac:dyDescent="0.25">
      <c r="A345" s="171" t="s">
        <v>222</v>
      </c>
      <c r="B345" s="171" t="s">
        <v>796</v>
      </c>
      <c r="C345" s="171" t="s">
        <v>33</v>
      </c>
      <c r="D345" s="171" t="s">
        <v>225</v>
      </c>
      <c r="E345" s="171" t="s">
        <v>231</v>
      </c>
      <c r="F345" s="171" t="s">
        <v>32</v>
      </c>
      <c r="G345" s="172">
        <v>41</v>
      </c>
      <c r="H345" s="173">
        <v>2</v>
      </c>
      <c r="I345" s="171" t="s">
        <v>119</v>
      </c>
      <c r="J345" s="171" t="s">
        <v>17</v>
      </c>
      <c r="K345" t="s">
        <v>30</v>
      </c>
      <c r="L345" t="s">
        <v>340</v>
      </c>
      <c r="N345" t="s">
        <v>17</v>
      </c>
    </row>
    <row r="346" spans="1:14" x14ac:dyDescent="0.25">
      <c r="A346" s="171" t="s">
        <v>222</v>
      </c>
      <c r="B346" s="171" t="s">
        <v>793</v>
      </c>
      <c r="C346" s="171" t="s">
        <v>33</v>
      </c>
      <c r="D346" s="171" t="s">
        <v>225</v>
      </c>
      <c r="E346" s="171" t="s">
        <v>230</v>
      </c>
      <c r="F346" s="171" t="s">
        <v>32</v>
      </c>
      <c r="G346" s="172">
        <v>41</v>
      </c>
      <c r="H346" s="173">
        <v>0</v>
      </c>
      <c r="I346" s="171" t="s">
        <v>119</v>
      </c>
      <c r="J346" s="171" t="s">
        <v>17</v>
      </c>
      <c r="K346" t="s">
        <v>30</v>
      </c>
      <c r="L346" t="s">
        <v>340</v>
      </c>
      <c r="N346" t="s">
        <v>17</v>
      </c>
    </row>
    <row r="347" spans="1:14" x14ac:dyDescent="0.25">
      <c r="A347" s="171" t="s">
        <v>222</v>
      </c>
      <c r="B347" s="171" t="s">
        <v>799</v>
      </c>
      <c r="C347" s="171" t="s">
        <v>33</v>
      </c>
      <c r="D347" s="171" t="s">
        <v>225</v>
      </c>
      <c r="E347" s="171" t="s">
        <v>234</v>
      </c>
      <c r="F347" s="171" t="s">
        <v>32</v>
      </c>
      <c r="G347" s="172">
        <v>62</v>
      </c>
      <c r="H347" s="173"/>
      <c r="I347" s="171"/>
      <c r="J347" s="171"/>
      <c r="K347" t="s">
        <v>30</v>
      </c>
      <c r="L347" t="s">
        <v>340</v>
      </c>
      <c r="N347" t="s">
        <v>17</v>
      </c>
    </row>
    <row r="348" spans="1:14" x14ac:dyDescent="0.25">
      <c r="A348" s="171" t="s">
        <v>222</v>
      </c>
      <c r="B348" s="171" t="s">
        <v>792</v>
      </c>
      <c r="C348" s="171" t="s">
        <v>33</v>
      </c>
      <c r="D348" s="171" t="s">
        <v>223</v>
      </c>
      <c r="E348" s="171" t="s">
        <v>230</v>
      </c>
      <c r="F348" s="171" t="s">
        <v>32</v>
      </c>
      <c r="G348" s="172">
        <v>62</v>
      </c>
      <c r="H348" s="173"/>
      <c r="I348" s="171"/>
      <c r="J348" s="171"/>
      <c r="K348" t="s">
        <v>30</v>
      </c>
      <c r="L348" t="s">
        <v>340</v>
      </c>
      <c r="N348" t="s">
        <v>17</v>
      </c>
    </row>
    <row r="349" spans="1:14" x14ac:dyDescent="0.25">
      <c r="A349" s="171" t="s">
        <v>222</v>
      </c>
      <c r="B349" s="171" t="s">
        <v>797</v>
      </c>
      <c r="C349" s="171" t="s">
        <v>33</v>
      </c>
      <c r="D349" s="171" t="s">
        <v>225</v>
      </c>
      <c r="E349" s="171" t="s">
        <v>233</v>
      </c>
      <c r="F349" s="171" t="s">
        <v>32</v>
      </c>
      <c r="G349" s="172">
        <v>64</v>
      </c>
      <c r="H349" s="173"/>
      <c r="I349" s="171"/>
      <c r="J349" s="171"/>
      <c r="K349" t="s">
        <v>30</v>
      </c>
      <c r="L349" t="s">
        <v>340</v>
      </c>
      <c r="N349" t="s">
        <v>17</v>
      </c>
    </row>
    <row r="350" spans="1:14" x14ac:dyDescent="0.25">
      <c r="A350" s="171" t="s">
        <v>222</v>
      </c>
      <c r="B350" s="171" t="s">
        <v>795</v>
      </c>
      <c r="C350" s="171" t="s">
        <v>33</v>
      </c>
      <c r="D350" s="171" t="s">
        <v>223</v>
      </c>
      <c r="E350" s="171" t="s">
        <v>232</v>
      </c>
      <c r="F350" s="171" t="s">
        <v>32</v>
      </c>
      <c r="G350" s="172">
        <v>72</v>
      </c>
      <c r="H350" s="173"/>
      <c r="I350" s="171"/>
      <c r="J350" s="171"/>
      <c r="K350" t="s">
        <v>30</v>
      </c>
      <c r="L350" t="s">
        <v>340</v>
      </c>
      <c r="N350" t="s">
        <v>17</v>
      </c>
    </row>
    <row r="351" spans="1:14" x14ac:dyDescent="0.25">
      <c r="A351" s="171" t="s">
        <v>222</v>
      </c>
      <c r="B351" s="171" t="s">
        <v>794</v>
      </c>
      <c r="C351" s="171" t="s">
        <v>33</v>
      </c>
      <c r="D351" s="171" t="s">
        <v>223</v>
      </c>
      <c r="E351" s="171" t="s">
        <v>231</v>
      </c>
      <c r="F351" s="171" t="s">
        <v>32</v>
      </c>
      <c r="G351" s="172">
        <v>82</v>
      </c>
      <c r="H351" s="173"/>
      <c r="I351" s="171"/>
      <c r="J351" s="171"/>
      <c r="K351" t="s">
        <v>30</v>
      </c>
      <c r="L351" t="s">
        <v>340</v>
      </c>
      <c r="N351" t="s">
        <v>17</v>
      </c>
    </row>
    <row r="352" spans="1:14" x14ac:dyDescent="0.25">
      <c r="A352" s="171" t="s">
        <v>222</v>
      </c>
      <c r="B352" s="171" t="s">
        <v>798</v>
      </c>
      <c r="C352" s="171" t="s">
        <v>33</v>
      </c>
      <c r="D352" s="171" t="s">
        <v>223</v>
      </c>
      <c r="E352" s="171" t="s">
        <v>234</v>
      </c>
      <c r="F352" s="171" t="s">
        <v>32</v>
      </c>
      <c r="G352" s="172">
        <v>93</v>
      </c>
      <c r="H352" s="173"/>
      <c r="I352" s="171"/>
      <c r="J352" s="171"/>
      <c r="K352" t="s">
        <v>30</v>
      </c>
      <c r="L352" t="s">
        <v>340</v>
      </c>
      <c r="N352" t="s">
        <v>17</v>
      </c>
    </row>
    <row r="353" spans="1:14" x14ac:dyDescent="0.25">
      <c r="A353" s="171" t="s">
        <v>222</v>
      </c>
      <c r="B353" s="171" t="s">
        <v>800</v>
      </c>
      <c r="C353" s="171" t="s">
        <v>33</v>
      </c>
      <c r="D353" s="171" t="s">
        <v>223</v>
      </c>
      <c r="E353" s="171" t="s">
        <v>233</v>
      </c>
      <c r="F353" s="171" t="s">
        <v>32</v>
      </c>
      <c r="G353" s="172">
        <v>106</v>
      </c>
      <c r="H353" s="173"/>
      <c r="I353" s="171"/>
      <c r="J353" s="171"/>
      <c r="K353" t="s">
        <v>30</v>
      </c>
      <c r="L353" t="s">
        <v>340</v>
      </c>
      <c r="N353" t="s">
        <v>17</v>
      </c>
    </row>
    <row r="354" spans="1:14" x14ac:dyDescent="0.25">
      <c r="A354" s="174" t="s">
        <v>274</v>
      </c>
      <c r="B354" s="174"/>
      <c r="C354" s="174" t="s">
        <v>275</v>
      </c>
      <c r="D354" s="174"/>
      <c r="E354" s="174"/>
      <c r="F354" s="174"/>
      <c r="G354" s="175">
        <f>=SUM(G345:G353)</f>
      </c>
      <c r="H354" s="176">
        <f>=SUM(H345:H353)</f>
      </c>
      <c r="I354" s="174" t="s">
        <v>17</v>
      </c>
      <c r="J354" s="174" t="s">
        <v>17</v>
      </c>
    </row>
    <row r="356" spans="1:10" x14ac:dyDescent="0.25">
      <c r="A356" s="169" t="s">
        <v>802</v>
      </c>
      <c r="B356" s="169"/>
      <c r="C356" s="169"/>
      <c r="D356" s="169"/>
      <c r="E356" s="169"/>
      <c r="F356" s="169"/>
      <c r="G356" s="169"/>
      <c r="H356" s="169"/>
      <c r="I356" s="169"/>
      <c r="J356" s="169"/>
    </row>
    <row r="357" spans="1:10" x14ac:dyDescent="0.25">
      <c r="A357" s="170" t="s">
        <v>98</v>
      </c>
      <c r="B357" s="170" t="s">
        <v>711</v>
      </c>
      <c r="C357" s="170" t="s">
        <v>99</v>
      </c>
      <c r="D357" s="170" t="s">
        <v>100</v>
      </c>
      <c r="E357" s="170" t="s">
        <v>101</v>
      </c>
      <c r="F357" s="170" t="s">
        <v>102</v>
      </c>
      <c r="G357" s="170" t="s">
        <v>103</v>
      </c>
      <c r="H357" s="170" t="s">
        <v>104</v>
      </c>
      <c r="I357" s="170" t="s">
        <v>105</v>
      </c>
      <c r="J357" s="170" t="s">
        <v>106</v>
      </c>
    </row>
    <row r="358" spans="1:14" x14ac:dyDescent="0.25">
      <c r="A358" s="171" t="s">
        <v>222</v>
      </c>
      <c r="B358" s="171" t="s">
        <v>803</v>
      </c>
      <c r="C358" s="171" t="s">
        <v>31</v>
      </c>
      <c r="D358" s="171" t="s">
        <v>223</v>
      </c>
      <c r="E358" s="171" t="s">
        <v>224</v>
      </c>
      <c r="F358" s="171" t="s">
        <v>32</v>
      </c>
      <c r="G358" s="172">
        <v>253</v>
      </c>
      <c r="H358" s="173">
        <v>19</v>
      </c>
      <c r="I358" s="171" t="s">
        <v>119</v>
      </c>
      <c r="J358" s="171" t="s">
        <v>17</v>
      </c>
      <c r="K358" t="s">
        <v>30</v>
      </c>
      <c r="L358" t="s">
        <v>340</v>
      </c>
      <c r="N358" t="s">
        <v>17</v>
      </c>
    </row>
    <row r="359" spans="1:14" x14ac:dyDescent="0.25">
      <c r="A359" s="171" t="s">
        <v>222</v>
      </c>
      <c r="B359" s="171" t="s">
        <v>804</v>
      </c>
      <c r="C359" s="171" t="s">
        <v>31</v>
      </c>
      <c r="D359" s="171" t="s">
        <v>225</v>
      </c>
      <c r="E359" s="171" t="s">
        <v>224</v>
      </c>
      <c r="F359" s="171" t="s">
        <v>32</v>
      </c>
      <c r="G359" s="172">
        <v>449</v>
      </c>
      <c r="H359" s="173">
        <v>0</v>
      </c>
      <c r="I359" s="171" t="s">
        <v>119</v>
      </c>
      <c r="J359" s="171" t="s">
        <v>17</v>
      </c>
      <c r="K359" t="s">
        <v>30</v>
      </c>
      <c r="L359" t="s">
        <v>340</v>
      </c>
      <c r="N359" t="s">
        <v>17</v>
      </c>
    </row>
    <row r="360" spans="1:14" x14ac:dyDescent="0.25">
      <c r="A360" s="171" t="s">
        <v>222</v>
      </c>
      <c r="B360" s="171" t="s">
        <v>805</v>
      </c>
      <c r="C360" s="171" t="s">
        <v>31</v>
      </c>
      <c r="D360" s="171" t="s">
        <v>223</v>
      </c>
      <c r="E360" s="171" t="s">
        <v>226</v>
      </c>
      <c r="F360" s="171" t="s">
        <v>32</v>
      </c>
      <c r="G360" s="172">
        <v>556</v>
      </c>
      <c r="H360" s="173"/>
      <c r="I360" s="171"/>
      <c r="J360" s="171"/>
      <c r="K360" t="s">
        <v>30</v>
      </c>
      <c r="L360" t="s">
        <v>340</v>
      </c>
      <c r="N360" t="s">
        <v>17</v>
      </c>
    </row>
    <row r="361" spans="1:14" x14ac:dyDescent="0.25">
      <c r="A361" s="171" t="s">
        <v>222</v>
      </c>
      <c r="B361" s="171" t="s">
        <v>806</v>
      </c>
      <c r="C361" s="171" t="s">
        <v>31</v>
      </c>
      <c r="D361" s="171" t="s">
        <v>225</v>
      </c>
      <c r="E361" s="171" t="s">
        <v>227</v>
      </c>
      <c r="F361" s="171" t="s">
        <v>32</v>
      </c>
      <c r="G361" s="172">
        <v>793</v>
      </c>
      <c r="H361" s="173"/>
      <c r="I361" s="171"/>
      <c r="J361" s="171"/>
      <c r="K361" t="s">
        <v>30</v>
      </c>
      <c r="L361" t="s">
        <v>340</v>
      </c>
      <c r="N361" t="s">
        <v>17</v>
      </c>
    </row>
    <row r="362" spans="1:14" x14ac:dyDescent="0.25">
      <c r="A362" s="171" t="s">
        <v>222</v>
      </c>
      <c r="B362" s="171" t="s">
        <v>807</v>
      </c>
      <c r="C362" s="171" t="s">
        <v>31</v>
      </c>
      <c r="D362" s="171" t="s">
        <v>223</v>
      </c>
      <c r="E362" s="171" t="s">
        <v>228</v>
      </c>
      <c r="F362" s="171" t="s">
        <v>32</v>
      </c>
      <c r="G362" s="172">
        <v>876</v>
      </c>
      <c r="H362" s="173"/>
      <c r="I362" s="171"/>
      <c r="J362" s="171"/>
      <c r="K362" t="s">
        <v>30</v>
      </c>
      <c r="L362" t="s">
        <v>340</v>
      </c>
      <c r="N362" t="s">
        <v>17</v>
      </c>
    </row>
    <row r="363" spans="1:14" x14ac:dyDescent="0.25">
      <c r="A363" s="171" t="s">
        <v>222</v>
      </c>
      <c r="B363" s="171" t="s">
        <v>808</v>
      </c>
      <c r="C363" s="171" t="s">
        <v>31</v>
      </c>
      <c r="D363" s="171" t="s">
        <v>223</v>
      </c>
      <c r="E363" s="171" t="s">
        <v>227</v>
      </c>
      <c r="F363" s="171" t="s">
        <v>32</v>
      </c>
      <c r="G363" s="172">
        <v>927</v>
      </c>
      <c r="H363" s="173"/>
      <c r="I363" s="171"/>
      <c r="J363" s="171"/>
      <c r="K363" t="s">
        <v>30</v>
      </c>
      <c r="L363" t="s">
        <v>340</v>
      </c>
      <c r="N363" t="s">
        <v>17</v>
      </c>
    </row>
    <row r="364" spans="1:14" x14ac:dyDescent="0.25">
      <c r="A364" s="171" t="s">
        <v>222</v>
      </c>
      <c r="B364" s="171" t="s">
        <v>809</v>
      </c>
      <c r="C364" s="171" t="s">
        <v>31</v>
      </c>
      <c r="D364" s="171" t="s">
        <v>225</v>
      </c>
      <c r="E364" s="171" t="s">
        <v>226</v>
      </c>
      <c r="F364" s="171" t="s">
        <v>32</v>
      </c>
      <c r="G364" s="172">
        <v>968</v>
      </c>
      <c r="H364" s="173"/>
      <c r="I364" s="171"/>
      <c r="J364" s="171"/>
      <c r="K364" t="s">
        <v>30</v>
      </c>
      <c r="L364" t="s">
        <v>340</v>
      </c>
      <c r="N364" t="s">
        <v>17</v>
      </c>
    </row>
    <row r="365" spans="1:14" x14ac:dyDescent="0.25">
      <c r="A365" s="171" t="s">
        <v>222</v>
      </c>
      <c r="B365" s="171" t="s">
        <v>810</v>
      </c>
      <c r="C365" s="171" t="s">
        <v>31</v>
      </c>
      <c r="D365" s="171" t="s">
        <v>225</v>
      </c>
      <c r="E365" s="171" t="s">
        <v>229</v>
      </c>
      <c r="F365" s="171" t="s">
        <v>32</v>
      </c>
      <c r="G365" s="172">
        <v>1195</v>
      </c>
      <c r="H365" s="173"/>
      <c r="I365" s="171"/>
      <c r="J365" s="171"/>
      <c r="K365" t="s">
        <v>30</v>
      </c>
      <c r="L365" t="s">
        <v>340</v>
      </c>
      <c r="N365" t="s">
        <v>17</v>
      </c>
    </row>
    <row r="366" spans="1:14" x14ac:dyDescent="0.25">
      <c r="A366" s="171" t="s">
        <v>222</v>
      </c>
      <c r="B366" s="171" t="s">
        <v>811</v>
      </c>
      <c r="C366" s="171" t="s">
        <v>31</v>
      </c>
      <c r="D366" s="171" t="s">
        <v>225</v>
      </c>
      <c r="E366" s="171" t="s">
        <v>228</v>
      </c>
      <c r="F366" s="171" t="s">
        <v>32</v>
      </c>
      <c r="G366" s="172">
        <v>1249</v>
      </c>
      <c r="H366" s="173"/>
      <c r="I366" s="171"/>
      <c r="J366" s="171"/>
      <c r="K366" t="s">
        <v>30</v>
      </c>
      <c r="L366" t="s">
        <v>340</v>
      </c>
      <c r="N366" t="s">
        <v>17</v>
      </c>
    </row>
    <row r="367" spans="1:14" x14ac:dyDescent="0.25">
      <c r="A367" s="171" t="s">
        <v>222</v>
      </c>
      <c r="B367" s="171" t="s">
        <v>812</v>
      </c>
      <c r="C367" s="171" t="s">
        <v>31</v>
      </c>
      <c r="D367" s="171" t="s">
        <v>223</v>
      </c>
      <c r="E367" s="171" t="s">
        <v>229</v>
      </c>
      <c r="F367" s="171" t="s">
        <v>32</v>
      </c>
      <c r="G367" s="172">
        <v>1322</v>
      </c>
      <c r="H367" s="173"/>
      <c r="I367" s="171"/>
      <c r="J367" s="171"/>
      <c r="K367" t="s">
        <v>30</v>
      </c>
      <c r="L367" t="s">
        <v>340</v>
      </c>
      <c r="N367" t="s">
        <v>17</v>
      </c>
    </row>
    <row r="368" spans="1:14" x14ac:dyDescent="0.25">
      <c r="A368" s="174" t="s">
        <v>274</v>
      </c>
      <c r="B368" s="174"/>
      <c r="C368" s="174" t="s">
        <v>275</v>
      </c>
      <c r="D368" s="174"/>
      <c r="E368" s="174"/>
      <c r="F368" s="174"/>
      <c r="G368" s="175">
        <f>=SUM(G358:G367)</f>
      </c>
      <c r="H368" s="176">
        <f>=SUM(H358:H367)</f>
      </c>
      <c r="I368" s="174" t="s">
        <v>17</v>
      </c>
      <c r="J368" s="174" t="s">
        <v>17</v>
      </c>
    </row>
    <row r="370" spans="1:10" x14ac:dyDescent="0.25">
      <c r="A370" s="169" t="s">
        <v>813</v>
      </c>
      <c r="B370" s="169"/>
      <c r="C370" s="169"/>
      <c r="D370" s="169"/>
      <c r="E370" s="169"/>
      <c r="F370" s="169"/>
      <c r="G370" s="169"/>
      <c r="H370" s="169"/>
      <c r="I370" s="169"/>
      <c r="J370" s="169"/>
    </row>
    <row r="371" spans="1:10" x14ac:dyDescent="0.25">
      <c r="A371" s="170" t="s">
        <v>98</v>
      </c>
      <c r="B371" s="170" t="s">
        <v>711</v>
      </c>
      <c r="C371" s="170" t="s">
        <v>99</v>
      </c>
      <c r="D371" s="170" t="s">
        <v>100</v>
      </c>
      <c r="E371" s="170" t="s">
        <v>101</v>
      </c>
      <c r="F371" s="170" t="s">
        <v>102</v>
      </c>
      <c r="G371" s="170" t="s">
        <v>103</v>
      </c>
      <c r="H371" s="170" t="s">
        <v>104</v>
      </c>
      <c r="I371" s="170" t="s">
        <v>105</v>
      </c>
      <c r="J371" s="170" t="s">
        <v>106</v>
      </c>
    </row>
    <row r="372" spans="1:14" x14ac:dyDescent="0.25">
      <c r="A372" s="171" t="s">
        <v>222</v>
      </c>
      <c r="B372" s="171" t="s">
        <v>808</v>
      </c>
      <c r="C372" s="171" t="s">
        <v>31</v>
      </c>
      <c r="D372" s="171" t="s">
        <v>223</v>
      </c>
      <c r="E372" s="171" t="s">
        <v>227</v>
      </c>
      <c r="F372" s="171" t="s">
        <v>32</v>
      </c>
      <c r="G372" s="172">
        <v>155</v>
      </c>
      <c r="H372" s="173">
        <v>6</v>
      </c>
      <c r="I372" s="171" t="s">
        <v>119</v>
      </c>
      <c r="J372" s="171" t="s">
        <v>17</v>
      </c>
      <c r="K372" t="s">
        <v>30</v>
      </c>
      <c r="L372" t="s">
        <v>340</v>
      </c>
      <c r="N372" t="s">
        <v>17</v>
      </c>
    </row>
    <row r="373" spans="1:14" x14ac:dyDescent="0.25">
      <c r="A373" s="171" t="s">
        <v>222</v>
      </c>
      <c r="B373" s="171" t="s">
        <v>805</v>
      </c>
      <c r="C373" s="171" t="s">
        <v>31</v>
      </c>
      <c r="D373" s="171" t="s">
        <v>223</v>
      </c>
      <c r="E373" s="171" t="s">
        <v>226</v>
      </c>
      <c r="F373" s="171" t="s">
        <v>32</v>
      </c>
      <c r="G373" s="172">
        <v>155</v>
      </c>
      <c r="H373" s="173">
        <v>0</v>
      </c>
      <c r="I373" s="171" t="s">
        <v>119</v>
      </c>
      <c r="J373" s="171" t="s">
        <v>17</v>
      </c>
      <c r="K373" t="s">
        <v>30</v>
      </c>
      <c r="L373" t="s">
        <v>340</v>
      </c>
      <c r="N373" t="s">
        <v>17</v>
      </c>
    </row>
    <row r="374" spans="1:14" x14ac:dyDescent="0.25">
      <c r="A374" s="171" t="s">
        <v>222</v>
      </c>
      <c r="B374" s="171" t="s">
        <v>803</v>
      </c>
      <c r="C374" s="171" t="s">
        <v>31</v>
      </c>
      <c r="D374" s="171" t="s">
        <v>223</v>
      </c>
      <c r="E374" s="171" t="s">
        <v>224</v>
      </c>
      <c r="F374" s="171" t="s">
        <v>32</v>
      </c>
      <c r="G374" s="172">
        <v>155</v>
      </c>
      <c r="H374" s="173"/>
      <c r="I374" s="171"/>
      <c r="J374" s="171"/>
      <c r="K374" t="s">
        <v>30</v>
      </c>
      <c r="L374" t="s">
        <v>340</v>
      </c>
      <c r="N374" t="s">
        <v>17</v>
      </c>
    </row>
    <row r="375" spans="1:14" x14ac:dyDescent="0.25">
      <c r="A375" s="171" t="s">
        <v>222</v>
      </c>
      <c r="B375" s="171" t="s">
        <v>807</v>
      </c>
      <c r="C375" s="171" t="s">
        <v>31</v>
      </c>
      <c r="D375" s="171" t="s">
        <v>223</v>
      </c>
      <c r="E375" s="171" t="s">
        <v>228</v>
      </c>
      <c r="F375" s="171" t="s">
        <v>32</v>
      </c>
      <c r="G375" s="172">
        <v>206</v>
      </c>
      <c r="H375" s="173"/>
      <c r="I375" s="171"/>
      <c r="J375" s="171"/>
      <c r="K375" t="s">
        <v>30</v>
      </c>
      <c r="L375" t="s">
        <v>340</v>
      </c>
      <c r="N375" t="s">
        <v>17</v>
      </c>
    </row>
    <row r="376" spans="1:14" x14ac:dyDescent="0.25">
      <c r="A376" s="171" t="s">
        <v>222</v>
      </c>
      <c r="B376" s="171" t="s">
        <v>806</v>
      </c>
      <c r="C376" s="171" t="s">
        <v>31</v>
      </c>
      <c r="D376" s="171" t="s">
        <v>225</v>
      </c>
      <c r="E376" s="171" t="s">
        <v>227</v>
      </c>
      <c r="F376" s="171" t="s">
        <v>32</v>
      </c>
      <c r="G376" s="172">
        <v>206</v>
      </c>
      <c r="H376" s="173"/>
      <c r="I376" s="171"/>
      <c r="J376" s="171"/>
      <c r="K376" t="s">
        <v>30</v>
      </c>
      <c r="L376" t="s">
        <v>340</v>
      </c>
      <c r="N376" t="s">
        <v>17</v>
      </c>
    </row>
    <row r="377" spans="1:14" x14ac:dyDescent="0.25">
      <c r="A377" s="171" t="s">
        <v>222</v>
      </c>
      <c r="B377" s="171" t="s">
        <v>804</v>
      </c>
      <c r="C377" s="171" t="s">
        <v>31</v>
      </c>
      <c r="D377" s="171" t="s">
        <v>225</v>
      </c>
      <c r="E377" s="171" t="s">
        <v>224</v>
      </c>
      <c r="F377" s="171" t="s">
        <v>32</v>
      </c>
      <c r="G377" s="172">
        <v>206</v>
      </c>
      <c r="H377" s="173"/>
      <c r="I377" s="171"/>
      <c r="J377" s="171"/>
      <c r="K377" t="s">
        <v>30</v>
      </c>
      <c r="L377" t="s">
        <v>340</v>
      </c>
      <c r="N377" t="s">
        <v>17</v>
      </c>
    </row>
    <row r="378" spans="1:14" x14ac:dyDescent="0.25">
      <c r="A378" s="171" t="s">
        <v>222</v>
      </c>
      <c r="B378" s="171" t="s">
        <v>812</v>
      </c>
      <c r="C378" s="171" t="s">
        <v>31</v>
      </c>
      <c r="D378" s="171" t="s">
        <v>223</v>
      </c>
      <c r="E378" s="171" t="s">
        <v>229</v>
      </c>
      <c r="F378" s="171" t="s">
        <v>32</v>
      </c>
      <c r="G378" s="172">
        <v>265</v>
      </c>
      <c r="H378" s="173"/>
      <c r="I378" s="171"/>
      <c r="J378" s="171"/>
      <c r="K378" t="s">
        <v>30</v>
      </c>
      <c r="L378" t="s">
        <v>340</v>
      </c>
      <c r="N378" t="s">
        <v>17</v>
      </c>
    </row>
    <row r="379" spans="1:14" x14ac:dyDescent="0.25">
      <c r="A379" s="171" t="s">
        <v>222</v>
      </c>
      <c r="B379" s="171" t="s">
        <v>809</v>
      </c>
      <c r="C379" s="171" t="s">
        <v>31</v>
      </c>
      <c r="D379" s="171" t="s">
        <v>225</v>
      </c>
      <c r="E379" s="171" t="s">
        <v>226</v>
      </c>
      <c r="F379" s="171" t="s">
        <v>32</v>
      </c>
      <c r="G379" s="172">
        <v>309</v>
      </c>
      <c r="H379" s="173"/>
      <c r="I379" s="171"/>
      <c r="J379" s="171"/>
      <c r="K379" t="s">
        <v>30</v>
      </c>
      <c r="L379" t="s">
        <v>340</v>
      </c>
      <c r="N379" t="s">
        <v>17</v>
      </c>
    </row>
    <row r="380" spans="1:14" x14ac:dyDescent="0.25">
      <c r="A380" s="171" t="s">
        <v>222</v>
      </c>
      <c r="B380" s="171" t="s">
        <v>811</v>
      </c>
      <c r="C380" s="171" t="s">
        <v>31</v>
      </c>
      <c r="D380" s="171" t="s">
        <v>225</v>
      </c>
      <c r="E380" s="171" t="s">
        <v>228</v>
      </c>
      <c r="F380" s="171" t="s">
        <v>32</v>
      </c>
      <c r="G380" s="172">
        <v>412</v>
      </c>
      <c r="H380" s="173"/>
      <c r="I380" s="171"/>
      <c r="J380" s="171"/>
      <c r="K380" t="s">
        <v>30</v>
      </c>
      <c r="L380" t="s">
        <v>340</v>
      </c>
      <c r="N380" t="s">
        <v>17</v>
      </c>
    </row>
    <row r="381" spans="1:14" x14ac:dyDescent="0.25">
      <c r="A381" s="171" t="s">
        <v>222</v>
      </c>
      <c r="B381" s="171" t="s">
        <v>810</v>
      </c>
      <c r="C381" s="171" t="s">
        <v>31</v>
      </c>
      <c r="D381" s="171" t="s">
        <v>225</v>
      </c>
      <c r="E381" s="171" t="s">
        <v>229</v>
      </c>
      <c r="F381" s="171" t="s">
        <v>32</v>
      </c>
      <c r="G381" s="172">
        <v>421</v>
      </c>
      <c r="H381" s="173"/>
      <c r="I381" s="171"/>
      <c r="J381" s="171"/>
      <c r="K381" t="s">
        <v>30</v>
      </c>
      <c r="L381" t="s">
        <v>340</v>
      </c>
      <c r="N381" t="s">
        <v>17</v>
      </c>
    </row>
    <row r="382" spans="1:14" x14ac:dyDescent="0.25">
      <c r="A382" s="174" t="s">
        <v>274</v>
      </c>
      <c r="B382" s="174"/>
      <c r="C382" s="174" t="s">
        <v>275</v>
      </c>
      <c r="D382" s="174"/>
      <c r="E382" s="174"/>
      <c r="F382" s="174"/>
      <c r="G382" s="175">
        <f>=SUM(G372:G381)</f>
      </c>
      <c r="H382" s="176">
        <f>=SUM(H372:H381)</f>
      </c>
      <c r="I382" s="174" t="s">
        <v>17</v>
      </c>
      <c r="J382" s="174" t="s">
        <v>17</v>
      </c>
    </row>
    <row r="384" spans="1:10" x14ac:dyDescent="0.25">
      <c r="A384" s="169" t="s">
        <v>814</v>
      </c>
      <c r="B384" s="169"/>
      <c r="C384" s="169"/>
      <c r="D384" s="169"/>
      <c r="E384" s="169"/>
      <c r="F384" s="169"/>
      <c r="G384" s="169"/>
      <c r="H384" s="169"/>
      <c r="I384" s="169"/>
      <c r="J384" s="169"/>
    </row>
    <row r="385" spans="1:10" x14ac:dyDescent="0.25">
      <c r="A385" s="170" t="s">
        <v>98</v>
      </c>
      <c r="B385" s="170" t="s">
        <v>711</v>
      </c>
      <c r="C385" s="170" t="s">
        <v>99</v>
      </c>
      <c r="D385" s="170" t="s">
        <v>100</v>
      </c>
      <c r="E385" s="170" t="s">
        <v>101</v>
      </c>
      <c r="F385" s="170" t="s">
        <v>102</v>
      </c>
      <c r="G385" s="170" t="s">
        <v>103</v>
      </c>
      <c r="H385" s="170" t="s">
        <v>104</v>
      </c>
      <c r="I385" s="170" t="s">
        <v>105</v>
      </c>
      <c r="J385" s="170" t="s">
        <v>106</v>
      </c>
    </row>
    <row r="386" spans="1:14" x14ac:dyDescent="0.25">
      <c r="A386" s="171" t="s">
        <v>166</v>
      </c>
      <c r="B386" s="171" t="s">
        <v>815</v>
      </c>
      <c r="C386" s="171" t="s">
        <v>23</v>
      </c>
      <c r="D386" s="171" t="s">
        <v>167</v>
      </c>
      <c r="E386" s="171" t="s">
        <v>170</v>
      </c>
      <c r="F386" s="171" t="s">
        <v>14</v>
      </c>
      <c r="G386" s="172">
        <v>16</v>
      </c>
      <c r="H386" s="173">
        <v>0</v>
      </c>
      <c r="I386" s="171" t="s">
        <v>119</v>
      </c>
      <c r="J386" s="171" t="s">
        <v>169</v>
      </c>
      <c r="K386" t="s">
        <v>12</v>
      </c>
      <c r="L386" t="s">
        <v>320</v>
      </c>
      <c r="N386" t="s">
        <v>18</v>
      </c>
    </row>
    <row r="387" spans="1:14" x14ac:dyDescent="0.25">
      <c r="A387" s="171" t="s">
        <v>166</v>
      </c>
      <c r="B387" s="171" t="s">
        <v>816</v>
      </c>
      <c r="C387" s="171" t="s">
        <v>23</v>
      </c>
      <c r="D387" s="171" t="s">
        <v>108</v>
      </c>
      <c r="E387" s="171" t="s">
        <v>170</v>
      </c>
      <c r="F387" s="171" t="s">
        <v>14</v>
      </c>
      <c r="G387" s="172">
        <v>36</v>
      </c>
      <c r="H387" s="173"/>
      <c r="I387" s="171"/>
      <c r="J387" s="171"/>
      <c r="K387" t="s">
        <v>12</v>
      </c>
      <c r="L387" t="s">
        <v>320</v>
      </c>
      <c r="N387" t="s">
        <v>18</v>
      </c>
    </row>
    <row r="388" spans="1:14" x14ac:dyDescent="0.25">
      <c r="A388" s="171" t="s">
        <v>166</v>
      </c>
      <c r="B388" s="171" t="s">
        <v>816</v>
      </c>
      <c r="C388" s="171" t="s">
        <v>23</v>
      </c>
      <c r="D388" s="171" t="s">
        <v>108</v>
      </c>
      <c r="E388" s="171" t="s">
        <v>170</v>
      </c>
      <c r="F388" s="171" t="s">
        <v>14</v>
      </c>
      <c r="G388" s="172">
        <v>64</v>
      </c>
      <c r="H388" s="173"/>
      <c r="I388" s="171"/>
      <c r="J388" s="171"/>
      <c r="K388" t="s">
        <v>12</v>
      </c>
      <c r="L388" t="s">
        <v>320</v>
      </c>
      <c r="N388" t="s">
        <v>18</v>
      </c>
    </row>
    <row r="389" spans="1:14" x14ac:dyDescent="0.25">
      <c r="A389" s="174" t="s">
        <v>274</v>
      </c>
      <c r="B389" s="174"/>
      <c r="C389" s="174" t="s">
        <v>275</v>
      </c>
      <c r="D389" s="174"/>
      <c r="E389" s="174"/>
      <c r="F389" s="174"/>
      <c r="G389" s="175">
        <f>=SUM(G386:G388)</f>
      </c>
      <c r="H389" s="176">
        <f>=SUM(H386:H388)</f>
      </c>
      <c r="I389" s="174" t="s">
        <v>17</v>
      </c>
      <c r="J389" s="174" t="s">
        <v>17</v>
      </c>
    </row>
    <row r="391" spans="1:10" x14ac:dyDescent="0.25">
      <c r="A391" s="169" t="s">
        <v>817</v>
      </c>
      <c r="B391" s="169"/>
      <c r="C391" s="169"/>
      <c r="D391" s="169"/>
      <c r="E391" s="169"/>
      <c r="F391" s="169"/>
      <c r="G391" s="169"/>
      <c r="H391" s="169"/>
      <c r="I391" s="169"/>
      <c r="J391" s="169"/>
    </row>
    <row r="392" spans="1:10" x14ac:dyDescent="0.25">
      <c r="A392" s="170" t="s">
        <v>98</v>
      </c>
      <c r="B392" s="170" t="s">
        <v>711</v>
      </c>
      <c r="C392" s="170" t="s">
        <v>99</v>
      </c>
      <c r="D392" s="170" t="s">
        <v>100</v>
      </c>
      <c r="E392" s="170" t="s">
        <v>101</v>
      </c>
      <c r="F392" s="170" t="s">
        <v>102</v>
      </c>
      <c r="G392" s="170" t="s">
        <v>103</v>
      </c>
      <c r="H392" s="170" t="s">
        <v>104</v>
      </c>
      <c r="I392" s="170" t="s">
        <v>105</v>
      </c>
      <c r="J392" s="170" t="s">
        <v>106</v>
      </c>
    </row>
    <row r="393" spans="1:14" x14ac:dyDescent="0.25">
      <c r="A393" s="171" t="s">
        <v>166</v>
      </c>
      <c r="B393" s="171" t="s">
        <v>815</v>
      </c>
      <c r="C393" s="171" t="s">
        <v>23</v>
      </c>
      <c r="D393" s="171" t="s">
        <v>167</v>
      </c>
      <c r="E393" s="171" t="s">
        <v>170</v>
      </c>
      <c r="F393" s="171" t="s">
        <v>14</v>
      </c>
      <c r="G393" s="172">
        <v>64</v>
      </c>
      <c r="H393" s="173">
        <v>0</v>
      </c>
      <c r="I393" s="171" t="s">
        <v>119</v>
      </c>
      <c r="J393" s="171" t="s">
        <v>169</v>
      </c>
      <c r="K393" t="s">
        <v>12</v>
      </c>
      <c r="L393" t="s">
        <v>320</v>
      </c>
      <c r="N393" t="s">
        <v>18</v>
      </c>
    </row>
    <row r="394" spans="1:14" x14ac:dyDescent="0.25">
      <c r="A394" s="171" t="s">
        <v>166</v>
      </c>
      <c r="B394" s="171" t="s">
        <v>816</v>
      </c>
      <c r="C394" s="171" t="s">
        <v>23</v>
      </c>
      <c r="D394" s="171" t="s">
        <v>108</v>
      </c>
      <c r="E394" s="171" t="s">
        <v>170</v>
      </c>
      <c r="F394" s="171" t="s">
        <v>14</v>
      </c>
      <c r="G394" s="172">
        <v>150</v>
      </c>
      <c r="H394" s="173"/>
      <c r="I394" s="171"/>
      <c r="J394" s="171"/>
      <c r="K394" t="s">
        <v>12</v>
      </c>
      <c r="L394" t="s">
        <v>320</v>
      </c>
      <c r="N394" t="s">
        <v>18</v>
      </c>
    </row>
    <row r="395" spans="1:14" x14ac:dyDescent="0.25">
      <c r="A395" s="174" t="s">
        <v>274</v>
      </c>
      <c r="B395" s="174"/>
      <c r="C395" s="174" t="s">
        <v>275</v>
      </c>
      <c r="D395" s="174"/>
      <c r="E395" s="174"/>
      <c r="F395" s="174"/>
      <c r="G395" s="175">
        <f>=SUM(G393:G394)</f>
      </c>
      <c r="H395" s="176">
        <f>=SUM(H393:H394)</f>
      </c>
      <c r="I395" s="174" t="s">
        <v>17</v>
      </c>
      <c r="J395" s="174" t="s">
        <v>17</v>
      </c>
    </row>
    <row r="397" spans="1:10" x14ac:dyDescent="0.25">
      <c r="A397" s="169" t="s">
        <v>818</v>
      </c>
      <c r="B397" s="169"/>
      <c r="C397" s="169"/>
      <c r="D397" s="169"/>
      <c r="E397" s="169"/>
      <c r="F397" s="169"/>
      <c r="G397" s="169"/>
      <c r="H397" s="169"/>
      <c r="I397" s="169"/>
      <c r="J397" s="169"/>
    </row>
    <row r="398" spans="1:10" x14ac:dyDescent="0.25">
      <c r="A398" s="170" t="s">
        <v>98</v>
      </c>
      <c r="B398" s="170" t="s">
        <v>711</v>
      </c>
      <c r="C398" s="170" t="s">
        <v>99</v>
      </c>
      <c r="D398" s="170" t="s">
        <v>100</v>
      </c>
      <c r="E398" s="170" t="s">
        <v>101</v>
      </c>
      <c r="F398" s="170" t="s">
        <v>102</v>
      </c>
      <c r="G398" s="170" t="s">
        <v>103</v>
      </c>
      <c r="H398" s="170" t="s">
        <v>104</v>
      </c>
      <c r="I398" s="170" t="s">
        <v>105</v>
      </c>
      <c r="J398" s="170" t="s">
        <v>106</v>
      </c>
    </row>
    <row r="399" spans="1:14" x14ac:dyDescent="0.25">
      <c r="A399" s="171" t="s">
        <v>251</v>
      </c>
      <c r="B399" s="171" t="s">
        <v>819</v>
      </c>
      <c r="C399" s="171" t="s">
        <v>20</v>
      </c>
      <c r="D399" s="171" t="s">
        <v>253</v>
      </c>
      <c r="E399" s="171" t="s">
        <v>254</v>
      </c>
      <c r="F399" s="171" t="s">
        <v>14</v>
      </c>
      <c r="G399" s="172">
        <v>7</v>
      </c>
      <c r="H399" s="173">
        <v>1</v>
      </c>
      <c r="I399" s="171" t="s">
        <v>125</v>
      </c>
      <c r="J399" s="171" t="s">
        <v>17</v>
      </c>
      <c r="K399" t="s">
        <v>19</v>
      </c>
      <c r="L399" t="s">
        <v>326</v>
      </c>
      <c r="N399" t="s">
        <v>18</v>
      </c>
    </row>
    <row r="400" spans="1:14" x14ac:dyDescent="0.25">
      <c r="A400" s="171" t="s">
        <v>251</v>
      </c>
      <c r="B400" s="171" t="s">
        <v>819</v>
      </c>
      <c r="C400" s="171" t="s">
        <v>20</v>
      </c>
      <c r="D400" s="171" t="s">
        <v>253</v>
      </c>
      <c r="E400" s="171" t="s">
        <v>254</v>
      </c>
      <c r="F400" s="171" t="s">
        <v>14</v>
      </c>
      <c r="G400" s="172">
        <v>23</v>
      </c>
      <c r="H400" s="173">
        <v>0</v>
      </c>
      <c r="I400" s="171" t="s">
        <v>125</v>
      </c>
      <c r="J400" s="171" t="s">
        <v>17</v>
      </c>
      <c r="K400" t="s">
        <v>19</v>
      </c>
      <c r="L400" t="s">
        <v>326</v>
      </c>
      <c r="N400" t="s">
        <v>18</v>
      </c>
    </row>
    <row r="401" spans="1:14" x14ac:dyDescent="0.25">
      <c r="A401" s="171" t="s">
        <v>251</v>
      </c>
      <c r="B401" s="171" t="s">
        <v>819</v>
      </c>
      <c r="C401" s="171" t="s">
        <v>20</v>
      </c>
      <c r="D401" s="171" t="s">
        <v>253</v>
      </c>
      <c r="E401" s="171" t="s">
        <v>254</v>
      </c>
      <c r="F401" s="171" t="s">
        <v>14</v>
      </c>
      <c r="G401" s="172">
        <v>70</v>
      </c>
      <c r="H401" s="173"/>
      <c r="I401" s="171"/>
      <c r="J401" s="171"/>
      <c r="K401" t="s">
        <v>19</v>
      </c>
      <c r="L401" t="s">
        <v>326</v>
      </c>
      <c r="N401" t="s">
        <v>18</v>
      </c>
    </row>
    <row r="402" spans="1:14" x14ac:dyDescent="0.25">
      <c r="A402" s="174" t="s">
        <v>274</v>
      </c>
      <c r="B402" s="174"/>
      <c r="C402" s="174" t="s">
        <v>275</v>
      </c>
      <c r="D402" s="174"/>
      <c r="E402" s="174"/>
      <c r="F402" s="174"/>
      <c r="G402" s="175">
        <f>=SUM(G399:G401)</f>
      </c>
      <c r="H402" s="176">
        <f>=SUM(H399:H401)</f>
      </c>
      <c r="I402" s="174" t="s">
        <v>17</v>
      </c>
      <c r="J402" s="174" t="s">
        <v>17</v>
      </c>
    </row>
    <row r="404" spans="1:10" x14ac:dyDescent="0.25">
      <c r="A404" s="169" t="s">
        <v>820</v>
      </c>
      <c r="B404" s="169"/>
      <c r="C404" s="169"/>
      <c r="D404" s="169"/>
      <c r="E404" s="169"/>
      <c r="F404" s="169"/>
      <c r="G404" s="169"/>
      <c r="H404" s="169"/>
      <c r="I404" s="169"/>
      <c r="J404" s="169"/>
    </row>
    <row r="405" spans="1:10" x14ac:dyDescent="0.25">
      <c r="A405" s="170" t="s">
        <v>98</v>
      </c>
      <c r="B405" s="170" t="s">
        <v>711</v>
      </c>
      <c r="C405" s="170" t="s">
        <v>99</v>
      </c>
      <c r="D405" s="170" t="s">
        <v>100</v>
      </c>
      <c r="E405" s="170" t="s">
        <v>101</v>
      </c>
      <c r="F405" s="170" t="s">
        <v>102</v>
      </c>
      <c r="G405" s="170" t="s">
        <v>103</v>
      </c>
      <c r="H405" s="170" t="s">
        <v>104</v>
      </c>
      <c r="I405" s="170" t="s">
        <v>105</v>
      </c>
      <c r="J405" s="170" t="s">
        <v>106</v>
      </c>
    </row>
    <row r="406" spans="1:14" x14ac:dyDescent="0.25">
      <c r="A406" s="171" t="s">
        <v>237</v>
      </c>
      <c r="B406" s="171" t="s">
        <v>821</v>
      </c>
      <c r="C406" s="171" t="s">
        <v>248</v>
      </c>
      <c r="D406" s="171" t="s">
        <v>209</v>
      </c>
      <c r="E406" s="171" t="s">
        <v>249</v>
      </c>
      <c r="F406" s="171" t="s">
        <v>14</v>
      </c>
      <c r="G406" s="172">
        <v>2</v>
      </c>
      <c r="H406" s="173">
        <v>12</v>
      </c>
      <c r="I406" s="171" t="s">
        <v>125</v>
      </c>
      <c r="J406" s="171" t="s">
        <v>250</v>
      </c>
      <c r="K406" t="s">
        <v>327</v>
      </c>
      <c r="L406" t="s">
        <v>328</v>
      </c>
      <c r="N406" t="s">
        <v>18</v>
      </c>
    </row>
    <row r="407" spans="1:14" x14ac:dyDescent="0.25">
      <c r="A407" s="171" t="s">
        <v>237</v>
      </c>
      <c r="B407" s="171" t="s">
        <v>821</v>
      </c>
      <c r="C407" s="171" t="s">
        <v>248</v>
      </c>
      <c r="D407" s="171" t="s">
        <v>209</v>
      </c>
      <c r="E407" s="171" t="s">
        <v>249</v>
      </c>
      <c r="F407" s="171" t="s">
        <v>14</v>
      </c>
      <c r="G407" s="172">
        <v>57</v>
      </c>
      <c r="H407" s="173">
        <v>0</v>
      </c>
      <c r="I407" s="171" t="s">
        <v>125</v>
      </c>
      <c r="J407" s="171" t="s">
        <v>250</v>
      </c>
      <c r="K407" t="s">
        <v>327</v>
      </c>
      <c r="L407" t="s">
        <v>328</v>
      </c>
      <c r="N407" t="s">
        <v>18</v>
      </c>
    </row>
    <row r="408" spans="1:14" x14ac:dyDescent="0.25">
      <c r="A408" s="171" t="s">
        <v>237</v>
      </c>
      <c r="B408" s="171" t="s">
        <v>821</v>
      </c>
      <c r="C408" s="171" t="s">
        <v>248</v>
      </c>
      <c r="D408" s="171" t="s">
        <v>209</v>
      </c>
      <c r="E408" s="171" t="s">
        <v>249</v>
      </c>
      <c r="F408" s="171" t="s">
        <v>14</v>
      </c>
      <c r="G408" s="172">
        <v>63</v>
      </c>
      <c r="H408" s="173"/>
      <c r="I408" s="171"/>
      <c r="J408" s="171"/>
      <c r="K408" t="s">
        <v>327</v>
      </c>
      <c r="L408" t="s">
        <v>328</v>
      </c>
      <c r="N408" t="s">
        <v>18</v>
      </c>
    </row>
    <row r="409" spans="1:14" x14ac:dyDescent="0.25">
      <c r="A409" s="171" t="s">
        <v>237</v>
      </c>
      <c r="B409" s="171" t="s">
        <v>821</v>
      </c>
      <c r="C409" s="171" t="s">
        <v>248</v>
      </c>
      <c r="D409" s="171" t="s">
        <v>209</v>
      </c>
      <c r="E409" s="171" t="s">
        <v>249</v>
      </c>
      <c r="F409" s="171" t="s">
        <v>14</v>
      </c>
      <c r="G409" s="172">
        <v>81</v>
      </c>
      <c r="H409" s="173"/>
      <c r="I409" s="171"/>
      <c r="J409" s="171"/>
      <c r="K409" t="s">
        <v>327</v>
      </c>
      <c r="L409" t="s">
        <v>328</v>
      </c>
      <c r="N409" t="s">
        <v>18</v>
      </c>
    </row>
    <row r="410" spans="1:14" x14ac:dyDescent="0.25">
      <c r="A410" s="171" t="s">
        <v>237</v>
      </c>
      <c r="B410" s="171" t="s">
        <v>821</v>
      </c>
      <c r="C410" s="171" t="s">
        <v>248</v>
      </c>
      <c r="D410" s="171" t="s">
        <v>209</v>
      </c>
      <c r="E410" s="171" t="s">
        <v>249</v>
      </c>
      <c r="F410" s="171" t="s">
        <v>14</v>
      </c>
      <c r="G410" s="172">
        <v>93</v>
      </c>
      <c r="H410" s="173"/>
      <c r="I410" s="171"/>
      <c r="J410" s="171"/>
      <c r="K410" t="s">
        <v>327</v>
      </c>
      <c r="L410" t="s">
        <v>328</v>
      </c>
      <c r="N410" t="s">
        <v>18</v>
      </c>
    </row>
    <row r="411" spans="1:14" x14ac:dyDescent="0.25">
      <c r="A411" s="171" t="s">
        <v>237</v>
      </c>
      <c r="B411" s="171" t="s">
        <v>821</v>
      </c>
      <c r="C411" s="171" t="s">
        <v>248</v>
      </c>
      <c r="D411" s="171" t="s">
        <v>209</v>
      </c>
      <c r="E411" s="171" t="s">
        <v>249</v>
      </c>
      <c r="F411" s="171" t="s">
        <v>14</v>
      </c>
      <c r="G411" s="172">
        <v>101</v>
      </c>
      <c r="H411" s="173"/>
      <c r="I411" s="171"/>
      <c r="J411" s="171"/>
      <c r="K411" t="s">
        <v>327</v>
      </c>
      <c r="L411" t="s">
        <v>328</v>
      </c>
      <c r="N411" t="s">
        <v>18</v>
      </c>
    </row>
    <row r="412" spans="1:14" x14ac:dyDescent="0.25">
      <c r="A412" s="171" t="s">
        <v>237</v>
      </c>
      <c r="B412" s="171" t="s">
        <v>821</v>
      </c>
      <c r="C412" s="171" t="s">
        <v>248</v>
      </c>
      <c r="D412" s="171" t="s">
        <v>209</v>
      </c>
      <c r="E412" s="171" t="s">
        <v>249</v>
      </c>
      <c r="F412" s="171" t="s">
        <v>14</v>
      </c>
      <c r="G412" s="172">
        <v>105</v>
      </c>
      <c r="H412" s="173"/>
      <c r="I412" s="171"/>
      <c r="J412" s="171"/>
      <c r="K412" t="s">
        <v>327</v>
      </c>
      <c r="L412" t="s">
        <v>328</v>
      </c>
      <c r="N412" t="s">
        <v>18</v>
      </c>
    </row>
    <row r="413" spans="1:14" x14ac:dyDescent="0.25">
      <c r="A413" s="174" t="s">
        <v>274</v>
      </c>
      <c r="B413" s="174"/>
      <c r="C413" s="174" t="s">
        <v>275</v>
      </c>
      <c r="D413" s="174"/>
      <c r="E413" s="174"/>
      <c r="F413" s="174"/>
      <c r="G413" s="175">
        <f>=SUM(G406:G412)</f>
      </c>
      <c r="H413" s="176">
        <f>=SUM(H406:H412)</f>
      </c>
      <c r="I413" s="174" t="s">
        <v>17</v>
      </c>
      <c r="J413" s="174" t="s">
        <v>17</v>
      </c>
    </row>
    <row r="415" spans="1:10" x14ac:dyDescent="0.25">
      <c r="A415" s="169" t="s">
        <v>822</v>
      </c>
      <c r="B415" s="169"/>
      <c r="C415" s="169"/>
      <c r="D415" s="169"/>
      <c r="E415" s="169"/>
      <c r="F415" s="169"/>
      <c r="G415" s="169"/>
      <c r="H415" s="169"/>
      <c r="I415" s="169"/>
      <c r="J415" s="169"/>
    </row>
    <row r="416" spans="1:10" x14ac:dyDescent="0.25">
      <c r="A416" s="170" t="s">
        <v>98</v>
      </c>
      <c r="B416" s="170" t="s">
        <v>711</v>
      </c>
      <c r="C416" s="170" t="s">
        <v>99</v>
      </c>
      <c r="D416" s="170" t="s">
        <v>100</v>
      </c>
      <c r="E416" s="170" t="s">
        <v>101</v>
      </c>
      <c r="F416" s="170" t="s">
        <v>102</v>
      </c>
      <c r="G416" s="170" t="s">
        <v>103</v>
      </c>
      <c r="H416" s="170" t="s">
        <v>104</v>
      </c>
      <c r="I416" s="170" t="s">
        <v>105</v>
      </c>
      <c r="J416" s="170" t="s">
        <v>106</v>
      </c>
    </row>
    <row r="417" spans="1:14" x14ac:dyDescent="0.25">
      <c r="A417" s="171" t="s">
        <v>116</v>
      </c>
      <c r="B417" s="171" t="s">
        <v>823</v>
      </c>
      <c r="C417" s="171" t="s">
        <v>92</v>
      </c>
      <c r="D417" s="171" t="s">
        <v>117</v>
      </c>
      <c r="E417" s="171" t="s">
        <v>121</v>
      </c>
      <c r="F417" s="171" t="s">
        <v>32</v>
      </c>
      <c r="G417" s="172">
        <v>424</v>
      </c>
      <c r="H417" s="173">
        <v>0</v>
      </c>
      <c r="I417" s="171" t="s">
        <v>119</v>
      </c>
      <c r="J417" s="171" t="s">
        <v>120</v>
      </c>
      <c r="K417" t="s">
        <v>91</v>
      </c>
      <c r="L417" t="s">
        <v>357</v>
      </c>
      <c r="N417" t="s">
        <v>17</v>
      </c>
    </row>
    <row r="418" spans="1:14" x14ac:dyDescent="0.25">
      <c r="A418" s="174" t="s">
        <v>274</v>
      </c>
      <c r="B418" s="174"/>
      <c r="C418" s="174" t="s">
        <v>275</v>
      </c>
      <c r="D418" s="174"/>
      <c r="E418" s="174"/>
      <c r="F418" s="174"/>
      <c r="G418" s="175">
        <f>=SUM(G417:G417)</f>
      </c>
      <c r="H418" s="176">
        <f>=SUM(H417:H417)</f>
      </c>
      <c r="I418" s="174" t="s">
        <v>17</v>
      </c>
      <c r="J418" s="174" t="s">
        <v>17</v>
      </c>
    </row>
    <row r="420" spans="1:10" x14ac:dyDescent="0.25">
      <c r="A420" s="169" t="s">
        <v>824</v>
      </c>
      <c r="B420" s="169"/>
      <c r="C420" s="169"/>
      <c r="D420" s="169"/>
      <c r="E420" s="169"/>
      <c r="F420" s="169"/>
      <c r="G420" s="169"/>
      <c r="H420" s="169"/>
      <c r="I420" s="169"/>
      <c r="J420" s="169"/>
    </row>
    <row r="421" spans="1:10" x14ac:dyDescent="0.25">
      <c r="A421" s="170" t="s">
        <v>98</v>
      </c>
      <c r="B421" s="170" t="s">
        <v>711</v>
      </c>
      <c r="C421" s="170" t="s">
        <v>99</v>
      </c>
      <c r="D421" s="170" t="s">
        <v>100</v>
      </c>
      <c r="E421" s="170" t="s">
        <v>101</v>
      </c>
      <c r="F421" s="170" t="s">
        <v>102</v>
      </c>
      <c r="G421" s="170" t="s">
        <v>103</v>
      </c>
      <c r="H421" s="170" t="s">
        <v>104</v>
      </c>
      <c r="I421" s="170" t="s">
        <v>105</v>
      </c>
      <c r="J421" s="170" t="s">
        <v>106</v>
      </c>
    </row>
    <row r="422" spans="1:14" x14ac:dyDescent="0.25">
      <c r="A422" s="171" t="s">
        <v>116</v>
      </c>
      <c r="B422" s="171" t="s">
        <v>773</v>
      </c>
      <c r="C422" s="171" t="s">
        <v>92</v>
      </c>
      <c r="D422" s="171" t="s">
        <v>117</v>
      </c>
      <c r="E422" s="171" t="s">
        <v>118</v>
      </c>
      <c r="F422" s="171" t="s">
        <v>32</v>
      </c>
      <c r="G422" s="172">
        <v>2126</v>
      </c>
      <c r="H422" s="173">
        <v>0</v>
      </c>
      <c r="I422" s="171" t="s">
        <v>119</v>
      </c>
      <c r="J422" s="171" t="s">
        <v>120</v>
      </c>
      <c r="K422" t="s">
        <v>91</v>
      </c>
      <c r="L422" t="s">
        <v>357</v>
      </c>
      <c r="N422" t="s">
        <v>17</v>
      </c>
    </row>
    <row r="423" spans="1:14" x14ac:dyDescent="0.25">
      <c r="A423" s="171" t="s">
        <v>116</v>
      </c>
      <c r="B423" s="171" t="s">
        <v>773</v>
      </c>
      <c r="C423" s="171" t="s">
        <v>92</v>
      </c>
      <c r="D423" s="171" t="s">
        <v>117</v>
      </c>
      <c r="E423" s="171" t="s">
        <v>118</v>
      </c>
      <c r="F423" s="171" t="s">
        <v>32</v>
      </c>
      <c r="G423" s="172">
        <v>3186</v>
      </c>
      <c r="H423" s="173"/>
      <c r="I423" s="171"/>
      <c r="J423" s="171"/>
      <c r="K423" t="s">
        <v>91</v>
      </c>
      <c r="L423" t="s">
        <v>357</v>
      </c>
      <c r="N423" t="s">
        <v>17</v>
      </c>
    </row>
    <row r="424" spans="1:14" x14ac:dyDescent="0.25">
      <c r="A424" s="171" t="s">
        <v>258</v>
      </c>
      <c r="B424" s="171" t="s">
        <v>775</v>
      </c>
      <c r="C424" s="171" t="s">
        <v>64</v>
      </c>
      <c r="D424" s="171" t="s">
        <v>117</v>
      </c>
      <c r="E424" s="171" t="s">
        <v>261</v>
      </c>
      <c r="F424" s="171" t="s">
        <v>32</v>
      </c>
      <c r="G424" s="172">
        <v>5400</v>
      </c>
      <c r="H424" s="173">
        <v>1</v>
      </c>
      <c r="I424" s="171" t="s">
        <v>125</v>
      </c>
      <c r="J424" s="171" t="s">
        <v>17</v>
      </c>
      <c r="K424" t="s">
        <v>39</v>
      </c>
      <c r="L424" t="s">
        <v>342</v>
      </c>
      <c r="N424" t="s">
        <v>17</v>
      </c>
    </row>
    <row r="425" spans="1:14" x14ac:dyDescent="0.25">
      <c r="A425" s="174" t="s">
        <v>274</v>
      </c>
      <c r="B425" s="174"/>
      <c r="C425" s="174" t="s">
        <v>275</v>
      </c>
      <c r="D425" s="174"/>
      <c r="E425" s="174"/>
      <c r="F425" s="174"/>
      <c r="G425" s="175">
        <f>=SUM(G422:G424)</f>
      </c>
      <c r="H425" s="176">
        <f>=SUM(H422:H424)</f>
      </c>
      <c r="I425" s="174" t="s">
        <v>17</v>
      </c>
      <c r="J425" s="174" t="s">
        <v>17</v>
      </c>
    </row>
    <row r="427" spans="1:10" x14ac:dyDescent="0.25">
      <c r="A427" s="169" t="s">
        <v>825</v>
      </c>
      <c r="B427" s="169"/>
      <c r="C427" s="169"/>
      <c r="D427" s="169"/>
      <c r="E427" s="169"/>
      <c r="F427" s="169"/>
      <c r="G427" s="169"/>
      <c r="H427" s="169"/>
      <c r="I427" s="169"/>
      <c r="J427" s="169"/>
    </row>
    <row r="428" spans="1:10" x14ac:dyDescent="0.25">
      <c r="A428" s="170" t="s">
        <v>98</v>
      </c>
      <c r="B428" s="170" t="s">
        <v>711</v>
      </c>
      <c r="C428" s="170" t="s">
        <v>99</v>
      </c>
      <c r="D428" s="170" t="s">
        <v>100</v>
      </c>
      <c r="E428" s="170" t="s">
        <v>101</v>
      </c>
      <c r="F428" s="170" t="s">
        <v>102</v>
      </c>
      <c r="G428" s="170" t="s">
        <v>103</v>
      </c>
      <c r="H428" s="170" t="s">
        <v>104</v>
      </c>
      <c r="I428" s="170" t="s">
        <v>105</v>
      </c>
      <c r="J428" s="170" t="s">
        <v>106</v>
      </c>
    </row>
    <row r="429" spans="1:14" x14ac:dyDescent="0.25">
      <c r="A429" s="171" t="s">
        <v>171</v>
      </c>
      <c r="B429" s="171" t="s">
        <v>826</v>
      </c>
      <c r="C429" s="171" t="s">
        <v>63</v>
      </c>
      <c r="D429" s="171" t="s">
        <v>172</v>
      </c>
      <c r="E429" s="171" t="s">
        <v>173</v>
      </c>
      <c r="F429" s="171" t="s">
        <v>46</v>
      </c>
      <c r="G429" s="172">
        <v>20</v>
      </c>
      <c r="H429" s="173">
        <v>1</v>
      </c>
      <c r="I429" s="171" t="s">
        <v>125</v>
      </c>
      <c r="J429" s="171" t="s">
        <v>17</v>
      </c>
      <c r="K429" t="s">
        <v>62</v>
      </c>
      <c r="L429" t="s">
        <v>349</v>
      </c>
      <c r="N429" t="s">
        <v>17</v>
      </c>
    </row>
    <row r="430" spans="1:14" x14ac:dyDescent="0.25">
      <c r="A430" s="174" t="s">
        <v>274</v>
      </c>
      <c r="B430" s="174"/>
      <c r="C430" s="174" t="s">
        <v>275</v>
      </c>
      <c r="D430" s="174"/>
      <c r="E430" s="174"/>
      <c r="F430" s="174"/>
      <c r="G430" s="175">
        <f>=SUM(G429:G429)</f>
      </c>
      <c r="H430" s="176">
        <f>=SUM(H429:H429)</f>
      </c>
      <c r="I430" s="174" t="s">
        <v>17</v>
      </c>
      <c r="J430" s="174" t="s">
        <v>17</v>
      </c>
    </row>
    <row r="432" spans="1:10" x14ac:dyDescent="0.25">
      <c r="A432" s="169" t="s">
        <v>827</v>
      </c>
      <c r="B432" s="169"/>
      <c r="C432" s="169"/>
      <c r="D432" s="169"/>
      <c r="E432" s="169"/>
      <c r="F432" s="169"/>
      <c r="G432" s="169"/>
      <c r="H432" s="169"/>
      <c r="I432" s="169"/>
      <c r="J432" s="169"/>
    </row>
    <row r="433" spans="1:10" x14ac:dyDescent="0.25">
      <c r="A433" s="170" t="s">
        <v>98</v>
      </c>
      <c r="B433" s="170" t="s">
        <v>711</v>
      </c>
      <c r="C433" s="170" t="s">
        <v>99</v>
      </c>
      <c r="D433" s="170" t="s">
        <v>100</v>
      </c>
      <c r="E433" s="170" t="s">
        <v>101</v>
      </c>
      <c r="F433" s="170" t="s">
        <v>102</v>
      </c>
      <c r="G433" s="170" t="s">
        <v>103</v>
      </c>
      <c r="H433" s="170" t="s">
        <v>104</v>
      </c>
      <c r="I433" s="170" t="s">
        <v>105</v>
      </c>
      <c r="J433" s="170" t="s">
        <v>106</v>
      </c>
    </row>
    <row r="434" spans="1:14" x14ac:dyDescent="0.25">
      <c r="A434" s="171" t="s">
        <v>116</v>
      </c>
      <c r="B434" s="171" t="s">
        <v>773</v>
      </c>
      <c r="C434" s="171" t="s">
        <v>92</v>
      </c>
      <c r="D434" s="171" t="s">
        <v>117</v>
      </c>
      <c r="E434" s="171" t="s">
        <v>118</v>
      </c>
      <c r="F434" s="171" t="s">
        <v>32</v>
      </c>
      <c r="G434" s="172">
        <v>874</v>
      </c>
      <c r="H434" s="173">
        <v>0</v>
      </c>
      <c r="I434" s="171" t="s">
        <v>119</v>
      </c>
      <c r="J434" s="171" t="s">
        <v>120</v>
      </c>
      <c r="K434" t="s">
        <v>91</v>
      </c>
      <c r="L434" t="s">
        <v>357</v>
      </c>
      <c r="N434" t="s">
        <v>17</v>
      </c>
    </row>
    <row r="435" spans="1:14" x14ac:dyDescent="0.25">
      <c r="A435" s="171" t="s">
        <v>258</v>
      </c>
      <c r="B435" s="171" t="s">
        <v>774</v>
      </c>
      <c r="C435" s="171" t="s">
        <v>55</v>
      </c>
      <c r="D435" s="171" t="s">
        <v>117</v>
      </c>
      <c r="E435" s="171" t="s">
        <v>259</v>
      </c>
      <c r="F435" s="171" t="s">
        <v>32</v>
      </c>
      <c r="G435" s="172">
        <v>26</v>
      </c>
      <c r="H435" s="173">
        <v>1</v>
      </c>
      <c r="I435" s="171" t="s">
        <v>119</v>
      </c>
      <c r="J435" s="171" t="s">
        <v>17</v>
      </c>
      <c r="K435" t="s">
        <v>39</v>
      </c>
      <c r="L435" t="s">
        <v>342</v>
      </c>
      <c r="N435" t="s">
        <v>17</v>
      </c>
    </row>
    <row r="436" spans="1:14" x14ac:dyDescent="0.25">
      <c r="A436" s="171" t="s">
        <v>258</v>
      </c>
      <c r="B436" s="171" t="s">
        <v>774</v>
      </c>
      <c r="C436" s="171" t="s">
        <v>55</v>
      </c>
      <c r="D436" s="171" t="s">
        <v>117</v>
      </c>
      <c r="E436" s="171" t="s">
        <v>259</v>
      </c>
      <c r="F436" s="171" t="s">
        <v>32</v>
      </c>
      <c r="G436" s="172">
        <v>874</v>
      </c>
      <c r="H436" s="173">
        <v>0</v>
      </c>
      <c r="I436" s="171" t="s">
        <v>119</v>
      </c>
      <c r="J436" s="171" t="s">
        <v>17</v>
      </c>
      <c r="K436" t="s">
        <v>39</v>
      </c>
      <c r="L436" t="s">
        <v>342</v>
      </c>
      <c r="N436" t="s">
        <v>17</v>
      </c>
    </row>
    <row r="437" spans="1:14" x14ac:dyDescent="0.25">
      <c r="A437" s="171" t="s">
        <v>258</v>
      </c>
      <c r="B437" s="171" t="s">
        <v>775</v>
      </c>
      <c r="C437" s="171" t="s">
        <v>64</v>
      </c>
      <c r="D437" s="171" t="s">
        <v>117</v>
      </c>
      <c r="E437" s="171" t="s">
        <v>261</v>
      </c>
      <c r="F437" s="171" t="s">
        <v>32</v>
      </c>
      <c r="G437" s="172">
        <v>26</v>
      </c>
      <c r="H437" s="173"/>
      <c r="I437" s="171"/>
      <c r="J437" s="171"/>
      <c r="K437" t="s">
        <v>39</v>
      </c>
      <c r="L437" t="s">
        <v>342</v>
      </c>
      <c r="N437" t="s">
        <v>17</v>
      </c>
    </row>
    <row r="438" spans="1:14" x14ac:dyDescent="0.25">
      <c r="A438" s="171" t="s">
        <v>258</v>
      </c>
      <c r="B438" s="171" t="s">
        <v>775</v>
      </c>
      <c r="C438" s="171" t="s">
        <v>64</v>
      </c>
      <c r="D438" s="171" t="s">
        <v>117</v>
      </c>
      <c r="E438" s="171" t="s">
        <v>261</v>
      </c>
      <c r="F438" s="171" t="s">
        <v>32</v>
      </c>
      <c r="G438" s="172">
        <v>874</v>
      </c>
      <c r="H438" s="173"/>
      <c r="I438" s="171"/>
      <c r="J438" s="171"/>
      <c r="K438" t="s">
        <v>39</v>
      </c>
      <c r="L438" t="s">
        <v>342</v>
      </c>
      <c r="N438" t="s">
        <v>17</v>
      </c>
    </row>
    <row r="439" spans="1:14" x14ac:dyDescent="0.25">
      <c r="A439" s="174" t="s">
        <v>274</v>
      </c>
      <c r="B439" s="174"/>
      <c r="C439" s="174" t="s">
        <v>275</v>
      </c>
      <c r="D439" s="174"/>
      <c r="E439" s="174"/>
      <c r="F439" s="174"/>
      <c r="G439" s="175">
        <f>=SUM(G434:G438)</f>
      </c>
      <c r="H439" s="176">
        <f>=SUM(H434:H438)</f>
      </c>
      <c r="I439" s="174" t="s">
        <v>17</v>
      </c>
      <c r="J439" s="174" t="s">
        <v>17</v>
      </c>
    </row>
    <row r="441" spans="1:10" x14ac:dyDescent="0.25">
      <c r="A441" s="169" t="s">
        <v>828</v>
      </c>
      <c r="B441" s="169"/>
      <c r="C441" s="169"/>
      <c r="D441" s="169"/>
      <c r="E441" s="169"/>
      <c r="F441" s="169"/>
      <c r="G441" s="169"/>
      <c r="H441" s="169"/>
      <c r="I441" s="169"/>
      <c r="J441" s="169"/>
    </row>
    <row r="442" spans="1:10" x14ac:dyDescent="0.25">
      <c r="A442" s="170" t="s">
        <v>98</v>
      </c>
      <c r="B442" s="170" t="s">
        <v>711</v>
      </c>
      <c r="C442" s="170" t="s">
        <v>99</v>
      </c>
      <c r="D442" s="170" t="s">
        <v>100</v>
      </c>
      <c r="E442" s="170" t="s">
        <v>101</v>
      </c>
      <c r="F442" s="170" t="s">
        <v>102</v>
      </c>
      <c r="G442" s="170" t="s">
        <v>103</v>
      </c>
      <c r="H442" s="170" t="s">
        <v>104</v>
      </c>
      <c r="I442" s="170" t="s">
        <v>105</v>
      </c>
      <c r="J442" s="170" t="s">
        <v>106</v>
      </c>
    </row>
    <row r="443" spans="1:14" x14ac:dyDescent="0.25">
      <c r="A443" s="171" t="s">
        <v>107</v>
      </c>
      <c r="B443" s="171" t="s">
        <v>829</v>
      </c>
      <c r="C443" s="171" t="s">
        <v>70</v>
      </c>
      <c r="D443" s="171" t="s">
        <v>108</v>
      </c>
      <c r="E443" s="171" t="s">
        <v>109</v>
      </c>
      <c r="F443" s="171" t="s">
        <v>32</v>
      </c>
      <c r="G443" s="172">
        <v>93</v>
      </c>
      <c r="H443" s="173">
        <v>1</v>
      </c>
      <c r="I443" s="171" t="s">
        <v>110</v>
      </c>
      <c r="J443" s="171" t="s">
        <v>17</v>
      </c>
      <c r="K443" t="s">
        <v>69</v>
      </c>
      <c r="L443" t="s">
        <v>351</v>
      </c>
      <c r="N443" t="s">
        <v>17</v>
      </c>
    </row>
    <row r="444" spans="1:14" x14ac:dyDescent="0.25">
      <c r="A444" s="171" t="s">
        <v>107</v>
      </c>
      <c r="B444" s="171" t="s">
        <v>830</v>
      </c>
      <c r="C444" s="171" t="s">
        <v>70</v>
      </c>
      <c r="D444" s="171" t="s">
        <v>108</v>
      </c>
      <c r="E444" s="171" t="s">
        <v>111</v>
      </c>
      <c r="F444" s="171" t="s">
        <v>32</v>
      </c>
      <c r="G444" s="172">
        <v>273</v>
      </c>
      <c r="H444" s="173">
        <v>0</v>
      </c>
      <c r="I444" s="171" t="s">
        <v>110</v>
      </c>
      <c r="J444" s="171" t="s">
        <v>17</v>
      </c>
      <c r="K444" t="s">
        <v>69</v>
      </c>
      <c r="L444" t="s">
        <v>351</v>
      </c>
      <c r="N444" t="s">
        <v>17</v>
      </c>
    </row>
    <row r="445" spans="1:14" x14ac:dyDescent="0.25">
      <c r="A445" s="171" t="s">
        <v>107</v>
      </c>
      <c r="B445" s="171" t="s">
        <v>831</v>
      </c>
      <c r="C445" s="171" t="s">
        <v>70</v>
      </c>
      <c r="D445" s="171" t="s">
        <v>108</v>
      </c>
      <c r="E445" s="171" t="s">
        <v>112</v>
      </c>
      <c r="F445" s="171" t="s">
        <v>32</v>
      </c>
      <c r="G445" s="172">
        <v>389</v>
      </c>
      <c r="H445" s="173"/>
      <c r="I445" s="171"/>
      <c r="J445" s="171"/>
      <c r="K445" t="s">
        <v>69</v>
      </c>
      <c r="L445" t="s">
        <v>351</v>
      </c>
      <c r="N445" t="s">
        <v>17</v>
      </c>
    </row>
    <row r="446" spans="1:14" x14ac:dyDescent="0.25">
      <c r="A446" s="171" t="s">
        <v>107</v>
      </c>
      <c r="B446" s="171" t="s">
        <v>832</v>
      </c>
      <c r="C446" s="171" t="s">
        <v>70</v>
      </c>
      <c r="D446" s="171" t="s">
        <v>108</v>
      </c>
      <c r="E446" s="171" t="s">
        <v>113</v>
      </c>
      <c r="F446" s="171" t="s">
        <v>32</v>
      </c>
      <c r="G446" s="172">
        <v>709</v>
      </c>
      <c r="H446" s="173"/>
      <c r="I446" s="171"/>
      <c r="J446" s="171"/>
      <c r="K446" t="s">
        <v>69</v>
      </c>
      <c r="L446" t="s">
        <v>351</v>
      </c>
      <c r="N446" t="s">
        <v>17</v>
      </c>
    </row>
    <row r="447" spans="1:14" x14ac:dyDescent="0.25">
      <c r="A447" s="171" t="s">
        <v>107</v>
      </c>
      <c r="B447" s="171" t="s">
        <v>833</v>
      </c>
      <c r="C447" s="171" t="s">
        <v>70</v>
      </c>
      <c r="D447" s="171" t="s">
        <v>108</v>
      </c>
      <c r="E447" s="171" t="s">
        <v>114</v>
      </c>
      <c r="F447" s="171" t="s">
        <v>32</v>
      </c>
      <c r="G447" s="172">
        <v>713</v>
      </c>
      <c r="H447" s="173"/>
      <c r="I447" s="171"/>
      <c r="J447" s="171"/>
      <c r="K447" t="s">
        <v>69</v>
      </c>
      <c r="L447" t="s">
        <v>351</v>
      </c>
      <c r="N447" t="s">
        <v>17</v>
      </c>
    </row>
    <row r="448" spans="1:14" x14ac:dyDescent="0.25">
      <c r="A448" s="171" t="s">
        <v>107</v>
      </c>
      <c r="B448" s="171" t="s">
        <v>834</v>
      </c>
      <c r="C448" s="171" t="s">
        <v>70</v>
      </c>
      <c r="D448" s="171" t="s">
        <v>108</v>
      </c>
      <c r="E448" s="171" t="s">
        <v>115</v>
      </c>
      <c r="F448" s="171" t="s">
        <v>32</v>
      </c>
      <c r="G448" s="172">
        <v>891</v>
      </c>
      <c r="H448" s="173"/>
      <c r="I448" s="171"/>
      <c r="J448" s="171"/>
      <c r="K448" t="s">
        <v>69</v>
      </c>
      <c r="L448" t="s">
        <v>351</v>
      </c>
      <c r="N448" t="s">
        <v>17</v>
      </c>
    </row>
    <row r="449" spans="1:14" x14ac:dyDescent="0.25">
      <c r="A449" s="171" t="s">
        <v>126</v>
      </c>
      <c r="B449" s="171" t="s">
        <v>835</v>
      </c>
      <c r="C449" s="171" t="s">
        <v>54</v>
      </c>
      <c r="D449" s="171" t="s">
        <v>134</v>
      </c>
      <c r="E449" s="171" t="s">
        <v>132</v>
      </c>
      <c r="F449" s="171" t="s">
        <v>46</v>
      </c>
      <c r="G449" s="172">
        <v>122</v>
      </c>
      <c r="H449" s="173">
        <v>1</v>
      </c>
      <c r="I449" s="171" t="s">
        <v>110</v>
      </c>
      <c r="J449" s="171" t="s">
        <v>17</v>
      </c>
      <c r="K449" t="s">
        <v>44</v>
      </c>
      <c r="L449" t="s">
        <v>344</v>
      </c>
      <c r="N449" t="s">
        <v>17</v>
      </c>
    </row>
    <row r="450" spans="1:14" x14ac:dyDescent="0.25">
      <c r="A450" s="171" t="s">
        <v>126</v>
      </c>
      <c r="B450" s="171" t="s">
        <v>836</v>
      </c>
      <c r="C450" s="171" t="s">
        <v>54</v>
      </c>
      <c r="D450" s="171" t="s">
        <v>135</v>
      </c>
      <c r="E450" s="171" t="s">
        <v>132</v>
      </c>
      <c r="F450" s="171" t="s">
        <v>46</v>
      </c>
      <c r="G450" s="172">
        <v>155</v>
      </c>
      <c r="H450" s="173">
        <v>0</v>
      </c>
      <c r="I450" s="171" t="s">
        <v>110</v>
      </c>
      <c r="J450" s="171" t="s">
        <v>17</v>
      </c>
      <c r="K450" t="s">
        <v>44</v>
      </c>
      <c r="L450" t="s">
        <v>344</v>
      </c>
      <c r="N450" t="s">
        <v>17</v>
      </c>
    </row>
    <row r="451" spans="1:14" x14ac:dyDescent="0.25">
      <c r="A451" s="171" t="s">
        <v>126</v>
      </c>
      <c r="B451" s="171" t="s">
        <v>735</v>
      </c>
      <c r="C451" s="171" t="s">
        <v>54</v>
      </c>
      <c r="D451" s="171" t="s">
        <v>108</v>
      </c>
      <c r="E451" s="171" t="s">
        <v>132</v>
      </c>
      <c r="F451" s="171" t="s">
        <v>46</v>
      </c>
      <c r="G451" s="172">
        <v>229</v>
      </c>
      <c r="H451" s="173"/>
      <c r="I451" s="171"/>
      <c r="J451" s="171"/>
      <c r="K451" t="s">
        <v>44</v>
      </c>
      <c r="L451" t="s">
        <v>344</v>
      </c>
      <c r="N451" t="s">
        <v>17</v>
      </c>
    </row>
    <row r="452" spans="1:14" x14ac:dyDescent="0.25">
      <c r="A452" s="171" t="s">
        <v>126</v>
      </c>
      <c r="B452" s="171" t="s">
        <v>835</v>
      </c>
      <c r="C452" s="171" t="s">
        <v>54</v>
      </c>
      <c r="D452" s="171" t="s">
        <v>134</v>
      </c>
      <c r="E452" s="171" t="s">
        <v>132</v>
      </c>
      <c r="F452" s="171" t="s">
        <v>46</v>
      </c>
      <c r="G452" s="172">
        <v>5838</v>
      </c>
      <c r="H452" s="173"/>
      <c r="I452" s="171"/>
      <c r="J452" s="171"/>
      <c r="K452" t="s">
        <v>44</v>
      </c>
      <c r="L452" t="s">
        <v>344</v>
      </c>
      <c r="N452" t="s">
        <v>17</v>
      </c>
    </row>
    <row r="453" spans="1:14" x14ac:dyDescent="0.25">
      <c r="A453" s="171" t="s">
        <v>126</v>
      </c>
      <c r="B453" s="171" t="s">
        <v>836</v>
      </c>
      <c r="C453" s="171" t="s">
        <v>54</v>
      </c>
      <c r="D453" s="171" t="s">
        <v>135</v>
      </c>
      <c r="E453" s="171" t="s">
        <v>132</v>
      </c>
      <c r="F453" s="171" t="s">
        <v>46</v>
      </c>
      <c r="G453" s="172">
        <v>7505</v>
      </c>
      <c r="H453" s="173"/>
      <c r="I453" s="171"/>
      <c r="J453" s="171"/>
      <c r="K453" t="s">
        <v>44</v>
      </c>
      <c r="L453" t="s">
        <v>344</v>
      </c>
      <c r="N453" t="s">
        <v>17</v>
      </c>
    </row>
    <row r="454" spans="1:14" x14ac:dyDescent="0.25">
      <c r="A454" s="171" t="s">
        <v>126</v>
      </c>
      <c r="B454" s="171" t="s">
        <v>735</v>
      </c>
      <c r="C454" s="171" t="s">
        <v>54</v>
      </c>
      <c r="D454" s="171" t="s">
        <v>108</v>
      </c>
      <c r="E454" s="171" t="s">
        <v>132</v>
      </c>
      <c r="F454" s="171" t="s">
        <v>46</v>
      </c>
      <c r="G454" s="172">
        <v>11671</v>
      </c>
      <c r="H454" s="173"/>
      <c r="I454" s="171"/>
      <c r="J454" s="171"/>
      <c r="K454" t="s">
        <v>44</v>
      </c>
      <c r="L454" t="s">
        <v>344</v>
      </c>
      <c r="N454" t="s">
        <v>17</v>
      </c>
    </row>
    <row r="455" spans="1:14" x14ac:dyDescent="0.25">
      <c r="A455" s="171" t="s">
        <v>149</v>
      </c>
      <c r="B455" s="171" t="s">
        <v>837</v>
      </c>
      <c r="C455" s="171" t="s">
        <v>48</v>
      </c>
      <c r="D455" s="171" t="s">
        <v>134</v>
      </c>
      <c r="E455" s="171" t="s">
        <v>150</v>
      </c>
      <c r="F455" s="171" t="s">
        <v>32</v>
      </c>
      <c r="G455" s="172">
        <v>101</v>
      </c>
      <c r="H455" s="173">
        <v>2</v>
      </c>
      <c r="I455" s="171" t="s">
        <v>125</v>
      </c>
      <c r="J455" s="171" t="s">
        <v>17</v>
      </c>
      <c r="K455" t="s">
        <v>47</v>
      </c>
      <c r="L455" t="s">
        <v>79</v>
      </c>
      <c r="N455" t="s">
        <v>17</v>
      </c>
    </row>
    <row r="456" spans="1:14" x14ac:dyDescent="0.25">
      <c r="A456" s="171" t="s">
        <v>149</v>
      </c>
      <c r="B456" s="171" t="s">
        <v>838</v>
      </c>
      <c r="C456" s="171" t="s">
        <v>48</v>
      </c>
      <c r="D456" s="171" t="s">
        <v>135</v>
      </c>
      <c r="E456" s="171" t="s">
        <v>150</v>
      </c>
      <c r="F456" s="171" t="s">
        <v>32</v>
      </c>
      <c r="G456" s="172">
        <v>114</v>
      </c>
      <c r="H456" s="173">
        <v>0</v>
      </c>
      <c r="I456" s="171" t="s">
        <v>125</v>
      </c>
      <c r="J456" s="171" t="s">
        <v>17</v>
      </c>
      <c r="K456" t="s">
        <v>47</v>
      </c>
      <c r="L456" t="s">
        <v>79</v>
      </c>
      <c r="N456" t="s">
        <v>17</v>
      </c>
    </row>
    <row r="457" spans="1:14" x14ac:dyDescent="0.25">
      <c r="A457" s="171" t="s">
        <v>149</v>
      </c>
      <c r="B457" s="171" t="s">
        <v>839</v>
      </c>
      <c r="C457" s="171" t="s">
        <v>48</v>
      </c>
      <c r="D457" s="171" t="s">
        <v>108</v>
      </c>
      <c r="E457" s="171" t="s">
        <v>150</v>
      </c>
      <c r="F457" s="171" t="s">
        <v>32</v>
      </c>
      <c r="G457" s="172">
        <v>172</v>
      </c>
      <c r="H457" s="173"/>
      <c r="I457" s="171"/>
      <c r="J457" s="171"/>
      <c r="K457" t="s">
        <v>47</v>
      </c>
      <c r="L457" t="s">
        <v>79</v>
      </c>
      <c r="N457" t="s">
        <v>17</v>
      </c>
    </row>
    <row r="458" spans="1:14" x14ac:dyDescent="0.25">
      <c r="A458" s="171" t="s">
        <v>149</v>
      </c>
      <c r="B458" s="171" t="s">
        <v>837</v>
      </c>
      <c r="C458" s="171" t="s">
        <v>48</v>
      </c>
      <c r="D458" s="171" t="s">
        <v>134</v>
      </c>
      <c r="E458" s="171" t="s">
        <v>150</v>
      </c>
      <c r="F458" s="171" t="s">
        <v>32</v>
      </c>
      <c r="G458" s="172">
        <v>2899</v>
      </c>
      <c r="H458" s="173"/>
      <c r="I458" s="171"/>
      <c r="J458" s="171"/>
      <c r="K458" t="s">
        <v>47</v>
      </c>
      <c r="L458" t="s">
        <v>79</v>
      </c>
      <c r="N458" t="s">
        <v>17</v>
      </c>
    </row>
    <row r="459" spans="1:14" x14ac:dyDescent="0.25">
      <c r="A459" s="171" t="s">
        <v>149</v>
      </c>
      <c r="B459" s="171" t="s">
        <v>838</v>
      </c>
      <c r="C459" s="171" t="s">
        <v>48</v>
      </c>
      <c r="D459" s="171" t="s">
        <v>135</v>
      </c>
      <c r="E459" s="171" t="s">
        <v>150</v>
      </c>
      <c r="F459" s="171" t="s">
        <v>32</v>
      </c>
      <c r="G459" s="172">
        <v>3716</v>
      </c>
      <c r="H459" s="173"/>
      <c r="I459" s="171"/>
      <c r="J459" s="171"/>
      <c r="K459" t="s">
        <v>47</v>
      </c>
      <c r="L459" t="s">
        <v>79</v>
      </c>
      <c r="N459" t="s">
        <v>17</v>
      </c>
    </row>
    <row r="460" spans="1:14" x14ac:dyDescent="0.25">
      <c r="A460" s="171" t="s">
        <v>149</v>
      </c>
      <c r="B460" s="171" t="s">
        <v>839</v>
      </c>
      <c r="C460" s="171" t="s">
        <v>48</v>
      </c>
      <c r="D460" s="171" t="s">
        <v>108</v>
      </c>
      <c r="E460" s="171" t="s">
        <v>150</v>
      </c>
      <c r="F460" s="171" t="s">
        <v>32</v>
      </c>
      <c r="G460" s="172">
        <v>5778</v>
      </c>
      <c r="H460" s="173"/>
      <c r="I460" s="171"/>
      <c r="J460" s="171"/>
      <c r="K460" t="s">
        <v>47</v>
      </c>
      <c r="L460" t="s">
        <v>79</v>
      </c>
      <c r="N460" t="s">
        <v>17</v>
      </c>
    </row>
    <row r="461" spans="1:14" x14ac:dyDescent="0.25">
      <c r="A461" s="171" t="s">
        <v>149</v>
      </c>
      <c r="B461" s="171" t="s">
        <v>840</v>
      </c>
      <c r="C461" s="171" t="s">
        <v>52</v>
      </c>
      <c r="D461" s="171" t="s">
        <v>108</v>
      </c>
      <c r="E461" s="171" t="s">
        <v>151</v>
      </c>
      <c r="F461" s="171" t="s">
        <v>14</v>
      </c>
      <c r="G461" s="172">
        <v>155</v>
      </c>
      <c r="H461" s="173"/>
      <c r="I461" s="171"/>
      <c r="J461" s="171"/>
      <c r="K461" t="s">
        <v>51</v>
      </c>
      <c r="L461" t="s">
        <v>346</v>
      </c>
      <c r="N461" t="s">
        <v>17</v>
      </c>
    </row>
    <row r="462" spans="1:14" x14ac:dyDescent="0.25">
      <c r="A462" s="171" t="s">
        <v>149</v>
      </c>
      <c r="B462" s="171" t="s">
        <v>841</v>
      </c>
      <c r="C462" s="171" t="s">
        <v>52</v>
      </c>
      <c r="D462" s="171" t="s">
        <v>134</v>
      </c>
      <c r="E462" s="171" t="s">
        <v>151</v>
      </c>
      <c r="F462" s="171" t="s">
        <v>14</v>
      </c>
      <c r="G462" s="172">
        <v>162</v>
      </c>
      <c r="H462" s="173"/>
      <c r="I462" s="171"/>
      <c r="J462" s="171"/>
      <c r="K462" t="s">
        <v>51</v>
      </c>
      <c r="L462" t="s">
        <v>346</v>
      </c>
      <c r="N462" t="s">
        <v>17</v>
      </c>
    </row>
    <row r="463" spans="1:14" x14ac:dyDescent="0.25">
      <c r="A463" s="171" t="s">
        <v>149</v>
      </c>
      <c r="B463" s="171" t="s">
        <v>842</v>
      </c>
      <c r="C463" s="171" t="s">
        <v>52</v>
      </c>
      <c r="D463" s="171" t="s">
        <v>135</v>
      </c>
      <c r="E463" s="171" t="s">
        <v>151</v>
      </c>
      <c r="F463" s="171" t="s">
        <v>14</v>
      </c>
      <c r="G463" s="172">
        <v>166</v>
      </c>
      <c r="H463" s="173"/>
      <c r="I463" s="171"/>
      <c r="J463" s="171"/>
      <c r="K463" t="s">
        <v>51</v>
      </c>
      <c r="L463" t="s">
        <v>346</v>
      </c>
      <c r="N463" t="s">
        <v>17</v>
      </c>
    </row>
    <row r="464" spans="1:14" x14ac:dyDescent="0.25">
      <c r="A464" s="171" t="s">
        <v>149</v>
      </c>
      <c r="B464" s="171" t="s">
        <v>841</v>
      </c>
      <c r="C464" s="171" t="s">
        <v>52</v>
      </c>
      <c r="D464" s="171" t="s">
        <v>134</v>
      </c>
      <c r="E464" s="171" t="s">
        <v>151</v>
      </c>
      <c r="F464" s="171" t="s">
        <v>14</v>
      </c>
      <c r="G464" s="172">
        <v>1738</v>
      </c>
      <c r="H464" s="173"/>
      <c r="I464" s="171"/>
      <c r="J464" s="171"/>
      <c r="K464" t="s">
        <v>51</v>
      </c>
      <c r="L464" t="s">
        <v>346</v>
      </c>
      <c r="N464" t="s">
        <v>17</v>
      </c>
    </row>
    <row r="465" spans="1:14" x14ac:dyDescent="0.25">
      <c r="A465" s="171" t="s">
        <v>149</v>
      </c>
      <c r="B465" s="171" t="s">
        <v>842</v>
      </c>
      <c r="C465" s="171" t="s">
        <v>52</v>
      </c>
      <c r="D465" s="171" t="s">
        <v>135</v>
      </c>
      <c r="E465" s="171" t="s">
        <v>151</v>
      </c>
      <c r="F465" s="171" t="s">
        <v>14</v>
      </c>
      <c r="G465" s="172">
        <v>2234</v>
      </c>
      <c r="H465" s="173"/>
      <c r="I465" s="171"/>
      <c r="J465" s="171"/>
      <c r="K465" t="s">
        <v>51</v>
      </c>
      <c r="L465" t="s">
        <v>346</v>
      </c>
      <c r="N465" t="s">
        <v>17</v>
      </c>
    </row>
    <row r="466" spans="1:14" x14ac:dyDescent="0.25">
      <c r="A466" s="171" t="s">
        <v>149</v>
      </c>
      <c r="B466" s="171" t="s">
        <v>840</v>
      </c>
      <c r="C466" s="171" t="s">
        <v>52</v>
      </c>
      <c r="D466" s="171" t="s">
        <v>108</v>
      </c>
      <c r="E466" s="171" t="s">
        <v>151</v>
      </c>
      <c r="F466" s="171" t="s">
        <v>14</v>
      </c>
      <c r="G466" s="172">
        <v>3545</v>
      </c>
      <c r="H466" s="173"/>
      <c r="I466" s="171"/>
      <c r="J466" s="171"/>
      <c r="K466" t="s">
        <v>51</v>
      </c>
      <c r="L466" t="s">
        <v>346</v>
      </c>
      <c r="N466" t="s">
        <v>17</v>
      </c>
    </row>
    <row r="467" spans="1:14" x14ac:dyDescent="0.25">
      <c r="A467" s="171" t="s">
        <v>149</v>
      </c>
      <c r="B467" s="171" t="s">
        <v>843</v>
      </c>
      <c r="C467" s="171" t="s">
        <v>71</v>
      </c>
      <c r="D467" s="171" t="s">
        <v>152</v>
      </c>
      <c r="E467" s="171" t="s">
        <v>153</v>
      </c>
      <c r="F467" s="171" t="s">
        <v>32</v>
      </c>
      <c r="G467" s="172">
        <v>2</v>
      </c>
      <c r="H467" s="173"/>
      <c r="I467" s="171"/>
      <c r="J467" s="171"/>
      <c r="K467" t="s">
        <v>39</v>
      </c>
      <c r="L467" t="s">
        <v>352</v>
      </c>
      <c r="N467" t="s">
        <v>17</v>
      </c>
    </row>
    <row r="468" spans="1:14" x14ac:dyDescent="0.25">
      <c r="A468" s="171" t="s">
        <v>149</v>
      </c>
      <c r="B468" s="171" t="s">
        <v>844</v>
      </c>
      <c r="C468" s="171" t="s">
        <v>71</v>
      </c>
      <c r="D468" s="171" t="s">
        <v>154</v>
      </c>
      <c r="E468" s="171" t="s">
        <v>155</v>
      </c>
      <c r="F468" s="171" t="s">
        <v>32</v>
      </c>
      <c r="G468" s="172">
        <v>5</v>
      </c>
      <c r="H468" s="173"/>
      <c r="I468" s="171"/>
      <c r="J468" s="171"/>
      <c r="K468" t="s">
        <v>39</v>
      </c>
      <c r="L468" t="s">
        <v>352</v>
      </c>
      <c r="N468" t="s">
        <v>17</v>
      </c>
    </row>
    <row r="469" spans="1:14" x14ac:dyDescent="0.25">
      <c r="A469" s="171" t="s">
        <v>149</v>
      </c>
      <c r="B469" s="171" t="s">
        <v>845</v>
      </c>
      <c r="C469" s="171" t="s">
        <v>71</v>
      </c>
      <c r="D469" s="171" t="s">
        <v>156</v>
      </c>
      <c r="E469" s="171" t="s">
        <v>157</v>
      </c>
      <c r="F469" s="171" t="s">
        <v>32</v>
      </c>
      <c r="G469" s="172">
        <v>9</v>
      </c>
      <c r="H469" s="173"/>
      <c r="I469" s="171"/>
      <c r="J469" s="171"/>
      <c r="K469" t="s">
        <v>39</v>
      </c>
      <c r="L469" t="s">
        <v>352</v>
      </c>
      <c r="N469" t="s">
        <v>17</v>
      </c>
    </row>
    <row r="470" spans="1:14" x14ac:dyDescent="0.25">
      <c r="A470" s="171" t="s">
        <v>149</v>
      </c>
      <c r="B470" s="171" t="s">
        <v>846</v>
      </c>
      <c r="C470" s="171" t="s">
        <v>71</v>
      </c>
      <c r="D470" s="171" t="s">
        <v>158</v>
      </c>
      <c r="E470" s="171" t="s">
        <v>159</v>
      </c>
      <c r="F470" s="171" t="s">
        <v>32</v>
      </c>
      <c r="G470" s="172">
        <v>9</v>
      </c>
      <c r="H470" s="173"/>
      <c r="I470" s="171"/>
      <c r="J470" s="171"/>
      <c r="K470" t="s">
        <v>39</v>
      </c>
      <c r="L470" t="s">
        <v>352</v>
      </c>
      <c r="N470" t="s">
        <v>17</v>
      </c>
    </row>
    <row r="471" spans="1:14" x14ac:dyDescent="0.25">
      <c r="A471" s="171" t="s">
        <v>149</v>
      </c>
      <c r="B471" s="171" t="s">
        <v>844</v>
      </c>
      <c r="C471" s="171" t="s">
        <v>71</v>
      </c>
      <c r="D471" s="171" t="s">
        <v>154</v>
      </c>
      <c r="E471" s="171" t="s">
        <v>155</v>
      </c>
      <c r="F471" s="171" t="s">
        <v>32</v>
      </c>
      <c r="G471" s="172">
        <v>22</v>
      </c>
      <c r="H471" s="173"/>
      <c r="I471" s="171"/>
      <c r="J471" s="171"/>
      <c r="K471" t="s">
        <v>39</v>
      </c>
      <c r="L471" t="s">
        <v>352</v>
      </c>
      <c r="N471" t="s">
        <v>17</v>
      </c>
    </row>
    <row r="472" spans="1:14" x14ac:dyDescent="0.25">
      <c r="A472" s="171" t="s">
        <v>149</v>
      </c>
      <c r="B472" s="171" t="s">
        <v>847</v>
      </c>
      <c r="C472" s="171" t="s">
        <v>71</v>
      </c>
      <c r="D472" s="171" t="s">
        <v>160</v>
      </c>
      <c r="E472" s="171" t="s">
        <v>161</v>
      </c>
      <c r="F472" s="171" t="s">
        <v>32</v>
      </c>
      <c r="G472" s="172">
        <v>24</v>
      </c>
      <c r="H472" s="173"/>
      <c r="I472" s="171"/>
      <c r="J472" s="171"/>
      <c r="K472" t="s">
        <v>39</v>
      </c>
      <c r="L472" t="s">
        <v>352</v>
      </c>
      <c r="N472" t="s">
        <v>17</v>
      </c>
    </row>
    <row r="473" spans="1:14" x14ac:dyDescent="0.25">
      <c r="A473" s="171" t="s">
        <v>149</v>
      </c>
      <c r="B473" s="171" t="s">
        <v>848</v>
      </c>
      <c r="C473" s="171" t="s">
        <v>71</v>
      </c>
      <c r="D473" s="171" t="s">
        <v>162</v>
      </c>
      <c r="E473" s="171" t="s">
        <v>163</v>
      </c>
      <c r="F473" s="171" t="s">
        <v>32</v>
      </c>
      <c r="G473" s="172">
        <v>38</v>
      </c>
      <c r="H473" s="173"/>
      <c r="I473" s="171"/>
      <c r="J473" s="171"/>
      <c r="K473" t="s">
        <v>39</v>
      </c>
      <c r="L473" t="s">
        <v>352</v>
      </c>
      <c r="N473" t="s">
        <v>17</v>
      </c>
    </row>
    <row r="474" spans="1:14" x14ac:dyDescent="0.25">
      <c r="A474" s="171" t="s">
        <v>149</v>
      </c>
      <c r="B474" s="171" t="s">
        <v>844</v>
      </c>
      <c r="C474" s="171" t="s">
        <v>71</v>
      </c>
      <c r="D474" s="171" t="s">
        <v>154</v>
      </c>
      <c r="E474" s="171" t="s">
        <v>155</v>
      </c>
      <c r="F474" s="171" t="s">
        <v>32</v>
      </c>
      <c r="G474" s="172">
        <v>93</v>
      </c>
      <c r="H474" s="173"/>
      <c r="I474" s="171"/>
      <c r="J474" s="171"/>
      <c r="K474" t="s">
        <v>39</v>
      </c>
      <c r="L474" t="s">
        <v>352</v>
      </c>
      <c r="N474" t="s">
        <v>17</v>
      </c>
    </row>
    <row r="475" spans="1:14" x14ac:dyDescent="0.25">
      <c r="A475" s="171" t="s">
        <v>149</v>
      </c>
      <c r="B475" s="171" t="s">
        <v>843</v>
      </c>
      <c r="C475" s="171" t="s">
        <v>71</v>
      </c>
      <c r="D475" s="171" t="s">
        <v>152</v>
      </c>
      <c r="E475" s="171" t="s">
        <v>153</v>
      </c>
      <c r="F475" s="171" t="s">
        <v>32</v>
      </c>
      <c r="G475" s="172">
        <v>278</v>
      </c>
      <c r="H475" s="173"/>
      <c r="I475" s="171"/>
      <c r="J475" s="171"/>
      <c r="K475" t="s">
        <v>39</v>
      </c>
      <c r="L475" t="s">
        <v>352</v>
      </c>
      <c r="N475" t="s">
        <v>17</v>
      </c>
    </row>
    <row r="476" spans="1:14" x14ac:dyDescent="0.25">
      <c r="A476" s="171" t="s">
        <v>149</v>
      </c>
      <c r="B476" s="171" t="s">
        <v>845</v>
      </c>
      <c r="C476" s="171" t="s">
        <v>71</v>
      </c>
      <c r="D476" s="171" t="s">
        <v>156</v>
      </c>
      <c r="E476" s="171" t="s">
        <v>157</v>
      </c>
      <c r="F476" s="171" t="s">
        <v>32</v>
      </c>
      <c r="G476" s="172">
        <v>391</v>
      </c>
      <c r="H476" s="173"/>
      <c r="I476" s="171"/>
      <c r="J476" s="171"/>
      <c r="K476" t="s">
        <v>39</v>
      </c>
      <c r="L476" t="s">
        <v>352</v>
      </c>
      <c r="N476" t="s">
        <v>17</v>
      </c>
    </row>
    <row r="477" spans="1:14" x14ac:dyDescent="0.25">
      <c r="A477" s="171" t="s">
        <v>149</v>
      </c>
      <c r="B477" s="171" t="s">
        <v>846</v>
      </c>
      <c r="C477" s="171" t="s">
        <v>71</v>
      </c>
      <c r="D477" s="171" t="s">
        <v>158</v>
      </c>
      <c r="E477" s="171" t="s">
        <v>159</v>
      </c>
      <c r="F477" s="171" t="s">
        <v>32</v>
      </c>
      <c r="G477" s="172">
        <v>711</v>
      </c>
      <c r="H477" s="173"/>
      <c r="I477" s="171"/>
      <c r="J477" s="171"/>
      <c r="K477" t="s">
        <v>39</v>
      </c>
      <c r="L477" t="s">
        <v>352</v>
      </c>
      <c r="N477" t="s">
        <v>17</v>
      </c>
    </row>
    <row r="478" spans="1:14" x14ac:dyDescent="0.25">
      <c r="A478" s="171" t="s">
        <v>149</v>
      </c>
      <c r="B478" s="171" t="s">
        <v>848</v>
      </c>
      <c r="C478" s="171" t="s">
        <v>71</v>
      </c>
      <c r="D478" s="171" t="s">
        <v>162</v>
      </c>
      <c r="E478" s="171" t="s">
        <v>163</v>
      </c>
      <c r="F478" s="171" t="s">
        <v>32</v>
      </c>
      <c r="G478" s="172">
        <v>722</v>
      </c>
      <c r="H478" s="173"/>
      <c r="I478" s="171"/>
      <c r="J478" s="171"/>
      <c r="K478" t="s">
        <v>39</v>
      </c>
      <c r="L478" t="s">
        <v>352</v>
      </c>
      <c r="N478" t="s">
        <v>17</v>
      </c>
    </row>
    <row r="479" spans="1:14" x14ac:dyDescent="0.25">
      <c r="A479" s="171" t="s">
        <v>149</v>
      </c>
      <c r="B479" s="171" t="s">
        <v>847</v>
      </c>
      <c r="C479" s="171" t="s">
        <v>71</v>
      </c>
      <c r="D479" s="171" t="s">
        <v>160</v>
      </c>
      <c r="E479" s="171" t="s">
        <v>161</v>
      </c>
      <c r="F479" s="171" t="s">
        <v>32</v>
      </c>
      <c r="G479" s="172">
        <v>896</v>
      </c>
      <c r="H479" s="173"/>
      <c r="I479" s="171"/>
      <c r="J479" s="171"/>
      <c r="K479" t="s">
        <v>39</v>
      </c>
      <c r="L479" t="s">
        <v>352</v>
      </c>
      <c r="N479" t="s">
        <v>17</v>
      </c>
    </row>
    <row r="480" spans="1:14" x14ac:dyDescent="0.25">
      <c r="A480" s="171" t="s">
        <v>149</v>
      </c>
      <c r="B480" s="171" t="s">
        <v>849</v>
      </c>
      <c r="C480" s="171" t="s">
        <v>79</v>
      </c>
      <c r="D480" s="171" t="s">
        <v>134</v>
      </c>
      <c r="E480" s="171" t="s">
        <v>164</v>
      </c>
      <c r="F480" s="171" t="s">
        <v>32</v>
      </c>
      <c r="G480" s="172">
        <v>50</v>
      </c>
      <c r="H480" s="173"/>
      <c r="I480" s="171"/>
      <c r="J480" s="171"/>
      <c r="K480" t="s">
        <v>47</v>
      </c>
      <c r="L480" t="s">
        <v>79</v>
      </c>
      <c r="N480" t="s">
        <v>17</v>
      </c>
    </row>
    <row r="481" spans="1:14" x14ac:dyDescent="0.25">
      <c r="A481" s="171" t="s">
        <v>149</v>
      </c>
      <c r="B481" s="171" t="s">
        <v>850</v>
      </c>
      <c r="C481" s="171" t="s">
        <v>79</v>
      </c>
      <c r="D481" s="171" t="s">
        <v>134</v>
      </c>
      <c r="E481" s="171" t="s">
        <v>165</v>
      </c>
      <c r="F481" s="171" t="s">
        <v>32</v>
      </c>
      <c r="G481" s="172">
        <v>50</v>
      </c>
      <c r="H481" s="173"/>
      <c r="I481" s="171"/>
      <c r="J481" s="171"/>
      <c r="K481" t="s">
        <v>47</v>
      </c>
      <c r="L481" t="s">
        <v>79</v>
      </c>
      <c r="N481" t="s">
        <v>17</v>
      </c>
    </row>
    <row r="482" spans="1:14" x14ac:dyDescent="0.25">
      <c r="A482" s="171" t="s">
        <v>149</v>
      </c>
      <c r="B482" s="171" t="s">
        <v>851</v>
      </c>
      <c r="C482" s="171" t="s">
        <v>79</v>
      </c>
      <c r="D482" s="171" t="s">
        <v>135</v>
      </c>
      <c r="E482" s="171" t="s">
        <v>164</v>
      </c>
      <c r="F482" s="171" t="s">
        <v>32</v>
      </c>
      <c r="G482" s="172">
        <v>54</v>
      </c>
      <c r="H482" s="173"/>
      <c r="I482" s="171"/>
      <c r="J482" s="171"/>
      <c r="K482" t="s">
        <v>47</v>
      </c>
      <c r="L482" t="s">
        <v>79</v>
      </c>
      <c r="N482" t="s">
        <v>17</v>
      </c>
    </row>
    <row r="483" spans="1:14" x14ac:dyDescent="0.25">
      <c r="A483" s="171" t="s">
        <v>149</v>
      </c>
      <c r="B483" s="171" t="s">
        <v>852</v>
      </c>
      <c r="C483" s="171" t="s">
        <v>79</v>
      </c>
      <c r="D483" s="171" t="s">
        <v>135</v>
      </c>
      <c r="E483" s="171" t="s">
        <v>165</v>
      </c>
      <c r="F483" s="171" t="s">
        <v>32</v>
      </c>
      <c r="G483" s="172">
        <v>56</v>
      </c>
      <c r="H483" s="173"/>
      <c r="I483" s="171"/>
      <c r="J483" s="171"/>
      <c r="K483" t="s">
        <v>47</v>
      </c>
      <c r="L483" t="s">
        <v>79</v>
      </c>
      <c r="N483" t="s">
        <v>17</v>
      </c>
    </row>
    <row r="484" spans="1:14" x14ac:dyDescent="0.25">
      <c r="A484" s="171" t="s">
        <v>149</v>
      </c>
      <c r="B484" s="171" t="s">
        <v>853</v>
      </c>
      <c r="C484" s="171" t="s">
        <v>79</v>
      </c>
      <c r="D484" s="171" t="s">
        <v>108</v>
      </c>
      <c r="E484" s="171" t="s">
        <v>165</v>
      </c>
      <c r="F484" s="171" t="s">
        <v>32</v>
      </c>
      <c r="G484" s="172">
        <v>99</v>
      </c>
      <c r="H484" s="173"/>
      <c r="I484" s="171"/>
      <c r="J484" s="171"/>
      <c r="K484" t="s">
        <v>47</v>
      </c>
      <c r="L484" t="s">
        <v>79</v>
      </c>
      <c r="N484" t="s">
        <v>17</v>
      </c>
    </row>
    <row r="485" spans="1:14" x14ac:dyDescent="0.25">
      <c r="A485" s="171" t="s">
        <v>149</v>
      </c>
      <c r="B485" s="171" t="s">
        <v>854</v>
      </c>
      <c r="C485" s="171" t="s">
        <v>79</v>
      </c>
      <c r="D485" s="171" t="s">
        <v>108</v>
      </c>
      <c r="E485" s="171" t="s">
        <v>164</v>
      </c>
      <c r="F485" s="171" t="s">
        <v>32</v>
      </c>
      <c r="G485" s="172">
        <v>99</v>
      </c>
      <c r="H485" s="173"/>
      <c r="I485" s="171"/>
      <c r="J485" s="171"/>
      <c r="K485" t="s">
        <v>47</v>
      </c>
      <c r="L485" t="s">
        <v>79</v>
      </c>
      <c r="N485" t="s">
        <v>17</v>
      </c>
    </row>
    <row r="486" spans="1:14" x14ac:dyDescent="0.25">
      <c r="A486" s="171" t="s">
        <v>149</v>
      </c>
      <c r="B486" s="171" t="s">
        <v>849</v>
      </c>
      <c r="C486" s="171" t="s">
        <v>79</v>
      </c>
      <c r="D486" s="171" t="s">
        <v>134</v>
      </c>
      <c r="E486" s="171" t="s">
        <v>164</v>
      </c>
      <c r="F486" s="171" t="s">
        <v>32</v>
      </c>
      <c r="G486" s="172">
        <v>1450</v>
      </c>
      <c r="H486" s="173"/>
      <c r="I486" s="171"/>
      <c r="J486" s="171"/>
      <c r="K486" t="s">
        <v>47</v>
      </c>
      <c r="L486" t="s">
        <v>79</v>
      </c>
      <c r="N486" t="s">
        <v>17</v>
      </c>
    </row>
    <row r="487" spans="1:14" x14ac:dyDescent="0.25">
      <c r="A487" s="171" t="s">
        <v>149</v>
      </c>
      <c r="B487" s="171" t="s">
        <v>850</v>
      </c>
      <c r="C487" s="171" t="s">
        <v>79</v>
      </c>
      <c r="D487" s="171" t="s">
        <v>134</v>
      </c>
      <c r="E487" s="171" t="s">
        <v>165</v>
      </c>
      <c r="F487" s="171" t="s">
        <v>32</v>
      </c>
      <c r="G487" s="172">
        <v>1450</v>
      </c>
      <c r="H487" s="173"/>
      <c r="I487" s="171"/>
      <c r="J487" s="171"/>
      <c r="K487" t="s">
        <v>47</v>
      </c>
      <c r="L487" t="s">
        <v>79</v>
      </c>
      <c r="N487" t="s">
        <v>17</v>
      </c>
    </row>
    <row r="488" spans="1:14" x14ac:dyDescent="0.25">
      <c r="A488" s="171" t="s">
        <v>149</v>
      </c>
      <c r="B488" s="171" t="s">
        <v>852</v>
      </c>
      <c r="C488" s="171" t="s">
        <v>79</v>
      </c>
      <c r="D488" s="171" t="s">
        <v>135</v>
      </c>
      <c r="E488" s="171" t="s">
        <v>165</v>
      </c>
      <c r="F488" s="171" t="s">
        <v>32</v>
      </c>
      <c r="G488" s="172">
        <v>1844</v>
      </c>
      <c r="H488" s="173"/>
      <c r="I488" s="171"/>
      <c r="J488" s="171"/>
      <c r="K488" t="s">
        <v>47</v>
      </c>
      <c r="L488" t="s">
        <v>79</v>
      </c>
      <c r="N488" t="s">
        <v>17</v>
      </c>
    </row>
    <row r="489" spans="1:14" x14ac:dyDescent="0.25">
      <c r="A489" s="171" t="s">
        <v>149</v>
      </c>
      <c r="B489" s="171" t="s">
        <v>851</v>
      </c>
      <c r="C489" s="171" t="s">
        <v>79</v>
      </c>
      <c r="D489" s="171" t="s">
        <v>135</v>
      </c>
      <c r="E489" s="171" t="s">
        <v>164</v>
      </c>
      <c r="F489" s="171" t="s">
        <v>32</v>
      </c>
      <c r="G489" s="172">
        <v>1846</v>
      </c>
      <c r="H489" s="173"/>
      <c r="I489" s="171"/>
      <c r="J489" s="171"/>
      <c r="K489" t="s">
        <v>47</v>
      </c>
      <c r="L489" t="s">
        <v>79</v>
      </c>
      <c r="N489" t="s">
        <v>17</v>
      </c>
    </row>
    <row r="490" spans="1:14" x14ac:dyDescent="0.25">
      <c r="A490" s="171" t="s">
        <v>149</v>
      </c>
      <c r="B490" s="171" t="s">
        <v>854</v>
      </c>
      <c r="C490" s="171" t="s">
        <v>79</v>
      </c>
      <c r="D490" s="171" t="s">
        <v>108</v>
      </c>
      <c r="E490" s="171" t="s">
        <v>164</v>
      </c>
      <c r="F490" s="171" t="s">
        <v>32</v>
      </c>
      <c r="G490" s="172">
        <v>2701</v>
      </c>
      <c r="H490" s="173"/>
      <c r="I490" s="171"/>
      <c r="J490" s="171"/>
      <c r="K490" t="s">
        <v>47</v>
      </c>
      <c r="L490" t="s">
        <v>79</v>
      </c>
      <c r="N490" t="s">
        <v>17</v>
      </c>
    </row>
    <row r="491" spans="1:14" x14ac:dyDescent="0.25">
      <c r="A491" s="171" t="s">
        <v>149</v>
      </c>
      <c r="B491" s="171" t="s">
        <v>853</v>
      </c>
      <c r="C491" s="171" t="s">
        <v>79</v>
      </c>
      <c r="D491" s="171" t="s">
        <v>108</v>
      </c>
      <c r="E491" s="171" t="s">
        <v>165</v>
      </c>
      <c r="F491" s="171" t="s">
        <v>32</v>
      </c>
      <c r="G491" s="172">
        <v>2901</v>
      </c>
      <c r="H491" s="173"/>
      <c r="I491" s="171"/>
      <c r="J491" s="171"/>
      <c r="K491" t="s">
        <v>47</v>
      </c>
      <c r="L491" t="s">
        <v>79</v>
      </c>
      <c r="N491" t="s">
        <v>17</v>
      </c>
    </row>
    <row r="492" spans="1:14" x14ac:dyDescent="0.25">
      <c r="A492" s="171" t="s">
        <v>174</v>
      </c>
      <c r="B492" s="171" t="s">
        <v>855</v>
      </c>
      <c r="C492" s="171" t="s">
        <v>90</v>
      </c>
      <c r="D492" s="171" t="s">
        <v>108</v>
      </c>
      <c r="E492" s="171" t="s">
        <v>175</v>
      </c>
      <c r="F492" s="171" t="s">
        <v>32</v>
      </c>
      <c r="G492" s="172">
        <v>317</v>
      </c>
      <c r="H492" s="173">
        <v>1</v>
      </c>
      <c r="I492" s="171" t="s">
        <v>119</v>
      </c>
      <c r="J492" s="171" t="s">
        <v>17</v>
      </c>
      <c r="K492" t="s">
        <v>89</v>
      </c>
      <c r="L492" t="s">
        <v>356</v>
      </c>
      <c r="N492" t="s">
        <v>17</v>
      </c>
    </row>
    <row r="493" spans="1:14" x14ac:dyDescent="0.25">
      <c r="A493" s="171" t="s">
        <v>174</v>
      </c>
      <c r="B493" s="171" t="s">
        <v>855</v>
      </c>
      <c r="C493" s="171" t="s">
        <v>90</v>
      </c>
      <c r="D493" s="171" t="s">
        <v>108</v>
      </c>
      <c r="E493" s="171" t="s">
        <v>175</v>
      </c>
      <c r="F493" s="171" t="s">
        <v>32</v>
      </c>
      <c r="G493" s="172">
        <v>9283</v>
      </c>
      <c r="H493" s="173">
        <v>0</v>
      </c>
      <c r="I493" s="171" t="s">
        <v>119</v>
      </c>
      <c r="J493" s="171" t="s">
        <v>17</v>
      </c>
      <c r="K493" t="s">
        <v>89</v>
      </c>
      <c r="L493" t="s">
        <v>356</v>
      </c>
      <c r="N493" t="s">
        <v>17</v>
      </c>
    </row>
    <row r="494" spans="1:14" x14ac:dyDescent="0.25">
      <c r="A494" s="171" t="s">
        <v>176</v>
      </c>
      <c r="B494" s="171" t="s">
        <v>737</v>
      </c>
      <c r="C494" s="171" t="s">
        <v>66</v>
      </c>
      <c r="D494" s="171" t="s">
        <v>117</v>
      </c>
      <c r="E494" s="171" t="s">
        <v>179</v>
      </c>
      <c r="F494" s="171" t="s">
        <v>32</v>
      </c>
      <c r="G494" s="172">
        <v>1443</v>
      </c>
      <c r="H494" s="173">
        <v>1</v>
      </c>
      <c r="I494" s="171" t="s">
        <v>110</v>
      </c>
      <c r="J494" s="171" t="s">
        <v>17</v>
      </c>
      <c r="K494" t="s">
        <v>65</v>
      </c>
      <c r="L494" t="s">
        <v>350</v>
      </c>
      <c r="N494" t="s">
        <v>17</v>
      </c>
    </row>
    <row r="495" spans="1:14" x14ac:dyDescent="0.25">
      <c r="A495" s="171" t="s">
        <v>176</v>
      </c>
      <c r="B495" s="171" t="s">
        <v>856</v>
      </c>
      <c r="C495" s="171" t="s">
        <v>66</v>
      </c>
      <c r="D495" s="171" t="s">
        <v>117</v>
      </c>
      <c r="E495" s="171" t="s">
        <v>181</v>
      </c>
      <c r="F495" s="171" t="s">
        <v>32</v>
      </c>
      <c r="G495" s="172">
        <v>3091</v>
      </c>
      <c r="H495" s="173">
        <v>0</v>
      </c>
      <c r="I495" s="171" t="s">
        <v>110</v>
      </c>
      <c r="J495" s="171" t="s">
        <v>17</v>
      </c>
      <c r="K495" t="s">
        <v>65</v>
      </c>
      <c r="L495" t="s">
        <v>350</v>
      </c>
      <c r="N495" t="s">
        <v>17</v>
      </c>
    </row>
    <row r="496" spans="1:14" x14ac:dyDescent="0.25">
      <c r="A496" s="171" t="s">
        <v>176</v>
      </c>
      <c r="B496" s="171" t="s">
        <v>738</v>
      </c>
      <c r="C496" s="171" t="s">
        <v>67</v>
      </c>
      <c r="D496" s="171" t="s">
        <v>117</v>
      </c>
      <c r="E496" s="171" t="s">
        <v>180</v>
      </c>
      <c r="F496" s="171" t="s">
        <v>32</v>
      </c>
      <c r="G496" s="172">
        <v>1443</v>
      </c>
      <c r="H496" s="173"/>
      <c r="I496" s="171"/>
      <c r="J496" s="171"/>
      <c r="K496" t="s">
        <v>39</v>
      </c>
      <c r="L496" t="s">
        <v>342</v>
      </c>
      <c r="N496" t="s">
        <v>17</v>
      </c>
    </row>
    <row r="497" spans="1:14" x14ac:dyDescent="0.25">
      <c r="A497" s="171" t="s">
        <v>176</v>
      </c>
      <c r="B497" s="171" t="s">
        <v>857</v>
      </c>
      <c r="C497" s="171" t="s">
        <v>67</v>
      </c>
      <c r="D497" s="171" t="s">
        <v>117</v>
      </c>
      <c r="E497" s="171" t="s">
        <v>182</v>
      </c>
      <c r="F497" s="171" t="s">
        <v>32</v>
      </c>
      <c r="G497" s="172">
        <v>3091</v>
      </c>
      <c r="H497" s="173"/>
      <c r="I497" s="171"/>
      <c r="J497" s="171"/>
      <c r="K497" t="s">
        <v>39</v>
      </c>
      <c r="L497" t="s">
        <v>342</v>
      </c>
      <c r="N497" t="s">
        <v>17</v>
      </c>
    </row>
    <row r="498" spans="1:14" x14ac:dyDescent="0.25">
      <c r="A498" s="171" t="s">
        <v>176</v>
      </c>
      <c r="B498" s="171" t="s">
        <v>733</v>
      </c>
      <c r="C498" s="171" t="s">
        <v>73</v>
      </c>
      <c r="D498" s="171" t="s">
        <v>17</v>
      </c>
      <c r="E498" s="171" t="s">
        <v>17</v>
      </c>
      <c r="F498" s="171" t="s">
        <v>32</v>
      </c>
      <c r="G498" s="172">
        <v>3091</v>
      </c>
      <c r="H498" s="173"/>
      <c r="I498" s="171"/>
      <c r="J498" s="171"/>
      <c r="K498" t="s">
        <v>41</v>
      </c>
      <c r="L498" t="s">
        <v>343</v>
      </c>
      <c r="N498" t="s">
        <v>17</v>
      </c>
    </row>
    <row r="499" spans="1:14" x14ac:dyDescent="0.25">
      <c r="A499" s="171" t="s">
        <v>176</v>
      </c>
      <c r="B499" s="171" t="s">
        <v>858</v>
      </c>
      <c r="C499" s="171" t="s">
        <v>84</v>
      </c>
      <c r="D499" s="171" t="s">
        <v>117</v>
      </c>
      <c r="E499" s="171" t="s">
        <v>183</v>
      </c>
      <c r="F499" s="171" t="s">
        <v>32</v>
      </c>
      <c r="G499" s="172">
        <v>3091</v>
      </c>
      <c r="H499" s="173"/>
      <c r="I499" s="171"/>
      <c r="J499" s="171"/>
      <c r="K499" t="s">
        <v>39</v>
      </c>
      <c r="L499" t="s">
        <v>342</v>
      </c>
      <c r="N499" t="s">
        <v>17</v>
      </c>
    </row>
    <row r="500" spans="1:14" x14ac:dyDescent="0.25">
      <c r="A500" s="174" t="s">
        <v>274</v>
      </c>
      <c r="B500" s="174"/>
      <c r="C500" s="174" t="s">
        <v>275</v>
      </c>
      <c r="D500" s="174"/>
      <c r="E500" s="174"/>
      <c r="F500" s="174"/>
      <c r="G500" s="175">
        <f>=SUM(G443:G499)</f>
      </c>
      <c r="H500" s="176">
        <f>=SUM(H443:H499)</f>
      </c>
      <c r="I500" s="174" t="s">
        <v>17</v>
      </c>
      <c r="J500" s="174" t="s">
        <v>17</v>
      </c>
    </row>
    <row r="502" spans="1:10" x14ac:dyDescent="0.25">
      <c r="A502" s="169" t="s">
        <v>859</v>
      </c>
      <c r="B502" s="169"/>
      <c r="C502" s="169"/>
      <c r="D502" s="169"/>
      <c r="E502" s="169"/>
      <c r="F502" s="169"/>
      <c r="G502" s="169"/>
      <c r="H502" s="169"/>
      <c r="I502" s="169"/>
      <c r="J502" s="169"/>
    </row>
    <row r="503" spans="1:10" x14ac:dyDescent="0.25">
      <c r="A503" s="170" t="s">
        <v>98</v>
      </c>
      <c r="B503" s="170" t="s">
        <v>711</v>
      </c>
      <c r="C503" s="170" t="s">
        <v>99</v>
      </c>
      <c r="D503" s="170" t="s">
        <v>100</v>
      </c>
      <c r="E503" s="170" t="s">
        <v>101</v>
      </c>
      <c r="F503" s="170" t="s">
        <v>102</v>
      </c>
      <c r="G503" s="170" t="s">
        <v>103</v>
      </c>
      <c r="H503" s="170" t="s">
        <v>104</v>
      </c>
      <c r="I503" s="170" t="s">
        <v>105</v>
      </c>
      <c r="J503" s="170" t="s">
        <v>106</v>
      </c>
    </row>
    <row r="504" spans="1:14" x14ac:dyDescent="0.25">
      <c r="A504" s="171" t="s">
        <v>219</v>
      </c>
      <c r="B504" s="171" t="s">
        <v>860</v>
      </c>
      <c r="C504" s="171" t="s">
        <v>87</v>
      </c>
      <c r="D504" s="171" t="s">
        <v>220</v>
      </c>
      <c r="E504" s="171" t="s">
        <v>221</v>
      </c>
      <c r="F504" s="171" t="s">
        <v>82</v>
      </c>
      <c r="G504" s="172">
        <v>24468</v>
      </c>
      <c r="H504" s="173">
        <v>3</v>
      </c>
      <c r="I504" s="171" t="s">
        <v>17</v>
      </c>
      <c r="J504" s="171" t="s">
        <v>17</v>
      </c>
      <c r="K504" t="s">
        <v>86</v>
      </c>
      <c r="L504" t="s">
        <v>355</v>
      </c>
      <c r="N504" t="s">
        <v>17</v>
      </c>
    </row>
    <row r="505" spans="1:14" x14ac:dyDescent="0.25">
      <c r="A505" s="174" t="s">
        <v>274</v>
      </c>
      <c r="B505" s="174"/>
      <c r="C505" s="174" t="s">
        <v>275</v>
      </c>
      <c r="D505" s="174"/>
      <c r="E505" s="174"/>
      <c r="F505" s="174"/>
      <c r="G505" s="175">
        <f>=SUM(G504:G504)</f>
      </c>
      <c r="H505" s="176">
        <f>=SUM(H504:H504)</f>
      </c>
      <c r="I505" s="174" t="s">
        <v>17</v>
      </c>
      <c r="J505" s="174" t="s">
        <v>17</v>
      </c>
    </row>
    <row r="507" spans="1:10" x14ac:dyDescent="0.25">
      <c r="A507" s="169" t="s">
        <v>861</v>
      </c>
      <c r="B507" s="169"/>
      <c r="C507" s="169"/>
      <c r="D507" s="169"/>
      <c r="E507" s="169"/>
      <c r="F507" s="169"/>
      <c r="G507" s="169"/>
      <c r="H507" s="169"/>
      <c r="I507" s="169"/>
      <c r="J507" s="169"/>
    </row>
    <row r="508" spans="1:10" x14ac:dyDescent="0.25">
      <c r="A508" s="170" t="s">
        <v>98</v>
      </c>
      <c r="B508" s="170" t="s">
        <v>711</v>
      </c>
      <c r="C508" s="170" t="s">
        <v>99</v>
      </c>
      <c r="D508" s="170" t="s">
        <v>100</v>
      </c>
      <c r="E508" s="170" t="s">
        <v>101</v>
      </c>
      <c r="F508" s="170" t="s">
        <v>102</v>
      </c>
      <c r="G508" s="170" t="s">
        <v>103</v>
      </c>
      <c r="H508" s="170" t="s">
        <v>104</v>
      </c>
      <c r="I508" s="170" t="s">
        <v>105</v>
      </c>
      <c r="J508" s="170" t="s">
        <v>106</v>
      </c>
    </row>
    <row r="509" spans="1:14" x14ac:dyDescent="0.25">
      <c r="A509" s="171" t="s">
        <v>237</v>
      </c>
      <c r="B509" s="171" t="s">
        <v>821</v>
      </c>
      <c r="C509" s="171" t="s">
        <v>248</v>
      </c>
      <c r="D509" s="171" t="s">
        <v>209</v>
      </c>
      <c r="E509" s="171" t="s">
        <v>249</v>
      </c>
      <c r="F509" s="171" t="s">
        <v>14</v>
      </c>
      <c r="G509" s="172">
        <v>1</v>
      </c>
      <c r="H509" s="173">
        <v>0</v>
      </c>
      <c r="I509" s="171" t="s">
        <v>125</v>
      </c>
      <c r="J509" s="171" t="s">
        <v>250</v>
      </c>
      <c r="K509" t="s">
        <v>327</v>
      </c>
      <c r="L509" t="s">
        <v>328</v>
      </c>
      <c r="N509" t="s">
        <v>18</v>
      </c>
    </row>
    <row r="510" spans="1:14" x14ac:dyDescent="0.25">
      <c r="A510" s="174" t="s">
        <v>274</v>
      </c>
      <c r="B510" s="174"/>
      <c r="C510" s="174" t="s">
        <v>275</v>
      </c>
      <c r="D510" s="174"/>
      <c r="E510" s="174"/>
      <c r="F510" s="174"/>
      <c r="G510" s="175">
        <f>=SUM(G509:G509)</f>
      </c>
      <c r="H510" s="176">
        <f>=SUM(H509:H509)</f>
      </c>
      <c r="I510" s="174" t="s">
        <v>17</v>
      </c>
      <c r="J510" s="174" t="s">
        <v>17</v>
      </c>
    </row>
    <row r="512" spans="1:10" x14ac:dyDescent="0.25">
      <c r="A512" s="169" t="s">
        <v>862</v>
      </c>
      <c r="B512" s="169"/>
      <c r="C512" s="169"/>
      <c r="D512" s="169"/>
      <c r="E512" s="169"/>
      <c r="F512" s="169"/>
      <c r="G512" s="169"/>
      <c r="H512" s="169"/>
      <c r="I512" s="169"/>
      <c r="J512" s="169"/>
    </row>
    <row r="513" spans="1:10" x14ac:dyDescent="0.25">
      <c r="A513" s="170" t="s">
        <v>98</v>
      </c>
      <c r="B513" s="170" t="s">
        <v>711</v>
      </c>
      <c r="C513" s="170" t="s">
        <v>99</v>
      </c>
      <c r="D513" s="170" t="s">
        <v>100</v>
      </c>
      <c r="E513" s="170" t="s">
        <v>101</v>
      </c>
      <c r="F513" s="170" t="s">
        <v>102</v>
      </c>
      <c r="G513" s="170" t="s">
        <v>103</v>
      </c>
      <c r="H513" s="170" t="s">
        <v>104</v>
      </c>
      <c r="I513" s="170" t="s">
        <v>105</v>
      </c>
      <c r="J513" s="170" t="s">
        <v>106</v>
      </c>
    </row>
    <row r="514" spans="1:14" x14ac:dyDescent="0.25">
      <c r="A514" s="171" t="s">
        <v>237</v>
      </c>
      <c r="B514" s="171" t="s">
        <v>821</v>
      </c>
      <c r="C514" s="171" t="s">
        <v>248</v>
      </c>
      <c r="D514" s="171" t="s">
        <v>209</v>
      </c>
      <c r="E514" s="171" t="s">
        <v>249</v>
      </c>
      <c r="F514" s="171" t="s">
        <v>14</v>
      </c>
      <c r="G514" s="172">
        <v>2</v>
      </c>
      <c r="H514" s="173">
        <v>0</v>
      </c>
      <c r="I514" s="171" t="s">
        <v>125</v>
      </c>
      <c r="J514" s="171" t="s">
        <v>250</v>
      </c>
      <c r="K514" t="s">
        <v>327</v>
      </c>
      <c r="L514" t="s">
        <v>328</v>
      </c>
      <c r="N514" t="s">
        <v>18</v>
      </c>
    </row>
    <row r="515" spans="1:14" x14ac:dyDescent="0.25">
      <c r="A515" s="174" t="s">
        <v>274</v>
      </c>
      <c r="B515" s="174"/>
      <c r="C515" s="174" t="s">
        <v>275</v>
      </c>
      <c r="D515" s="174"/>
      <c r="E515" s="174"/>
      <c r="F515" s="174"/>
      <c r="G515" s="175">
        <f>=SUM(G514:G514)</f>
      </c>
      <c r="H515" s="176">
        <f>=SUM(H514:H514)</f>
      </c>
      <c r="I515" s="174" t="s">
        <v>17</v>
      </c>
      <c r="J515" s="174" t="s">
        <v>17</v>
      </c>
    </row>
    <row r="517" spans="1:10" x14ac:dyDescent="0.25">
      <c r="A517" s="169" t="s">
        <v>863</v>
      </c>
      <c r="B517" s="169"/>
      <c r="C517" s="169"/>
      <c r="D517" s="169"/>
      <c r="E517" s="169"/>
      <c r="F517" s="169"/>
      <c r="G517" s="169"/>
      <c r="H517" s="169"/>
      <c r="I517" s="169"/>
      <c r="J517" s="169"/>
    </row>
    <row r="518" spans="1:10" x14ac:dyDescent="0.25">
      <c r="A518" s="170" t="s">
        <v>98</v>
      </c>
      <c r="B518" s="170" t="s">
        <v>711</v>
      </c>
      <c r="C518" s="170" t="s">
        <v>99</v>
      </c>
      <c r="D518" s="170" t="s">
        <v>100</v>
      </c>
      <c r="E518" s="170" t="s">
        <v>101</v>
      </c>
      <c r="F518" s="170" t="s">
        <v>102</v>
      </c>
      <c r="G518" s="170" t="s">
        <v>103</v>
      </c>
      <c r="H518" s="170" t="s">
        <v>104</v>
      </c>
      <c r="I518" s="170" t="s">
        <v>105</v>
      </c>
      <c r="J518" s="170" t="s">
        <v>106</v>
      </c>
    </row>
    <row r="519" spans="1:14" x14ac:dyDescent="0.25">
      <c r="A519" s="171" t="s">
        <v>237</v>
      </c>
      <c r="B519" s="171" t="s">
        <v>821</v>
      </c>
      <c r="C519" s="171" t="s">
        <v>248</v>
      </c>
      <c r="D519" s="171" t="s">
        <v>209</v>
      </c>
      <c r="E519" s="171" t="s">
        <v>249</v>
      </c>
      <c r="F519" s="171" t="s">
        <v>14</v>
      </c>
      <c r="G519" s="172">
        <v>1</v>
      </c>
      <c r="H519" s="173">
        <v>0</v>
      </c>
      <c r="I519" s="171" t="s">
        <v>125</v>
      </c>
      <c r="J519" s="171" t="s">
        <v>250</v>
      </c>
      <c r="K519" t="s">
        <v>327</v>
      </c>
      <c r="L519" t="s">
        <v>328</v>
      </c>
      <c r="N519" t="s">
        <v>18</v>
      </c>
    </row>
    <row r="520" spans="1:14" x14ac:dyDescent="0.25">
      <c r="A520" s="171" t="s">
        <v>237</v>
      </c>
      <c r="B520" s="171" t="s">
        <v>821</v>
      </c>
      <c r="C520" s="171" t="s">
        <v>248</v>
      </c>
      <c r="D520" s="171" t="s">
        <v>209</v>
      </c>
      <c r="E520" s="171" t="s">
        <v>249</v>
      </c>
      <c r="F520" s="171" t="s">
        <v>14</v>
      </c>
      <c r="G520" s="172">
        <v>1</v>
      </c>
      <c r="H520" s="173"/>
      <c r="I520" s="171"/>
      <c r="J520" s="171"/>
      <c r="K520" t="s">
        <v>327</v>
      </c>
      <c r="L520" t="s">
        <v>328</v>
      </c>
      <c r="N520" t="s">
        <v>18</v>
      </c>
    </row>
    <row r="521" spans="1:14" x14ac:dyDescent="0.25">
      <c r="A521" s="171" t="s">
        <v>237</v>
      </c>
      <c r="B521" s="171" t="s">
        <v>821</v>
      </c>
      <c r="C521" s="171" t="s">
        <v>248</v>
      </c>
      <c r="D521" s="171" t="s">
        <v>209</v>
      </c>
      <c r="E521" s="171" t="s">
        <v>249</v>
      </c>
      <c r="F521" s="171" t="s">
        <v>14</v>
      </c>
      <c r="G521" s="172">
        <v>1</v>
      </c>
      <c r="H521" s="173"/>
      <c r="I521" s="171"/>
      <c r="J521" s="171"/>
      <c r="K521" t="s">
        <v>327</v>
      </c>
      <c r="L521" t="s">
        <v>328</v>
      </c>
      <c r="N521" t="s">
        <v>18</v>
      </c>
    </row>
    <row r="522" spans="1:14" x14ac:dyDescent="0.25">
      <c r="A522" s="171" t="s">
        <v>237</v>
      </c>
      <c r="B522" s="171" t="s">
        <v>821</v>
      </c>
      <c r="C522" s="171" t="s">
        <v>248</v>
      </c>
      <c r="D522" s="171" t="s">
        <v>209</v>
      </c>
      <c r="E522" s="171" t="s">
        <v>249</v>
      </c>
      <c r="F522" s="171" t="s">
        <v>14</v>
      </c>
      <c r="G522" s="172">
        <v>2</v>
      </c>
      <c r="H522" s="173"/>
      <c r="I522" s="171"/>
      <c r="J522" s="171"/>
      <c r="K522" t="s">
        <v>327</v>
      </c>
      <c r="L522" t="s">
        <v>328</v>
      </c>
      <c r="N522" t="s">
        <v>18</v>
      </c>
    </row>
    <row r="523" spans="1:14" x14ac:dyDescent="0.25">
      <c r="A523" s="171" t="s">
        <v>237</v>
      </c>
      <c r="B523" s="171" t="s">
        <v>821</v>
      </c>
      <c r="C523" s="171" t="s">
        <v>248</v>
      </c>
      <c r="D523" s="171" t="s">
        <v>209</v>
      </c>
      <c r="E523" s="171" t="s">
        <v>249</v>
      </c>
      <c r="F523" s="171" t="s">
        <v>14</v>
      </c>
      <c r="G523" s="172">
        <v>2</v>
      </c>
      <c r="H523" s="173"/>
      <c r="I523" s="171"/>
      <c r="J523" s="171"/>
      <c r="K523" t="s">
        <v>327</v>
      </c>
      <c r="L523" t="s">
        <v>328</v>
      </c>
      <c r="N523" t="s">
        <v>18</v>
      </c>
    </row>
    <row r="524" spans="1:14" x14ac:dyDescent="0.25">
      <c r="A524" s="171" t="s">
        <v>237</v>
      </c>
      <c r="B524" s="171" t="s">
        <v>821</v>
      </c>
      <c r="C524" s="171" t="s">
        <v>248</v>
      </c>
      <c r="D524" s="171" t="s">
        <v>209</v>
      </c>
      <c r="E524" s="171" t="s">
        <v>249</v>
      </c>
      <c r="F524" s="171" t="s">
        <v>14</v>
      </c>
      <c r="G524" s="172">
        <v>2</v>
      </c>
      <c r="H524" s="173"/>
      <c r="I524" s="171"/>
      <c r="J524" s="171"/>
      <c r="K524" t="s">
        <v>327</v>
      </c>
      <c r="L524" t="s">
        <v>328</v>
      </c>
      <c r="N524" t="s">
        <v>18</v>
      </c>
    </row>
    <row r="525" spans="1:14" x14ac:dyDescent="0.25">
      <c r="A525" s="171" t="s">
        <v>237</v>
      </c>
      <c r="B525" s="171" t="s">
        <v>821</v>
      </c>
      <c r="C525" s="171" t="s">
        <v>248</v>
      </c>
      <c r="D525" s="171" t="s">
        <v>209</v>
      </c>
      <c r="E525" s="171" t="s">
        <v>249</v>
      </c>
      <c r="F525" s="171" t="s">
        <v>14</v>
      </c>
      <c r="G525" s="172">
        <v>3</v>
      </c>
      <c r="H525" s="173"/>
      <c r="I525" s="171"/>
      <c r="J525" s="171"/>
      <c r="K525" t="s">
        <v>327</v>
      </c>
      <c r="L525" t="s">
        <v>328</v>
      </c>
      <c r="N525" t="s">
        <v>18</v>
      </c>
    </row>
    <row r="526" spans="1:14" x14ac:dyDescent="0.25">
      <c r="A526" s="174" t="s">
        <v>274</v>
      </c>
      <c r="B526" s="174"/>
      <c r="C526" s="174" t="s">
        <v>275</v>
      </c>
      <c r="D526" s="174"/>
      <c r="E526" s="174"/>
      <c r="F526" s="174"/>
      <c r="G526" s="175">
        <f>=SUM(G519:G525)</f>
      </c>
      <c r="H526" s="176">
        <f>=SUM(H519:H525)</f>
      </c>
      <c r="I526" s="174" t="s">
        <v>17</v>
      </c>
      <c r="J526" s="174" t="s">
        <v>17</v>
      </c>
    </row>
    <row r="528" spans="1:10" x14ac:dyDescent="0.25">
      <c r="A528" s="169" t="s">
        <v>864</v>
      </c>
      <c r="B528" s="169"/>
      <c r="C528" s="169"/>
      <c r="D528" s="169"/>
      <c r="E528" s="169"/>
      <c r="F528" s="169"/>
      <c r="G528" s="169"/>
      <c r="H528" s="169"/>
      <c r="I528" s="169"/>
      <c r="J528" s="169"/>
    </row>
    <row r="529" spans="1:10" x14ac:dyDescent="0.25">
      <c r="A529" s="170" t="s">
        <v>98</v>
      </c>
      <c r="B529" s="170" t="s">
        <v>711</v>
      </c>
      <c r="C529" s="170" t="s">
        <v>99</v>
      </c>
      <c r="D529" s="170" t="s">
        <v>100</v>
      </c>
      <c r="E529" s="170" t="s">
        <v>101</v>
      </c>
      <c r="F529" s="170" t="s">
        <v>102</v>
      </c>
      <c r="G529" s="170" t="s">
        <v>103</v>
      </c>
      <c r="H529" s="170" t="s">
        <v>104</v>
      </c>
      <c r="I529" s="170" t="s">
        <v>105</v>
      </c>
      <c r="J529" s="170" t="s">
        <v>106</v>
      </c>
    </row>
    <row r="530" spans="1:14" x14ac:dyDescent="0.25">
      <c r="A530" s="171" t="s">
        <v>237</v>
      </c>
      <c r="B530" s="171" t="s">
        <v>821</v>
      </c>
      <c r="C530" s="171" t="s">
        <v>248</v>
      </c>
      <c r="D530" s="171" t="s">
        <v>209</v>
      </c>
      <c r="E530" s="171" t="s">
        <v>249</v>
      </c>
      <c r="F530" s="171" t="s">
        <v>14</v>
      </c>
      <c r="G530" s="172">
        <v>1</v>
      </c>
      <c r="H530" s="173">
        <v>0</v>
      </c>
      <c r="I530" s="171" t="s">
        <v>125</v>
      </c>
      <c r="J530" s="171" t="s">
        <v>250</v>
      </c>
      <c r="K530" t="s">
        <v>327</v>
      </c>
      <c r="L530" t="s">
        <v>328</v>
      </c>
      <c r="N530" t="s">
        <v>18</v>
      </c>
    </row>
    <row r="531" spans="1:14" x14ac:dyDescent="0.25">
      <c r="A531" s="171" t="s">
        <v>237</v>
      </c>
      <c r="B531" s="171" t="s">
        <v>821</v>
      </c>
      <c r="C531" s="171" t="s">
        <v>248</v>
      </c>
      <c r="D531" s="171" t="s">
        <v>209</v>
      </c>
      <c r="E531" s="171" t="s">
        <v>249</v>
      </c>
      <c r="F531" s="171" t="s">
        <v>14</v>
      </c>
      <c r="G531" s="172">
        <v>1</v>
      </c>
      <c r="H531" s="173"/>
      <c r="I531" s="171"/>
      <c r="J531" s="171"/>
      <c r="K531" t="s">
        <v>327</v>
      </c>
      <c r="L531" t="s">
        <v>328</v>
      </c>
      <c r="N531" t="s">
        <v>18</v>
      </c>
    </row>
    <row r="532" spans="1:14" x14ac:dyDescent="0.25">
      <c r="A532" s="171" t="s">
        <v>237</v>
      </c>
      <c r="B532" s="171" t="s">
        <v>821</v>
      </c>
      <c r="C532" s="171" t="s">
        <v>248</v>
      </c>
      <c r="D532" s="171" t="s">
        <v>209</v>
      </c>
      <c r="E532" s="171" t="s">
        <v>249</v>
      </c>
      <c r="F532" s="171" t="s">
        <v>14</v>
      </c>
      <c r="G532" s="172">
        <v>1</v>
      </c>
      <c r="H532" s="173"/>
      <c r="I532" s="171"/>
      <c r="J532" s="171"/>
      <c r="K532" t="s">
        <v>327</v>
      </c>
      <c r="L532" t="s">
        <v>328</v>
      </c>
      <c r="N532" t="s">
        <v>18</v>
      </c>
    </row>
    <row r="533" spans="1:14" x14ac:dyDescent="0.25">
      <c r="A533" s="171" t="s">
        <v>237</v>
      </c>
      <c r="B533" s="171" t="s">
        <v>821</v>
      </c>
      <c r="C533" s="171" t="s">
        <v>248</v>
      </c>
      <c r="D533" s="171" t="s">
        <v>209</v>
      </c>
      <c r="E533" s="171" t="s">
        <v>249</v>
      </c>
      <c r="F533" s="171" t="s">
        <v>14</v>
      </c>
      <c r="G533" s="172">
        <v>1</v>
      </c>
      <c r="H533" s="173"/>
      <c r="I533" s="171"/>
      <c r="J533" s="171"/>
      <c r="K533" t="s">
        <v>327</v>
      </c>
      <c r="L533" t="s">
        <v>328</v>
      </c>
      <c r="N533" t="s">
        <v>18</v>
      </c>
    </row>
    <row r="534" spans="1:14" x14ac:dyDescent="0.25">
      <c r="A534" s="174" t="s">
        <v>274</v>
      </c>
      <c r="B534" s="174"/>
      <c r="C534" s="174" t="s">
        <v>275</v>
      </c>
      <c r="D534" s="174"/>
      <c r="E534" s="174"/>
      <c r="F534" s="174"/>
      <c r="G534" s="175">
        <f>=SUM(G530:G533)</f>
      </c>
      <c r="H534" s="176">
        <f>=SUM(H530:H533)</f>
      </c>
      <c r="I534" s="174" t="s">
        <v>17</v>
      </c>
      <c r="J534" s="174" t="s">
        <v>17</v>
      </c>
    </row>
    <row r="536" spans="1:10" x14ac:dyDescent="0.25">
      <c r="A536" s="169" t="s">
        <v>865</v>
      </c>
      <c r="B536" s="169"/>
      <c r="C536" s="169"/>
      <c r="D536" s="169"/>
      <c r="E536" s="169"/>
      <c r="F536" s="169"/>
      <c r="G536" s="169"/>
      <c r="H536" s="169"/>
      <c r="I536" s="169"/>
      <c r="J536" s="169"/>
    </row>
    <row r="537" spans="1:10" x14ac:dyDescent="0.25">
      <c r="A537" s="170" t="s">
        <v>98</v>
      </c>
      <c r="B537" s="170" t="s">
        <v>711</v>
      </c>
      <c r="C537" s="170" t="s">
        <v>99</v>
      </c>
      <c r="D537" s="170" t="s">
        <v>100</v>
      </c>
      <c r="E537" s="170" t="s">
        <v>101</v>
      </c>
      <c r="F537" s="170" t="s">
        <v>102</v>
      </c>
      <c r="G537" s="170" t="s">
        <v>103</v>
      </c>
      <c r="H537" s="170" t="s">
        <v>104</v>
      </c>
      <c r="I537" s="170" t="s">
        <v>105</v>
      </c>
      <c r="J537" s="170" t="s">
        <v>106</v>
      </c>
    </row>
    <row r="538" spans="1:14" x14ac:dyDescent="0.25">
      <c r="A538" s="171" t="s">
        <v>237</v>
      </c>
      <c r="B538" s="171" t="s">
        <v>821</v>
      </c>
      <c r="C538" s="171" t="s">
        <v>248</v>
      </c>
      <c r="D538" s="171" t="s">
        <v>209</v>
      </c>
      <c r="E538" s="171" t="s">
        <v>249</v>
      </c>
      <c r="F538" s="171" t="s">
        <v>14</v>
      </c>
      <c r="G538" s="172">
        <v>1</v>
      </c>
      <c r="H538" s="173">
        <v>0</v>
      </c>
      <c r="I538" s="171" t="s">
        <v>125</v>
      </c>
      <c r="J538" s="171" t="s">
        <v>250</v>
      </c>
      <c r="K538" t="s">
        <v>327</v>
      </c>
      <c r="L538" t="s">
        <v>328</v>
      </c>
      <c r="N538" t="s">
        <v>18</v>
      </c>
    </row>
    <row r="539" spans="1:14" x14ac:dyDescent="0.25">
      <c r="A539" s="171" t="s">
        <v>237</v>
      </c>
      <c r="B539" s="171" t="s">
        <v>821</v>
      </c>
      <c r="C539" s="171" t="s">
        <v>248</v>
      </c>
      <c r="D539" s="171" t="s">
        <v>209</v>
      </c>
      <c r="E539" s="171" t="s">
        <v>249</v>
      </c>
      <c r="F539" s="171" t="s">
        <v>14</v>
      </c>
      <c r="G539" s="172">
        <v>2</v>
      </c>
      <c r="H539" s="173"/>
      <c r="I539" s="171"/>
      <c r="J539" s="171"/>
      <c r="K539" t="s">
        <v>327</v>
      </c>
      <c r="L539" t="s">
        <v>328</v>
      </c>
      <c r="N539" t="s">
        <v>18</v>
      </c>
    </row>
    <row r="540" spans="1:14" x14ac:dyDescent="0.25">
      <c r="A540" s="174" t="s">
        <v>274</v>
      </c>
      <c r="B540" s="174"/>
      <c r="C540" s="174" t="s">
        <v>275</v>
      </c>
      <c r="D540" s="174"/>
      <c r="E540" s="174"/>
      <c r="F540" s="174"/>
      <c r="G540" s="175">
        <f>=SUM(G538:G539)</f>
      </c>
      <c r="H540" s="176">
        <f>=SUM(H538:H539)</f>
      </c>
      <c r="I540" s="174" t="s">
        <v>17</v>
      </c>
      <c r="J540" s="174" t="s">
        <v>17</v>
      </c>
    </row>
  </sheetData>
  <mergeCells count="156">
    <mergeCell ref="A2:J2"/>
    <mergeCell ref="A8:J8"/>
    <mergeCell ref="H11:H16"/>
    <mergeCell ref="I11:I16"/>
    <mergeCell ref="J11:J16"/>
    <mergeCell ref="A19:J19"/>
    <mergeCell ref="A24:J24"/>
    <mergeCell ref="H27:H28"/>
    <mergeCell ref="I27:I28"/>
    <mergeCell ref="J27:J28"/>
    <mergeCell ref="A31:J31"/>
    <mergeCell ref="H33:H34"/>
    <mergeCell ref="I33:I34"/>
    <mergeCell ref="J33:J34"/>
    <mergeCell ref="A37:J37"/>
    <mergeCell ref="H40:H44"/>
    <mergeCell ref="I40:I44"/>
    <mergeCell ref="J40:J44"/>
    <mergeCell ref="A49:J49"/>
    <mergeCell ref="H51:H53"/>
    <mergeCell ref="I51:I53"/>
    <mergeCell ref="J51:J53"/>
    <mergeCell ref="H54:H55"/>
    <mergeCell ref="I54:I55"/>
    <mergeCell ref="J54:J55"/>
    <mergeCell ref="A58:J58"/>
    <mergeCell ref="H60:H61"/>
    <mergeCell ref="I60:I61"/>
    <mergeCell ref="J60:J61"/>
    <mergeCell ref="H62:H65"/>
    <mergeCell ref="I62:I65"/>
    <mergeCell ref="J62:J65"/>
    <mergeCell ref="A68:J68"/>
    <mergeCell ref="H70:H72"/>
    <mergeCell ref="I70:I72"/>
    <mergeCell ref="J70:J72"/>
    <mergeCell ref="H73:H74"/>
    <mergeCell ref="I73:I74"/>
    <mergeCell ref="J73:J74"/>
    <mergeCell ref="A77:J77"/>
    <mergeCell ref="A83:J83"/>
    <mergeCell ref="H86:H91"/>
    <mergeCell ref="I86:I91"/>
    <mergeCell ref="J86:J91"/>
    <mergeCell ref="H93:H125"/>
    <mergeCell ref="I93:I125"/>
    <mergeCell ref="J93:J125"/>
    <mergeCell ref="A128:J128"/>
    <mergeCell ref="H130:H134"/>
    <mergeCell ref="I130:I134"/>
    <mergeCell ref="J130:J134"/>
    <mergeCell ref="H135:H168"/>
    <mergeCell ref="I135:I168"/>
    <mergeCell ref="J135:J168"/>
    <mergeCell ref="A171:J171"/>
    <mergeCell ref="H173:H180"/>
    <mergeCell ref="I173:I180"/>
    <mergeCell ref="J173:J180"/>
    <mergeCell ref="H181:H217"/>
    <mergeCell ref="I181:I217"/>
    <mergeCell ref="J181:J217"/>
    <mergeCell ref="A220:J220"/>
    <mergeCell ref="H223:H242"/>
    <mergeCell ref="I223:I242"/>
    <mergeCell ref="J223:J242"/>
    <mergeCell ref="A245:J245"/>
    <mergeCell ref="H247:H249"/>
    <mergeCell ref="I247:I249"/>
    <mergeCell ref="J247:J249"/>
    <mergeCell ref="A252:J252"/>
    <mergeCell ref="A257:J257"/>
    <mergeCell ref="H262:H266"/>
    <mergeCell ref="I262:I266"/>
    <mergeCell ref="J262:J266"/>
    <mergeCell ref="A269:J269"/>
    <mergeCell ref="H272:H277"/>
    <mergeCell ref="I272:I277"/>
    <mergeCell ref="J272:J277"/>
    <mergeCell ref="A280:J280"/>
    <mergeCell ref="H283:H284"/>
    <mergeCell ref="I283:I284"/>
    <mergeCell ref="J283:J284"/>
    <mergeCell ref="A287:J287"/>
    <mergeCell ref="H291:H327"/>
    <mergeCell ref="I291:I327"/>
    <mergeCell ref="J291:J327"/>
    <mergeCell ref="A330:J330"/>
    <mergeCell ref="H333:H340"/>
    <mergeCell ref="I333:I340"/>
    <mergeCell ref="J333:J340"/>
    <mergeCell ref="A343:J343"/>
    <mergeCell ref="H346:H353"/>
    <mergeCell ref="I346:I353"/>
    <mergeCell ref="J346:J353"/>
    <mergeCell ref="A356:J356"/>
    <mergeCell ref="H359:H367"/>
    <mergeCell ref="I359:I367"/>
    <mergeCell ref="J359:J367"/>
    <mergeCell ref="A370:J370"/>
    <mergeCell ref="H373:H381"/>
    <mergeCell ref="I373:I381"/>
    <mergeCell ref="J373:J381"/>
    <mergeCell ref="A384:J384"/>
    <mergeCell ref="H386:H388"/>
    <mergeCell ref="I386:I388"/>
    <mergeCell ref="J386:J388"/>
    <mergeCell ref="A391:J391"/>
    <mergeCell ref="H393:H394"/>
    <mergeCell ref="I393:I394"/>
    <mergeCell ref="J393:J394"/>
    <mergeCell ref="A397:J397"/>
    <mergeCell ref="H400:H401"/>
    <mergeCell ref="I400:I401"/>
    <mergeCell ref="J400:J401"/>
    <mergeCell ref="A404:J404"/>
    <mergeCell ref="H407:H412"/>
    <mergeCell ref="I407:I412"/>
    <mergeCell ref="J407:J412"/>
    <mergeCell ref="A415:J415"/>
    <mergeCell ref="A420:J420"/>
    <mergeCell ref="H422:H423"/>
    <mergeCell ref="I422:I423"/>
    <mergeCell ref="J422:J423"/>
    <mergeCell ref="A427:J427"/>
    <mergeCell ref="A432:J432"/>
    <mergeCell ref="H436:H438"/>
    <mergeCell ref="I436:I438"/>
    <mergeCell ref="J436:J438"/>
    <mergeCell ref="A441:J441"/>
    <mergeCell ref="H444:H448"/>
    <mergeCell ref="I444:I448"/>
    <mergeCell ref="J444:J448"/>
    <mergeCell ref="H450:H454"/>
    <mergeCell ref="I450:I454"/>
    <mergeCell ref="J450:J454"/>
    <mergeCell ref="H456:H491"/>
    <mergeCell ref="I456:I491"/>
    <mergeCell ref="J456:J491"/>
    <mergeCell ref="H495:H499"/>
    <mergeCell ref="I495:I499"/>
    <mergeCell ref="J495:J499"/>
    <mergeCell ref="A502:J502"/>
    <mergeCell ref="A507:J507"/>
    <mergeCell ref="A512:J512"/>
    <mergeCell ref="A517:J517"/>
    <mergeCell ref="H519:H525"/>
    <mergeCell ref="I519:I525"/>
    <mergeCell ref="J519:J525"/>
    <mergeCell ref="A528:J528"/>
    <mergeCell ref="H530:H533"/>
    <mergeCell ref="I530:I533"/>
    <mergeCell ref="J530:J533"/>
    <mergeCell ref="A536:J536"/>
    <mergeCell ref="H538:H539"/>
    <mergeCell ref="I538:I539"/>
    <mergeCell ref="J538:J539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 t="s">
        <v>867</v>
      </c>
      <c r="J13" s="177">
        <f>=1500/65142.43*J29</f>
      </c>
      <c r="K13" s="65"/>
    </row>
    <row r="14" ht="15" customHeight="1" spans="1:11" x14ac:dyDescent="0.25">
      <c r="A14" s="69" t="s">
        <v>295</v>
      </c>
      <c r="B14" s="69"/>
      <c r="F14" s="49"/>
      <c r="I14" s="67" t="s">
        <v>868</v>
      </c>
      <c r="J14" s="178">
        <f>=J29*1.1*0.026%</f>
      </c>
      <c r="K14" s="65"/>
    </row>
    <row r="15" ht="15" customHeight="1" spans="6:11" x14ac:dyDescent="0.25">
      <c r="F15" s="49"/>
      <c r="H15" s="51"/>
      <c r="I15" s="145" t="s">
        <v>869</v>
      </c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167</v>
      </c>
      <c r="J16" s="51" t="s">
        <v>871</v>
      </c>
      <c r="K16" s="65"/>
    </row>
    <row r="17" ht="15" customHeight="1" spans="4:11" x14ac:dyDescent="0.25">
      <c r="D17" s="72" t="s">
        <v>286</v>
      </c>
      <c r="E17" s="53"/>
      <c r="F17" s="49"/>
      <c r="H17" s="67" t="s">
        <v>872</v>
      </c>
      <c r="I17" s="179">
        <v>3766.189999999998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 t="s">
        <v>874</v>
      </c>
      <c r="I18" s="179">
        <v>4142.8089999999975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17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274</v>
      </c>
      <c r="E29" s="164"/>
      <c r="F29" s="164"/>
      <c r="G29" s="184"/>
      <c r="H29" s="185"/>
      <c r="I29" s="186"/>
      <c r="J29" s="187">
        <f>'STS.INVOICE'!G53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315</v>
      </c>
      <c r="B42" s="66"/>
      <c r="C42" s="66"/>
      <c r="D42" s="66"/>
      <c r="E42" s="66"/>
      <c r="F42" s="66"/>
    </row>
    <row r="43" ht="15" customHeight="1" spans="1:11" x14ac:dyDescent="0.25">
      <c r="A43" s="66" t="s">
        <v>316</v>
      </c>
      <c r="B43" s="66"/>
      <c r="C43" s="66"/>
      <c r="H43" s="97" t="s">
        <v>317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 showGridLines="0" zoomScale="100" zoomScaleNormal="100" view="normal">
      <selection activeCell="C37" sqref="C37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=1500/65142.43*4022.7300000000005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=4022.7300000000005*1.1*0.026%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5.26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5.7860000000000005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29" t="s">
        <v>238</v>
      </c>
      <c r="E27" s="3"/>
      <c r="F27" s="180"/>
      <c r="G27" s="180">
        <v>267</v>
      </c>
      <c r="H27" s="181" t="s">
        <v>14</v>
      </c>
      <c r="I27" s="182">
        <v>6.29</v>
      </c>
      <c r="J27" s="183">
        <f>=G27*I27</f>
      </c>
      <c r="K27" s="86">
        <v>1.7</v>
      </c>
    </row>
    <row r="28" ht="15" customHeight="1" spans="1:11" x14ac:dyDescent="0.25">
      <c r="A28" s="1"/>
      <c r="B28" s="1"/>
      <c r="C28" s="1"/>
      <c r="D28" s="189" t="s">
        <v>242</v>
      </c>
      <c r="E28" s="1"/>
      <c r="F28" s="1"/>
      <c r="G28" s="180">
        <v>8</v>
      </c>
      <c r="H28" s="181" t="s">
        <v>14</v>
      </c>
      <c r="I28" s="182">
        <v>5.15</v>
      </c>
      <c r="J28" s="183">
        <f>=G28*I28</f>
      </c>
      <c r="K28" s="86">
        <v>0.05</v>
      </c>
    </row>
    <row r="29" ht="15" customHeight="1" spans="1:11" x14ac:dyDescent="0.25">
      <c r="A29" s="1"/>
      <c r="B29" s="1"/>
      <c r="C29" s="1"/>
      <c r="D29" s="189" t="s">
        <v>245</v>
      </c>
      <c r="E29" s="1"/>
      <c r="F29" s="1"/>
      <c r="G29" s="180">
        <v>50</v>
      </c>
      <c r="H29" s="181" t="s">
        <v>14</v>
      </c>
      <c r="I29" s="182">
        <v>2.55</v>
      </c>
      <c r="J29" s="183">
        <f>=G29*I29</f>
      </c>
      <c r="K29" s="86">
        <v>0.32</v>
      </c>
    </row>
    <row r="30" ht="15" customHeight="1" spans="1:11" x14ac:dyDescent="0.25">
      <c r="A30" s="1"/>
      <c r="B30" s="1"/>
      <c r="C30" s="1"/>
      <c r="D30" s="189" t="s">
        <v>248</v>
      </c>
      <c r="E30" s="1"/>
      <c r="F30" s="1"/>
      <c r="G30" s="180">
        <v>524</v>
      </c>
      <c r="H30" s="181" t="s">
        <v>14</v>
      </c>
      <c r="I30" s="182">
        <v>4.15</v>
      </c>
      <c r="J30" s="183">
        <f>=G30*I30</f>
      </c>
      <c r="K30" s="86">
        <v>3.19</v>
      </c>
    </row>
    <row r="31" ht="15" customHeight="1" spans="1:11" x14ac:dyDescent="0.25">
      <c r="A31" s="87"/>
      <c r="B31" s="88"/>
      <c r="C31" s="3"/>
      <c r="D31" s="164" t="s">
        <v>274</v>
      </c>
      <c r="E31" s="164"/>
      <c r="F31" s="164"/>
      <c r="G31" s="184"/>
      <c r="H31" s="185"/>
      <c r="I31" s="186"/>
      <c r="J31" s="187">
        <f>=SUM(J27:J30)</f>
      </c>
      <c r="K31" s="86">
        <f>=SUM(K27:K30)</f>
      </c>
    </row>
    <row r="32" ht="15" customHeight="1" spans="1:11" x14ac:dyDescent="0.25">
      <c r="A32" s="87"/>
      <c r="B32" s="88"/>
      <c r="C32" s="3"/>
      <c r="D32" s="51"/>
      <c r="E32" s="51"/>
      <c r="F32" s="51"/>
      <c r="G32" s="67"/>
      <c r="H32" s="190"/>
      <c r="I32" s="191"/>
      <c r="J32" s="192"/>
      <c r="K32" s="86"/>
    </row>
    <row r="33" ht="15" customHeight="1" spans="1:10" x14ac:dyDescent="0.25">
      <c r="A33" s="1" t="s">
        <v>879</v>
      </c>
      <c r="B33" s="88"/>
      <c r="C33" s="1"/>
      <c r="D33" s="1" t="s">
        <v>880</v>
      </c>
      <c r="E33" s="1"/>
      <c r="F33" s="1" t="s">
        <v>881</v>
      </c>
      <c r="G33" s="1"/>
      <c r="H33" s="89"/>
      <c r="I33" s="90"/>
      <c r="J33" s="96"/>
    </row>
    <row r="34" ht="18" customHeight="1" spans="1:12" x14ac:dyDescent="0.25">
      <c r="A34" s="193" t="s">
        <v>240</v>
      </c>
      <c r="B34" s="193"/>
      <c r="C34" s="193"/>
      <c r="D34" s="193" t="s">
        <v>12</v>
      </c>
      <c r="E34" s="193"/>
      <c r="F34" s="194" t="s">
        <v>882</v>
      </c>
      <c r="G34" s="194"/>
      <c r="H34" s="194"/>
      <c r="I34" s="194"/>
      <c r="J34" s="194"/>
      <c r="K34" s="194"/>
      <c r="L34" t="s">
        <v>238</v>
      </c>
    </row>
    <row r="35" ht="18" customHeight="1" spans="1:12" x14ac:dyDescent="0.25">
      <c r="A35" s="193" t="s">
        <v>244</v>
      </c>
      <c r="B35" s="193"/>
      <c r="C35" s="193"/>
      <c r="D35" s="193" t="s">
        <v>12</v>
      </c>
      <c r="E35" s="193"/>
      <c r="F35" s="194" t="s">
        <v>883</v>
      </c>
      <c r="G35" s="194"/>
      <c r="H35" s="194"/>
      <c r="I35" s="194"/>
      <c r="J35" s="194"/>
      <c r="K35" s="194"/>
      <c r="L35" t="s">
        <v>242</v>
      </c>
    </row>
    <row r="36" ht="18" customHeight="1" spans="1:12" x14ac:dyDescent="0.25">
      <c r="A36" s="193" t="s">
        <v>247</v>
      </c>
      <c r="B36" s="193"/>
      <c r="C36" s="193"/>
      <c r="D36" s="193" t="s">
        <v>323</v>
      </c>
      <c r="E36" s="193"/>
      <c r="F36" s="194" t="s">
        <v>884</v>
      </c>
      <c r="G36" s="194"/>
      <c r="H36" s="194"/>
      <c r="I36" s="194"/>
      <c r="J36" s="194"/>
      <c r="K36" s="194"/>
      <c r="L36" t="s">
        <v>245</v>
      </c>
    </row>
    <row r="37" ht="18" customHeight="1" spans="1:12" x14ac:dyDescent="0.25">
      <c r="A37" s="193" t="s">
        <v>249</v>
      </c>
      <c r="B37" s="193"/>
      <c r="C37" s="193"/>
      <c r="D37" s="193" t="s">
        <v>327</v>
      </c>
      <c r="E37" s="193"/>
      <c r="F37" s="194" t="s">
        <v>885</v>
      </c>
      <c r="G37" s="194"/>
      <c r="H37" s="194"/>
      <c r="I37" s="194"/>
      <c r="J37" s="194"/>
      <c r="K37" s="194"/>
      <c r="L37" t="s">
        <v>248</v>
      </c>
    </row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spans="1:6" x14ac:dyDescent="0.25">
      <c r="A43" s="66" t="s">
        <v>315</v>
      </c>
      <c r="B43" s="66"/>
      <c r="C43" s="66"/>
      <c r="D43" s="66"/>
      <c r="E43" s="66"/>
      <c r="F43" s="66"/>
    </row>
    <row r="44" ht="15" customHeight="1" spans="1:11" x14ac:dyDescent="0.25">
      <c r="A44" s="66" t="s">
        <v>316</v>
      </c>
      <c r="B44" s="66"/>
      <c r="C44" s="66"/>
      <c r="D44" s="1"/>
      <c r="E44" s="1"/>
      <c r="F44" s="1"/>
      <c r="G44" s="1"/>
      <c r="H44" s="97" t="s">
        <v>317</v>
      </c>
      <c r="I44" s="61"/>
      <c r="J44" s="61"/>
      <c r="K44" s="61"/>
    </row>
  </sheetData>
  <mergeCells count="20">
    <mergeCell ref="A1:K1"/>
    <mergeCell ref="A18:C18"/>
    <mergeCell ref="D18:F18"/>
    <mergeCell ref="A21:C21"/>
    <mergeCell ref="D21:F21"/>
    <mergeCell ref="A22:C22"/>
    <mergeCell ref="D22:F22"/>
    <mergeCell ref="G22:H22"/>
    <mergeCell ref="A34:C34"/>
    <mergeCell ref="D34:E34"/>
    <mergeCell ref="F34:K34"/>
    <mergeCell ref="A35:C35"/>
    <mergeCell ref="D35:E35"/>
    <mergeCell ref="F35:K35"/>
    <mergeCell ref="A36:C36"/>
    <mergeCell ref="D36:E36"/>
    <mergeCell ref="F36:K36"/>
    <mergeCell ref="A37:C37"/>
    <mergeCell ref="D37:E37"/>
    <mergeCell ref="F37:K37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=1500/65142.43*10156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=10156*1.1*0.026%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8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5.68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6.248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198</v>
      </c>
      <c r="E27" s="3"/>
      <c r="F27" s="180"/>
      <c r="G27" s="180">
        <v>790</v>
      </c>
      <c r="H27" s="181" t="s">
        <v>14</v>
      </c>
      <c r="I27" s="182">
        <v>8.75</v>
      </c>
      <c r="J27" s="183">
        <f>=G27*I27</f>
      </c>
      <c r="K27" s="86">
        <v>2.51</v>
      </c>
    </row>
    <row r="28" ht="15" customHeight="1" spans="1:11" x14ac:dyDescent="0.25">
      <c r="A28" s="1"/>
      <c r="D28" s="189" t="s">
        <v>201</v>
      </c>
      <c r="G28" s="180">
        <v>499</v>
      </c>
      <c r="H28" s="181" t="s">
        <v>14</v>
      </c>
      <c r="I28" s="182">
        <v>6.5</v>
      </c>
      <c r="J28" s="183">
        <f>=G28*I28</f>
      </c>
      <c r="K28" s="86">
        <v>3.17</v>
      </c>
    </row>
    <row r="29" ht="15" customHeight="1" spans="1:11" x14ac:dyDescent="0.25">
      <c r="A29" s="1"/>
      <c r="B29" s="1"/>
      <c r="C29" s="1"/>
      <c r="D29" s="189" t="s">
        <v>242</v>
      </c>
      <c r="E29" s="1"/>
      <c r="F29" s="1"/>
      <c r="G29" s="180">
        <v>8</v>
      </c>
      <c r="H29" s="181" t="s">
        <v>14</v>
      </c>
      <c r="I29" s="182">
        <v>5.15</v>
      </c>
      <c r="J29" s="183">
        <f>=SUM(J27:J28)</f>
      </c>
      <c r="K29" s="86">
        <f>=SUM(K27:K28)</f>
      </c>
    </row>
    <row r="30" ht="15" customHeight="1" spans="1:11" x14ac:dyDescent="0.25">
      <c r="A30" s="1"/>
      <c r="B30" s="1"/>
      <c r="C30" s="1"/>
      <c r="D30" s="189" t="s">
        <v>245</v>
      </c>
      <c r="E30" s="1"/>
      <c r="F30" s="1"/>
      <c r="G30" s="180">
        <v>50</v>
      </c>
      <c r="H30" s="181" t="s">
        <v>14</v>
      </c>
      <c r="I30" s="182">
        <v>2.55</v>
      </c>
      <c r="J30" s="183">
        <f>=G29*I29</f>
      </c>
      <c r="K30" s="86">
        <v>0.32</v>
      </c>
    </row>
    <row r="31" ht="15" customHeight="1" spans="1:11" x14ac:dyDescent="0.25">
      <c r="A31" s="1"/>
      <c r="B31" s="1"/>
      <c r="C31" s="1"/>
      <c r="D31" s="189" t="s">
        <v>248</v>
      </c>
      <c r="E31" s="1"/>
      <c r="F31" s="1"/>
      <c r="G31" s="180">
        <v>524</v>
      </c>
      <c r="H31" s="181" t="s">
        <v>14</v>
      </c>
      <c r="I31" s="182">
        <v>4.15</v>
      </c>
      <c r="J31" s="183">
        <f>=G30*I30</f>
      </c>
      <c r="K31" s="86">
        <v>3.19</v>
      </c>
    </row>
    <row r="32" ht="15" customHeight="1" spans="1:11" x14ac:dyDescent="0.25">
      <c r="A32" s="87"/>
      <c r="B32" s="88"/>
      <c r="C32" s="3"/>
      <c r="D32" s="164" t="s">
        <v>274</v>
      </c>
      <c r="E32" s="164"/>
      <c r="F32" s="164"/>
      <c r="G32" s="184"/>
      <c r="H32" s="185"/>
      <c r="I32" s="186"/>
      <c r="J32" s="187">
        <f>=SUM(J27:J30)</f>
      </c>
      <c r="K32" s="86">
        <f>=SUM(K27:K30)</f>
      </c>
    </row>
    <row r="33" ht="15" customHeight="1" spans="1:11" x14ac:dyDescent="0.25">
      <c r="A33" s="87"/>
      <c r="B33" s="88"/>
      <c r="C33" s="3"/>
      <c r="D33" s="51"/>
      <c r="E33" s="51"/>
      <c r="F33" s="51"/>
      <c r="G33" s="67"/>
      <c r="H33" s="190"/>
      <c r="I33" s="191"/>
      <c r="J33" s="192"/>
      <c r="K33" s="86"/>
    </row>
    <row r="34" ht="15" customHeight="1" spans="1:10" x14ac:dyDescent="0.25">
      <c r="A34" s="1" t="s">
        <v>879</v>
      </c>
      <c r="B34" s="88"/>
      <c r="C34" s="1"/>
      <c r="D34" s="1" t="s">
        <v>880</v>
      </c>
      <c r="E34" s="1"/>
      <c r="F34" s="1" t="s">
        <v>881</v>
      </c>
      <c r="G34" s="1"/>
      <c r="H34" s="89"/>
      <c r="I34" s="90"/>
      <c r="J34" s="96"/>
    </row>
    <row r="35" ht="18" customHeight="1" spans="1:12" x14ac:dyDescent="0.25">
      <c r="A35" s="193" t="s">
        <v>199</v>
      </c>
      <c r="B35" s="193"/>
      <c r="C35" s="193"/>
      <c r="D35" s="193" t="s">
        <v>330</v>
      </c>
      <c r="E35" s="193"/>
      <c r="F35" s="194" t="s">
        <v>886</v>
      </c>
      <c r="G35" s="194"/>
      <c r="H35" s="194"/>
      <c r="I35" s="194"/>
      <c r="J35" s="194"/>
      <c r="K35" s="194"/>
      <c r="L35" t="s">
        <v>198</v>
      </c>
    </row>
    <row r="36" ht="18" customHeight="1" spans="1:12" x14ac:dyDescent="0.25">
      <c r="A36" s="193" t="s">
        <v>202</v>
      </c>
      <c r="B36" s="193"/>
      <c r="C36" s="193"/>
      <c r="D36" s="193" t="s">
        <v>334</v>
      </c>
      <c r="E36" s="193"/>
      <c r="F36" s="194" t="s">
        <v>887</v>
      </c>
      <c r="G36" s="194"/>
      <c r="H36" s="194"/>
      <c r="I36" s="194"/>
      <c r="J36" s="194"/>
      <c r="K36" s="194"/>
      <c r="L36" t="s">
        <v>201</v>
      </c>
    </row>
    <row r="37" ht="18" customHeight="1" spans="1:12" x14ac:dyDescent="0.25">
      <c r="A37" s="193" t="s">
        <v>244</v>
      </c>
      <c r="B37" s="193"/>
      <c r="C37" s="193"/>
      <c r="D37" s="193" t="s">
        <v>12</v>
      </c>
      <c r="E37" s="193"/>
      <c r="F37" s="194" t="s">
        <v>883</v>
      </c>
      <c r="G37" s="194"/>
      <c r="H37" s="194"/>
      <c r="I37" s="194"/>
      <c r="J37" s="194"/>
      <c r="K37" s="194"/>
      <c r="L37" t="s">
        <v>242</v>
      </c>
    </row>
    <row r="38" ht="18" customHeight="1" spans="1:12" x14ac:dyDescent="0.25">
      <c r="A38" s="193" t="s">
        <v>247</v>
      </c>
      <c r="B38" s="193"/>
      <c r="C38" s="193"/>
      <c r="D38" s="193" t="s">
        <v>323</v>
      </c>
      <c r="E38" s="193"/>
      <c r="F38" s="194" t="s">
        <v>884</v>
      </c>
      <c r="G38" s="194"/>
      <c r="H38" s="194"/>
      <c r="I38" s="194"/>
      <c r="J38" s="194"/>
      <c r="K38" s="194"/>
      <c r="L38" t="s">
        <v>245</v>
      </c>
    </row>
    <row r="39" ht="18" customHeight="1" spans="1:12" x14ac:dyDescent="0.25">
      <c r="A39" s="193" t="s">
        <v>249</v>
      </c>
      <c r="B39" s="193"/>
      <c r="C39" s="193"/>
      <c r="D39" s="193" t="s">
        <v>327</v>
      </c>
      <c r="E39" s="193"/>
      <c r="F39" s="194" t="s">
        <v>885</v>
      </c>
      <c r="G39" s="194"/>
      <c r="H39" s="194"/>
      <c r="I39" s="194"/>
      <c r="J39" s="194"/>
      <c r="K39" s="194"/>
      <c r="L39" t="s">
        <v>248</v>
      </c>
    </row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spans="1:6" x14ac:dyDescent="0.25">
      <c r="A45" s="66" t="s">
        <v>315</v>
      </c>
      <c r="B45" s="66"/>
      <c r="C45" s="66"/>
      <c r="D45" s="66"/>
      <c r="E45" s="66"/>
      <c r="F45" s="66"/>
    </row>
    <row r="46" ht="15" customHeight="1" spans="1:11" x14ac:dyDescent="0.25">
      <c r="A46" s="66" t="s">
        <v>316</v>
      </c>
      <c r="B46" s="66"/>
      <c r="C46" s="66"/>
      <c r="D46" s="1"/>
      <c r="E46" s="1"/>
      <c r="F46" s="1"/>
      <c r="G46" s="1"/>
      <c r="H46" s="97" t="s">
        <v>317</v>
      </c>
      <c r="I46" s="61"/>
      <c r="J46" s="61"/>
      <c r="K46" s="61"/>
    </row>
  </sheetData>
  <mergeCells count="23">
    <mergeCell ref="A1:K1"/>
    <mergeCell ref="A18:C18"/>
    <mergeCell ref="D18:F18"/>
    <mergeCell ref="A21:C21"/>
    <mergeCell ref="D21:F21"/>
    <mergeCell ref="A22:C22"/>
    <mergeCell ref="D22:F22"/>
    <mergeCell ref="G22:H22"/>
    <mergeCell ref="A35:C35"/>
    <mergeCell ref="D35:E35"/>
    <mergeCell ref="F35:K35"/>
    <mergeCell ref="A36:C36"/>
    <mergeCell ref="D36:E36"/>
    <mergeCell ref="F36:K36"/>
    <mergeCell ref="A37:C37"/>
    <mergeCell ref="D37:E37"/>
    <mergeCell ref="F37:K37"/>
    <mergeCell ref="A38:C38"/>
    <mergeCell ref="D38:E38"/>
    <mergeCell ref="F38:K38"/>
    <mergeCell ref="A39:C39"/>
    <mergeCell ref="D39:E39"/>
    <mergeCell ref="F39:K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=1500/65142.43*42.32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=42.32*1.1*0.026%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1.08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1.1880000000000002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263</v>
      </c>
      <c r="E27" s="3"/>
      <c r="F27" s="180"/>
      <c r="G27" s="180">
        <v>4232</v>
      </c>
      <c r="H27" s="181" t="s">
        <v>32</v>
      </c>
      <c r="I27" s="182">
        <v>0.01</v>
      </c>
      <c r="J27" s="183">
        <f>=G27*I27</f>
      </c>
      <c r="K27" s="86">
        <v>1.08</v>
      </c>
    </row>
    <row r="28" ht="15" customHeight="1" spans="1:11" x14ac:dyDescent="0.25">
      <c r="A28" s="1"/>
      <c r="B28" s="1"/>
      <c r="C28" s="1"/>
      <c r="D28" s="189" t="s">
        <v>242</v>
      </c>
      <c r="E28" s="1"/>
      <c r="F28" s="1"/>
      <c r="G28" s="180">
        <v>8</v>
      </c>
      <c r="H28" s="181" t="s">
        <v>14</v>
      </c>
      <c r="I28" s="182">
        <v>5.15</v>
      </c>
      <c r="J28" s="183">
        <f>=SUM(J27:J27)</f>
      </c>
      <c r="K28" s="86">
        <f>=SUM(K27:K27)</f>
      </c>
    </row>
    <row r="29" ht="15" customHeight="1" spans="1:11" x14ac:dyDescent="0.25">
      <c r="A29" s="1"/>
      <c r="B29" s="1"/>
      <c r="C29" s="1"/>
      <c r="D29" s="189" t="s">
        <v>245</v>
      </c>
      <c r="E29" s="1"/>
      <c r="F29" s="1"/>
      <c r="G29" s="180">
        <v>50</v>
      </c>
      <c r="H29" s="181" t="s">
        <v>14</v>
      </c>
      <c r="I29" s="182">
        <v>2.55</v>
      </c>
      <c r="J29" s="183">
        <f>=G29*I29</f>
      </c>
      <c r="K29" s="86">
        <v>0.32</v>
      </c>
    </row>
    <row r="30" ht="15" customHeight="1" spans="1:11" x14ac:dyDescent="0.25">
      <c r="A30" s="1"/>
      <c r="B30" s="1"/>
      <c r="C30" s="1"/>
      <c r="D30" s="189" t="s">
        <v>248</v>
      </c>
      <c r="E30" s="1"/>
      <c r="F30" s="1"/>
      <c r="G30" s="180">
        <v>524</v>
      </c>
      <c r="H30" s="181" t="s">
        <v>14</v>
      </c>
      <c r="I30" s="182">
        <v>4.15</v>
      </c>
      <c r="J30" s="183">
        <f>=G30*I30</f>
      </c>
      <c r="K30" s="86">
        <v>3.19</v>
      </c>
    </row>
    <row r="31" ht="15" customHeight="1" spans="1:11" x14ac:dyDescent="0.25">
      <c r="A31" s="87"/>
      <c r="B31" s="88"/>
      <c r="C31" s="3"/>
      <c r="D31" s="164" t="s">
        <v>274</v>
      </c>
      <c r="E31" s="164"/>
      <c r="F31" s="164"/>
      <c r="G31" s="184"/>
      <c r="H31" s="185"/>
      <c r="I31" s="186"/>
      <c r="J31" s="187">
        <f>=SUM(J27:J30)</f>
      </c>
      <c r="K31" s="86">
        <f>=SUM(K27:K30)</f>
      </c>
    </row>
    <row r="32" ht="15" customHeight="1" spans="1:11" x14ac:dyDescent="0.25">
      <c r="A32" s="87"/>
      <c r="B32" s="88"/>
      <c r="C32" s="3"/>
      <c r="D32" s="51"/>
      <c r="E32" s="51"/>
      <c r="F32" s="51"/>
      <c r="G32" s="67"/>
      <c r="H32" s="190"/>
      <c r="I32" s="191"/>
      <c r="J32" s="192"/>
      <c r="K32" s="86"/>
    </row>
    <row r="33" ht="15" customHeight="1" spans="1:10" x14ac:dyDescent="0.25">
      <c r="A33" s="1" t="s">
        <v>879</v>
      </c>
      <c r="B33" s="88"/>
      <c r="C33" s="1"/>
      <c r="D33" s="1" t="s">
        <v>880</v>
      </c>
      <c r="E33" s="1"/>
      <c r="F33" s="1" t="s">
        <v>881</v>
      </c>
      <c r="G33" s="1"/>
      <c r="H33" s="89"/>
      <c r="I33" s="90"/>
      <c r="J33" s="96"/>
    </row>
    <row r="34" ht="18" customHeight="1" spans="1:12" x14ac:dyDescent="0.25">
      <c r="A34" s="193" t="s">
        <v>265</v>
      </c>
      <c r="B34" s="193"/>
      <c r="C34" s="193"/>
      <c r="D34" s="193" t="s">
        <v>337</v>
      </c>
      <c r="E34" s="193"/>
      <c r="F34" s="194" t="s">
        <v>888</v>
      </c>
      <c r="G34" s="194"/>
      <c r="H34" s="194"/>
      <c r="I34" s="194"/>
      <c r="J34" s="194"/>
      <c r="K34" s="194"/>
      <c r="L34" t="s">
        <v>263</v>
      </c>
    </row>
    <row r="35" ht="18" customHeight="1" spans="1:12" x14ac:dyDescent="0.25">
      <c r="A35" s="193" t="s">
        <v>267</v>
      </c>
      <c r="B35" s="193"/>
      <c r="C35" s="193"/>
      <c r="D35" s="193" t="s">
        <v>337</v>
      </c>
      <c r="E35" s="193"/>
      <c r="F35" s="194" t="s">
        <v>888</v>
      </c>
      <c r="G35" s="194"/>
      <c r="H35" s="194"/>
      <c r="I35" s="194"/>
      <c r="J35" s="194"/>
      <c r="K35" s="194"/>
      <c r="L35" t="s">
        <v>263</v>
      </c>
    </row>
    <row r="36" ht="18" customHeight="1" spans="1:12" x14ac:dyDescent="0.25">
      <c r="A36" s="193" t="s">
        <v>268</v>
      </c>
      <c r="B36" s="193"/>
      <c r="C36" s="193"/>
      <c r="D36" s="193" t="s">
        <v>337</v>
      </c>
      <c r="E36" s="193"/>
      <c r="F36" s="194" t="s">
        <v>888</v>
      </c>
      <c r="G36" s="194"/>
      <c r="H36" s="194"/>
      <c r="I36" s="194"/>
      <c r="J36" s="194"/>
      <c r="K36" s="194"/>
      <c r="L36" t="s">
        <v>263</v>
      </c>
    </row>
    <row r="37" ht="18" customHeight="1" spans="1:12" x14ac:dyDescent="0.25">
      <c r="A37" s="193" t="s">
        <v>269</v>
      </c>
      <c r="B37" s="193"/>
      <c r="C37" s="193"/>
      <c r="D37" s="193" t="s">
        <v>337</v>
      </c>
      <c r="E37" s="193"/>
      <c r="F37" s="194" t="s">
        <v>888</v>
      </c>
      <c r="G37" s="194"/>
      <c r="H37" s="194"/>
      <c r="I37" s="194"/>
      <c r="J37" s="194"/>
      <c r="K37" s="194"/>
      <c r="L37" t="s">
        <v>263</v>
      </c>
    </row>
    <row r="38" ht="18" customHeight="1" spans="1:12" x14ac:dyDescent="0.25">
      <c r="A38" s="193" t="s">
        <v>270</v>
      </c>
      <c r="B38" s="193"/>
      <c r="C38" s="193"/>
      <c r="D38" s="193" t="s">
        <v>337</v>
      </c>
      <c r="E38" s="193"/>
      <c r="F38" s="194" t="s">
        <v>888</v>
      </c>
      <c r="G38" s="194"/>
      <c r="H38" s="194"/>
      <c r="I38" s="194"/>
      <c r="J38" s="194"/>
      <c r="K38" s="194"/>
      <c r="L38" t="s">
        <v>263</v>
      </c>
    </row>
    <row r="39" ht="18" customHeight="1" spans="1:12" x14ac:dyDescent="0.25">
      <c r="A39" s="193" t="s">
        <v>271</v>
      </c>
      <c r="B39" s="193"/>
      <c r="C39" s="193"/>
      <c r="D39" s="193" t="s">
        <v>337</v>
      </c>
      <c r="E39" s="193"/>
      <c r="F39" s="194" t="s">
        <v>888</v>
      </c>
      <c r="G39" s="194"/>
      <c r="H39" s="194"/>
      <c r="I39" s="194"/>
      <c r="J39" s="194"/>
      <c r="K39" s="194"/>
      <c r="L39" t="s">
        <v>263</v>
      </c>
    </row>
    <row r="40" ht="18" customHeight="1" spans="1:12" x14ac:dyDescent="0.25">
      <c r="A40" s="193" t="s">
        <v>273</v>
      </c>
      <c r="B40" s="193"/>
      <c r="C40" s="193"/>
      <c r="D40" s="193" t="s">
        <v>337</v>
      </c>
      <c r="E40" s="193"/>
      <c r="F40" s="194" t="s">
        <v>888</v>
      </c>
      <c r="G40" s="194"/>
      <c r="H40" s="194"/>
      <c r="I40" s="194"/>
      <c r="J40" s="194"/>
      <c r="K40" s="194"/>
      <c r="L40" t="s">
        <v>263</v>
      </c>
    </row>
    <row r="41" ht="18" customHeight="1" spans="1:12" x14ac:dyDescent="0.25">
      <c r="A41" s="193" t="s">
        <v>244</v>
      </c>
      <c r="B41" s="193"/>
      <c r="C41" s="193"/>
      <c r="D41" s="193" t="s">
        <v>12</v>
      </c>
      <c r="E41" s="193"/>
      <c r="F41" s="194" t="s">
        <v>883</v>
      </c>
      <c r="G41" s="194"/>
      <c r="H41" s="194"/>
      <c r="I41" s="194"/>
      <c r="J41" s="194"/>
      <c r="K41" s="194"/>
      <c r="L41" t="s">
        <v>242</v>
      </c>
    </row>
    <row r="42" ht="18" customHeight="1" spans="1:12" x14ac:dyDescent="0.25">
      <c r="A42" s="193" t="s">
        <v>247</v>
      </c>
      <c r="B42" s="193"/>
      <c r="C42" s="193"/>
      <c r="D42" s="193" t="s">
        <v>323</v>
      </c>
      <c r="E42" s="193"/>
      <c r="F42" s="194" t="s">
        <v>884</v>
      </c>
      <c r="G42" s="194"/>
      <c r="H42" s="194"/>
      <c r="I42" s="194"/>
      <c r="J42" s="194"/>
      <c r="K42" s="194"/>
      <c r="L42" t="s">
        <v>245</v>
      </c>
    </row>
    <row r="43" ht="18" customHeight="1" spans="1:12" x14ac:dyDescent="0.25">
      <c r="A43" s="193" t="s">
        <v>249</v>
      </c>
      <c r="B43" s="193"/>
      <c r="C43" s="193"/>
      <c r="D43" s="193" t="s">
        <v>327</v>
      </c>
      <c r="E43" s="193"/>
      <c r="F43" s="194" t="s">
        <v>885</v>
      </c>
      <c r="G43" s="194"/>
      <c r="H43" s="194"/>
      <c r="I43" s="194"/>
      <c r="J43" s="194"/>
      <c r="K43" s="194"/>
      <c r="L43" t="s">
        <v>248</v>
      </c>
    </row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spans="1:6" x14ac:dyDescent="0.25">
      <c r="A49" s="66" t="s">
        <v>315</v>
      </c>
      <c r="B49" s="66"/>
      <c r="C49" s="66"/>
      <c r="D49" s="66"/>
      <c r="E49" s="66"/>
      <c r="F49" s="66"/>
    </row>
    <row r="50" ht="15" customHeight="1" spans="1:11" x14ac:dyDescent="0.25">
      <c r="A50" s="66" t="s">
        <v>316</v>
      </c>
      <c r="B50" s="66"/>
      <c r="C50" s="66"/>
      <c r="D50" s="1"/>
      <c r="E50" s="1"/>
      <c r="F50" s="1"/>
      <c r="G50" s="1"/>
      <c r="H50" s="97" t="s">
        <v>317</v>
      </c>
      <c r="I50" s="61"/>
      <c r="J50" s="61"/>
      <c r="K50" s="61"/>
    </row>
  </sheetData>
  <mergeCells count="38">
    <mergeCell ref="A1:K1"/>
    <mergeCell ref="A18:C18"/>
    <mergeCell ref="D18:F18"/>
    <mergeCell ref="A21:C21"/>
    <mergeCell ref="D21:F21"/>
    <mergeCell ref="A22:C22"/>
    <mergeCell ref="D22:F22"/>
    <mergeCell ref="G22:H22"/>
    <mergeCell ref="A34:C34"/>
    <mergeCell ref="D34:E34"/>
    <mergeCell ref="F34:K34"/>
    <mergeCell ref="A35:C35"/>
    <mergeCell ref="D35:E35"/>
    <mergeCell ref="F35:K35"/>
    <mergeCell ref="A36:C36"/>
    <mergeCell ref="D36:E36"/>
    <mergeCell ref="F36:K36"/>
    <mergeCell ref="A37:C37"/>
    <mergeCell ref="D37:E37"/>
    <mergeCell ref="F37:K37"/>
    <mergeCell ref="A38:C38"/>
    <mergeCell ref="D38:E38"/>
    <mergeCell ref="F38:K38"/>
    <mergeCell ref="A39:C39"/>
    <mergeCell ref="D39:E39"/>
    <mergeCell ref="F39:K39"/>
    <mergeCell ref="A40:C40"/>
    <mergeCell ref="D40:E40"/>
    <mergeCell ref="F40:K40"/>
    <mergeCell ref="A41:C41"/>
    <mergeCell ref="D41:E41"/>
    <mergeCell ref="F41:K41"/>
    <mergeCell ref="A42:C42"/>
    <mergeCell ref="D42:E42"/>
    <mergeCell ref="F42:K42"/>
    <mergeCell ref="A43:C43"/>
    <mergeCell ref="D43:E43"/>
    <mergeCell ref="F43:K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  <vt:lpstr>IMPORT-K(SAMTEX)</vt:lpstr>
      <vt:lpstr>IMPORT-K(BRISTEX)</vt:lpstr>
      <vt:lpstr>IMPORT-K(TS COMPANY)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