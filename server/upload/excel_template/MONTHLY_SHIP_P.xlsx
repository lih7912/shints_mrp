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55" windowWidth="15780" windowHeight="9480"/>
  </bookViews>
  <sheets>
    <sheet name="SUM" sheetId="1" r:id="rId1"/>
    <sheet name="BVT 선적계획" sheetId="2" r:id="rId2"/>
    <sheet name="ETP 선적계획" sheetId="3" r:id="rId3"/>
  </sheets>
  <calcPr calcId="144525"/>
  <fileRecoveryPr repairLoad="1"/>
</workbook>
</file>

<file path=xl/calcChain.xml><?xml version="1.0" encoding="utf-8"?>
<calcChain xmlns="http://schemas.openxmlformats.org/spreadsheetml/2006/main">
  <c r="J15" i="3" l="1"/>
  <c r="I15" i="3"/>
  <c r="H15" i="3"/>
  <c r="G15" i="3"/>
  <c r="U8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M7" i="3"/>
  <c r="L7" i="3"/>
  <c r="H7" i="3"/>
  <c r="J15" i="2"/>
  <c r="I15" i="2"/>
  <c r="H15" i="2"/>
  <c r="G15" i="2"/>
  <c r="U8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M7" i="2"/>
  <c r="L7" i="2"/>
  <c r="H7" i="2"/>
  <c r="AA59" i="1"/>
  <c r="Z59" i="1"/>
  <c r="Y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Y20" i="1"/>
  <c r="Y19" i="1"/>
  <c r="Y18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X16" i="1"/>
  <c r="X21" i="1" s="1"/>
  <c r="W16" i="1"/>
  <c r="V16" i="1"/>
  <c r="V21" i="1" s="1"/>
  <c r="U16" i="1"/>
  <c r="T16" i="1"/>
  <c r="T21" i="1" s="1"/>
  <c r="S16" i="1"/>
  <c r="R16" i="1"/>
  <c r="R21" i="1" s="1"/>
  <c r="Q16" i="1"/>
  <c r="P16" i="1"/>
  <c r="P21" i="1" s="1"/>
  <c r="O16" i="1"/>
  <c r="N16" i="1"/>
  <c r="N21" i="1" s="1"/>
  <c r="M16" i="1"/>
  <c r="L16" i="1"/>
  <c r="L21" i="1" s="1"/>
  <c r="K16" i="1"/>
  <c r="J16" i="1"/>
  <c r="J21" i="1" s="1"/>
  <c r="I16" i="1"/>
  <c r="H16" i="1"/>
  <c r="H21" i="1" s="1"/>
  <c r="G16" i="1"/>
  <c r="F16" i="1"/>
  <c r="F21" i="1" s="1"/>
  <c r="E16" i="1"/>
  <c r="D16" i="1"/>
  <c r="Y16" i="1" s="1"/>
  <c r="D11" i="1"/>
  <c r="E10" i="1"/>
  <c r="C10" i="1"/>
  <c r="C9" i="1"/>
  <c r="E9" i="1" s="1"/>
  <c r="E11" i="1" s="1"/>
  <c r="D6" i="1"/>
  <c r="C6" i="1"/>
  <c r="D5" i="1"/>
  <c r="B17" i="1" s="1"/>
  <c r="C5" i="1"/>
  <c r="C7" i="1" s="1"/>
  <c r="E6" i="1" l="1"/>
  <c r="G21" i="1"/>
  <c r="K21" i="1"/>
  <c r="O21" i="1"/>
  <c r="S21" i="1"/>
  <c r="W21" i="1"/>
  <c r="E21" i="1"/>
  <c r="I21" i="1"/>
  <c r="M21" i="1"/>
  <c r="Q21" i="1"/>
  <c r="U21" i="1"/>
  <c r="Y17" i="1"/>
  <c r="D7" i="1"/>
  <c r="E7" i="1" s="1"/>
  <c r="D21" i="1"/>
  <c r="B16" i="1"/>
  <c r="C11" i="1"/>
  <c r="E5" i="1"/>
  <c r="Y21" i="1" l="1"/>
</calcChain>
</file>

<file path=xl/sharedStrings.xml><?xml version="1.0" encoding="utf-8"?>
<sst xmlns="http://schemas.openxmlformats.org/spreadsheetml/2006/main" count="109" uniqueCount="74">
  <si>
    <t>* 2018 8월 선적계획및 당월선적 입금계획(OA 적용)_7월이월포함</t>
    <phoneticPr fontId="2" type="noConversion"/>
  </si>
  <si>
    <t>6월 전월이월</t>
    <phoneticPr fontId="2" type="noConversion"/>
  </si>
  <si>
    <t>내    역</t>
    <phoneticPr fontId="2" type="noConversion"/>
  </si>
  <si>
    <t>BVT 선적계획</t>
    <phoneticPr fontId="2" type="noConversion"/>
  </si>
  <si>
    <t>ETP 선적계획</t>
    <phoneticPr fontId="2" type="noConversion"/>
  </si>
  <si>
    <t>합     계</t>
    <phoneticPr fontId="2" type="noConversion"/>
  </si>
  <si>
    <t>6월 선적금액</t>
    <phoneticPr fontId="2" type="noConversion"/>
  </si>
  <si>
    <t>입금및 선수금.내수</t>
  </si>
  <si>
    <t>잔       액</t>
  </si>
  <si>
    <t>8월  선적예정</t>
    <phoneticPr fontId="2" type="noConversion"/>
  </si>
  <si>
    <t>4.5월선적미수금</t>
  </si>
  <si>
    <t>8월  선적금액</t>
    <phoneticPr fontId="2" type="noConversion"/>
  </si>
  <si>
    <t>6월선적</t>
  </si>
  <si>
    <t>잔  액  예  정</t>
    <phoneticPr fontId="2" type="noConversion"/>
  </si>
  <si>
    <t>7월로이월</t>
  </si>
  <si>
    <t>당월입금계획</t>
    <phoneticPr fontId="2" type="noConversion"/>
  </si>
  <si>
    <t>OA예정</t>
    <phoneticPr fontId="2" type="noConversion"/>
  </si>
  <si>
    <t>8월 입금계획</t>
    <phoneticPr fontId="2" type="noConversion"/>
  </si>
  <si>
    <t>입금금액</t>
    <phoneticPr fontId="2" type="noConversion"/>
  </si>
  <si>
    <t>G.TOTAL</t>
    <phoneticPr fontId="2" type="noConversion"/>
  </si>
  <si>
    <t>* 2018 8월 입금 계획</t>
    <phoneticPr fontId="2" type="noConversion"/>
  </si>
  <si>
    <t>8월 선적계획</t>
    <phoneticPr fontId="2" type="noConversion"/>
  </si>
  <si>
    <t>내 역</t>
    <phoneticPr fontId="2" type="noConversion"/>
  </si>
  <si>
    <t>8월선적 입금계획</t>
    <phoneticPr fontId="2" type="noConversion"/>
  </si>
  <si>
    <t>당사수입.선수금</t>
    <phoneticPr fontId="2" type="noConversion"/>
  </si>
  <si>
    <t>BVT CM Order</t>
    <phoneticPr fontId="2" type="noConversion"/>
  </si>
  <si>
    <t>BVT당월선적 입금예정_OA포함</t>
    <phoneticPr fontId="2" type="noConversion"/>
  </si>
  <si>
    <t>ETP당월 선적 입금계획</t>
    <phoneticPr fontId="2" type="noConversion"/>
  </si>
  <si>
    <t xml:space="preserve">4.5.6.7월출고미수금  </t>
    <phoneticPr fontId="2" type="noConversion"/>
  </si>
  <si>
    <t>전월이월 외상매출금</t>
    <phoneticPr fontId="2" type="noConversion"/>
  </si>
  <si>
    <t>재경팀자료</t>
    <phoneticPr fontId="2" type="noConversion"/>
  </si>
  <si>
    <t>입 금 완 료</t>
    <phoneticPr fontId="2" type="noConversion"/>
  </si>
  <si>
    <t>OA 입금예정</t>
    <phoneticPr fontId="2" type="noConversion"/>
  </si>
  <si>
    <t>입금 예정 G.TOTAL</t>
    <phoneticPr fontId="2" type="noConversion"/>
  </si>
  <si>
    <t>선수금</t>
    <phoneticPr fontId="2" type="noConversion"/>
  </si>
  <si>
    <t>* 출고계획</t>
    <phoneticPr fontId="2" type="noConversion"/>
  </si>
  <si>
    <t>BVT</t>
    <phoneticPr fontId="2" type="noConversion"/>
  </si>
  <si>
    <t>ETP</t>
    <phoneticPr fontId="2" type="noConversion"/>
  </si>
  <si>
    <t>BUYER</t>
  </si>
  <si>
    <t>출고예정금액</t>
    <phoneticPr fontId="2" type="noConversion"/>
  </si>
  <si>
    <t>비            고</t>
  </si>
  <si>
    <t>TOTAL</t>
  </si>
  <si>
    <t>Buyer</t>
  </si>
  <si>
    <t>Month</t>
  </si>
  <si>
    <t>PoNo</t>
  </si>
  <si>
    <t>OrderNo</t>
  </si>
  <si>
    <t>Style Name</t>
  </si>
  <si>
    <t>Order Quantity</t>
  </si>
  <si>
    <t>Plan Shipping Quantity</t>
  </si>
  <si>
    <t>shipped qty</t>
    <phoneticPr fontId="2" type="noConversion"/>
  </si>
  <si>
    <t>Balance q'ty</t>
    <phoneticPr fontId="2" type="noConversion"/>
  </si>
  <si>
    <t>Price</t>
  </si>
  <si>
    <t>Total Sales</t>
    <phoneticPr fontId="2" type="noConversion"/>
  </si>
  <si>
    <t>shipped amount</t>
    <phoneticPr fontId="2" type="noConversion"/>
  </si>
  <si>
    <t>Balance AMT</t>
    <phoneticPr fontId="2" type="noConversion"/>
  </si>
  <si>
    <t>Possible Date</t>
  </si>
  <si>
    <t>Invoice No</t>
  </si>
  <si>
    <t>OnBoard Date</t>
  </si>
  <si>
    <r>
      <rPr>
        <b/>
        <sz val="11"/>
        <color indexed="8"/>
        <rFont val="돋움"/>
        <family val="3"/>
        <charset val="129"/>
      </rPr>
      <t>비</t>
    </r>
    <r>
      <rPr>
        <b/>
        <sz val="11"/>
        <color indexed="8"/>
        <rFont val="Tahoma"/>
        <family val="2"/>
      </rPr>
      <t xml:space="preserve">             </t>
    </r>
    <r>
      <rPr>
        <b/>
        <sz val="11"/>
        <color indexed="8"/>
        <rFont val="돋움"/>
        <family val="3"/>
        <charset val="129"/>
      </rPr>
      <t>고</t>
    </r>
    <phoneticPr fontId="2" type="noConversion"/>
  </si>
  <si>
    <t>계약서(PI)</t>
    <phoneticPr fontId="2" type="noConversion"/>
  </si>
  <si>
    <t>당월 출고 입금계획</t>
    <phoneticPr fontId="2" type="noConversion"/>
  </si>
  <si>
    <t>당월 출고 입금계획</t>
  </si>
  <si>
    <t>선수금</t>
    <phoneticPr fontId="2" type="noConversion"/>
  </si>
  <si>
    <t>BVT</t>
    <phoneticPr fontId="2" type="noConversion"/>
  </si>
  <si>
    <t>10일 이전</t>
    <phoneticPr fontId="2" type="noConversion"/>
  </si>
  <si>
    <t>비          고</t>
    <phoneticPr fontId="2" type="noConversion"/>
  </si>
  <si>
    <t>* 출고계획</t>
    <phoneticPr fontId="2" type="noConversion"/>
  </si>
  <si>
    <t>BVT</t>
    <phoneticPr fontId="2" type="noConversion"/>
  </si>
  <si>
    <t>출고예정금액</t>
    <phoneticPr fontId="2" type="noConversion"/>
  </si>
  <si>
    <t>실적</t>
    <phoneticPr fontId="2" type="noConversion"/>
  </si>
  <si>
    <t>Balance Amt</t>
    <phoneticPr fontId="2" type="noConversion"/>
  </si>
  <si>
    <t>Balance Qty</t>
    <phoneticPr fontId="2" type="noConversion"/>
  </si>
  <si>
    <t>ETP</t>
    <phoneticPr fontId="2" type="noConversion"/>
  </si>
  <si>
    <t>10일전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</si>
</sst>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mm&quot;월&quot;\ dd&quot;일&quot;"/>
    <numFmt numFmtId="180" formatCode="_-[$$-409]* #,##0.00_ ;_-[$$-409]* \-#,##0.00\ ;_-[$$-409]* &quot;-&quot;??_ ;_-@_ "/>
    <numFmt numFmtId="181" formatCode="#,##0.00_ "/>
    <numFmt numFmtId="182" formatCode="_(* #,##0.0_);_(* \(#,##0.0\);_(* &quot;-&quot;??_);_(@_)"/>
    <numFmt numFmtId="183" formatCode="_-* #,##0.00_-;\-* #,##0.00_-;_-* &quot;-&quot;_-;_-@_-"/>
  </numFmts>
  <fonts count="37"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u/>
      <sz val="10"/>
      <color theme="0"/>
      <name val="돋움"/>
      <family val="3"/>
      <charset val="129"/>
    </font>
    <font>
      <b/>
      <sz val="10"/>
      <name val=".VnTimeH"/>
      <family val="2"/>
    </font>
    <font>
      <sz val="11"/>
      <color theme="0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1"/>
      <color indexed="8"/>
      <name val="Tahoma"/>
      <family val="2"/>
    </font>
    <font>
      <b/>
      <sz val="9"/>
      <color rgb="FFFF000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0"/>
      <color rgb="FFFF0000"/>
      <name val="돋움"/>
      <family val="3"/>
      <charset val="129"/>
    </font>
    <font>
      <sz val="12"/>
      <name val="맑은 고딕"/>
      <family val="3"/>
      <charset val="129"/>
      <scheme val="minor"/>
    </font>
    <font>
      <b/>
      <sz val="14"/>
      <name val="Tahoma"/>
      <family val="2"/>
    </font>
    <font>
      <sz val="11"/>
      <name val="Tahoma"/>
      <family val="2"/>
    </font>
    <font>
      <b/>
      <sz val="11"/>
      <color indexed="8"/>
      <name val="Tahoma"/>
      <family val="2"/>
    </font>
    <font>
      <b/>
      <sz val="10"/>
      <color indexed="8"/>
      <name val="Tahoma"/>
      <family val="2"/>
    </font>
    <font>
      <b/>
      <sz val="11"/>
      <color indexed="8"/>
      <name val="돋움"/>
      <family val="3"/>
      <charset val="129"/>
    </font>
    <font>
      <sz val="11"/>
      <color rgb="FFFF0000"/>
      <name val="Tahoma"/>
      <family val="2"/>
    </font>
    <font>
      <b/>
      <sz val="10"/>
      <color rgb="FFFF0000"/>
      <name val="Tahoma"/>
      <family val="2"/>
    </font>
    <font>
      <sz val="10"/>
      <name val="Tahoma"/>
      <family val="2"/>
    </font>
    <font>
      <b/>
      <sz val="1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9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8"/>
      </bottom>
      <diagonal/>
    </border>
    <border>
      <left style="medium">
        <color indexed="64"/>
      </left>
      <right/>
      <top/>
      <bottom style="hair">
        <color indexed="8"/>
      </bottom>
      <diagonal/>
    </border>
    <border>
      <left/>
      <right style="medium">
        <color indexed="64"/>
      </right>
      <top/>
      <bottom style="hair">
        <color indexed="8"/>
      </bottom>
      <diagonal/>
    </border>
    <border>
      <left style="hair">
        <color indexed="8"/>
      </left>
      <right style="medium">
        <color indexed="64"/>
      </right>
      <top/>
      <bottom style="hair">
        <color indexed="8"/>
      </bottom>
      <diagonal/>
    </border>
    <border>
      <left style="medium">
        <color indexed="64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3" fillId="0" borderId="0"/>
    <xf numFmtId="176" fontId="3" fillId="0" borderId="0" applyFont="0" applyFill="0" applyBorder="0" applyAlignment="0" applyProtection="0">
      <alignment vertical="center"/>
    </xf>
    <xf numFmtId="0" fontId="14" fillId="0" borderId="0"/>
    <xf numFmtId="178" fontId="14" fillId="0" borderId="0" applyFont="0" applyFill="0" applyBorder="0" applyAlignment="0" applyProtection="0"/>
  </cellStyleXfs>
  <cellXfs count="255">
    <xf numFmtId="0" fontId="0" fillId="0" borderId="0" xfId="0">
      <alignment vertical="center"/>
    </xf>
    <xf numFmtId="0" fontId="0" fillId="0" borderId="0" xfId="0" applyNumberFormat="1" applyAlignment="1">
      <alignment vertical="center"/>
    </xf>
    <xf numFmtId="0" fontId="0" fillId="0" borderId="0" xfId="0" applyNumberFormat="1" applyFont="1" applyAlignment="1">
      <alignment vertical="center"/>
    </xf>
    <xf numFmtId="0" fontId="4" fillId="0" borderId="0" xfId="2" applyNumberFormat="1" applyFont="1" applyAlignment="1">
      <alignment vertical="center"/>
    </xf>
    <xf numFmtId="4" fontId="5" fillId="0" borderId="0" xfId="0" applyNumberFormat="1" applyFont="1" applyFill="1" applyBorder="1" applyAlignment="1"/>
    <xf numFmtId="0" fontId="6" fillId="0" borderId="0" xfId="0" applyNumberFormat="1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vertical="center"/>
    </xf>
    <xf numFmtId="179" fontId="4" fillId="0" borderId="0" xfId="2" applyNumberFormat="1" applyFont="1" applyFill="1" applyBorder="1" applyAlignment="1">
      <alignment horizontal="right" vertical="center"/>
    </xf>
    <xf numFmtId="179" fontId="7" fillId="0" borderId="0" xfId="0" applyNumberFormat="1" applyFont="1" applyFill="1" applyBorder="1" applyAlignment="1">
      <alignment vertical="center"/>
    </xf>
    <xf numFmtId="0" fontId="8" fillId="2" borderId="1" xfId="2" applyNumberFormat="1" applyFont="1" applyFill="1" applyBorder="1" applyAlignment="1">
      <alignment horizontal="center" vertical="center"/>
    </xf>
    <xf numFmtId="0" fontId="8" fillId="2" borderId="2" xfId="2" applyNumberFormat="1" applyFont="1" applyFill="1" applyBorder="1" applyAlignment="1">
      <alignment horizontal="center" vertical="center"/>
    </xf>
    <xf numFmtId="0" fontId="8" fillId="2" borderId="3" xfId="2" applyNumberFormat="1" applyFont="1" applyFill="1" applyBorder="1" applyAlignment="1">
      <alignment horizontal="center" vertical="center"/>
    </xf>
    <xf numFmtId="0" fontId="8" fillId="0" borderId="0" xfId="2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/>
    <xf numFmtId="0" fontId="10" fillId="0" borderId="0" xfId="0" applyNumberFormat="1" applyFont="1" applyFill="1" applyBorder="1" applyAlignment="1">
      <alignment horizontal="center"/>
    </xf>
    <xf numFmtId="14" fontId="4" fillId="0" borderId="0" xfId="0" applyNumberFormat="1" applyFont="1" applyFill="1" applyBorder="1" applyAlignment="1">
      <alignment vertical="center"/>
    </xf>
    <xf numFmtId="179" fontId="0" fillId="0" borderId="0" xfId="0" applyNumberFormat="1" applyAlignment="1">
      <alignment vertical="center"/>
    </xf>
    <xf numFmtId="0" fontId="8" fillId="2" borderId="4" xfId="2" applyNumberFormat="1" applyFont="1" applyFill="1" applyBorder="1" applyAlignment="1">
      <alignment horizontal="center" vertical="center"/>
    </xf>
    <xf numFmtId="4" fontId="8" fillId="0" borderId="5" xfId="2" applyNumberFormat="1" applyFont="1" applyFill="1" applyBorder="1" applyAlignment="1">
      <alignment vertical="center"/>
    </xf>
    <xf numFmtId="40" fontId="8" fillId="0" borderId="5" xfId="2" applyNumberFormat="1" applyFont="1" applyFill="1" applyBorder="1" applyAlignment="1">
      <alignment vertical="center"/>
    </xf>
    <xf numFmtId="180" fontId="8" fillId="2" borderId="6" xfId="2" applyNumberFormat="1" applyFont="1" applyFill="1" applyBorder="1" applyAlignment="1">
      <alignment vertical="center"/>
    </xf>
    <xf numFmtId="180" fontId="8" fillId="0" borderId="0" xfId="2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horizontal="center"/>
    </xf>
    <xf numFmtId="180" fontId="9" fillId="0" borderId="0" xfId="0" applyNumberFormat="1" applyFont="1" applyFill="1" applyBorder="1" applyAlignment="1"/>
    <xf numFmtId="0" fontId="7" fillId="0" borderId="0" xfId="0" applyNumberFormat="1" applyFont="1" applyFill="1" applyBorder="1" applyAlignment="1">
      <alignment vertical="center"/>
    </xf>
    <xf numFmtId="0" fontId="8" fillId="2" borderId="7" xfId="2" applyNumberFormat="1" applyFont="1" applyFill="1" applyBorder="1" applyAlignment="1">
      <alignment horizontal="center" vertical="center"/>
    </xf>
    <xf numFmtId="4" fontId="11" fillId="0" borderId="8" xfId="2" applyNumberFormat="1" applyFont="1" applyFill="1" applyBorder="1" applyAlignment="1">
      <alignment vertical="center"/>
    </xf>
    <xf numFmtId="40" fontId="11" fillId="0" borderId="8" xfId="2" applyNumberFormat="1" applyFont="1" applyFill="1" applyBorder="1" applyAlignment="1">
      <alignment vertical="center"/>
    </xf>
    <xf numFmtId="180" fontId="8" fillId="2" borderId="9" xfId="2" applyNumberFormat="1" applyFont="1" applyFill="1" applyBorder="1" applyAlignment="1">
      <alignment vertical="center"/>
    </xf>
    <xf numFmtId="0" fontId="8" fillId="2" borderId="10" xfId="2" applyNumberFormat="1" applyFont="1" applyFill="1" applyBorder="1" applyAlignment="1">
      <alignment horizontal="center" vertical="center"/>
    </xf>
    <xf numFmtId="4" fontId="8" fillId="2" borderId="11" xfId="2" applyNumberFormat="1" applyFont="1" applyFill="1" applyBorder="1" applyAlignment="1">
      <alignment vertical="center"/>
    </xf>
    <xf numFmtId="180" fontId="8" fillId="2" borderId="3" xfId="2" applyNumberFormat="1" applyFont="1" applyFill="1" applyBorder="1" applyAlignment="1">
      <alignment vertical="center"/>
    </xf>
    <xf numFmtId="180" fontId="9" fillId="0" borderId="0" xfId="0" applyNumberFormat="1" applyFont="1" applyFill="1" applyBorder="1" applyAlignment="1">
      <alignment horizontal="right" vertical="center"/>
    </xf>
    <xf numFmtId="4" fontId="8" fillId="0" borderId="2" xfId="2" applyNumberFormat="1" applyFont="1" applyFill="1" applyBorder="1" applyAlignment="1">
      <alignment vertical="center"/>
    </xf>
    <xf numFmtId="4" fontId="11" fillId="0" borderId="2" xfId="2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/>
    <xf numFmtId="180" fontId="10" fillId="0" borderId="0" xfId="0" applyNumberFormat="1" applyFont="1" applyFill="1" applyBorder="1" applyAlignment="1"/>
    <xf numFmtId="4" fontId="8" fillId="3" borderId="2" xfId="2" applyNumberFormat="1" applyFont="1" applyFill="1" applyBorder="1" applyAlignment="1">
      <alignment vertical="center"/>
    </xf>
    <xf numFmtId="4" fontId="12" fillId="0" borderId="0" xfId="0" applyNumberFormat="1" applyFont="1" applyAlignment="1"/>
    <xf numFmtId="0" fontId="13" fillId="0" borderId="0" xfId="2" applyNumberFormat="1" applyFont="1" applyFill="1" applyBorder="1" applyAlignment="1">
      <alignment vertical="center"/>
    </xf>
    <xf numFmtId="0" fontId="4" fillId="4" borderId="1" xfId="2" applyNumberFormat="1" applyFont="1" applyFill="1" applyBorder="1" applyAlignment="1">
      <alignment horizontal="center" vertical="center"/>
    </xf>
    <xf numFmtId="180" fontId="4" fillId="4" borderId="2" xfId="3" applyNumberFormat="1" applyFont="1" applyFill="1" applyBorder="1" applyAlignment="1">
      <alignment vertical="center"/>
    </xf>
    <xf numFmtId="181" fontId="4" fillId="0" borderId="0" xfId="2" applyNumberFormat="1" applyFont="1" applyFill="1" applyBorder="1" applyAlignment="1">
      <alignment vertical="center"/>
    </xf>
    <xf numFmtId="0" fontId="8" fillId="0" borderId="0" xfId="0" applyNumberFormat="1" applyFont="1" applyAlignment="1">
      <alignment vertical="center"/>
    </xf>
    <xf numFmtId="4" fontId="15" fillId="5" borderId="2" xfId="4" applyNumberFormat="1" applyFont="1" applyFill="1" applyBorder="1" applyAlignment="1">
      <alignment horizontal="right" wrapText="1"/>
    </xf>
    <xf numFmtId="0" fontId="16" fillId="2" borderId="12" xfId="4" applyFont="1" applyFill="1" applyBorder="1" applyAlignment="1">
      <alignment horizontal="center" vertical="center" wrapText="1"/>
    </xf>
    <xf numFmtId="0" fontId="16" fillId="2" borderId="17" xfId="4" applyFont="1" applyFill="1" applyBorder="1" applyAlignment="1">
      <alignment horizontal="center" vertical="center" wrapText="1"/>
    </xf>
    <xf numFmtId="0" fontId="16" fillId="2" borderId="18" xfId="4" applyFont="1" applyFill="1" applyBorder="1" applyAlignment="1">
      <alignment horizontal="center" vertical="center" wrapText="1"/>
    </xf>
    <xf numFmtId="0" fontId="8" fillId="2" borderId="18" xfId="4" applyFont="1" applyFill="1" applyBorder="1" applyAlignment="1">
      <alignment horizontal="center" vertical="center" wrapText="1"/>
    </xf>
    <xf numFmtId="0" fontId="16" fillId="2" borderId="16" xfId="4" applyFont="1" applyFill="1" applyBorder="1" applyAlignment="1">
      <alignment horizontal="center" vertical="center" wrapText="1"/>
    </xf>
    <xf numFmtId="4" fontId="18" fillId="0" borderId="13" xfId="4" applyNumberFormat="1" applyFont="1" applyFill="1" applyBorder="1" applyAlignment="1">
      <alignment horizontal="right" wrapText="1"/>
    </xf>
    <xf numFmtId="0" fontId="18" fillId="0" borderId="20" xfId="4" applyFont="1" applyFill="1" applyBorder="1" applyAlignment="1">
      <alignment horizontal="center" wrapText="1"/>
    </xf>
    <xf numFmtId="4" fontId="15" fillId="0" borderId="2" xfId="4" applyNumberFormat="1" applyFont="1" applyFill="1" applyBorder="1" applyAlignment="1">
      <alignment horizontal="right" wrapText="1"/>
    </xf>
    <xf numFmtId="4" fontId="17" fillId="2" borderId="20" xfId="4" applyNumberFormat="1" applyFont="1" applyFill="1" applyBorder="1" applyAlignment="1">
      <alignment horizontal="right" wrapText="1"/>
    </xf>
    <xf numFmtId="4" fontId="19" fillId="0" borderId="23" xfId="4" applyNumberFormat="1" applyFont="1" applyFill="1" applyBorder="1" applyAlignment="1">
      <alignment horizontal="right" wrapText="1"/>
    </xf>
    <xf numFmtId="0" fontId="18" fillId="0" borderId="16" xfId="4" applyFont="1" applyFill="1" applyBorder="1" applyAlignment="1">
      <alignment horizontal="center" wrapText="1"/>
    </xf>
    <xf numFmtId="4" fontId="17" fillId="3" borderId="23" xfId="4" applyNumberFormat="1" applyFont="1" applyFill="1" applyBorder="1" applyAlignment="1">
      <alignment horizontal="center" wrapText="1"/>
    </xf>
    <xf numFmtId="0" fontId="17" fillId="3" borderId="16" xfId="4" applyFont="1" applyFill="1" applyBorder="1" applyAlignment="1">
      <alignment horizontal="center" wrapText="1"/>
    </xf>
    <xf numFmtId="4" fontId="15" fillId="3" borderId="24" xfId="4" applyNumberFormat="1" applyFont="1" applyFill="1" applyBorder="1" applyAlignment="1">
      <alignment horizontal="center" wrapText="1"/>
    </xf>
    <xf numFmtId="4" fontId="15" fillId="5" borderId="11" xfId="4" applyNumberFormat="1" applyFont="1" applyFill="1" applyBorder="1" applyAlignment="1">
      <alignment horizontal="right" wrapText="1"/>
    </xf>
    <xf numFmtId="4" fontId="15" fillId="3" borderId="11" xfId="4" applyNumberFormat="1" applyFont="1" applyFill="1" applyBorder="1" applyAlignment="1">
      <alignment horizontal="right" wrapText="1"/>
    </xf>
    <xf numFmtId="4" fontId="20" fillId="3" borderId="25" xfId="4" applyNumberFormat="1" applyFont="1" applyFill="1" applyBorder="1" applyAlignment="1">
      <alignment horizontal="right" wrapText="1"/>
    </xf>
    <xf numFmtId="4" fontId="20" fillId="3" borderId="26" xfId="4" applyNumberFormat="1" applyFont="1" applyFill="1" applyBorder="1" applyAlignment="1">
      <alignment horizontal="right" wrapText="1"/>
    </xf>
    <xf numFmtId="4" fontId="15" fillId="6" borderId="23" xfId="4" applyNumberFormat="1" applyFont="1" applyFill="1" applyBorder="1" applyAlignment="1">
      <alignment horizontal="center" wrapText="1"/>
    </xf>
    <xf numFmtId="0" fontId="11" fillId="6" borderId="16" xfId="4" applyFont="1" applyFill="1" applyBorder="1" applyAlignment="1">
      <alignment horizontal="center" vertical="center" wrapText="1"/>
    </xf>
    <xf numFmtId="4" fontId="20" fillId="6" borderId="24" xfId="4" applyNumberFormat="1" applyFont="1" applyFill="1" applyBorder="1" applyAlignment="1">
      <alignment horizontal="right" wrapText="1"/>
    </xf>
    <xf numFmtId="4" fontId="15" fillId="6" borderId="11" xfId="4" applyNumberFormat="1" applyFont="1" applyFill="1" applyBorder="1" applyAlignment="1">
      <alignment horizontal="right" vertical="center" wrapText="1"/>
    </xf>
    <xf numFmtId="4" fontId="15" fillId="6" borderId="11" xfId="4" applyNumberFormat="1" applyFont="1" applyFill="1" applyBorder="1" applyAlignment="1">
      <alignment horizontal="right" wrapText="1"/>
    </xf>
    <xf numFmtId="4" fontId="20" fillId="6" borderId="25" xfId="4" applyNumberFormat="1" applyFont="1" applyFill="1" applyBorder="1" applyAlignment="1">
      <alignment horizontal="right" wrapText="1"/>
    </xf>
    <xf numFmtId="4" fontId="20" fillId="6" borderId="26" xfId="4" applyNumberFormat="1" applyFont="1" applyFill="1" applyBorder="1" applyAlignment="1">
      <alignment horizontal="right" wrapText="1"/>
    </xf>
    <xf numFmtId="4" fontId="17" fillId="6" borderId="20" xfId="4" applyNumberFormat="1" applyFont="1" applyFill="1" applyBorder="1" applyAlignment="1">
      <alignment horizontal="right" wrapText="1"/>
    </xf>
    <xf numFmtId="0" fontId="21" fillId="0" borderId="0" xfId="0" applyNumberFormat="1" applyFont="1" applyAlignment="1">
      <alignment vertical="center"/>
    </xf>
    <xf numFmtId="4" fontId="17" fillId="6" borderId="27" xfId="4" applyNumberFormat="1" applyFont="1" applyFill="1" applyBorder="1" applyAlignment="1">
      <alignment horizontal="right" wrapText="1"/>
    </xf>
    <xf numFmtId="177" fontId="17" fillId="6" borderId="28" xfId="4" applyNumberFormat="1" applyFont="1" applyFill="1" applyBorder="1" applyAlignment="1">
      <alignment horizontal="right" wrapText="1"/>
    </xf>
    <xf numFmtId="4" fontId="17" fillId="6" borderId="28" xfId="4" applyNumberFormat="1" applyFont="1" applyFill="1" applyBorder="1" applyAlignment="1">
      <alignment horizontal="right" wrapText="1"/>
    </xf>
    <xf numFmtId="4" fontId="17" fillId="6" borderId="0" xfId="4" applyNumberFormat="1" applyFont="1" applyFill="1" applyBorder="1" applyAlignment="1">
      <alignment horizontal="right" wrapText="1"/>
    </xf>
    <xf numFmtId="4" fontId="17" fillId="6" borderId="29" xfId="4" applyNumberFormat="1" applyFont="1" applyFill="1" applyBorder="1" applyAlignment="1">
      <alignment horizontal="right" wrapText="1"/>
    </xf>
    <xf numFmtId="181" fontId="8" fillId="2" borderId="2" xfId="0" applyNumberFormat="1" applyFont="1" applyFill="1" applyBorder="1" applyAlignment="1">
      <alignment vertical="center"/>
    </xf>
    <xf numFmtId="0" fontId="22" fillId="0" borderId="0" xfId="0" applyNumberFormat="1" applyFont="1" applyAlignment="1">
      <alignment vertical="center"/>
    </xf>
    <xf numFmtId="0" fontId="23" fillId="0" borderId="0" xfId="0" applyNumberFormat="1" applyFont="1" applyAlignment="1">
      <alignment vertical="center"/>
    </xf>
    <xf numFmtId="180" fontId="24" fillId="0" borderId="0" xfId="0" applyNumberFormat="1" applyFont="1" applyAlignment="1">
      <alignment vertical="center"/>
    </xf>
    <xf numFmtId="0" fontId="9" fillId="0" borderId="0" xfId="0" applyNumberFormat="1" applyFont="1" applyAlignment="1">
      <alignment vertical="center"/>
    </xf>
    <xf numFmtId="177" fontId="25" fillId="0" borderId="0" xfId="1" applyFont="1" applyAlignment="1">
      <alignment vertical="center"/>
    </xf>
    <xf numFmtId="0" fontId="4" fillId="0" borderId="0" xfId="0" applyNumberFormat="1" applyFont="1" applyAlignment="1">
      <alignment vertical="center"/>
    </xf>
    <xf numFmtId="0" fontId="27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right" vertical="center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5" xfId="0" applyNumberFormat="1" applyFont="1" applyFill="1" applyBorder="1" applyAlignment="1">
      <alignment horizontal="center" vertical="center"/>
    </xf>
    <xf numFmtId="0" fontId="8" fillId="0" borderId="42" xfId="0" applyNumberFormat="1" applyFont="1" applyFill="1" applyBorder="1" applyAlignment="1">
      <alignment horizontal="center" vertical="center"/>
    </xf>
    <xf numFmtId="180" fontId="8" fillId="0" borderId="30" xfId="0" applyNumberFormat="1" applyFont="1" applyFill="1" applyBorder="1" applyAlignment="1">
      <alignment horizontal="center" vertical="center"/>
    </xf>
    <xf numFmtId="180" fontId="8" fillId="0" borderId="44" xfId="0" applyNumberFormat="1" applyFont="1" applyFill="1" applyBorder="1" applyAlignment="1">
      <alignment horizontal="center" vertical="center"/>
    </xf>
    <xf numFmtId="0" fontId="8" fillId="0" borderId="9" xfId="0" applyNumberFormat="1" applyFont="1" applyFill="1" applyBorder="1" applyAlignment="1">
      <alignment horizontal="center" vertical="center"/>
    </xf>
    <xf numFmtId="0" fontId="8" fillId="0" borderId="47" xfId="0" applyNumberFormat="1" applyFont="1" applyFill="1" applyBorder="1" applyAlignment="1">
      <alignment horizontal="center" vertical="center"/>
    </xf>
    <xf numFmtId="0" fontId="8" fillId="0" borderId="39" xfId="0" applyNumberFormat="1" applyFont="1" applyFill="1" applyBorder="1" applyAlignment="1">
      <alignment horizontal="center" vertical="center"/>
    </xf>
    <xf numFmtId="180" fontId="8" fillId="0" borderId="31" xfId="0" applyNumberFormat="1" applyFont="1" applyFill="1" applyBorder="1" applyAlignment="1">
      <alignment horizontal="center" vertical="center"/>
    </xf>
    <xf numFmtId="180" fontId="8" fillId="0" borderId="19" xfId="0" applyNumberFormat="1" applyFont="1" applyFill="1" applyBorder="1" applyAlignment="1">
      <alignment horizontal="center" vertical="center"/>
    </xf>
    <xf numFmtId="0" fontId="8" fillId="0" borderId="32" xfId="0" applyNumberFormat="1" applyFont="1" applyFill="1" applyBorder="1" applyAlignment="1">
      <alignment horizontal="center" vertical="center"/>
    </xf>
    <xf numFmtId="0" fontId="8" fillId="0" borderId="48" xfId="0" applyNumberFormat="1" applyFont="1" applyFill="1" applyBorder="1" applyAlignment="1">
      <alignment horizontal="center" vertical="center"/>
    </xf>
    <xf numFmtId="0" fontId="8" fillId="3" borderId="45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vertical="center"/>
    </xf>
    <xf numFmtId="0" fontId="8" fillId="3" borderId="49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/>
    <xf numFmtId="0" fontId="22" fillId="0" borderId="0" xfId="0" applyNumberFormat="1" applyFont="1" applyFill="1" applyAlignment="1"/>
    <xf numFmtId="182" fontId="28" fillId="0" borderId="0" xfId="5" applyNumberFormat="1" applyFont="1" applyFill="1" applyBorder="1" applyAlignment="1">
      <alignment vertical="center" wrapText="1" shrinkToFit="1"/>
    </xf>
    <xf numFmtId="182" fontId="28" fillId="0" borderId="0" xfId="5" applyNumberFormat="1" applyFont="1" applyFill="1" applyBorder="1" applyAlignment="1">
      <alignment horizontal="center" vertical="center" wrapText="1" shrinkToFit="1"/>
    </xf>
    <xf numFmtId="182" fontId="29" fillId="0" borderId="0" xfId="5" applyNumberFormat="1" applyFont="1" applyFill="1" applyBorder="1" applyAlignment="1">
      <alignment vertical="center" wrapText="1" shrinkToFit="1"/>
    </xf>
    <xf numFmtId="0" fontId="14" fillId="0" borderId="0" xfId="4" applyAlignment="1">
      <alignment wrapText="1"/>
    </xf>
    <xf numFmtId="0" fontId="14" fillId="0" borderId="0" xfId="4" applyAlignment="1">
      <alignment horizontal="center" wrapText="1"/>
    </xf>
    <xf numFmtId="0" fontId="14" fillId="0" borderId="0" xfId="4" applyAlignment="1">
      <alignment horizontal="right" wrapText="1"/>
    </xf>
    <xf numFmtId="0" fontId="30" fillId="0" borderId="0" xfId="4" applyFont="1" applyAlignment="1">
      <alignment wrapText="1"/>
    </xf>
    <xf numFmtId="182" fontId="4" fillId="10" borderId="34" xfId="5" applyNumberFormat="1" applyFont="1" applyFill="1" applyBorder="1" applyAlignment="1">
      <alignment horizontal="right" vertical="center" wrapText="1" shrinkToFit="1"/>
    </xf>
    <xf numFmtId="182" fontId="4" fillId="10" borderId="34" xfId="5" applyNumberFormat="1" applyFont="1" applyFill="1" applyBorder="1" applyAlignment="1">
      <alignment horizontal="center" vertical="center" wrapText="1" shrinkToFit="1"/>
    </xf>
    <xf numFmtId="182" fontId="4" fillId="10" borderId="20" xfId="5" applyNumberFormat="1" applyFont="1" applyFill="1" applyBorder="1" applyAlignment="1">
      <alignment horizontal="center" vertical="center" wrapText="1" shrinkToFit="1"/>
    </xf>
    <xf numFmtId="182" fontId="4" fillId="10" borderId="15" xfId="5" applyNumberFormat="1" applyFont="1" applyFill="1" applyBorder="1" applyAlignment="1">
      <alignment horizontal="center" vertical="center" wrapText="1" shrinkToFit="1"/>
    </xf>
    <xf numFmtId="180" fontId="4" fillId="6" borderId="20" xfId="4" applyNumberFormat="1" applyFont="1" applyFill="1" applyBorder="1" applyAlignment="1">
      <alignment horizontal="center" wrapText="1"/>
    </xf>
    <xf numFmtId="0" fontId="4" fillId="6" borderId="2" xfId="4" applyFont="1" applyFill="1" applyBorder="1" applyAlignment="1">
      <alignment horizontal="center" wrapText="1"/>
    </xf>
    <xf numFmtId="0" fontId="21" fillId="6" borderId="3" xfId="4" applyFont="1" applyFill="1" applyBorder="1" applyAlignment="1">
      <alignment horizontal="center" wrapText="1"/>
    </xf>
    <xf numFmtId="0" fontId="14" fillId="0" borderId="0" xfId="4" applyFill="1" applyAlignment="1">
      <alignment wrapText="1"/>
    </xf>
    <xf numFmtId="0" fontId="33" fillId="0" borderId="0" xfId="4" applyFont="1" applyFill="1" applyAlignment="1">
      <alignment wrapText="1"/>
    </xf>
    <xf numFmtId="4" fontId="31" fillId="2" borderId="20" xfId="4" applyNumberFormat="1" applyFont="1" applyFill="1" applyBorder="1" applyAlignment="1">
      <alignment horizontal="center" vertical="center" wrapText="1"/>
    </xf>
    <xf numFmtId="4" fontId="31" fillId="2" borderId="21" xfId="4" applyNumberFormat="1" applyFont="1" applyFill="1" applyBorder="1" applyAlignment="1">
      <alignment horizontal="right" vertical="center" wrapText="1"/>
    </xf>
    <xf numFmtId="4" fontId="31" fillId="2" borderId="2" xfId="4" applyNumberFormat="1" applyFont="1" applyFill="1" applyBorder="1" applyAlignment="1">
      <alignment horizontal="right" vertical="center" wrapText="1"/>
    </xf>
    <xf numFmtId="4" fontId="34" fillId="2" borderId="1" xfId="4" applyNumberFormat="1" applyFont="1" applyFill="1" applyBorder="1" applyAlignment="1">
      <alignment horizontal="right" vertical="center" wrapText="1"/>
    </xf>
    <xf numFmtId="4" fontId="34" fillId="2" borderId="1" xfId="4" applyNumberFormat="1" applyFont="1" applyFill="1" applyBorder="1" applyAlignment="1">
      <alignment horizontal="center" vertical="center" wrapText="1"/>
    </xf>
    <xf numFmtId="4" fontId="34" fillId="2" borderId="13" xfId="4" applyNumberFormat="1" applyFont="1" applyFill="1" applyBorder="1" applyAlignment="1">
      <alignment horizontal="right" vertical="center" wrapText="1"/>
    </xf>
    <xf numFmtId="4" fontId="14" fillId="2" borderId="20" xfId="4" applyNumberFormat="1" applyFont="1" applyFill="1" applyBorder="1" applyAlignment="1">
      <alignment horizontal="right" vertical="center" wrapText="1"/>
    </xf>
    <xf numFmtId="4" fontId="31" fillId="2" borderId="20" xfId="4" applyNumberFormat="1" applyFont="1" applyFill="1" applyBorder="1" applyAlignment="1">
      <alignment horizontal="right" vertical="center" wrapText="1"/>
    </xf>
    <xf numFmtId="4" fontId="34" fillId="2" borderId="20" xfId="4" applyNumberFormat="1" applyFont="1" applyFill="1" applyBorder="1" applyAlignment="1">
      <alignment horizontal="right" vertical="center" wrapText="1"/>
    </xf>
    <xf numFmtId="0" fontId="14" fillId="0" borderId="0" xfId="4" applyAlignment="1">
      <alignment horizontal="left" wrapText="1"/>
    </xf>
    <xf numFmtId="0" fontId="14" fillId="0" borderId="0" xfId="4" applyFont="1" applyAlignment="1">
      <alignment horizontal="center" wrapText="1"/>
    </xf>
    <xf numFmtId="0" fontId="32" fillId="11" borderId="0" xfId="4" applyFont="1" applyFill="1" applyAlignment="1">
      <alignment horizontal="center" wrapText="1"/>
    </xf>
    <xf numFmtId="0" fontId="14" fillId="0" borderId="0" xfId="4" applyFill="1" applyBorder="1" applyAlignment="1">
      <alignment horizontal="right" wrapText="1"/>
    </xf>
    <xf numFmtId="0" fontId="14" fillId="0" borderId="0" xfId="4" applyFill="1" applyBorder="1" applyAlignment="1">
      <alignment horizontal="center" wrapText="1"/>
    </xf>
    <xf numFmtId="0" fontId="30" fillId="0" borderId="0" xfId="4" applyFont="1" applyFill="1" applyBorder="1" applyAlignment="1">
      <alignment wrapText="1"/>
    </xf>
    <xf numFmtId="0" fontId="14" fillId="0" borderId="0" xfId="4" applyFill="1" applyBorder="1" applyAlignment="1">
      <alignment wrapText="1"/>
    </xf>
    <xf numFmtId="4" fontId="26" fillId="0" borderId="0" xfId="0" applyNumberFormat="1" applyFont="1" applyFill="1" applyBorder="1" applyAlignment="1">
      <alignment horizontal="right" vertical="center"/>
    </xf>
    <xf numFmtId="180" fontId="8" fillId="3" borderId="1" xfId="0" applyNumberFormat="1" applyFont="1" applyFill="1" applyBorder="1" applyAlignment="1">
      <alignment horizontal="center" vertical="center"/>
    </xf>
    <xf numFmtId="180" fontId="8" fillId="3" borderId="2" xfId="0" applyNumberFormat="1" applyFont="1" applyFill="1" applyBorder="1" applyAlignment="1">
      <alignment horizontal="center" vertical="center"/>
    </xf>
    <xf numFmtId="180" fontId="8" fillId="3" borderId="22" xfId="0" applyNumberFormat="1" applyFont="1" applyFill="1" applyBorder="1" applyAlignment="1">
      <alignment horizontal="center" vertical="center"/>
    </xf>
    <xf numFmtId="0" fontId="8" fillId="3" borderId="3" xfId="0" applyNumberFormat="1" applyFont="1" applyFill="1" applyBorder="1" applyAlignment="1">
      <alignment horizontal="center" vertical="center"/>
    </xf>
    <xf numFmtId="180" fontId="8" fillId="0" borderId="43" xfId="0" applyNumberFormat="1" applyFont="1" applyFill="1" applyBorder="1" applyAlignment="1">
      <alignment horizontal="center" vertical="center"/>
    </xf>
    <xf numFmtId="183" fontId="14" fillId="0" borderId="0" xfId="1" applyNumberFormat="1" applyFont="1" applyFill="1" applyBorder="1" applyAlignment="1">
      <alignment wrapText="1"/>
    </xf>
    <xf numFmtId="180" fontId="8" fillId="0" borderId="38" xfId="0" applyNumberFormat="1" applyFont="1" applyFill="1" applyBorder="1" applyAlignment="1">
      <alignment horizontal="center" vertical="center"/>
    </xf>
    <xf numFmtId="0" fontId="14" fillId="0" borderId="0" xfId="4" applyFill="1" applyBorder="1" applyAlignment="1">
      <alignment horizontal="left" wrapText="1"/>
    </xf>
    <xf numFmtId="182" fontId="4" fillId="10" borderId="34" xfId="5" applyNumberFormat="1" applyFont="1" applyFill="1" applyBorder="1" applyAlignment="1">
      <alignment horizontal="center" vertical="center" wrapText="1" shrinkToFit="1"/>
    </xf>
    <xf numFmtId="0" fontId="14" fillId="0" borderId="0" xfId="4" applyFill="1" applyBorder="1" applyAlignment="1">
      <alignment horizontal="left"/>
    </xf>
    <xf numFmtId="0" fontId="35" fillId="0" borderId="52" xfId="4" applyFont="1" applyFill="1" applyBorder="1" applyAlignment="1">
      <alignment horizontal="center" vertical="center" wrapText="1"/>
    </xf>
    <xf numFmtId="0" fontId="35" fillId="0" borderId="53" xfId="4" applyFont="1" applyFill="1" applyBorder="1" applyAlignment="1">
      <alignment horizontal="left" vertical="center" wrapText="1"/>
    </xf>
    <xf numFmtId="0" fontId="35" fillId="0" borderId="54" xfId="4" applyFont="1" applyFill="1" applyBorder="1" applyAlignment="1">
      <alignment horizontal="left" vertical="center" wrapText="1"/>
    </xf>
    <xf numFmtId="4" fontId="35" fillId="0" borderId="54" xfId="4" applyNumberFormat="1" applyFont="1" applyFill="1" applyBorder="1" applyAlignment="1">
      <alignment horizontal="right" vertical="center" wrapText="1"/>
    </xf>
    <xf numFmtId="4" fontId="35" fillId="8" borderId="54" xfId="4" applyNumberFormat="1" applyFont="1" applyFill="1" applyBorder="1" applyAlignment="1">
      <alignment horizontal="right" vertical="center" wrapText="1"/>
    </xf>
    <xf numFmtId="4" fontId="35" fillId="0" borderId="54" xfId="4" applyNumberFormat="1" applyFont="1" applyFill="1" applyBorder="1" applyAlignment="1">
      <alignment horizontal="center" vertical="center" wrapText="1"/>
    </xf>
    <xf numFmtId="4" fontId="35" fillId="0" borderId="55" xfId="4" applyNumberFormat="1" applyFont="1" applyFill="1" applyBorder="1" applyAlignment="1">
      <alignment horizontal="right" vertical="center" wrapText="1"/>
    </xf>
    <xf numFmtId="4" fontId="35" fillId="0" borderId="56" xfId="4" applyNumberFormat="1" applyFont="1" applyFill="1" applyBorder="1" applyAlignment="1">
      <alignment horizontal="right" vertical="center" wrapText="1"/>
    </xf>
    <xf numFmtId="4" fontId="35" fillId="0" borderId="57" xfId="4" applyNumberFormat="1" applyFont="1" applyFill="1" applyBorder="1" applyAlignment="1">
      <alignment horizontal="right" vertical="center" wrapText="1"/>
    </xf>
    <xf numFmtId="14" fontId="29" fillId="0" borderId="52" xfId="4" applyNumberFormat="1" applyFont="1" applyFill="1" applyBorder="1" applyAlignment="1">
      <alignment horizontal="center" vertical="center" wrapText="1"/>
    </xf>
    <xf numFmtId="4" fontId="35" fillId="0" borderId="52" xfId="4" applyNumberFormat="1" applyFont="1" applyFill="1" applyBorder="1" applyAlignment="1">
      <alignment horizontal="center" vertical="center" wrapText="1"/>
    </xf>
    <xf numFmtId="14" fontId="35" fillId="0" borderId="52" xfId="4" applyNumberFormat="1" applyFont="1" applyFill="1" applyBorder="1" applyAlignment="1">
      <alignment horizontal="center" vertical="center" wrapText="1"/>
    </xf>
    <xf numFmtId="0" fontId="29" fillId="0" borderId="58" xfId="4" applyFont="1" applyFill="1" applyBorder="1" applyAlignment="1">
      <alignment wrapText="1"/>
    </xf>
    <xf numFmtId="0" fontId="29" fillId="0" borderId="52" xfId="4" applyFont="1" applyFill="1" applyBorder="1" applyAlignment="1">
      <alignment wrapText="1"/>
    </xf>
    <xf numFmtId="0" fontId="29" fillId="0" borderId="59" xfId="4" applyFont="1" applyFill="1" applyBorder="1" applyAlignment="1">
      <alignment horizontal="center" wrapText="1"/>
    </xf>
    <xf numFmtId="0" fontId="29" fillId="0" borderId="52" xfId="4" applyFont="1" applyFill="1" applyBorder="1" applyAlignment="1">
      <alignment horizontal="right" wrapText="1"/>
    </xf>
    <xf numFmtId="4" fontId="36" fillId="5" borderId="52" xfId="4" applyNumberFormat="1" applyFont="1" applyFill="1" applyBorder="1" applyAlignment="1">
      <alignment wrapText="1"/>
    </xf>
    <xf numFmtId="4" fontId="29" fillId="0" borderId="53" xfId="4" applyNumberFormat="1" applyFont="1" applyFill="1" applyBorder="1" applyAlignment="1">
      <alignment wrapText="1"/>
    </xf>
    <xf numFmtId="4" fontId="29" fillId="0" borderId="54" xfId="4" applyNumberFormat="1" applyFont="1" applyFill="1" applyBorder="1" applyAlignment="1">
      <alignment wrapText="1"/>
    </xf>
    <xf numFmtId="0" fontId="29" fillId="0" borderId="54" xfId="4" applyFont="1" applyFill="1" applyBorder="1" applyAlignment="1">
      <alignment wrapText="1"/>
    </xf>
    <xf numFmtId="0" fontId="29" fillId="0" borderId="60" xfId="4" applyFont="1" applyFill="1" applyBorder="1" applyAlignment="1">
      <alignment wrapText="1"/>
    </xf>
    <xf numFmtId="0" fontId="35" fillId="0" borderId="61" xfId="4" applyFont="1" applyFill="1" applyBorder="1" applyAlignment="1">
      <alignment horizontal="center" vertical="center" wrapText="1"/>
    </xf>
    <xf numFmtId="0" fontId="35" fillId="0" borderId="62" xfId="4" applyFont="1" applyFill="1" applyBorder="1" applyAlignment="1">
      <alignment horizontal="left" vertical="center" wrapText="1"/>
    </xf>
    <xf numFmtId="0" fontId="35" fillId="0" borderId="63" xfId="4" applyFont="1" applyFill="1" applyBorder="1" applyAlignment="1">
      <alignment horizontal="left" vertical="center" wrapText="1"/>
    </xf>
    <xf numFmtId="4" fontId="35" fillId="0" borderId="63" xfId="4" applyNumberFormat="1" applyFont="1" applyFill="1" applyBorder="1" applyAlignment="1">
      <alignment horizontal="right" vertical="center" wrapText="1"/>
    </xf>
    <xf numFmtId="4" fontId="35" fillId="8" borderId="63" xfId="4" applyNumberFormat="1" applyFont="1" applyFill="1" applyBorder="1" applyAlignment="1">
      <alignment horizontal="right" vertical="center" wrapText="1"/>
    </xf>
    <xf numFmtId="4" fontId="35" fillId="0" borderId="63" xfId="4" applyNumberFormat="1" applyFont="1" applyFill="1" applyBorder="1" applyAlignment="1">
      <alignment horizontal="center" vertical="center" wrapText="1"/>
    </xf>
    <xf numFmtId="4" fontId="35" fillId="0" borderId="64" xfId="4" applyNumberFormat="1" applyFont="1" applyFill="1" applyBorder="1" applyAlignment="1">
      <alignment horizontal="right" vertical="center" wrapText="1"/>
    </xf>
    <xf numFmtId="4" fontId="35" fillId="0" borderId="65" xfId="4" applyNumberFormat="1" applyFont="1" applyFill="1" applyBorder="1" applyAlignment="1">
      <alignment horizontal="right" vertical="center" wrapText="1"/>
    </xf>
    <xf numFmtId="4" fontId="35" fillId="0" borderId="66" xfId="4" applyNumberFormat="1" applyFont="1" applyFill="1" applyBorder="1" applyAlignment="1">
      <alignment horizontal="right" vertical="center" wrapText="1"/>
    </xf>
    <xf numFmtId="14" fontId="29" fillId="0" borderId="61" xfId="4" applyNumberFormat="1" applyFont="1" applyFill="1" applyBorder="1" applyAlignment="1">
      <alignment horizontal="center" vertical="center" wrapText="1"/>
    </xf>
    <xf numFmtId="4" fontId="35" fillId="0" borderId="61" xfId="4" applyNumberFormat="1" applyFont="1" applyFill="1" applyBorder="1" applyAlignment="1">
      <alignment horizontal="center" vertical="center" wrapText="1"/>
    </xf>
    <xf numFmtId="14" fontId="35" fillId="0" borderId="61" xfId="4" applyNumberFormat="1" applyFont="1" applyFill="1" applyBorder="1" applyAlignment="1">
      <alignment horizontal="center" vertical="center" wrapText="1"/>
    </xf>
    <xf numFmtId="0" fontId="29" fillId="0" borderId="67" xfId="4" applyFont="1" applyFill="1" applyBorder="1" applyAlignment="1">
      <alignment wrapText="1"/>
    </xf>
    <xf numFmtId="0" fontId="29" fillId="0" borderId="61" xfId="4" applyFont="1" applyFill="1" applyBorder="1" applyAlignment="1">
      <alignment wrapText="1"/>
    </xf>
    <xf numFmtId="0" fontId="29" fillId="0" borderId="68" xfId="4" applyFont="1" applyFill="1" applyBorder="1" applyAlignment="1">
      <alignment horizontal="center" wrapText="1"/>
    </xf>
    <xf numFmtId="0" fontId="29" fillId="0" borderId="61" xfId="4" applyFont="1" applyFill="1" applyBorder="1" applyAlignment="1">
      <alignment horizontal="right" wrapText="1"/>
    </xf>
    <xf numFmtId="0" fontId="36" fillId="5" borderId="61" xfId="4" applyFont="1" applyFill="1" applyBorder="1" applyAlignment="1">
      <alignment wrapText="1"/>
    </xf>
    <xf numFmtId="4" fontId="29" fillId="0" borderId="62" xfId="4" applyNumberFormat="1" applyFont="1" applyFill="1" applyBorder="1" applyAlignment="1">
      <alignment wrapText="1"/>
    </xf>
    <xf numFmtId="4" fontId="29" fillId="0" borderId="63" xfId="4" applyNumberFormat="1" applyFont="1" applyFill="1" applyBorder="1" applyAlignment="1">
      <alignment wrapText="1"/>
    </xf>
    <xf numFmtId="0" fontId="29" fillId="0" borderId="63" xfId="4" applyFont="1" applyFill="1" applyBorder="1" applyAlignment="1">
      <alignment wrapText="1"/>
    </xf>
    <xf numFmtId="0" fontId="29" fillId="0" borderId="69" xfId="4" applyFont="1" applyFill="1" applyBorder="1" applyAlignment="1">
      <alignment wrapText="1"/>
    </xf>
    <xf numFmtId="181" fontId="29" fillId="0" borderId="67" xfId="4" applyNumberFormat="1" applyFont="1" applyFill="1" applyBorder="1" applyAlignment="1">
      <alignment vertical="center" wrapText="1"/>
    </xf>
    <xf numFmtId="0" fontId="29" fillId="0" borderId="62" xfId="4" applyFont="1" applyFill="1" applyBorder="1" applyAlignment="1">
      <alignment wrapText="1"/>
    </xf>
    <xf numFmtId="0" fontId="8" fillId="3" borderId="20" xfId="0" applyNumberFormat="1" applyFont="1" applyFill="1" applyBorder="1" applyAlignment="1">
      <alignment horizontal="center" vertical="center"/>
    </xf>
    <xf numFmtId="180" fontId="8" fillId="3" borderId="20" xfId="0" applyNumberFormat="1" applyFont="1" applyFill="1" applyBorder="1" applyAlignment="1">
      <alignment vertical="center"/>
    </xf>
    <xf numFmtId="4" fontId="15" fillId="0" borderId="1" xfId="4" applyNumberFormat="1" applyFont="1" applyFill="1" applyBorder="1" applyAlignment="1">
      <alignment wrapText="1"/>
    </xf>
    <xf numFmtId="4" fontId="15" fillId="0" borderId="21" xfId="4" applyNumberFormat="1" applyFont="1" applyFill="1" applyBorder="1" applyAlignment="1">
      <alignment wrapText="1"/>
    </xf>
    <xf numFmtId="4" fontId="17" fillId="0" borderId="24" xfId="4" applyNumberFormat="1" applyFont="1" applyFill="1" applyBorder="1" applyAlignment="1">
      <alignment wrapText="1"/>
    </xf>
    <xf numFmtId="180" fontId="8" fillId="0" borderId="30" xfId="0" applyNumberFormat="1" applyFont="1" applyFill="1" applyBorder="1" applyAlignment="1">
      <alignment vertical="center"/>
    </xf>
    <xf numFmtId="180" fontId="8" fillId="0" borderId="44" xfId="0" applyNumberFormat="1" applyFont="1" applyFill="1" applyBorder="1" applyAlignment="1">
      <alignment vertical="center"/>
    </xf>
    <xf numFmtId="180" fontId="8" fillId="0" borderId="31" xfId="0" applyNumberFormat="1" applyFont="1" applyFill="1" applyBorder="1" applyAlignment="1">
      <alignment vertical="center"/>
    </xf>
    <xf numFmtId="180" fontId="8" fillId="0" borderId="19" xfId="0" applyNumberFormat="1" applyFont="1" applyFill="1" applyBorder="1" applyAlignment="1">
      <alignment vertical="center"/>
    </xf>
    <xf numFmtId="0" fontId="4" fillId="7" borderId="41" xfId="0" applyNumberFormat="1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4" fillId="8" borderId="41" xfId="0" applyNumberFormat="1" applyFont="1" applyFill="1" applyBorder="1" applyAlignment="1">
      <alignment horizontal="center" vertical="center"/>
    </xf>
    <xf numFmtId="181" fontId="32" fillId="11" borderId="13" xfId="4" applyNumberFormat="1" applyFont="1" applyFill="1" applyBorder="1" applyAlignment="1">
      <alignment horizontal="center" wrapText="1"/>
    </xf>
    <xf numFmtId="181" fontId="32" fillId="11" borderId="14" xfId="4" applyNumberFormat="1" applyFont="1" applyFill="1" applyBorder="1" applyAlignment="1">
      <alignment horizontal="center" wrapText="1"/>
    </xf>
    <xf numFmtId="181" fontId="32" fillId="11" borderId="15" xfId="4" applyNumberFormat="1" applyFont="1" applyFill="1" applyBorder="1" applyAlignment="1">
      <alignment horizontal="center" wrapText="1"/>
    </xf>
    <xf numFmtId="0" fontId="17" fillId="2" borderId="0" xfId="0" applyFont="1" applyFill="1" applyBorder="1" applyAlignment="1">
      <alignment horizontal="center" vertical="center"/>
    </xf>
    <xf numFmtId="177" fontId="19" fillId="0" borderId="0" xfId="0" applyNumberFormat="1" applyFont="1" applyBorder="1" applyAlignment="1">
      <alignment vertical="center"/>
    </xf>
    <xf numFmtId="4" fontId="19" fillId="0" borderId="24" xfId="4" applyNumberFormat="1" applyFont="1" applyFill="1" applyBorder="1" applyAlignment="1">
      <alignment wrapText="1"/>
    </xf>
    <xf numFmtId="0" fontId="16" fillId="2" borderId="13" xfId="4" applyFont="1" applyFill="1" applyBorder="1" applyAlignment="1">
      <alignment horizontal="center" vertical="center"/>
    </xf>
    <xf numFmtId="0" fontId="16" fillId="2" borderId="14" xfId="4" applyFont="1" applyFill="1" applyBorder="1" applyAlignment="1">
      <alignment horizontal="center" vertical="center"/>
    </xf>
    <xf numFmtId="0" fontId="16" fillId="2" borderId="15" xfId="4" applyFont="1" applyFill="1" applyBorder="1" applyAlignment="1">
      <alignment horizontal="center" vertical="center"/>
    </xf>
    <xf numFmtId="0" fontId="4" fillId="6" borderId="21" xfId="4" applyNumberFormat="1" applyFont="1" applyFill="1" applyBorder="1" applyAlignment="1">
      <alignment horizontal="center" wrapText="1"/>
    </xf>
    <xf numFmtId="0" fontId="4" fillId="10" borderId="34" xfId="5" applyNumberFormat="1" applyFont="1" applyFill="1" applyBorder="1" applyAlignment="1">
      <alignment horizontal="center" vertical="center" wrapText="1" shrinkToFit="1"/>
    </xf>
    <xf numFmtId="0" fontId="4" fillId="10" borderId="35" xfId="5" applyNumberFormat="1" applyFont="1" applyFill="1" applyBorder="1" applyAlignment="1">
      <alignment horizontal="center" vertical="center" wrapText="1" shrinkToFit="1"/>
    </xf>
    <xf numFmtId="0" fontId="8" fillId="0" borderId="45" xfId="0" applyNumberFormat="1" applyFont="1" applyFill="1" applyBorder="1" applyAlignment="1">
      <alignment horizontal="center" vertical="center"/>
    </xf>
    <xf numFmtId="180" fontId="8" fillId="0" borderId="7" xfId="0" applyNumberFormat="1" applyFont="1" applyFill="1" applyBorder="1" applyAlignment="1">
      <alignment vertical="center"/>
    </xf>
    <xf numFmtId="180" fontId="8" fillId="0" borderId="8" xfId="0" applyNumberFormat="1" applyFont="1" applyFill="1" applyBorder="1" applyAlignment="1">
      <alignment vertical="center"/>
    </xf>
    <xf numFmtId="0" fontId="8" fillId="3" borderId="1" xfId="0" applyNumberFormat="1" applyFont="1" applyFill="1" applyBorder="1" applyAlignment="1">
      <alignment horizontal="center" vertical="center"/>
    </xf>
    <xf numFmtId="0" fontId="8" fillId="3" borderId="2" xfId="0" applyNumberFormat="1" applyFont="1" applyFill="1" applyBorder="1" applyAlignment="1">
      <alignment horizontal="center" vertical="center"/>
    </xf>
    <xf numFmtId="0" fontId="8" fillId="3" borderId="22" xfId="0" applyNumberFormat="1" applyFont="1" applyFill="1" applyBorder="1" applyAlignment="1">
      <alignment horizontal="center" vertical="center"/>
    </xf>
    <xf numFmtId="0" fontId="8" fillId="3" borderId="21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6" fillId="2" borderId="12" xfId="4" applyFont="1" applyFill="1" applyBorder="1" applyAlignment="1">
      <alignment horizontal="center" vertical="center" wrapText="1"/>
    </xf>
    <xf numFmtId="0" fontId="16" fillId="2" borderId="16" xfId="4" applyFont="1" applyFill="1" applyBorder="1" applyAlignment="1">
      <alignment horizontal="center" vertical="center" wrapText="1"/>
    </xf>
    <xf numFmtId="0" fontId="17" fillId="6" borderId="13" xfId="4" applyFont="1" applyFill="1" applyBorder="1" applyAlignment="1">
      <alignment horizontal="center" wrapText="1"/>
    </xf>
    <xf numFmtId="0" fontId="17" fillId="6" borderId="15" xfId="4" applyFont="1" applyFill="1" applyBorder="1" applyAlignment="1">
      <alignment horizontal="center" wrapText="1"/>
    </xf>
    <xf numFmtId="0" fontId="4" fillId="2" borderId="13" xfId="4" applyFont="1" applyFill="1" applyBorder="1" applyAlignment="1">
      <alignment horizontal="center" wrapText="1"/>
    </xf>
    <xf numFmtId="0" fontId="4" fillId="2" borderId="15" xfId="4" applyFont="1" applyFill="1" applyBorder="1" applyAlignment="1">
      <alignment horizontal="center" wrapText="1"/>
    </xf>
    <xf numFmtId="0" fontId="31" fillId="8" borderId="17" xfId="4" applyFont="1" applyFill="1" applyBorder="1" applyAlignment="1">
      <alignment horizontal="center" vertical="center" wrapText="1"/>
    </xf>
    <xf numFmtId="0" fontId="0" fillId="0" borderId="11" xfId="0" applyNumberFormat="1" applyBorder="1" applyAlignment="1">
      <alignment horizontal="center" vertical="center" wrapText="1"/>
    </xf>
    <xf numFmtId="0" fontId="31" fillId="8" borderId="12" xfId="4" applyFont="1" applyFill="1" applyBorder="1" applyAlignment="1">
      <alignment horizontal="center" vertical="center" wrapText="1"/>
    </xf>
    <xf numFmtId="0" fontId="31" fillId="8" borderId="16" xfId="4" applyFont="1" applyFill="1" applyBorder="1" applyAlignment="1">
      <alignment horizontal="center" vertical="center" wrapText="1"/>
    </xf>
    <xf numFmtId="0" fontId="31" fillId="8" borderId="36" xfId="4" applyFont="1" applyFill="1" applyBorder="1" applyAlignment="1">
      <alignment horizontal="center" vertical="center" wrapText="1"/>
    </xf>
    <xf numFmtId="0" fontId="31" fillId="8" borderId="24" xfId="4" applyFont="1" applyFill="1" applyBorder="1" applyAlignment="1">
      <alignment horizontal="center" vertical="center" wrapText="1"/>
    </xf>
    <xf numFmtId="0" fontId="31" fillId="8" borderId="11" xfId="4" applyFont="1" applyFill="1" applyBorder="1" applyAlignment="1">
      <alignment horizontal="center" vertical="center" wrapText="1"/>
    </xf>
    <xf numFmtId="182" fontId="4" fillId="10" borderId="35" xfId="5" applyNumberFormat="1" applyFont="1" applyFill="1" applyBorder="1" applyAlignment="1">
      <alignment horizontal="center" vertical="center" wrapText="1" shrinkToFit="1"/>
    </xf>
    <xf numFmtId="182" fontId="4" fillId="10" borderId="51" xfId="5" applyNumberFormat="1" applyFont="1" applyFill="1" applyBorder="1" applyAlignment="1">
      <alignment horizontal="center" vertical="center" wrapText="1" shrinkToFit="1"/>
    </xf>
    <xf numFmtId="0" fontId="4" fillId="7" borderId="70" xfId="0" applyNumberFormat="1" applyFont="1" applyFill="1" applyBorder="1" applyAlignment="1">
      <alignment horizontal="center" vertical="center"/>
    </xf>
    <xf numFmtId="0" fontId="4" fillId="7" borderId="17" xfId="0" applyNumberFormat="1" applyFont="1" applyFill="1" applyBorder="1" applyAlignment="1">
      <alignment horizontal="center" vertical="center"/>
    </xf>
    <xf numFmtId="0" fontId="4" fillId="7" borderId="18" xfId="0" applyNumberFormat="1" applyFont="1" applyFill="1" applyBorder="1" applyAlignment="1">
      <alignment horizontal="center" vertical="center"/>
    </xf>
    <xf numFmtId="0" fontId="4" fillId="7" borderId="50" xfId="0" applyNumberFormat="1" applyFont="1" applyFill="1" applyBorder="1" applyAlignment="1">
      <alignment horizontal="center" vertical="center"/>
    </xf>
    <xf numFmtId="0" fontId="31" fillId="8" borderId="50" xfId="4" applyFont="1" applyFill="1" applyBorder="1" applyAlignment="1">
      <alignment horizontal="center" vertical="center" wrapText="1"/>
    </xf>
    <xf numFmtId="0" fontId="31" fillId="8" borderId="33" xfId="4" applyFont="1" applyFill="1" applyBorder="1" applyAlignment="1">
      <alignment horizontal="center" vertical="center" wrapText="1"/>
    </xf>
    <xf numFmtId="0" fontId="14" fillId="9" borderId="12" xfId="4" applyFont="1" applyFill="1" applyBorder="1" applyAlignment="1">
      <alignment horizontal="center" vertical="center" wrapText="1"/>
    </xf>
    <xf numFmtId="0" fontId="14" fillId="9" borderId="16" xfId="4" applyFont="1" applyFill="1" applyBorder="1" applyAlignment="1">
      <alignment horizontal="center" vertical="center" wrapText="1"/>
    </xf>
    <xf numFmtId="0" fontId="30" fillId="8" borderId="41" xfId="4" applyFont="1" applyFill="1" applyBorder="1" applyAlignment="1">
      <alignment horizontal="center" vertical="center" wrapText="1"/>
    </xf>
    <xf numFmtId="0" fontId="30" fillId="8" borderId="45" xfId="4" applyFont="1" applyFill="1" applyBorder="1" applyAlignment="1">
      <alignment horizontal="center" vertical="center" wrapText="1"/>
    </xf>
    <xf numFmtId="0" fontId="32" fillId="6" borderId="37" xfId="4" applyFont="1" applyFill="1" applyBorder="1" applyAlignment="1">
      <alignment horizontal="center" vertical="center" wrapText="1"/>
    </xf>
    <xf numFmtId="0" fontId="30" fillId="6" borderId="40" xfId="4" applyFont="1" applyFill="1" applyBorder="1" applyAlignment="1">
      <alignment horizontal="center" vertical="center" wrapText="1"/>
    </xf>
    <xf numFmtId="0" fontId="31" fillId="8" borderId="18" xfId="4" applyFont="1" applyFill="1" applyBorder="1" applyAlignment="1">
      <alignment horizontal="center" vertical="center" wrapText="1"/>
    </xf>
    <xf numFmtId="0" fontId="31" fillId="8" borderId="26" xfId="4" applyFont="1" applyFill="1" applyBorder="1" applyAlignment="1">
      <alignment horizontal="center" vertical="center" wrapText="1"/>
    </xf>
    <xf numFmtId="180" fontId="8" fillId="0" borderId="9" xfId="0" applyNumberFormat="1" applyFont="1" applyFill="1" applyBorder="1" applyAlignment="1">
      <alignment vertical="center"/>
    </xf>
    <xf numFmtId="180" fontId="8" fillId="0" borderId="32" xfId="0" applyNumberFormat="1" applyFont="1" applyFill="1" applyBorder="1" applyAlignment="1">
      <alignment vertical="center"/>
    </xf>
    <xf numFmtId="180" fontId="8" fillId="0" borderId="72" xfId="0" applyNumberFormat="1" applyFont="1" applyFill="1" applyBorder="1" applyAlignment="1">
      <alignment vertical="center"/>
    </xf>
  </cellXfs>
  <cellStyles count="6">
    <cellStyle name="쉼표 [0]" xfId="1" builtinId="6"/>
    <cellStyle name="통화 [0] 2" xfId="3"/>
    <cellStyle name="표준" xfId="0" builtinId="0" customBuiltin="1"/>
    <cellStyle name="표준 2" xfId="2"/>
    <cellStyle name="Comma 14" xfId="5"/>
    <cellStyle name="Normal 2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2047875</xdr:colOff>
      <xdr:row>105</xdr:row>
      <xdr:rowOff>38100</xdr:rowOff>
    </xdr:from>
    <xdr:to>
      <xdr:col>5</xdr:col>
      <xdr:colOff>2809875</xdr:colOff>
      <xdr:row>111</xdr:row>
      <xdr:rowOff>114301</xdr:rowOff>
    </xdr:to>
    <xdr:pic>
      <xdr:nvPicPr>
        <xdr:cNvPr id="2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5450" y="24822150"/>
          <a:ext cx="1866900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2047875</xdr:colOff>
      <xdr:row>105</xdr:row>
      <xdr:rowOff>38100</xdr:rowOff>
    </xdr:from>
    <xdr:to>
      <xdr:col>5</xdr:col>
      <xdr:colOff>2809875</xdr:colOff>
      <xdr:row>111</xdr:row>
      <xdr:rowOff>114301</xdr:rowOff>
    </xdr:to>
    <xdr:pic>
      <xdr:nvPicPr>
        <xdr:cNvPr id="2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5450" y="19278600"/>
          <a:ext cx="762000" cy="11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0"/>
  </sheetPr>
  <dimension ref="B2:AB65"/>
  <sheetViews>
    <sheetView showGridLines="0" tabSelected="1" zoomScale="85" zoomScaleNormal="85" workbookViewId="0">
      <selection activeCell="B1" sqref="B1"/>
    </sheetView>
  </sheetViews>
  <sheetFormatPr defaultRowHeight="13.5"/>
  <cols>
    <col min="1" max="1" width="3.109375" style="1" customWidth="1"/>
    <col min="2" max="3" width="19.6640625" style="1" customWidth="1"/>
    <col min="4" max="4" width="14.109375" style="1" customWidth="1"/>
    <col min="5" max="5" width="16" style="1" customWidth="1"/>
    <col min="6" max="8" width="14.109375" style="1" customWidth="1"/>
    <col min="9" max="9" width="17.109375" style="1" customWidth="1"/>
    <col min="10" max="27" width="14.109375" style="1" customWidth="1"/>
    <col min="28" max="28" width="8.88671875" style="1" customWidth="1"/>
    <col min="29" max="267" width="8.88671875" style="1"/>
    <col min="268" max="268" width="3.109375" style="1" customWidth="1"/>
    <col min="269" max="270" width="19.6640625" style="1" customWidth="1"/>
    <col min="271" max="271" width="14.109375" style="1" customWidth="1"/>
    <col min="272" max="272" width="16" style="1" customWidth="1"/>
    <col min="273" max="275" width="14.109375" style="1" customWidth="1"/>
    <col min="276" max="276" width="17.109375" style="1" customWidth="1"/>
    <col min="277" max="278" width="14.109375" style="1" customWidth="1"/>
    <col min="279" max="279" width="17.6640625" style="1" customWidth="1"/>
    <col min="280" max="284" width="0" style="1" hidden="1" customWidth="1"/>
    <col min="285" max="523" width="8.88671875" style="1"/>
    <col min="524" max="524" width="3.109375" style="1" customWidth="1"/>
    <col min="525" max="526" width="19.6640625" style="1" customWidth="1"/>
    <col min="527" max="527" width="14.109375" style="1" customWidth="1"/>
    <col min="528" max="528" width="16" style="1" customWidth="1"/>
    <col min="529" max="531" width="14.109375" style="1" customWidth="1"/>
    <col min="532" max="532" width="17.109375" style="1" customWidth="1"/>
    <col min="533" max="534" width="14.109375" style="1" customWidth="1"/>
    <col min="535" max="535" width="17.6640625" style="1" customWidth="1"/>
    <col min="536" max="540" width="0" style="1" hidden="1" customWidth="1"/>
    <col min="541" max="779" width="8.88671875" style="1"/>
    <col min="780" max="780" width="3.109375" style="1" customWidth="1"/>
    <col min="781" max="782" width="19.6640625" style="1" customWidth="1"/>
    <col min="783" max="783" width="14.109375" style="1" customWidth="1"/>
    <col min="784" max="784" width="16" style="1" customWidth="1"/>
    <col min="785" max="787" width="14.109375" style="1" customWidth="1"/>
    <col min="788" max="788" width="17.109375" style="1" customWidth="1"/>
    <col min="789" max="790" width="14.109375" style="1" customWidth="1"/>
    <col min="791" max="791" width="17.6640625" style="1" customWidth="1"/>
    <col min="792" max="796" width="0" style="1" hidden="1" customWidth="1"/>
    <col min="797" max="1035" width="8.88671875" style="1"/>
    <col min="1036" max="1036" width="3.109375" style="1" customWidth="1"/>
    <col min="1037" max="1038" width="19.6640625" style="1" customWidth="1"/>
    <col min="1039" max="1039" width="14.109375" style="1" customWidth="1"/>
    <col min="1040" max="1040" width="16" style="1" customWidth="1"/>
    <col min="1041" max="1043" width="14.109375" style="1" customWidth="1"/>
    <col min="1044" max="1044" width="17.109375" style="1" customWidth="1"/>
    <col min="1045" max="1046" width="14.109375" style="1" customWidth="1"/>
    <col min="1047" max="1047" width="17.6640625" style="1" customWidth="1"/>
    <col min="1048" max="1052" width="0" style="1" hidden="1" customWidth="1"/>
    <col min="1053" max="1291" width="8.88671875" style="1"/>
    <col min="1292" max="1292" width="3.109375" style="1" customWidth="1"/>
    <col min="1293" max="1294" width="19.6640625" style="1" customWidth="1"/>
    <col min="1295" max="1295" width="14.109375" style="1" customWidth="1"/>
    <col min="1296" max="1296" width="16" style="1" customWidth="1"/>
    <col min="1297" max="1299" width="14.109375" style="1" customWidth="1"/>
    <col min="1300" max="1300" width="17.109375" style="1" customWidth="1"/>
    <col min="1301" max="1302" width="14.109375" style="1" customWidth="1"/>
    <col min="1303" max="1303" width="17.6640625" style="1" customWidth="1"/>
    <col min="1304" max="1308" width="0" style="1" hidden="1" customWidth="1"/>
    <col min="1309" max="1547" width="8.88671875" style="1"/>
    <col min="1548" max="1548" width="3.109375" style="1" customWidth="1"/>
    <col min="1549" max="1550" width="19.6640625" style="1" customWidth="1"/>
    <col min="1551" max="1551" width="14.109375" style="1" customWidth="1"/>
    <col min="1552" max="1552" width="16" style="1" customWidth="1"/>
    <col min="1553" max="1555" width="14.109375" style="1" customWidth="1"/>
    <col min="1556" max="1556" width="17.109375" style="1" customWidth="1"/>
    <col min="1557" max="1558" width="14.109375" style="1" customWidth="1"/>
    <col min="1559" max="1559" width="17.6640625" style="1" customWidth="1"/>
    <col min="1560" max="1564" width="0" style="1" hidden="1" customWidth="1"/>
    <col min="1565" max="1803" width="8.88671875" style="1"/>
    <col min="1804" max="1804" width="3.109375" style="1" customWidth="1"/>
    <col min="1805" max="1806" width="19.6640625" style="1" customWidth="1"/>
    <col min="1807" max="1807" width="14.109375" style="1" customWidth="1"/>
    <col min="1808" max="1808" width="16" style="1" customWidth="1"/>
    <col min="1809" max="1811" width="14.109375" style="1" customWidth="1"/>
    <col min="1812" max="1812" width="17.109375" style="1" customWidth="1"/>
    <col min="1813" max="1814" width="14.109375" style="1" customWidth="1"/>
    <col min="1815" max="1815" width="17.6640625" style="1" customWidth="1"/>
    <col min="1816" max="1820" width="0" style="1" hidden="1" customWidth="1"/>
    <col min="1821" max="2059" width="8.88671875" style="1"/>
    <col min="2060" max="2060" width="3.109375" style="1" customWidth="1"/>
    <col min="2061" max="2062" width="19.6640625" style="1" customWidth="1"/>
    <col min="2063" max="2063" width="14.109375" style="1" customWidth="1"/>
    <col min="2064" max="2064" width="16" style="1" customWidth="1"/>
    <col min="2065" max="2067" width="14.109375" style="1" customWidth="1"/>
    <col min="2068" max="2068" width="17.109375" style="1" customWidth="1"/>
    <col min="2069" max="2070" width="14.109375" style="1" customWidth="1"/>
    <col min="2071" max="2071" width="17.6640625" style="1" customWidth="1"/>
    <col min="2072" max="2076" width="0" style="1" hidden="1" customWidth="1"/>
    <col min="2077" max="2315" width="8.88671875" style="1"/>
    <col min="2316" max="2316" width="3.109375" style="1" customWidth="1"/>
    <col min="2317" max="2318" width="19.6640625" style="1" customWidth="1"/>
    <col min="2319" max="2319" width="14.109375" style="1" customWidth="1"/>
    <col min="2320" max="2320" width="16" style="1" customWidth="1"/>
    <col min="2321" max="2323" width="14.109375" style="1" customWidth="1"/>
    <col min="2324" max="2324" width="17.109375" style="1" customWidth="1"/>
    <col min="2325" max="2326" width="14.109375" style="1" customWidth="1"/>
    <col min="2327" max="2327" width="17.6640625" style="1" customWidth="1"/>
    <col min="2328" max="2332" width="0" style="1" hidden="1" customWidth="1"/>
    <col min="2333" max="2571" width="8.88671875" style="1"/>
    <col min="2572" max="2572" width="3.109375" style="1" customWidth="1"/>
    <col min="2573" max="2574" width="19.6640625" style="1" customWidth="1"/>
    <col min="2575" max="2575" width="14.109375" style="1" customWidth="1"/>
    <col min="2576" max="2576" width="16" style="1" customWidth="1"/>
    <col min="2577" max="2579" width="14.109375" style="1" customWidth="1"/>
    <col min="2580" max="2580" width="17.109375" style="1" customWidth="1"/>
    <col min="2581" max="2582" width="14.109375" style="1" customWidth="1"/>
    <col min="2583" max="2583" width="17.6640625" style="1" customWidth="1"/>
    <col min="2584" max="2588" width="0" style="1" hidden="1" customWidth="1"/>
    <col min="2589" max="2827" width="8.88671875" style="1"/>
    <col min="2828" max="2828" width="3.109375" style="1" customWidth="1"/>
    <col min="2829" max="2830" width="19.6640625" style="1" customWidth="1"/>
    <col min="2831" max="2831" width="14.109375" style="1" customWidth="1"/>
    <col min="2832" max="2832" width="16" style="1" customWidth="1"/>
    <col min="2833" max="2835" width="14.109375" style="1" customWidth="1"/>
    <col min="2836" max="2836" width="17.109375" style="1" customWidth="1"/>
    <col min="2837" max="2838" width="14.109375" style="1" customWidth="1"/>
    <col min="2839" max="2839" width="17.6640625" style="1" customWidth="1"/>
    <col min="2840" max="2844" width="0" style="1" hidden="1" customWidth="1"/>
    <col min="2845" max="3083" width="8.88671875" style="1"/>
    <col min="3084" max="3084" width="3.109375" style="1" customWidth="1"/>
    <col min="3085" max="3086" width="19.6640625" style="1" customWidth="1"/>
    <col min="3087" max="3087" width="14.109375" style="1" customWidth="1"/>
    <col min="3088" max="3088" width="16" style="1" customWidth="1"/>
    <col min="3089" max="3091" width="14.109375" style="1" customWidth="1"/>
    <col min="3092" max="3092" width="17.109375" style="1" customWidth="1"/>
    <col min="3093" max="3094" width="14.109375" style="1" customWidth="1"/>
    <col min="3095" max="3095" width="17.6640625" style="1" customWidth="1"/>
    <col min="3096" max="3100" width="0" style="1" hidden="1" customWidth="1"/>
    <col min="3101" max="3339" width="8.88671875" style="1"/>
    <col min="3340" max="3340" width="3.109375" style="1" customWidth="1"/>
    <col min="3341" max="3342" width="19.6640625" style="1" customWidth="1"/>
    <col min="3343" max="3343" width="14.109375" style="1" customWidth="1"/>
    <col min="3344" max="3344" width="16" style="1" customWidth="1"/>
    <col min="3345" max="3347" width="14.109375" style="1" customWidth="1"/>
    <col min="3348" max="3348" width="17.109375" style="1" customWidth="1"/>
    <col min="3349" max="3350" width="14.109375" style="1" customWidth="1"/>
    <col min="3351" max="3351" width="17.6640625" style="1" customWidth="1"/>
    <col min="3352" max="3356" width="0" style="1" hidden="1" customWidth="1"/>
    <col min="3357" max="3595" width="8.88671875" style="1"/>
    <col min="3596" max="3596" width="3.109375" style="1" customWidth="1"/>
    <col min="3597" max="3598" width="19.6640625" style="1" customWidth="1"/>
    <col min="3599" max="3599" width="14.109375" style="1" customWidth="1"/>
    <col min="3600" max="3600" width="16" style="1" customWidth="1"/>
    <col min="3601" max="3603" width="14.109375" style="1" customWidth="1"/>
    <col min="3604" max="3604" width="17.109375" style="1" customWidth="1"/>
    <col min="3605" max="3606" width="14.109375" style="1" customWidth="1"/>
    <col min="3607" max="3607" width="17.6640625" style="1" customWidth="1"/>
    <col min="3608" max="3612" width="0" style="1" hidden="1" customWidth="1"/>
    <col min="3613" max="3851" width="8.88671875" style="1"/>
    <col min="3852" max="3852" width="3.109375" style="1" customWidth="1"/>
    <col min="3853" max="3854" width="19.6640625" style="1" customWidth="1"/>
    <col min="3855" max="3855" width="14.109375" style="1" customWidth="1"/>
    <col min="3856" max="3856" width="16" style="1" customWidth="1"/>
    <col min="3857" max="3859" width="14.109375" style="1" customWidth="1"/>
    <col min="3860" max="3860" width="17.109375" style="1" customWidth="1"/>
    <col min="3861" max="3862" width="14.109375" style="1" customWidth="1"/>
    <col min="3863" max="3863" width="17.6640625" style="1" customWidth="1"/>
    <col min="3864" max="3868" width="0" style="1" hidden="1" customWidth="1"/>
    <col min="3869" max="4107" width="8.88671875" style="1"/>
    <col min="4108" max="4108" width="3.109375" style="1" customWidth="1"/>
    <col min="4109" max="4110" width="19.6640625" style="1" customWidth="1"/>
    <col min="4111" max="4111" width="14.109375" style="1" customWidth="1"/>
    <col min="4112" max="4112" width="16" style="1" customWidth="1"/>
    <col min="4113" max="4115" width="14.109375" style="1" customWidth="1"/>
    <col min="4116" max="4116" width="17.109375" style="1" customWidth="1"/>
    <col min="4117" max="4118" width="14.109375" style="1" customWidth="1"/>
    <col min="4119" max="4119" width="17.6640625" style="1" customWidth="1"/>
    <col min="4120" max="4124" width="0" style="1" hidden="1" customWidth="1"/>
    <col min="4125" max="4363" width="8.88671875" style="1"/>
    <col min="4364" max="4364" width="3.109375" style="1" customWidth="1"/>
    <col min="4365" max="4366" width="19.6640625" style="1" customWidth="1"/>
    <col min="4367" max="4367" width="14.109375" style="1" customWidth="1"/>
    <col min="4368" max="4368" width="16" style="1" customWidth="1"/>
    <col min="4369" max="4371" width="14.109375" style="1" customWidth="1"/>
    <col min="4372" max="4372" width="17.109375" style="1" customWidth="1"/>
    <col min="4373" max="4374" width="14.109375" style="1" customWidth="1"/>
    <col min="4375" max="4375" width="17.6640625" style="1" customWidth="1"/>
    <col min="4376" max="4380" width="0" style="1" hidden="1" customWidth="1"/>
    <col min="4381" max="4619" width="8.88671875" style="1"/>
    <col min="4620" max="4620" width="3.109375" style="1" customWidth="1"/>
    <col min="4621" max="4622" width="19.6640625" style="1" customWidth="1"/>
    <col min="4623" max="4623" width="14.109375" style="1" customWidth="1"/>
    <col min="4624" max="4624" width="16" style="1" customWidth="1"/>
    <col min="4625" max="4627" width="14.109375" style="1" customWidth="1"/>
    <col min="4628" max="4628" width="17.109375" style="1" customWidth="1"/>
    <col min="4629" max="4630" width="14.109375" style="1" customWidth="1"/>
    <col min="4631" max="4631" width="17.6640625" style="1" customWidth="1"/>
    <col min="4632" max="4636" width="0" style="1" hidden="1" customWidth="1"/>
    <col min="4637" max="4875" width="8.88671875" style="1"/>
    <col min="4876" max="4876" width="3.109375" style="1" customWidth="1"/>
    <col min="4877" max="4878" width="19.6640625" style="1" customWidth="1"/>
    <col min="4879" max="4879" width="14.109375" style="1" customWidth="1"/>
    <col min="4880" max="4880" width="16" style="1" customWidth="1"/>
    <col min="4881" max="4883" width="14.109375" style="1" customWidth="1"/>
    <col min="4884" max="4884" width="17.109375" style="1" customWidth="1"/>
    <col min="4885" max="4886" width="14.109375" style="1" customWidth="1"/>
    <col min="4887" max="4887" width="17.6640625" style="1" customWidth="1"/>
    <col min="4888" max="4892" width="0" style="1" hidden="1" customWidth="1"/>
    <col min="4893" max="5131" width="8.88671875" style="1"/>
    <col min="5132" max="5132" width="3.109375" style="1" customWidth="1"/>
    <col min="5133" max="5134" width="19.6640625" style="1" customWidth="1"/>
    <col min="5135" max="5135" width="14.109375" style="1" customWidth="1"/>
    <col min="5136" max="5136" width="16" style="1" customWidth="1"/>
    <col min="5137" max="5139" width="14.109375" style="1" customWidth="1"/>
    <col min="5140" max="5140" width="17.109375" style="1" customWidth="1"/>
    <col min="5141" max="5142" width="14.109375" style="1" customWidth="1"/>
    <col min="5143" max="5143" width="17.6640625" style="1" customWidth="1"/>
    <col min="5144" max="5148" width="0" style="1" hidden="1" customWidth="1"/>
    <col min="5149" max="5387" width="8.88671875" style="1"/>
    <col min="5388" max="5388" width="3.109375" style="1" customWidth="1"/>
    <col min="5389" max="5390" width="19.6640625" style="1" customWidth="1"/>
    <col min="5391" max="5391" width="14.109375" style="1" customWidth="1"/>
    <col min="5392" max="5392" width="16" style="1" customWidth="1"/>
    <col min="5393" max="5395" width="14.109375" style="1" customWidth="1"/>
    <col min="5396" max="5396" width="17.109375" style="1" customWidth="1"/>
    <col min="5397" max="5398" width="14.109375" style="1" customWidth="1"/>
    <col min="5399" max="5399" width="17.6640625" style="1" customWidth="1"/>
    <col min="5400" max="5404" width="0" style="1" hidden="1" customWidth="1"/>
    <col min="5405" max="5643" width="8.88671875" style="1"/>
    <col min="5644" max="5644" width="3.109375" style="1" customWidth="1"/>
    <col min="5645" max="5646" width="19.6640625" style="1" customWidth="1"/>
    <col min="5647" max="5647" width="14.109375" style="1" customWidth="1"/>
    <col min="5648" max="5648" width="16" style="1" customWidth="1"/>
    <col min="5649" max="5651" width="14.109375" style="1" customWidth="1"/>
    <col min="5652" max="5652" width="17.109375" style="1" customWidth="1"/>
    <col min="5653" max="5654" width="14.109375" style="1" customWidth="1"/>
    <col min="5655" max="5655" width="17.6640625" style="1" customWidth="1"/>
    <col min="5656" max="5660" width="0" style="1" hidden="1" customWidth="1"/>
    <col min="5661" max="5899" width="8.88671875" style="1"/>
    <col min="5900" max="5900" width="3.109375" style="1" customWidth="1"/>
    <col min="5901" max="5902" width="19.6640625" style="1" customWidth="1"/>
    <col min="5903" max="5903" width="14.109375" style="1" customWidth="1"/>
    <col min="5904" max="5904" width="16" style="1" customWidth="1"/>
    <col min="5905" max="5907" width="14.109375" style="1" customWidth="1"/>
    <col min="5908" max="5908" width="17.109375" style="1" customWidth="1"/>
    <col min="5909" max="5910" width="14.109375" style="1" customWidth="1"/>
    <col min="5911" max="5911" width="17.6640625" style="1" customWidth="1"/>
    <col min="5912" max="5916" width="0" style="1" hidden="1" customWidth="1"/>
    <col min="5917" max="6155" width="8.88671875" style="1"/>
    <col min="6156" max="6156" width="3.109375" style="1" customWidth="1"/>
    <col min="6157" max="6158" width="19.6640625" style="1" customWidth="1"/>
    <col min="6159" max="6159" width="14.109375" style="1" customWidth="1"/>
    <col min="6160" max="6160" width="16" style="1" customWidth="1"/>
    <col min="6161" max="6163" width="14.109375" style="1" customWidth="1"/>
    <col min="6164" max="6164" width="17.109375" style="1" customWidth="1"/>
    <col min="6165" max="6166" width="14.109375" style="1" customWidth="1"/>
    <col min="6167" max="6167" width="17.6640625" style="1" customWidth="1"/>
    <col min="6168" max="6172" width="0" style="1" hidden="1" customWidth="1"/>
    <col min="6173" max="6411" width="8.88671875" style="1"/>
    <col min="6412" max="6412" width="3.109375" style="1" customWidth="1"/>
    <col min="6413" max="6414" width="19.6640625" style="1" customWidth="1"/>
    <col min="6415" max="6415" width="14.109375" style="1" customWidth="1"/>
    <col min="6416" max="6416" width="16" style="1" customWidth="1"/>
    <col min="6417" max="6419" width="14.109375" style="1" customWidth="1"/>
    <col min="6420" max="6420" width="17.109375" style="1" customWidth="1"/>
    <col min="6421" max="6422" width="14.109375" style="1" customWidth="1"/>
    <col min="6423" max="6423" width="17.6640625" style="1" customWidth="1"/>
    <col min="6424" max="6428" width="0" style="1" hidden="1" customWidth="1"/>
    <col min="6429" max="6667" width="8.88671875" style="1"/>
    <col min="6668" max="6668" width="3.109375" style="1" customWidth="1"/>
    <col min="6669" max="6670" width="19.6640625" style="1" customWidth="1"/>
    <col min="6671" max="6671" width="14.109375" style="1" customWidth="1"/>
    <col min="6672" max="6672" width="16" style="1" customWidth="1"/>
    <col min="6673" max="6675" width="14.109375" style="1" customWidth="1"/>
    <col min="6676" max="6676" width="17.109375" style="1" customWidth="1"/>
    <col min="6677" max="6678" width="14.109375" style="1" customWidth="1"/>
    <col min="6679" max="6679" width="17.6640625" style="1" customWidth="1"/>
    <col min="6680" max="6684" width="0" style="1" hidden="1" customWidth="1"/>
    <col min="6685" max="6923" width="8.88671875" style="1"/>
    <col min="6924" max="6924" width="3.109375" style="1" customWidth="1"/>
    <col min="6925" max="6926" width="19.6640625" style="1" customWidth="1"/>
    <col min="6927" max="6927" width="14.109375" style="1" customWidth="1"/>
    <col min="6928" max="6928" width="16" style="1" customWidth="1"/>
    <col min="6929" max="6931" width="14.109375" style="1" customWidth="1"/>
    <col min="6932" max="6932" width="17.109375" style="1" customWidth="1"/>
    <col min="6933" max="6934" width="14.109375" style="1" customWidth="1"/>
    <col min="6935" max="6935" width="17.6640625" style="1" customWidth="1"/>
    <col min="6936" max="6940" width="0" style="1" hidden="1" customWidth="1"/>
    <col min="6941" max="7179" width="8.88671875" style="1"/>
    <col min="7180" max="7180" width="3.109375" style="1" customWidth="1"/>
    <col min="7181" max="7182" width="19.6640625" style="1" customWidth="1"/>
    <col min="7183" max="7183" width="14.109375" style="1" customWidth="1"/>
    <col min="7184" max="7184" width="16" style="1" customWidth="1"/>
    <col min="7185" max="7187" width="14.109375" style="1" customWidth="1"/>
    <col min="7188" max="7188" width="17.109375" style="1" customWidth="1"/>
    <col min="7189" max="7190" width="14.109375" style="1" customWidth="1"/>
    <col min="7191" max="7191" width="17.6640625" style="1" customWidth="1"/>
    <col min="7192" max="7196" width="0" style="1" hidden="1" customWidth="1"/>
    <col min="7197" max="7435" width="8.88671875" style="1"/>
    <col min="7436" max="7436" width="3.109375" style="1" customWidth="1"/>
    <col min="7437" max="7438" width="19.6640625" style="1" customWidth="1"/>
    <col min="7439" max="7439" width="14.109375" style="1" customWidth="1"/>
    <col min="7440" max="7440" width="16" style="1" customWidth="1"/>
    <col min="7441" max="7443" width="14.109375" style="1" customWidth="1"/>
    <col min="7444" max="7444" width="17.109375" style="1" customWidth="1"/>
    <col min="7445" max="7446" width="14.109375" style="1" customWidth="1"/>
    <col min="7447" max="7447" width="17.6640625" style="1" customWidth="1"/>
    <col min="7448" max="7452" width="0" style="1" hidden="1" customWidth="1"/>
    <col min="7453" max="7691" width="8.88671875" style="1"/>
    <col min="7692" max="7692" width="3.109375" style="1" customWidth="1"/>
    <col min="7693" max="7694" width="19.6640625" style="1" customWidth="1"/>
    <col min="7695" max="7695" width="14.109375" style="1" customWidth="1"/>
    <col min="7696" max="7696" width="16" style="1" customWidth="1"/>
    <col min="7697" max="7699" width="14.109375" style="1" customWidth="1"/>
    <col min="7700" max="7700" width="17.109375" style="1" customWidth="1"/>
    <col min="7701" max="7702" width="14.109375" style="1" customWidth="1"/>
    <col min="7703" max="7703" width="17.6640625" style="1" customWidth="1"/>
    <col min="7704" max="7708" width="0" style="1" hidden="1" customWidth="1"/>
    <col min="7709" max="7947" width="8.88671875" style="1"/>
    <col min="7948" max="7948" width="3.109375" style="1" customWidth="1"/>
    <col min="7949" max="7950" width="19.6640625" style="1" customWidth="1"/>
    <col min="7951" max="7951" width="14.109375" style="1" customWidth="1"/>
    <col min="7952" max="7952" width="16" style="1" customWidth="1"/>
    <col min="7953" max="7955" width="14.109375" style="1" customWidth="1"/>
    <col min="7956" max="7956" width="17.109375" style="1" customWidth="1"/>
    <col min="7957" max="7958" width="14.109375" style="1" customWidth="1"/>
    <col min="7959" max="7959" width="17.6640625" style="1" customWidth="1"/>
    <col min="7960" max="7964" width="0" style="1" hidden="1" customWidth="1"/>
    <col min="7965" max="8203" width="8.88671875" style="1"/>
    <col min="8204" max="8204" width="3.109375" style="1" customWidth="1"/>
    <col min="8205" max="8206" width="19.6640625" style="1" customWidth="1"/>
    <col min="8207" max="8207" width="14.109375" style="1" customWidth="1"/>
    <col min="8208" max="8208" width="16" style="1" customWidth="1"/>
    <col min="8209" max="8211" width="14.109375" style="1" customWidth="1"/>
    <col min="8212" max="8212" width="17.109375" style="1" customWidth="1"/>
    <col min="8213" max="8214" width="14.109375" style="1" customWidth="1"/>
    <col min="8215" max="8215" width="17.6640625" style="1" customWidth="1"/>
    <col min="8216" max="8220" width="0" style="1" hidden="1" customWidth="1"/>
    <col min="8221" max="8459" width="8.88671875" style="1"/>
    <col min="8460" max="8460" width="3.109375" style="1" customWidth="1"/>
    <col min="8461" max="8462" width="19.6640625" style="1" customWidth="1"/>
    <col min="8463" max="8463" width="14.109375" style="1" customWidth="1"/>
    <col min="8464" max="8464" width="16" style="1" customWidth="1"/>
    <col min="8465" max="8467" width="14.109375" style="1" customWidth="1"/>
    <col min="8468" max="8468" width="17.109375" style="1" customWidth="1"/>
    <col min="8469" max="8470" width="14.109375" style="1" customWidth="1"/>
    <col min="8471" max="8471" width="17.6640625" style="1" customWidth="1"/>
    <col min="8472" max="8476" width="0" style="1" hidden="1" customWidth="1"/>
    <col min="8477" max="8715" width="8.88671875" style="1"/>
    <col min="8716" max="8716" width="3.109375" style="1" customWidth="1"/>
    <col min="8717" max="8718" width="19.6640625" style="1" customWidth="1"/>
    <col min="8719" max="8719" width="14.109375" style="1" customWidth="1"/>
    <col min="8720" max="8720" width="16" style="1" customWidth="1"/>
    <col min="8721" max="8723" width="14.109375" style="1" customWidth="1"/>
    <col min="8724" max="8724" width="17.109375" style="1" customWidth="1"/>
    <col min="8725" max="8726" width="14.109375" style="1" customWidth="1"/>
    <col min="8727" max="8727" width="17.6640625" style="1" customWidth="1"/>
    <col min="8728" max="8732" width="0" style="1" hidden="1" customWidth="1"/>
    <col min="8733" max="8971" width="8.88671875" style="1"/>
    <col min="8972" max="8972" width="3.109375" style="1" customWidth="1"/>
    <col min="8973" max="8974" width="19.6640625" style="1" customWidth="1"/>
    <col min="8975" max="8975" width="14.109375" style="1" customWidth="1"/>
    <col min="8976" max="8976" width="16" style="1" customWidth="1"/>
    <col min="8977" max="8979" width="14.109375" style="1" customWidth="1"/>
    <col min="8980" max="8980" width="17.109375" style="1" customWidth="1"/>
    <col min="8981" max="8982" width="14.109375" style="1" customWidth="1"/>
    <col min="8983" max="8983" width="17.6640625" style="1" customWidth="1"/>
    <col min="8984" max="8988" width="0" style="1" hidden="1" customWidth="1"/>
    <col min="8989" max="9227" width="8.88671875" style="1"/>
    <col min="9228" max="9228" width="3.109375" style="1" customWidth="1"/>
    <col min="9229" max="9230" width="19.6640625" style="1" customWidth="1"/>
    <col min="9231" max="9231" width="14.109375" style="1" customWidth="1"/>
    <col min="9232" max="9232" width="16" style="1" customWidth="1"/>
    <col min="9233" max="9235" width="14.109375" style="1" customWidth="1"/>
    <col min="9236" max="9236" width="17.109375" style="1" customWidth="1"/>
    <col min="9237" max="9238" width="14.109375" style="1" customWidth="1"/>
    <col min="9239" max="9239" width="17.6640625" style="1" customWidth="1"/>
    <col min="9240" max="9244" width="0" style="1" hidden="1" customWidth="1"/>
    <col min="9245" max="9483" width="8.88671875" style="1"/>
    <col min="9484" max="9484" width="3.109375" style="1" customWidth="1"/>
    <col min="9485" max="9486" width="19.6640625" style="1" customWidth="1"/>
    <col min="9487" max="9487" width="14.109375" style="1" customWidth="1"/>
    <col min="9488" max="9488" width="16" style="1" customWidth="1"/>
    <col min="9489" max="9491" width="14.109375" style="1" customWidth="1"/>
    <col min="9492" max="9492" width="17.109375" style="1" customWidth="1"/>
    <col min="9493" max="9494" width="14.109375" style="1" customWidth="1"/>
    <col min="9495" max="9495" width="17.6640625" style="1" customWidth="1"/>
    <col min="9496" max="9500" width="0" style="1" hidden="1" customWidth="1"/>
    <col min="9501" max="9739" width="8.88671875" style="1"/>
    <col min="9740" max="9740" width="3.109375" style="1" customWidth="1"/>
    <col min="9741" max="9742" width="19.6640625" style="1" customWidth="1"/>
    <col min="9743" max="9743" width="14.109375" style="1" customWidth="1"/>
    <col min="9744" max="9744" width="16" style="1" customWidth="1"/>
    <col min="9745" max="9747" width="14.109375" style="1" customWidth="1"/>
    <col min="9748" max="9748" width="17.109375" style="1" customWidth="1"/>
    <col min="9749" max="9750" width="14.109375" style="1" customWidth="1"/>
    <col min="9751" max="9751" width="17.6640625" style="1" customWidth="1"/>
    <col min="9752" max="9756" width="0" style="1" hidden="1" customWidth="1"/>
    <col min="9757" max="9995" width="8.88671875" style="1"/>
    <col min="9996" max="9996" width="3.109375" style="1" customWidth="1"/>
    <col min="9997" max="9998" width="19.6640625" style="1" customWidth="1"/>
    <col min="9999" max="9999" width="14.109375" style="1" customWidth="1"/>
    <col min="10000" max="10000" width="16" style="1" customWidth="1"/>
    <col min="10001" max="10003" width="14.109375" style="1" customWidth="1"/>
    <col min="10004" max="10004" width="17.109375" style="1" customWidth="1"/>
    <col min="10005" max="10006" width="14.109375" style="1" customWidth="1"/>
    <col min="10007" max="10007" width="17.6640625" style="1" customWidth="1"/>
    <col min="10008" max="10012" width="0" style="1" hidden="1" customWidth="1"/>
    <col min="10013" max="10251" width="8.88671875" style="1"/>
    <col min="10252" max="10252" width="3.109375" style="1" customWidth="1"/>
    <col min="10253" max="10254" width="19.6640625" style="1" customWidth="1"/>
    <col min="10255" max="10255" width="14.109375" style="1" customWidth="1"/>
    <col min="10256" max="10256" width="16" style="1" customWidth="1"/>
    <col min="10257" max="10259" width="14.109375" style="1" customWidth="1"/>
    <col min="10260" max="10260" width="17.109375" style="1" customWidth="1"/>
    <col min="10261" max="10262" width="14.109375" style="1" customWidth="1"/>
    <col min="10263" max="10263" width="17.6640625" style="1" customWidth="1"/>
    <col min="10264" max="10268" width="0" style="1" hidden="1" customWidth="1"/>
    <col min="10269" max="10507" width="8.88671875" style="1"/>
    <col min="10508" max="10508" width="3.109375" style="1" customWidth="1"/>
    <col min="10509" max="10510" width="19.6640625" style="1" customWidth="1"/>
    <col min="10511" max="10511" width="14.109375" style="1" customWidth="1"/>
    <col min="10512" max="10512" width="16" style="1" customWidth="1"/>
    <col min="10513" max="10515" width="14.109375" style="1" customWidth="1"/>
    <col min="10516" max="10516" width="17.109375" style="1" customWidth="1"/>
    <col min="10517" max="10518" width="14.109375" style="1" customWidth="1"/>
    <col min="10519" max="10519" width="17.6640625" style="1" customWidth="1"/>
    <col min="10520" max="10524" width="0" style="1" hidden="1" customWidth="1"/>
    <col min="10525" max="10763" width="8.88671875" style="1"/>
    <col min="10764" max="10764" width="3.109375" style="1" customWidth="1"/>
    <col min="10765" max="10766" width="19.6640625" style="1" customWidth="1"/>
    <col min="10767" max="10767" width="14.109375" style="1" customWidth="1"/>
    <col min="10768" max="10768" width="16" style="1" customWidth="1"/>
    <col min="10769" max="10771" width="14.109375" style="1" customWidth="1"/>
    <col min="10772" max="10772" width="17.109375" style="1" customWidth="1"/>
    <col min="10773" max="10774" width="14.109375" style="1" customWidth="1"/>
    <col min="10775" max="10775" width="17.6640625" style="1" customWidth="1"/>
    <col min="10776" max="10780" width="0" style="1" hidden="1" customWidth="1"/>
    <col min="10781" max="11019" width="8.88671875" style="1"/>
    <col min="11020" max="11020" width="3.109375" style="1" customWidth="1"/>
    <col min="11021" max="11022" width="19.6640625" style="1" customWidth="1"/>
    <col min="11023" max="11023" width="14.109375" style="1" customWidth="1"/>
    <col min="11024" max="11024" width="16" style="1" customWidth="1"/>
    <col min="11025" max="11027" width="14.109375" style="1" customWidth="1"/>
    <col min="11028" max="11028" width="17.109375" style="1" customWidth="1"/>
    <col min="11029" max="11030" width="14.109375" style="1" customWidth="1"/>
    <col min="11031" max="11031" width="17.6640625" style="1" customWidth="1"/>
    <col min="11032" max="11036" width="0" style="1" hidden="1" customWidth="1"/>
    <col min="11037" max="11275" width="8.88671875" style="1"/>
    <col min="11276" max="11276" width="3.109375" style="1" customWidth="1"/>
    <col min="11277" max="11278" width="19.6640625" style="1" customWidth="1"/>
    <col min="11279" max="11279" width="14.109375" style="1" customWidth="1"/>
    <col min="11280" max="11280" width="16" style="1" customWidth="1"/>
    <col min="11281" max="11283" width="14.109375" style="1" customWidth="1"/>
    <col min="11284" max="11284" width="17.109375" style="1" customWidth="1"/>
    <col min="11285" max="11286" width="14.109375" style="1" customWidth="1"/>
    <col min="11287" max="11287" width="17.6640625" style="1" customWidth="1"/>
    <col min="11288" max="11292" width="0" style="1" hidden="1" customWidth="1"/>
    <col min="11293" max="11531" width="8.88671875" style="1"/>
    <col min="11532" max="11532" width="3.109375" style="1" customWidth="1"/>
    <col min="11533" max="11534" width="19.6640625" style="1" customWidth="1"/>
    <col min="11535" max="11535" width="14.109375" style="1" customWidth="1"/>
    <col min="11536" max="11536" width="16" style="1" customWidth="1"/>
    <col min="11537" max="11539" width="14.109375" style="1" customWidth="1"/>
    <col min="11540" max="11540" width="17.109375" style="1" customWidth="1"/>
    <col min="11541" max="11542" width="14.109375" style="1" customWidth="1"/>
    <col min="11543" max="11543" width="17.6640625" style="1" customWidth="1"/>
    <col min="11544" max="11548" width="0" style="1" hidden="1" customWidth="1"/>
    <col min="11549" max="11787" width="8.88671875" style="1"/>
    <col min="11788" max="11788" width="3.109375" style="1" customWidth="1"/>
    <col min="11789" max="11790" width="19.6640625" style="1" customWidth="1"/>
    <col min="11791" max="11791" width="14.109375" style="1" customWidth="1"/>
    <col min="11792" max="11792" width="16" style="1" customWidth="1"/>
    <col min="11793" max="11795" width="14.109375" style="1" customWidth="1"/>
    <col min="11796" max="11796" width="17.109375" style="1" customWidth="1"/>
    <col min="11797" max="11798" width="14.109375" style="1" customWidth="1"/>
    <col min="11799" max="11799" width="17.6640625" style="1" customWidth="1"/>
    <col min="11800" max="11804" width="0" style="1" hidden="1" customWidth="1"/>
    <col min="11805" max="12043" width="8.88671875" style="1"/>
    <col min="12044" max="12044" width="3.109375" style="1" customWidth="1"/>
    <col min="12045" max="12046" width="19.6640625" style="1" customWidth="1"/>
    <col min="12047" max="12047" width="14.109375" style="1" customWidth="1"/>
    <col min="12048" max="12048" width="16" style="1" customWidth="1"/>
    <col min="12049" max="12051" width="14.109375" style="1" customWidth="1"/>
    <col min="12052" max="12052" width="17.109375" style="1" customWidth="1"/>
    <col min="12053" max="12054" width="14.109375" style="1" customWidth="1"/>
    <col min="12055" max="12055" width="17.6640625" style="1" customWidth="1"/>
    <col min="12056" max="12060" width="0" style="1" hidden="1" customWidth="1"/>
    <col min="12061" max="12299" width="8.88671875" style="1"/>
    <col min="12300" max="12300" width="3.109375" style="1" customWidth="1"/>
    <col min="12301" max="12302" width="19.6640625" style="1" customWidth="1"/>
    <col min="12303" max="12303" width="14.109375" style="1" customWidth="1"/>
    <col min="12304" max="12304" width="16" style="1" customWidth="1"/>
    <col min="12305" max="12307" width="14.109375" style="1" customWidth="1"/>
    <col min="12308" max="12308" width="17.109375" style="1" customWidth="1"/>
    <col min="12309" max="12310" width="14.109375" style="1" customWidth="1"/>
    <col min="12311" max="12311" width="17.6640625" style="1" customWidth="1"/>
    <col min="12312" max="12316" width="0" style="1" hidden="1" customWidth="1"/>
    <col min="12317" max="12555" width="8.88671875" style="1"/>
    <col min="12556" max="12556" width="3.109375" style="1" customWidth="1"/>
    <col min="12557" max="12558" width="19.6640625" style="1" customWidth="1"/>
    <col min="12559" max="12559" width="14.109375" style="1" customWidth="1"/>
    <col min="12560" max="12560" width="16" style="1" customWidth="1"/>
    <col min="12561" max="12563" width="14.109375" style="1" customWidth="1"/>
    <col min="12564" max="12564" width="17.109375" style="1" customWidth="1"/>
    <col min="12565" max="12566" width="14.109375" style="1" customWidth="1"/>
    <col min="12567" max="12567" width="17.6640625" style="1" customWidth="1"/>
    <col min="12568" max="12572" width="0" style="1" hidden="1" customWidth="1"/>
    <col min="12573" max="12811" width="8.88671875" style="1"/>
    <col min="12812" max="12812" width="3.109375" style="1" customWidth="1"/>
    <col min="12813" max="12814" width="19.6640625" style="1" customWidth="1"/>
    <col min="12815" max="12815" width="14.109375" style="1" customWidth="1"/>
    <col min="12816" max="12816" width="16" style="1" customWidth="1"/>
    <col min="12817" max="12819" width="14.109375" style="1" customWidth="1"/>
    <col min="12820" max="12820" width="17.109375" style="1" customWidth="1"/>
    <col min="12821" max="12822" width="14.109375" style="1" customWidth="1"/>
    <col min="12823" max="12823" width="17.6640625" style="1" customWidth="1"/>
    <col min="12824" max="12828" width="0" style="1" hidden="1" customWidth="1"/>
    <col min="12829" max="13067" width="8.88671875" style="1"/>
    <col min="13068" max="13068" width="3.109375" style="1" customWidth="1"/>
    <col min="13069" max="13070" width="19.6640625" style="1" customWidth="1"/>
    <col min="13071" max="13071" width="14.109375" style="1" customWidth="1"/>
    <col min="13072" max="13072" width="16" style="1" customWidth="1"/>
    <col min="13073" max="13075" width="14.109375" style="1" customWidth="1"/>
    <col min="13076" max="13076" width="17.109375" style="1" customWidth="1"/>
    <col min="13077" max="13078" width="14.109375" style="1" customWidth="1"/>
    <col min="13079" max="13079" width="17.6640625" style="1" customWidth="1"/>
    <col min="13080" max="13084" width="0" style="1" hidden="1" customWidth="1"/>
    <col min="13085" max="13323" width="8.88671875" style="1"/>
    <col min="13324" max="13324" width="3.109375" style="1" customWidth="1"/>
    <col min="13325" max="13326" width="19.6640625" style="1" customWidth="1"/>
    <col min="13327" max="13327" width="14.109375" style="1" customWidth="1"/>
    <col min="13328" max="13328" width="16" style="1" customWidth="1"/>
    <col min="13329" max="13331" width="14.109375" style="1" customWidth="1"/>
    <col min="13332" max="13332" width="17.109375" style="1" customWidth="1"/>
    <col min="13333" max="13334" width="14.109375" style="1" customWidth="1"/>
    <col min="13335" max="13335" width="17.6640625" style="1" customWidth="1"/>
    <col min="13336" max="13340" width="0" style="1" hidden="1" customWidth="1"/>
    <col min="13341" max="13579" width="8.88671875" style="1"/>
    <col min="13580" max="13580" width="3.109375" style="1" customWidth="1"/>
    <col min="13581" max="13582" width="19.6640625" style="1" customWidth="1"/>
    <col min="13583" max="13583" width="14.109375" style="1" customWidth="1"/>
    <col min="13584" max="13584" width="16" style="1" customWidth="1"/>
    <col min="13585" max="13587" width="14.109375" style="1" customWidth="1"/>
    <col min="13588" max="13588" width="17.109375" style="1" customWidth="1"/>
    <col min="13589" max="13590" width="14.109375" style="1" customWidth="1"/>
    <col min="13591" max="13591" width="17.6640625" style="1" customWidth="1"/>
    <col min="13592" max="13596" width="0" style="1" hidden="1" customWidth="1"/>
    <col min="13597" max="13835" width="8.88671875" style="1"/>
    <col min="13836" max="13836" width="3.109375" style="1" customWidth="1"/>
    <col min="13837" max="13838" width="19.6640625" style="1" customWidth="1"/>
    <col min="13839" max="13839" width="14.109375" style="1" customWidth="1"/>
    <col min="13840" max="13840" width="16" style="1" customWidth="1"/>
    <col min="13841" max="13843" width="14.109375" style="1" customWidth="1"/>
    <col min="13844" max="13844" width="17.109375" style="1" customWidth="1"/>
    <col min="13845" max="13846" width="14.109375" style="1" customWidth="1"/>
    <col min="13847" max="13847" width="17.6640625" style="1" customWidth="1"/>
    <col min="13848" max="13852" width="0" style="1" hidden="1" customWidth="1"/>
    <col min="13853" max="14091" width="8.88671875" style="1"/>
    <col min="14092" max="14092" width="3.109375" style="1" customWidth="1"/>
    <col min="14093" max="14094" width="19.6640625" style="1" customWidth="1"/>
    <col min="14095" max="14095" width="14.109375" style="1" customWidth="1"/>
    <col min="14096" max="14096" width="16" style="1" customWidth="1"/>
    <col min="14097" max="14099" width="14.109375" style="1" customWidth="1"/>
    <col min="14100" max="14100" width="17.109375" style="1" customWidth="1"/>
    <col min="14101" max="14102" width="14.109375" style="1" customWidth="1"/>
    <col min="14103" max="14103" width="17.6640625" style="1" customWidth="1"/>
    <col min="14104" max="14108" width="0" style="1" hidden="1" customWidth="1"/>
    <col min="14109" max="14347" width="8.88671875" style="1"/>
    <col min="14348" max="14348" width="3.109375" style="1" customWidth="1"/>
    <col min="14349" max="14350" width="19.6640625" style="1" customWidth="1"/>
    <col min="14351" max="14351" width="14.109375" style="1" customWidth="1"/>
    <col min="14352" max="14352" width="16" style="1" customWidth="1"/>
    <col min="14353" max="14355" width="14.109375" style="1" customWidth="1"/>
    <col min="14356" max="14356" width="17.109375" style="1" customWidth="1"/>
    <col min="14357" max="14358" width="14.109375" style="1" customWidth="1"/>
    <col min="14359" max="14359" width="17.6640625" style="1" customWidth="1"/>
    <col min="14360" max="14364" width="0" style="1" hidden="1" customWidth="1"/>
    <col min="14365" max="14603" width="8.88671875" style="1"/>
    <col min="14604" max="14604" width="3.109375" style="1" customWidth="1"/>
    <col min="14605" max="14606" width="19.6640625" style="1" customWidth="1"/>
    <col min="14607" max="14607" width="14.109375" style="1" customWidth="1"/>
    <col min="14608" max="14608" width="16" style="1" customWidth="1"/>
    <col min="14609" max="14611" width="14.109375" style="1" customWidth="1"/>
    <col min="14612" max="14612" width="17.109375" style="1" customWidth="1"/>
    <col min="14613" max="14614" width="14.109375" style="1" customWidth="1"/>
    <col min="14615" max="14615" width="17.6640625" style="1" customWidth="1"/>
    <col min="14616" max="14620" width="0" style="1" hidden="1" customWidth="1"/>
    <col min="14621" max="14859" width="8.88671875" style="1"/>
    <col min="14860" max="14860" width="3.109375" style="1" customWidth="1"/>
    <col min="14861" max="14862" width="19.6640625" style="1" customWidth="1"/>
    <col min="14863" max="14863" width="14.109375" style="1" customWidth="1"/>
    <col min="14864" max="14864" width="16" style="1" customWidth="1"/>
    <col min="14865" max="14867" width="14.109375" style="1" customWidth="1"/>
    <col min="14868" max="14868" width="17.109375" style="1" customWidth="1"/>
    <col min="14869" max="14870" width="14.109375" style="1" customWidth="1"/>
    <col min="14871" max="14871" width="17.6640625" style="1" customWidth="1"/>
    <col min="14872" max="14876" width="0" style="1" hidden="1" customWidth="1"/>
    <col min="14877" max="15115" width="8.88671875" style="1"/>
    <col min="15116" max="15116" width="3.109375" style="1" customWidth="1"/>
    <col min="15117" max="15118" width="19.6640625" style="1" customWidth="1"/>
    <col min="15119" max="15119" width="14.109375" style="1" customWidth="1"/>
    <col min="15120" max="15120" width="16" style="1" customWidth="1"/>
    <col min="15121" max="15123" width="14.109375" style="1" customWidth="1"/>
    <col min="15124" max="15124" width="17.109375" style="1" customWidth="1"/>
    <col min="15125" max="15126" width="14.109375" style="1" customWidth="1"/>
    <col min="15127" max="15127" width="17.6640625" style="1" customWidth="1"/>
    <col min="15128" max="15132" width="0" style="1" hidden="1" customWidth="1"/>
    <col min="15133" max="15371" width="8.88671875" style="1"/>
    <col min="15372" max="15372" width="3.109375" style="1" customWidth="1"/>
    <col min="15373" max="15374" width="19.6640625" style="1" customWidth="1"/>
    <col min="15375" max="15375" width="14.109375" style="1" customWidth="1"/>
    <col min="15376" max="15376" width="16" style="1" customWidth="1"/>
    <col min="15377" max="15379" width="14.109375" style="1" customWidth="1"/>
    <col min="15380" max="15380" width="17.109375" style="1" customWidth="1"/>
    <col min="15381" max="15382" width="14.109375" style="1" customWidth="1"/>
    <col min="15383" max="15383" width="17.6640625" style="1" customWidth="1"/>
    <col min="15384" max="15388" width="0" style="1" hidden="1" customWidth="1"/>
    <col min="15389" max="15627" width="8.88671875" style="1"/>
    <col min="15628" max="15628" width="3.109375" style="1" customWidth="1"/>
    <col min="15629" max="15630" width="19.6640625" style="1" customWidth="1"/>
    <col min="15631" max="15631" width="14.109375" style="1" customWidth="1"/>
    <col min="15632" max="15632" width="16" style="1" customWidth="1"/>
    <col min="15633" max="15635" width="14.109375" style="1" customWidth="1"/>
    <col min="15636" max="15636" width="17.109375" style="1" customWidth="1"/>
    <col min="15637" max="15638" width="14.109375" style="1" customWidth="1"/>
    <col min="15639" max="15639" width="17.6640625" style="1" customWidth="1"/>
    <col min="15640" max="15644" width="0" style="1" hidden="1" customWidth="1"/>
    <col min="15645" max="15883" width="8.88671875" style="1"/>
    <col min="15884" max="15884" width="3.109375" style="1" customWidth="1"/>
    <col min="15885" max="15886" width="19.6640625" style="1" customWidth="1"/>
    <col min="15887" max="15887" width="14.109375" style="1" customWidth="1"/>
    <col min="15888" max="15888" width="16" style="1" customWidth="1"/>
    <col min="15889" max="15891" width="14.109375" style="1" customWidth="1"/>
    <col min="15892" max="15892" width="17.109375" style="1" customWidth="1"/>
    <col min="15893" max="15894" width="14.109375" style="1" customWidth="1"/>
    <col min="15895" max="15895" width="17.6640625" style="1" customWidth="1"/>
    <col min="15896" max="15900" width="0" style="1" hidden="1" customWidth="1"/>
    <col min="15901" max="16139" width="8.88671875" style="1"/>
    <col min="16140" max="16140" width="3.109375" style="1" customWidth="1"/>
    <col min="16141" max="16142" width="19.6640625" style="1" customWidth="1"/>
    <col min="16143" max="16143" width="14.109375" style="1" customWidth="1"/>
    <col min="16144" max="16144" width="16" style="1" customWidth="1"/>
    <col min="16145" max="16147" width="14.109375" style="1" customWidth="1"/>
    <col min="16148" max="16148" width="17.109375" style="1" customWidth="1"/>
    <col min="16149" max="16150" width="14.109375" style="1" customWidth="1"/>
    <col min="16151" max="16151" width="17.6640625" style="1" customWidth="1"/>
    <col min="16152" max="16156" width="0" style="1" hidden="1" customWidth="1"/>
    <col min="16157" max="16384" width="8.88671875" style="1"/>
  </cols>
  <sheetData>
    <row r="2" spans="2:25">
      <c r="G2" s="2"/>
      <c r="H2" s="2"/>
      <c r="I2" s="2"/>
      <c r="J2" s="2"/>
    </row>
    <row r="3" spans="2:25" ht="17.25" thickBot="1">
      <c r="B3" s="3" t="s">
        <v>0</v>
      </c>
      <c r="C3" s="3"/>
      <c r="D3" s="3"/>
      <c r="E3" s="3"/>
      <c r="F3" s="3"/>
      <c r="G3" s="4" t="s">
        <v>1</v>
      </c>
      <c r="H3" s="5"/>
      <c r="I3" s="6"/>
      <c r="J3" s="7"/>
      <c r="K3" s="8">
        <v>43313</v>
      </c>
      <c r="L3" s="8">
        <v>43313</v>
      </c>
      <c r="M3" s="8">
        <v>43313</v>
      </c>
      <c r="N3" s="8">
        <v>43313</v>
      </c>
      <c r="O3" s="8">
        <v>43313</v>
      </c>
      <c r="P3" s="8">
        <v>43313</v>
      </c>
      <c r="Q3" s="8">
        <v>43313</v>
      </c>
      <c r="R3" s="8">
        <v>43313</v>
      </c>
      <c r="S3" s="8">
        <v>43313</v>
      </c>
      <c r="T3" s="8">
        <v>43313</v>
      </c>
      <c r="U3" s="8">
        <v>43313</v>
      </c>
      <c r="V3" s="8">
        <v>43313</v>
      </c>
      <c r="W3" s="8">
        <v>43313</v>
      </c>
      <c r="X3" s="8">
        <v>43313</v>
      </c>
    </row>
    <row r="4" spans="2:25" ht="17.25" thickBot="1">
      <c r="B4" s="9" t="s">
        <v>2</v>
      </c>
      <c r="C4" s="10" t="s">
        <v>3</v>
      </c>
      <c r="D4" s="10" t="s">
        <v>4</v>
      </c>
      <c r="E4" s="11" t="s">
        <v>5</v>
      </c>
      <c r="F4" s="12"/>
      <c r="G4" s="13"/>
      <c r="H4" s="14" t="s">
        <v>6</v>
      </c>
      <c r="I4" s="14" t="s">
        <v>7</v>
      </c>
      <c r="J4" s="14" t="s">
        <v>8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</row>
    <row r="5" spans="2:25">
      <c r="B5" s="17" t="s">
        <v>9</v>
      </c>
      <c r="C5" s="18">
        <f>'BVT 선적계획'!L7</f>
        <v>0</v>
      </c>
      <c r="D5" s="19">
        <f>IFERROR('ETP 선적계획'!L7,0)</f>
        <v>0</v>
      </c>
      <c r="E5" s="20">
        <f>C5+D5</f>
        <v>0</v>
      </c>
      <c r="F5" s="21"/>
      <c r="G5" s="22" t="s">
        <v>10</v>
      </c>
      <c r="H5" s="23"/>
      <c r="I5" s="23"/>
      <c r="J5" s="23">
        <v>393557.46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2:25" ht="14.25" thickBot="1">
      <c r="B6" s="25" t="s">
        <v>11</v>
      </c>
      <c r="C6" s="26">
        <f>'BVT 선적계획'!M7</f>
        <v>0</v>
      </c>
      <c r="D6" s="27">
        <f>IFERROR('ETP 선적계획'!M7,0)</f>
        <v>0</v>
      </c>
      <c r="E6" s="28">
        <f>C6+D6</f>
        <v>0</v>
      </c>
      <c r="F6" s="21"/>
      <c r="G6" s="22" t="s">
        <v>12</v>
      </c>
      <c r="H6" s="23">
        <v>10730178.749999981</v>
      </c>
      <c r="I6" s="23">
        <v>5724683.4799999949</v>
      </c>
      <c r="J6" s="23">
        <v>5005495.2699999865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spans="2:25" ht="14.25" thickBot="1">
      <c r="B7" s="29" t="s">
        <v>13</v>
      </c>
      <c r="C7" s="30">
        <f>C5-C6</f>
        <v>0</v>
      </c>
      <c r="D7" s="30">
        <f>D5-D6</f>
        <v>0</v>
      </c>
      <c r="E7" s="31">
        <f>C7+D7</f>
        <v>0</v>
      </c>
      <c r="F7" s="21"/>
      <c r="G7" s="22" t="s">
        <v>14</v>
      </c>
      <c r="H7" s="32">
        <v>341408.33000001311</v>
      </c>
      <c r="I7" s="23"/>
      <c r="J7" s="23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spans="2:25" ht="14.25" thickBot="1">
      <c r="B8" s="9" t="s">
        <v>2</v>
      </c>
      <c r="C8" s="10" t="s">
        <v>15</v>
      </c>
      <c r="D8" s="10" t="s">
        <v>16</v>
      </c>
      <c r="E8" s="11" t="s">
        <v>5</v>
      </c>
      <c r="F8" s="12"/>
      <c r="G8" s="22"/>
      <c r="H8" s="32"/>
      <c r="I8" s="23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spans="2:25" ht="14.25" thickBot="1">
      <c r="B9" s="9" t="s">
        <v>17</v>
      </c>
      <c r="C9" s="33">
        <f>'BVT 선적계획'!W7+'BVT 선적계획'!X7</f>
        <v>0</v>
      </c>
      <c r="D9" s="34"/>
      <c r="E9" s="31">
        <f>SUM(C9:D9)</f>
        <v>0</v>
      </c>
      <c r="F9" s="21"/>
      <c r="G9" s="35"/>
      <c r="H9" s="36">
        <v>11071587.079999994</v>
      </c>
      <c r="I9" s="36">
        <v>5724683.4799999949</v>
      </c>
      <c r="J9" s="36">
        <v>5399052.7299999865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spans="2:25" ht="17.25" thickBot="1">
      <c r="B10" s="9" t="s">
        <v>18</v>
      </c>
      <c r="C10" s="37">
        <f>-F19</f>
        <v>0</v>
      </c>
      <c r="D10" s="37"/>
      <c r="E10" s="31">
        <f>SUM(C10:D10)</f>
        <v>0</v>
      </c>
      <c r="F10" s="21"/>
      <c r="G10" s="38"/>
      <c r="H10" s="38"/>
      <c r="I10" s="38"/>
      <c r="J10" s="39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spans="2:25" ht="17.25" thickBot="1">
      <c r="B11" s="40" t="s">
        <v>19</v>
      </c>
      <c r="C11" s="41">
        <f>SUM(C9:C10)</f>
        <v>0</v>
      </c>
      <c r="D11" s="41">
        <f>SUM(D9:D10)</f>
        <v>0</v>
      </c>
      <c r="E11" s="41">
        <f>SUM(E9:E10)</f>
        <v>0</v>
      </c>
      <c r="F11" s="42"/>
      <c r="G11" s="3"/>
      <c r="H11" s="3"/>
      <c r="I11" s="3"/>
      <c r="J11" s="3"/>
    </row>
    <row r="12" spans="2:25" ht="16.5">
      <c r="B12" s="3"/>
      <c r="C12" s="3"/>
      <c r="D12" s="3"/>
      <c r="E12" s="3"/>
      <c r="F12" s="3"/>
      <c r="G12" s="3"/>
      <c r="H12" s="3"/>
      <c r="I12" s="3"/>
      <c r="J12" s="3"/>
    </row>
    <row r="13" spans="2:25" ht="17.25" thickBot="1">
      <c r="B13" s="3" t="s">
        <v>20</v>
      </c>
      <c r="C13" s="3"/>
      <c r="D13" s="3"/>
      <c r="E13" s="3"/>
      <c r="F13" s="3"/>
      <c r="G13" s="3"/>
      <c r="H13" s="3"/>
      <c r="I13" s="3"/>
      <c r="J13" s="3"/>
      <c r="Y13" s="43"/>
    </row>
    <row r="14" spans="2:25" ht="14.25" thickBot="1">
      <c r="B14" s="223" t="s">
        <v>21</v>
      </c>
      <c r="C14" s="223" t="s">
        <v>22</v>
      </c>
      <c r="D14" s="209" t="s">
        <v>23</v>
      </c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1"/>
      <c r="Y14" s="45" t="s">
        <v>19</v>
      </c>
    </row>
    <row r="15" spans="2:25" ht="14.25" thickBot="1">
      <c r="B15" s="224"/>
      <c r="C15" s="224"/>
      <c r="D15" s="46" t="s">
        <v>24</v>
      </c>
      <c r="E15" s="47" t="s">
        <v>25</v>
      </c>
      <c r="F15" s="48" t="s">
        <v>73</v>
      </c>
      <c r="G15" s="48">
        <v>1</v>
      </c>
      <c r="H15" s="47">
        <v>2</v>
      </c>
      <c r="I15" s="47">
        <v>3</v>
      </c>
      <c r="J15" s="47">
        <v>4</v>
      </c>
      <c r="K15" s="47">
        <v>5</v>
      </c>
      <c r="L15" s="47">
        <v>6</v>
      </c>
      <c r="M15" s="47">
        <v>7</v>
      </c>
      <c r="N15" s="47">
        <v>8</v>
      </c>
      <c r="O15" s="47">
        <v>9</v>
      </c>
      <c r="P15" s="47">
        <v>10</v>
      </c>
      <c r="Q15" s="47">
        <v>11</v>
      </c>
      <c r="R15" s="47">
        <v>12</v>
      </c>
      <c r="S15" s="47">
        <v>1</v>
      </c>
      <c r="T15" s="47">
        <v>2</v>
      </c>
      <c r="U15" s="47">
        <v>3</v>
      </c>
      <c r="V15" s="47">
        <v>4</v>
      </c>
      <c r="W15" s="47">
        <v>5</v>
      </c>
      <c r="X15" s="47">
        <v>6</v>
      </c>
      <c r="Y15" s="49"/>
    </row>
    <row r="16" spans="2:25" ht="14.25" thickBot="1">
      <c r="B16" s="50">
        <f>C5</f>
        <v>0</v>
      </c>
      <c r="C16" s="51" t="s">
        <v>26</v>
      </c>
      <c r="D16" s="192">
        <f>'BVT 선적계획'!U7</f>
        <v>0</v>
      </c>
      <c r="E16" s="193">
        <f>'BVT 선적계획'!V7</f>
        <v>0</v>
      </c>
      <c r="F16" s="44">
        <f>'BVT 선적계획'!W7</f>
        <v>0</v>
      </c>
      <c r="G16" s="52">
        <f>'BVT 선적계획'!X7</f>
        <v>0</v>
      </c>
      <c r="H16" s="52">
        <f>'BVT 선적계획'!Y7</f>
        <v>0</v>
      </c>
      <c r="I16" s="52">
        <f>'BVT 선적계획'!Z7</f>
        <v>0</v>
      </c>
      <c r="J16" s="52">
        <f>'BVT 선적계획'!AA7</f>
        <v>0</v>
      </c>
      <c r="K16" s="52">
        <f>'BVT 선적계획'!AB7</f>
        <v>0</v>
      </c>
      <c r="L16" s="52">
        <f>'BVT 선적계획'!AC7</f>
        <v>0</v>
      </c>
      <c r="M16" s="52">
        <f>'BVT 선적계획'!AD7</f>
        <v>0</v>
      </c>
      <c r="N16" s="52">
        <f>'BVT 선적계획'!AE7</f>
        <v>0</v>
      </c>
      <c r="O16" s="52">
        <f>'BVT 선적계획'!AF7</f>
        <v>0</v>
      </c>
      <c r="P16" s="52">
        <f>'BVT 선적계획'!AG7</f>
        <v>0</v>
      </c>
      <c r="Q16" s="52">
        <f>'BVT 선적계획'!AH7</f>
        <v>0</v>
      </c>
      <c r="R16" s="52">
        <f>'BVT 선적계획'!AI7</f>
        <v>0</v>
      </c>
      <c r="S16" s="52">
        <f>'BVT 선적계획'!AJ7</f>
        <v>0</v>
      </c>
      <c r="T16" s="52">
        <f>'BVT 선적계획'!AK7</f>
        <v>0</v>
      </c>
      <c r="U16" s="52">
        <f>'BVT 선적계획'!AL7</f>
        <v>0</v>
      </c>
      <c r="V16" s="52">
        <f>'BVT 선적계획'!AM7</f>
        <v>0</v>
      </c>
      <c r="W16" s="52">
        <f>'BVT 선적계획'!AN7</f>
        <v>0</v>
      </c>
      <c r="X16" s="52">
        <f>'BVT 선적계획'!AO7</f>
        <v>0</v>
      </c>
      <c r="Y16" s="53">
        <f t="shared" ref="Y16:Y21" si="0">SUM(D16:X16)</f>
        <v>0</v>
      </c>
    </row>
    <row r="17" spans="2:28" ht="14.25" thickBot="1">
      <c r="B17" s="54">
        <f>D5</f>
        <v>0</v>
      </c>
      <c r="C17" s="55" t="s">
        <v>27</v>
      </c>
      <c r="D17" s="194">
        <f>IFERROR('ETP 선적계획'!U7,0)</f>
        <v>0</v>
      </c>
      <c r="E17" s="194">
        <f>IFERROR('ETP 선적계획'!V7,0)</f>
        <v>0</v>
      </c>
      <c r="F17" s="208">
        <f>IFERROR('ETP 선적계획'!W7,0)</f>
        <v>0</v>
      </c>
      <c r="G17" s="208">
        <f>IFERROR('ETP 선적계획'!X7,0)</f>
        <v>0</v>
      </c>
      <c r="H17" s="208">
        <f>IFERROR('ETP 선적계획'!Y7,0)</f>
        <v>0</v>
      </c>
      <c r="I17" s="208">
        <f>IFERROR('ETP 선적계획'!Z7,0)</f>
        <v>0</v>
      </c>
      <c r="J17" s="208">
        <f>IFERROR('ETP 선적계획'!AA7,0)</f>
        <v>0</v>
      </c>
      <c r="K17" s="208">
        <f>IFERROR('ETP 선적계획'!AB7,0)</f>
        <v>0</v>
      </c>
      <c r="L17" s="208">
        <f>IFERROR('ETP 선적계획'!AC7,0)</f>
        <v>0</v>
      </c>
      <c r="M17" s="208">
        <f>IFERROR('ETP 선적계획'!AD7,0)</f>
        <v>0</v>
      </c>
      <c r="N17" s="208">
        <f>IFERROR('ETP 선적계획'!AE7,0)</f>
        <v>0</v>
      </c>
      <c r="O17" s="208">
        <f>IFERROR('ETP 선적계획'!AF7,0)</f>
        <v>0</v>
      </c>
      <c r="P17" s="208">
        <f>IFERROR('ETP 선적계획'!AG7,0)</f>
        <v>0</v>
      </c>
      <c r="Q17" s="208">
        <f>IFERROR('ETP 선적계획'!AH7,0)</f>
        <v>0</v>
      </c>
      <c r="R17" s="208">
        <f>IFERROR('ETP 선적계획'!AI7,0)</f>
        <v>0</v>
      </c>
      <c r="S17" s="208">
        <f>IFERROR('ETP 선적계획'!AJ7,0)</f>
        <v>0</v>
      </c>
      <c r="T17" s="208">
        <f>IFERROR('ETP 선적계획'!AK7,0)</f>
        <v>0</v>
      </c>
      <c r="U17" s="208">
        <f>IFERROR('ETP 선적계획'!AL7,0)</f>
        <v>0</v>
      </c>
      <c r="V17" s="208">
        <f>IFERROR('ETP 선적계획'!AM7,0)</f>
        <v>0</v>
      </c>
      <c r="W17" s="208">
        <f>IFERROR('ETP 선적계획'!AN7,0)</f>
        <v>0</v>
      </c>
      <c r="X17" s="208">
        <f>IFERROR('ETP 선적계획'!AO7,0)</f>
        <v>0</v>
      </c>
      <c r="Y17" s="53">
        <f t="shared" si="0"/>
        <v>0</v>
      </c>
    </row>
    <row r="18" spans="2:28" ht="14.25" thickBot="1">
      <c r="B18" s="56" t="s">
        <v>28</v>
      </c>
      <c r="C18" s="57" t="s">
        <v>29</v>
      </c>
      <c r="D18" s="58" t="s">
        <v>30</v>
      </c>
      <c r="E18" s="58"/>
      <c r="F18" s="59"/>
      <c r="G18" s="60"/>
      <c r="H18" s="60"/>
      <c r="I18" s="60"/>
      <c r="J18" s="61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53">
        <f t="shared" si="0"/>
        <v>0</v>
      </c>
    </row>
    <row r="19" spans="2:28" ht="14.25" thickBot="1">
      <c r="B19" s="63"/>
      <c r="C19" s="64" t="s">
        <v>31</v>
      </c>
      <c r="D19" s="65"/>
      <c r="E19" s="65"/>
      <c r="F19" s="66"/>
      <c r="G19" s="67"/>
      <c r="H19" s="67"/>
      <c r="I19" s="67"/>
      <c r="J19" s="68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70">
        <f t="shared" si="0"/>
        <v>0</v>
      </c>
    </row>
    <row r="20" spans="2:28" ht="14.25" thickBot="1">
      <c r="B20" s="225" t="s">
        <v>32</v>
      </c>
      <c r="C20" s="226"/>
      <c r="D20" s="72"/>
      <c r="E20" s="72"/>
      <c r="F20" s="72"/>
      <c r="G20" s="73"/>
      <c r="H20" s="74"/>
      <c r="I20" s="74"/>
      <c r="J20" s="75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53">
        <f t="shared" si="0"/>
        <v>0</v>
      </c>
    </row>
    <row r="21" spans="2:28" s="78" customFormat="1" ht="17.25" thickBot="1">
      <c r="B21" s="227" t="s">
        <v>33</v>
      </c>
      <c r="C21" s="228"/>
      <c r="D21" s="77">
        <f>SUM(D16:D20)</f>
        <v>0</v>
      </c>
      <c r="E21" s="77">
        <f t="shared" ref="E21:X21" si="1">SUM(E16:E20)</f>
        <v>0</v>
      </c>
      <c r="F21" s="77">
        <f t="shared" si="1"/>
        <v>0</v>
      </c>
      <c r="G21" s="77">
        <f t="shared" si="1"/>
        <v>0</v>
      </c>
      <c r="H21" s="77">
        <f t="shared" si="1"/>
        <v>0</v>
      </c>
      <c r="I21" s="77">
        <f t="shared" si="1"/>
        <v>0</v>
      </c>
      <c r="J21" s="77">
        <f t="shared" si="1"/>
        <v>0</v>
      </c>
      <c r="K21" s="77">
        <f t="shared" si="1"/>
        <v>0</v>
      </c>
      <c r="L21" s="77">
        <f t="shared" si="1"/>
        <v>0</v>
      </c>
      <c r="M21" s="77">
        <f t="shared" si="1"/>
        <v>0</v>
      </c>
      <c r="N21" s="77">
        <f t="shared" si="1"/>
        <v>0</v>
      </c>
      <c r="O21" s="77">
        <f>SUM(O16:O20)</f>
        <v>0</v>
      </c>
      <c r="P21" s="77">
        <f t="shared" ref="P21:V21" si="2">SUM(P16:P20)</f>
        <v>0</v>
      </c>
      <c r="Q21" s="77">
        <f t="shared" si="2"/>
        <v>0</v>
      </c>
      <c r="R21" s="77">
        <f>SUM(R16:R20)</f>
        <v>0</v>
      </c>
      <c r="S21" s="77">
        <f t="shared" si="2"/>
        <v>0</v>
      </c>
      <c r="T21" s="77">
        <f>SUM(T16:T20)</f>
        <v>0</v>
      </c>
      <c r="U21" s="77">
        <f>SUM(U16:U20)</f>
        <v>0</v>
      </c>
      <c r="V21" s="77">
        <f t="shared" si="2"/>
        <v>0</v>
      </c>
      <c r="W21" s="77">
        <f>SUM(W16:W20)</f>
        <v>0</v>
      </c>
      <c r="X21" s="77">
        <f t="shared" si="1"/>
        <v>0</v>
      </c>
      <c r="Y21" s="53">
        <f t="shared" si="0"/>
        <v>0</v>
      </c>
    </row>
    <row r="22" spans="2:28" s="83" customFormat="1" ht="16.5">
      <c r="B22" s="1"/>
      <c r="C22" s="71"/>
      <c r="D22" s="71"/>
      <c r="E22" s="79"/>
      <c r="F22" s="80"/>
      <c r="G22" s="81"/>
      <c r="H22" s="82"/>
      <c r="I22" s="71"/>
      <c r="J22" s="7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2:28" s="83" customFormat="1" ht="16.5" hidden="1">
      <c r="B23" s="1"/>
      <c r="C23" s="71"/>
      <c r="D23" s="71"/>
      <c r="E23" s="79"/>
      <c r="F23" s="80"/>
      <c r="G23" s="81"/>
      <c r="H23" s="82"/>
      <c r="I23" s="71"/>
      <c r="J23" s="7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AA23" s="206"/>
      <c r="AB23" s="207"/>
    </row>
    <row r="24" spans="2:28" s="83" customFormat="1" ht="16.5" hidden="1">
      <c r="B24" s="1"/>
      <c r="C24" s="71"/>
      <c r="D24" s="71"/>
      <c r="E24" s="79"/>
      <c r="F24" s="80"/>
      <c r="G24" s="81"/>
      <c r="H24" s="82"/>
      <c r="I24" s="71"/>
      <c r="J24" s="7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AA24" s="206"/>
      <c r="AB24" s="207"/>
    </row>
    <row r="25" spans="2:28" s="83" customFormat="1" ht="16.5" hidden="1">
      <c r="B25" s="1"/>
      <c r="C25" s="71"/>
      <c r="D25" s="71"/>
      <c r="E25" s="79"/>
      <c r="F25" s="80"/>
      <c r="G25" s="81"/>
      <c r="H25" s="82"/>
      <c r="I25" s="71"/>
      <c r="J25" s="7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AA25" s="206"/>
      <c r="AB25" s="207"/>
    </row>
    <row r="26" spans="2:28" s="83" customFormat="1" ht="16.5" hidden="1">
      <c r="B26" s="1"/>
      <c r="C26" s="71"/>
      <c r="D26" s="71"/>
      <c r="E26" s="79"/>
      <c r="F26" s="80"/>
      <c r="G26" s="81"/>
      <c r="H26" s="82"/>
      <c r="I26" s="71"/>
      <c r="J26" s="7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AA26" s="206"/>
      <c r="AB26" s="207"/>
    </row>
    <row r="27" spans="2:28" s="83" customFormat="1" ht="16.5" hidden="1">
      <c r="B27" s="1"/>
      <c r="C27" s="71"/>
      <c r="D27" s="71"/>
      <c r="E27" s="79"/>
      <c r="F27" s="80"/>
      <c r="G27" s="81"/>
      <c r="H27" s="82"/>
      <c r="I27" s="71"/>
      <c r="J27" s="7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AA27" s="206"/>
      <c r="AB27" s="207"/>
    </row>
    <row r="28" spans="2:28" s="83" customFormat="1" ht="16.5" hidden="1">
      <c r="B28" s="1"/>
      <c r="C28" s="71"/>
      <c r="D28" s="71"/>
      <c r="E28" s="79"/>
      <c r="F28" s="80"/>
      <c r="G28" s="81"/>
      <c r="H28" s="82"/>
      <c r="I28" s="71"/>
      <c r="J28" s="7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AA28" s="206"/>
      <c r="AB28" s="207"/>
    </row>
    <row r="29" spans="2:28" s="83" customFormat="1" ht="16.5" hidden="1">
      <c r="B29" s="1"/>
      <c r="C29" s="71"/>
      <c r="D29" s="71"/>
      <c r="E29" s="79"/>
      <c r="F29" s="80"/>
      <c r="G29" s="81"/>
      <c r="H29" s="82"/>
      <c r="I29" s="71"/>
      <c r="J29" s="7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206"/>
      <c r="AB29" s="207"/>
    </row>
    <row r="30" spans="2:28" s="83" customFormat="1" ht="16.5" hidden="1">
      <c r="B30" s="1"/>
      <c r="C30" s="71"/>
      <c r="D30" s="71"/>
      <c r="E30" s="79"/>
      <c r="F30" s="80"/>
      <c r="G30" s="81"/>
      <c r="H30" s="82"/>
      <c r="I30" s="71"/>
      <c r="J30" s="7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206"/>
      <c r="AB30" s="207"/>
    </row>
    <row r="31" spans="2:28" s="83" customFormat="1" ht="16.5" hidden="1">
      <c r="B31" s="1"/>
      <c r="C31" s="71"/>
      <c r="D31" s="71"/>
      <c r="E31" s="79"/>
      <c r="F31" s="80"/>
      <c r="G31" s="81"/>
      <c r="H31" s="82"/>
      <c r="I31" s="71"/>
      <c r="J31" s="7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206"/>
      <c r="AB31" s="207"/>
    </row>
    <row r="32" spans="2:28" s="83" customFormat="1" ht="16.5" hidden="1">
      <c r="B32" s="1"/>
      <c r="C32" s="71"/>
      <c r="D32" s="71"/>
      <c r="E32" s="79"/>
      <c r="F32" s="80"/>
      <c r="G32" s="81"/>
      <c r="H32" s="82"/>
      <c r="I32" s="71"/>
      <c r="J32" s="7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206"/>
      <c r="AB32" s="207"/>
    </row>
    <row r="33" spans="2:28" s="83" customFormat="1" ht="16.5" hidden="1">
      <c r="B33" s="1"/>
      <c r="C33" s="71"/>
      <c r="D33" s="71"/>
      <c r="E33" s="79"/>
      <c r="F33" s="80"/>
      <c r="G33" s="81"/>
      <c r="H33" s="82"/>
      <c r="I33" s="71"/>
      <c r="J33" s="7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206"/>
      <c r="AB33" s="207"/>
    </row>
    <row r="34" spans="2:28" s="83" customFormat="1" ht="16.5" hidden="1">
      <c r="B34" s="1"/>
      <c r="C34" s="71"/>
      <c r="D34" s="71"/>
      <c r="E34" s="79"/>
      <c r="F34" s="80"/>
      <c r="G34" s="81"/>
      <c r="H34" s="82"/>
      <c r="I34" s="71"/>
      <c r="J34" s="7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206"/>
      <c r="AB34" s="207"/>
    </row>
    <row r="35" spans="2:28" s="83" customFormat="1" ht="16.5" hidden="1">
      <c r="B35" s="1"/>
      <c r="C35" s="71"/>
      <c r="D35" s="71"/>
      <c r="E35" s="79"/>
      <c r="F35" s="80"/>
      <c r="G35" s="81"/>
      <c r="H35" s="82"/>
      <c r="I35" s="71"/>
      <c r="J35" s="7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206"/>
      <c r="AB35" s="207"/>
    </row>
    <row r="36" spans="2:28" s="83" customFormat="1" ht="16.5" hidden="1">
      <c r="B36" s="1"/>
      <c r="C36" s="71"/>
      <c r="D36" s="71"/>
      <c r="E36" s="79"/>
      <c r="F36" s="80"/>
      <c r="G36" s="81"/>
      <c r="H36" s="82"/>
      <c r="I36" s="71"/>
      <c r="J36" s="7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206"/>
      <c r="AB36" s="207"/>
    </row>
    <row r="37" spans="2:28" s="83" customFormat="1" ht="16.5" hidden="1">
      <c r="B37" s="1"/>
      <c r="C37" s="71"/>
      <c r="D37" s="71"/>
      <c r="E37" s="79"/>
      <c r="F37" s="80"/>
      <c r="G37" s="81"/>
      <c r="H37" s="82"/>
      <c r="I37" s="71"/>
      <c r="J37" s="7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206"/>
      <c r="AB37" s="207"/>
    </row>
    <row r="38" spans="2:28" s="83" customFormat="1" ht="16.5" hidden="1">
      <c r="B38" s="1"/>
      <c r="C38" s="71"/>
      <c r="D38" s="71"/>
      <c r="E38" s="79"/>
      <c r="F38" s="80"/>
      <c r="G38" s="81"/>
      <c r="H38" s="82"/>
      <c r="I38" s="71"/>
      <c r="J38" s="7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206"/>
      <c r="AB38" s="207"/>
    </row>
    <row r="39" spans="2:28" s="83" customFormat="1" ht="16.5" hidden="1">
      <c r="B39" s="1"/>
      <c r="C39" s="71"/>
      <c r="D39" s="71"/>
      <c r="E39" s="79"/>
      <c r="F39" s="80"/>
      <c r="G39" s="81"/>
      <c r="H39" s="82"/>
      <c r="I39" s="71"/>
      <c r="J39" s="7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206"/>
      <c r="AB39" s="207"/>
    </row>
    <row r="40" spans="2:28" s="83" customFormat="1" ht="16.5" hidden="1">
      <c r="B40" s="1"/>
      <c r="C40" s="71"/>
      <c r="D40" s="71"/>
      <c r="E40" s="79"/>
      <c r="F40" s="80"/>
      <c r="G40" s="81"/>
      <c r="H40" s="82"/>
      <c r="I40" s="71"/>
      <c r="J40" s="7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AA40" s="206"/>
      <c r="AB40" s="207"/>
    </row>
    <row r="41" spans="2:28" s="83" customFormat="1" ht="16.5" hidden="1">
      <c r="B41" s="1"/>
      <c r="C41" s="71"/>
      <c r="D41" s="71"/>
      <c r="E41" s="79"/>
      <c r="F41" s="80"/>
      <c r="G41" s="81"/>
      <c r="H41" s="82"/>
      <c r="I41" s="71"/>
      <c r="J41" s="7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AA41" s="206"/>
      <c r="AB41" s="207"/>
    </row>
    <row r="42" spans="2:28" s="83" customFormat="1" ht="16.5" hidden="1">
      <c r="B42" s="1"/>
      <c r="C42" s="71"/>
      <c r="D42" s="71"/>
      <c r="E42" s="79"/>
      <c r="F42" s="80"/>
      <c r="G42" s="81"/>
      <c r="H42" s="82"/>
      <c r="I42" s="71"/>
      <c r="J42" s="7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AA42" s="206"/>
      <c r="AB42" s="207"/>
    </row>
    <row r="43" spans="2:28" s="83" customFormat="1" ht="16.5" hidden="1">
      <c r="B43" s="1"/>
      <c r="C43" s="71"/>
      <c r="D43" s="71"/>
      <c r="E43" s="79"/>
      <c r="F43" s="80"/>
      <c r="G43" s="81"/>
      <c r="H43" s="82"/>
      <c r="I43" s="71"/>
      <c r="J43" s="7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AA43" s="206"/>
      <c r="AB43" s="207"/>
    </row>
    <row r="44" spans="2:28" s="83" customFormat="1" ht="16.5" hidden="1">
      <c r="B44" s="1"/>
      <c r="C44" s="71"/>
      <c r="D44" s="71"/>
      <c r="E44" s="79"/>
      <c r="F44" s="80"/>
      <c r="G44" s="81"/>
      <c r="H44" s="82"/>
      <c r="I44" s="71"/>
      <c r="J44" s="7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AA44" s="206"/>
      <c r="AB44" s="207"/>
    </row>
    <row r="45" spans="2:28" s="83" customFormat="1" ht="16.5" hidden="1">
      <c r="B45" s="1"/>
      <c r="C45" s="71"/>
      <c r="D45" s="71"/>
      <c r="E45" s="79"/>
      <c r="F45" s="80"/>
      <c r="G45" s="81"/>
      <c r="H45" s="82"/>
      <c r="I45" s="71"/>
      <c r="J45" s="7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AA45" s="206"/>
      <c r="AB45" s="207"/>
    </row>
    <row r="46" spans="2:28" s="83" customFormat="1" ht="16.5" hidden="1">
      <c r="B46" s="1"/>
      <c r="C46" s="71"/>
      <c r="D46" s="71"/>
      <c r="E46" s="79"/>
      <c r="F46" s="80"/>
      <c r="G46" s="81"/>
      <c r="H46" s="82"/>
      <c r="I46" s="71"/>
      <c r="J46" s="7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AA46" s="206"/>
      <c r="AB46" s="207"/>
    </row>
    <row r="47" spans="2:28" s="83" customFormat="1" ht="16.5" hidden="1">
      <c r="B47" s="1"/>
      <c r="C47" s="71"/>
      <c r="D47" s="71"/>
      <c r="E47" s="79"/>
      <c r="F47" s="80"/>
      <c r="G47" s="81"/>
      <c r="H47" s="82"/>
      <c r="I47" s="71"/>
      <c r="J47" s="7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AA47" s="206"/>
      <c r="AB47" s="207"/>
    </row>
    <row r="48" spans="2:28" s="83" customFormat="1" ht="16.5" hidden="1">
      <c r="B48" s="1"/>
      <c r="C48" s="71"/>
      <c r="D48" s="71"/>
      <c r="E48" s="79"/>
      <c r="F48" s="80"/>
      <c r="G48" s="81"/>
      <c r="H48" s="82"/>
      <c r="I48" s="71"/>
      <c r="J48" s="7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AA48" s="206"/>
      <c r="AB48" s="207"/>
    </row>
    <row r="49" spans="2:28" s="83" customFormat="1" ht="16.5" hidden="1">
      <c r="B49" s="1"/>
      <c r="C49" s="71"/>
      <c r="D49" s="71"/>
      <c r="E49" s="79"/>
      <c r="F49" s="80"/>
      <c r="G49" s="81"/>
      <c r="H49" s="82"/>
      <c r="I49" s="71"/>
      <c r="J49" s="7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AA49" s="206"/>
      <c r="AB49" s="207"/>
    </row>
    <row r="50" spans="2:28" s="83" customFormat="1" ht="16.5" hidden="1">
      <c r="B50" s="1"/>
      <c r="C50" s="71"/>
      <c r="D50" s="71"/>
      <c r="E50" s="79"/>
      <c r="F50" s="80"/>
      <c r="G50" s="81"/>
      <c r="H50" s="82"/>
      <c r="I50" s="71"/>
      <c r="J50" s="7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AA50" s="206"/>
      <c r="AB50" s="207"/>
    </row>
    <row r="51" spans="2:28" s="83" customFormat="1" ht="16.5" hidden="1">
      <c r="B51" s="1"/>
      <c r="C51" s="71"/>
      <c r="D51" s="71"/>
      <c r="E51" s="79"/>
      <c r="F51" s="80"/>
      <c r="G51" s="81"/>
      <c r="H51" s="82"/>
      <c r="I51" s="71"/>
      <c r="J51" s="7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AA51" s="206"/>
      <c r="AB51" s="207"/>
    </row>
    <row r="52" spans="2:28" s="83" customFormat="1" ht="16.5" hidden="1">
      <c r="B52" s="1"/>
      <c r="C52" s="71"/>
      <c r="D52" s="71"/>
      <c r="E52" s="79"/>
      <c r="F52" s="80"/>
      <c r="G52" s="81"/>
      <c r="H52" s="82"/>
      <c r="I52" s="71"/>
      <c r="J52" s="7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AA52" s="206"/>
      <c r="AB52" s="207"/>
    </row>
    <row r="53" spans="2:28" s="83" customFormat="1" ht="16.5" hidden="1">
      <c r="B53" s="1"/>
      <c r="C53" s="71"/>
      <c r="D53" s="71"/>
      <c r="E53" s="79"/>
      <c r="F53" s="80"/>
      <c r="G53" s="81"/>
      <c r="H53" s="82"/>
      <c r="I53" s="71"/>
      <c r="J53" s="7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AA53" s="206"/>
      <c r="AB53" s="207"/>
    </row>
    <row r="54" spans="2:28" s="83" customFormat="1" ht="16.5" hidden="1">
      <c r="B54" s="1"/>
      <c r="C54" s="71"/>
      <c r="D54" s="71"/>
      <c r="E54" s="79"/>
      <c r="F54" s="80"/>
      <c r="G54" s="81"/>
      <c r="H54" s="82"/>
      <c r="I54" s="71"/>
      <c r="J54" s="7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AA54" s="206"/>
      <c r="AB54" s="207"/>
    </row>
    <row r="55" spans="2:28" s="83" customFormat="1" ht="16.5" hidden="1">
      <c r="B55" s="1"/>
      <c r="C55" s="71"/>
      <c r="D55" s="71"/>
      <c r="E55" s="79"/>
      <c r="F55" s="80"/>
      <c r="G55" s="81"/>
      <c r="H55" s="82"/>
      <c r="I55" s="71"/>
      <c r="J55" s="7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AA55" s="206"/>
      <c r="AB55" s="207"/>
    </row>
    <row r="56" spans="2:28" ht="14.25" thickBot="1"/>
    <row r="57" spans="2:28" ht="18" thickBot="1">
      <c r="C57" s="84" t="s">
        <v>35</v>
      </c>
      <c r="D57" s="199" t="s">
        <v>36</v>
      </c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1"/>
      <c r="P57" s="202" t="s">
        <v>37</v>
      </c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22"/>
    </row>
    <row r="58" spans="2:28" ht="14.25" thickBot="1">
      <c r="C58" s="86" t="s">
        <v>38</v>
      </c>
      <c r="D58" s="218">
        <v>1</v>
      </c>
      <c r="E58" s="219">
        <v>2</v>
      </c>
      <c r="F58" s="218">
        <v>3</v>
      </c>
      <c r="G58" s="219">
        <v>4</v>
      </c>
      <c r="H58" s="218">
        <v>5</v>
      </c>
      <c r="I58" s="219">
        <v>6</v>
      </c>
      <c r="J58" s="218">
        <v>7</v>
      </c>
      <c r="K58" s="219">
        <v>8</v>
      </c>
      <c r="L58" s="219">
        <v>9</v>
      </c>
      <c r="M58" s="219">
        <v>10</v>
      </c>
      <c r="N58" s="220">
        <v>11</v>
      </c>
      <c r="O58" s="139">
        <v>12</v>
      </c>
      <c r="P58" s="218">
        <v>1</v>
      </c>
      <c r="Q58" s="219">
        <v>2</v>
      </c>
      <c r="R58" s="218">
        <v>3</v>
      </c>
      <c r="S58" s="219">
        <v>4</v>
      </c>
      <c r="T58" s="218">
        <v>5</v>
      </c>
      <c r="U58" s="219">
        <v>6</v>
      </c>
      <c r="V58" s="218">
        <v>7</v>
      </c>
      <c r="W58" s="221">
        <v>8</v>
      </c>
      <c r="X58" s="221">
        <v>9</v>
      </c>
      <c r="Y58" s="219">
        <v>10</v>
      </c>
      <c r="Z58" s="219">
        <v>11</v>
      </c>
      <c r="AA58" s="139">
        <v>12</v>
      </c>
    </row>
    <row r="59" spans="2:28" ht="14.25" thickBot="1">
      <c r="C59" s="190" t="s">
        <v>41</v>
      </c>
      <c r="D59" s="191">
        <f t="shared" ref="D59:V59" si="3">SUM(D60:D62)</f>
        <v>0</v>
      </c>
      <c r="E59" s="191">
        <f t="shared" si="3"/>
        <v>0</v>
      </c>
      <c r="F59" s="191">
        <f t="shared" si="3"/>
        <v>0</v>
      </c>
      <c r="G59" s="191">
        <f t="shared" si="3"/>
        <v>0</v>
      </c>
      <c r="H59" s="191">
        <f t="shared" si="3"/>
        <v>0</v>
      </c>
      <c r="I59" s="191">
        <f t="shared" si="3"/>
        <v>0</v>
      </c>
      <c r="J59" s="191">
        <f t="shared" si="3"/>
        <v>0</v>
      </c>
      <c r="K59" s="191">
        <f t="shared" si="3"/>
        <v>0</v>
      </c>
      <c r="L59" s="191">
        <f t="shared" si="3"/>
        <v>0</v>
      </c>
      <c r="M59" s="191">
        <f t="shared" si="3"/>
        <v>0</v>
      </c>
      <c r="N59" s="191">
        <f t="shared" si="3"/>
        <v>0</v>
      </c>
      <c r="O59" s="191">
        <f t="shared" si="3"/>
        <v>0</v>
      </c>
      <c r="P59" s="191">
        <f t="shared" si="3"/>
        <v>0</v>
      </c>
      <c r="Q59" s="191">
        <f t="shared" si="3"/>
        <v>0</v>
      </c>
      <c r="R59" s="191">
        <f t="shared" si="3"/>
        <v>0</v>
      </c>
      <c r="S59" s="191">
        <f t="shared" si="3"/>
        <v>0</v>
      </c>
      <c r="T59" s="191">
        <f t="shared" si="3"/>
        <v>0</v>
      </c>
      <c r="U59" s="191">
        <f t="shared" si="3"/>
        <v>0</v>
      </c>
      <c r="V59" s="191">
        <f t="shared" si="3"/>
        <v>0</v>
      </c>
      <c r="W59" s="191"/>
      <c r="X59" s="191"/>
      <c r="Y59" s="191">
        <f>SUM(Y60:Y62)</f>
        <v>0</v>
      </c>
      <c r="Z59" s="191">
        <f>SUM(Z60:Z62)</f>
        <v>0</v>
      </c>
      <c r="AA59" s="191">
        <f>SUM(AA60:AA62)</f>
        <v>0</v>
      </c>
    </row>
    <row r="60" spans="2:28">
      <c r="C60" s="88"/>
      <c r="D60" s="195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5"/>
      <c r="Q60" s="196"/>
      <c r="R60" s="196"/>
      <c r="S60" s="196"/>
      <c r="T60" s="196"/>
      <c r="U60" s="196"/>
      <c r="V60" s="196"/>
      <c r="W60" s="196"/>
      <c r="X60" s="196"/>
      <c r="Y60" s="196"/>
      <c r="Z60" s="196"/>
      <c r="AA60" s="252"/>
    </row>
    <row r="61" spans="2:28">
      <c r="C61" s="93"/>
      <c r="D61" s="197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7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253"/>
    </row>
    <row r="62" spans="2:28" ht="14.25" thickBot="1">
      <c r="C62" s="215"/>
      <c r="D62" s="216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6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54"/>
    </row>
    <row r="64" spans="2:28">
      <c r="I64" s="102"/>
      <c r="J64" s="102"/>
    </row>
    <row r="65" spans="9:10">
      <c r="I65" s="101"/>
      <c r="J65" s="102"/>
    </row>
  </sheetData>
  <mergeCells count="4">
    <mergeCell ref="B14:B15"/>
    <mergeCell ref="C14:C15"/>
    <mergeCell ref="B20:C20"/>
    <mergeCell ref="B21:C2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</sheetPr>
  <dimension ref="A1:IV17"/>
  <sheetViews>
    <sheetView zoomScale="85" zoomScaleNormal="85" workbookViewId="0">
      <selection activeCell="G12" sqref="G12"/>
    </sheetView>
  </sheetViews>
  <sheetFormatPr defaultRowHeight="14.25"/>
  <cols>
    <col min="1" max="1" width="3.77734375" style="117" customWidth="1"/>
    <col min="2" max="2" width="6.44140625" style="128" customWidth="1"/>
    <col min="3" max="3" width="7.44140625" style="128" customWidth="1"/>
    <col min="4" max="4" width="10.33203125" style="128" customWidth="1"/>
    <col min="5" max="5" width="12.33203125" style="128" customWidth="1"/>
    <col min="6" max="6" width="35.77734375" style="128" customWidth="1"/>
    <col min="7" max="7" width="12" style="108" customWidth="1"/>
    <col min="8" max="10" width="13" style="108" customWidth="1"/>
    <col min="11" max="11" width="10.88671875" style="107" customWidth="1"/>
    <col min="12" max="14" width="15.77734375" style="108" customWidth="1"/>
    <col min="15" max="15" width="12.5546875" style="129" customWidth="1"/>
    <col min="16" max="16" width="8.5546875" style="107" customWidth="1"/>
    <col min="17" max="17" width="11.109375" style="107" customWidth="1"/>
    <col min="18" max="18" width="11.6640625" style="106" customWidth="1"/>
    <col min="19" max="19" width="8.88671875" style="106" customWidth="1"/>
    <col min="20" max="20" width="9.88671875" style="107" customWidth="1"/>
    <col min="21" max="21" width="14.88671875" style="108" customWidth="1"/>
    <col min="22" max="22" width="14.5546875" style="107" customWidth="1"/>
    <col min="23" max="23" width="16.109375" style="109" customWidth="1"/>
    <col min="24" max="42" width="12.88671875" style="106" customWidth="1"/>
    <col min="43" max="270" width="8.88671875" style="106"/>
    <col min="271" max="271" width="3.77734375" style="106" customWidth="1"/>
    <col min="272" max="272" width="6.44140625" style="106" customWidth="1"/>
    <col min="273" max="273" width="7.44140625" style="106" customWidth="1"/>
    <col min="274" max="274" width="10.33203125" style="106" customWidth="1"/>
    <col min="275" max="275" width="12.33203125" style="106" customWidth="1"/>
    <col min="276" max="276" width="35.77734375" style="106" customWidth="1"/>
    <col min="277" max="277" width="12" style="106" customWidth="1"/>
    <col min="278" max="280" width="13" style="106" customWidth="1"/>
    <col min="281" max="281" width="10.88671875" style="106" customWidth="1"/>
    <col min="282" max="284" width="15.77734375" style="106" customWidth="1"/>
    <col min="285" max="285" width="12.5546875" style="106" customWidth="1"/>
    <col min="286" max="286" width="8.5546875" style="106" customWidth="1"/>
    <col min="287" max="287" width="11.109375" style="106" customWidth="1"/>
    <col min="288" max="288" width="11.6640625" style="106" customWidth="1"/>
    <col min="289" max="289" width="8.88671875" style="106" customWidth="1"/>
    <col min="290" max="290" width="9.88671875" style="106" customWidth="1"/>
    <col min="291" max="291" width="14.88671875" style="106" customWidth="1"/>
    <col min="292" max="292" width="14.5546875" style="106" customWidth="1"/>
    <col min="293" max="293" width="16.109375" style="106" customWidth="1"/>
    <col min="294" max="298" width="12.88671875" style="106" customWidth="1"/>
    <col min="299" max="526" width="8.88671875" style="106"/>
    <col min="527" max="527" width="3.77734375" style="106" customWidth="1"/>
    <col min="528" max="528" width="6.44140625" style="106" customWidth="1"/>
    <col min="529" max="529" width="7.44140625" style="106" customWidth="1"/>
    <col min="530" max="530" width="10.33203125" style="106" customWidth="1"/>
    <col min="531" max="531" width="12.33203125" style="106" customWidth="1"/>
    <col min="532" max="532" width="35.77734375" style="106" customWidth="1"/>
    <col min="533" max="533" width="12" style="106" customWidth="1"/>
    <col min="534" max="536" width="13" style="106" customWidth="1"/>
    <col min="537" max="537" width="10.88671875" style="106" customWidth="1"/>
    <col min="538" max="540" width="15.77734375" style="106" customWidth="1"/>
    <col min="541" max="541" width="12.5546875" style="106" customWidth="1"/>
    <col min="542" max="542" width="8.5546875" style="106" customWidth="1"/>
    <col min="543" max="543" width="11.109375" style="106" customWidth="1"/>
    <col min="544" max="544" width="11.6640625" style="106" customWidth="1"/>
    <col min="545" max="545" width="8.88671875" style="106" customWidth="1"/>
    <col min="546" max="546" width="9.88671875" style="106" customWidth="1"/>
    <col min="547" max="547" width="14.88671875" style="106" customWidth="1"/>
    <col min="548" max="548" width="14.5546875" style="106" customWidth="1"/>
    <col min="549" max="549" width="16.109375" style="106" customWidth="1"/>
    <col min="550" max="554" width="12.88671875" style="106" customWidth="1"/>
    <col min="555" max="782" width="8.88671875" style="106"/>
    <col min="783" max="783" width="3.77734375" style="106" customWidth="1"/>
    <col min="784" max="784" width="6.44140625" style="106" customWidth="1"/>
    <col min="785" max="785" width="7.44140625" style="106" customWidth="1"/>
    <col min="786" max="786" width="10.33203125" style="106" customWidth="1"/>
    <col min="787" max="787" width="12.33203125" style="106" customWidth="1"/>
    <col min="788" max="788" width="35.77734375" style="106" customWidth="1"/>
    <col min="789" max="789" width="12" style="106" customWidth="1"/>
    <col min="790" max="792" width="13" style="106" customWidth="1"/>
    <col min="793" max="793" width="10.88671875" style="106" customWidth="1"/>
    <col min="794" max="796" width="15.77734375" style="106" customWidth="1"/>
    <col min="797" max="797" width="12.5546875" style="106" customWidth="1"/>
    <col min="798" max="798" width="8.5546875" style="106" customWidth="1"/>
    <col min="799" max="799" width="11.109375" style="106" customWidth="1"/>
    <col min="800" max="800" width="11.6640625" style="106" customWidth="1"/>
    <col min="801" max="801" width="8.88671875" style="106" customWidth="1"/>
    <col min="802" max="802" width="9.88671875" style="106" customWidth="1"/>
    <col min="803" max="803" width="14.88671875" style="106" customWidth="1"/>
    <col min="804" max="804" width="14.5546875" style="106" customWidth="1"/>
    <col min="805" max="805" width="16.109375" style="106" customWidth="1"/>
    <col min="806" max="810" width="12.88671875" style="106" customWidth="1"/>
    <col min="811" max="1038" width="8.88671875" style="106"/>
    <col min="1039" max="1039" width="3.77734375" style="106" customWidth="1"/>
    <col min="1040" max="1040" width="6.44140625" style="106" customWidth="1"/>
    <col min="1041" max="1041" width="7.44140625" style="106" customWidth="1"/>
    <col min="1042" max="1042" width="10.33203125" style="106" customWidth="1"/>
    <col min="1043" max="1043" width="12.33203125" style="106" customWidth="1"/>
    <col min="1044" max="1044" width="35.77734375" style="106" customWidth="1"/>
    <col min="1045" max="1045" width="12" style="106" customWidth="1"/>
    <col min="1046" max="1048" width="13" style="106" customWidth="1"/>
    <col min="1049" max="1049" width="10.88671875" style="106" customWidth="1"/>
    <col min="1050" max="1052" width="15.77734375" style="106" customWidth="1"/>
    <col min="1053" max="1053" width="12.5546875" style="106" customWidth="1"/>
    <col min="1054" max="1054" width="8.5546875" style="106" customWidth="1"/>
    <col min="1055" max="1055" width="11.109375" style="106" customWidth="1"/>
    <col min="1056" max="1056" width="11.6640625" style="106" customWidth="1"/>
    <col min="1057" max="1057" width="8.88671875" style="106" customWidth="1"/>
    <col min="1058" max="1058" width="9.88671875" style="106" customWidth="1"/>
    <col min="1059" max="1059" width="14.88671875" style="106" customWidth="1"/>
    <col min="1060" max="1060" width="14.5546875" style="106" customWidth="1"/>
    <col min="1061" max="1061" width="16.109375" style="106" customWidth="1"/>
    <col min="1062" max="1066" width="12.88671875" style="106" customWidth="1"/>
    <col min="1067" max="1294" width="8.88671875" style="106"/>
    <col min="1295" max="1295" width="3.77734375" style="106" customWidth="1"/>
    <col min="1296" max="1296" width="6.44140625" style="106" customWidth="1"/>
    <col min="1297" max="1297" width="7.44140625" style="106" customWidth="1"/>
    <col min="1298" max="1298" width="10.33203125" style="106" customWidth="1"/>
    <col min="1299" max="1299" width="12.33203125" style="106" customWidth="1"/>
    <col min="1300" max="1300" width="35.77734375" style="106" customWidth="1"/>
    <col min="1301" max="1301" width="12" style="106" customWidth="1"/>
    <col min="1302" max="1304" width="13" style="106" customWidth="1"/>
    <col min="1305" max="1305" width="10.88671875" style="106" customWidth="1"/>
    <col min="1306" max="1308" width="15.77734375" style="106" customWidth="1"/>
    <col min="1309" max="1309" width="12.5546875" style="106" customWidth="1"/>
    <col min="1310" max="1310" width="8.5546875" style="106" customWidth="1"/>
    <col min="1311" max="1311" width="11.109375" style="106" customWidth="1"/>
    <col min="1312" max="1312" width="11.6640625" style="106" customWidth="1"/>
    <col min="1313" max="1313" width="8.88671875" style="106" customWidth="1"/>
    <col min="1314" max="1314" width="9.88671875" style="106" customWidth="1"/>
    <col min="1315" max="1315" width="14.88671875" style="106" customWidth="1"/>
    <col min="1316" max="1316" width="14.5546875" style="106" customWidth="1"/>
    <col min="1317" max="1317" width="16.109375" style="106" customWidth="1"/>
    <col min="1318" max="1322" width="12.88671875" style="106" customWidth="1"/>
    <col min="1323" max="1550" width="8.88671875" style="106"/>
    <col min="1551" max="1551" width="3.77734375" style="106" customWidth="1"/>
    <col min="1552" max="1552" width="6.44140625" style="106" customWidth="1"/>
    <col min="1553" max="1553" width="7.44140625" style="106" customWidth="1"/>
    <col min="1554" max="1554" width="10.33203125" style="106" customWidth="1"/>
    <col min="1555" max="1555" width="12.33203125" style="106" customWidth="1"/>
    <col min="1556" max="1556" width="35.77734375" style="106" customWidth="1"/>
    <col min="1557" max="1557" width="12" style="106" customWidth="1"/>
    <col min="1558" max="1560" width="13" style="106" customWidth="1"/>
    <col min="1561" max="1561" width="10.88671875" style="106" customWidth="1"/>
    <col min="1562" max="1564" width="15.77734375" style="106" customWidth="1"/>
    <col min="1565" max="1565" width="12.5546875" style="106" customWidth="1"/>
    <col min="1566" max="1566" width="8.5546875" style="106" customWidth="1"/>
    <col min="1567" max="1567" width="11.109375" style="106" customWidth="1"/>
    <col min="1568" max="1568" width="11.6640625" style="106" customWidth="1"/>
    <col min="1569" max="1569" width="8.88671875" style="106" customWidth="1"/>
    <col min="1570" max="1570" width="9.88671875" style="106" customWidth="1"/>
    <col min="1571" max="1571" width="14.88671875" style="106" customWidth="1"/>
    <col min="1572" max="1572" width="14.5546875" style="106" customWidth="1"/>
    <col min="1573" max="1573" width="16.109375" style="106" customWidth="1"/>
    <col min="1574" max="1578" width="12.88671875" style="106" customWidth="1"/>
    <col min="1579" max="1806" width="8.88671875" style="106"/>
    <col min="1807" max="1807" width="3.77734375" style="106" customWidth="1"/>
    <col min="1808" max="1808" width="6.44140625" style="106" customWidth="1"/>
    <col min="1809" max="1809" width="7.44140625" style="106" customWidth="1"/>
    <col min="1810" max="1810" width="10.33203125" style="106" customWidth="1"/>
    <col min="1811" max="1811" width="12.33203125" style="106" customWidth="1"/>
    <col min="1812" max="1812" width="35.77734375" style="106" customWidth="1"/>
    <col min="1813" max="1813" width="12" style="106" customWidth="1"/>
    <col min="1814" max="1816" width="13" style="106" customWidth="1"/>
    <col min="1817" max="1817" width="10.88671875" style="106" customWidth="1"/>
    <col min="1818" max="1820" width="15.77734375" style="106" customWidth="1"/>
    <col min="1821" max="1821" width="12.5546875" style="106" customWidth="1"/>
    <col min="1822" max="1822" width="8.5546875" style="106" customWidth="1"/>
    <col min="1823" max="1823" width="11.109375" style="106" customWidth="1"/>
    <col min="1824" max="1824" width="11.6640625" style="106" customWidth="1"/>
    <col min="1825" max="1825" width="8.88671875" style="106" customWidth="1"/>
    <col min="1826" max="1826" width="9.88671875" style="106" customWidth="1"/>
    <col min="1827" max="1827" width="14.88671875" style="106" customWidth="1"/>
    <col min="1828" max="1828" width="14.5546875" style="106" customWidth="1"/>
    <col min="1829" max="1829" width="16.109375" style="106" customWidth="1"/>
    <col min="1830" max="1834" width="12.88671875" style="106" customWidth="1"/>
    <col min="1835" max="2062" width="8.88671875" style="106"/>
    <col min="2063" max="2063" width="3.77734375" style="106" customWidth="1"/>
    <col min="2064" max="2064" width="6.44140625" style="106" customWidth="1"/>
    <col min="2065" max="2065" width="7.44140625" style="106" customWidth="1"/>
    <col min="2066" max="2066" width="10.33203125" style="106" customWidth="1"/>
    <col min="2067" max="2067" width="12.33203125" style="106" customWidth="1"/>
    <col min="2068" max="2068" width="35.77734375" style="106" customWidth="1"/>
    <col min="2069" max="2069" width="12" style="106" customWidth="1"/>
    <col min="2070" max="2072" width="13" style="106" customWidth="1"/>
    <col min="2073" max="2073" width="10.88671875" style="106" customWidth="1"/>
    <col min="2074" max="2076" width="15.77734375" style="106" customWidth="1"/>
    <col min="2077" max="2077" width="12.5546875" style="106" customWidth="1"/>
    <col min="2078" max="2078" width="8.5546875" style="106" customWidth="1"/>
    <col min="2079" max="2079" width="11.109375" style="106" customWidth="1"/>
    <col min="2080" max="2080" width="11.6640625" style="106" customWidth="1"/>
    <col min="2081" max="2081" width="8.88671875" style="106" customWidth="1"/>
    <col min="2082" max="2082" width="9.88671875" style="106" customWidth="1"/>
    <col min="2083" max="2083" width="14.88671875" style="106" customWidth="1"/>
    <col min="2084" max="2084" width="14.5546875" style="106" customWidth="1"/>
    <col min="2085" max="2085" width="16.109375" style="106" customWidth="1"/>
    <col min="2086" max="2090" width="12.88671875" style="106" customWidth="1"/>
    <col min="2091" max="2318" width="8.88671875" style="106"/>
    <col min="2319" max="2319" width="3.77734375" style="106" customWidth="1"/>
    <col min="2320" max="2320" width="6.44140625" style="106" customWidth="1"/>
    <col min="2321" max="2321" width="7.44140625" style="106" customWidth="1"/>
    <col min="2322" max="2322" width="10.33203125" style="106" customWidth="1"/>
    <col min="2323" max="2323" width="12.33203125" style="106" customWidth="1"/>
    <col min="2324" max="2324" width="35.77734375" style="106" customWidth="1"/>
    <col min="2325" max="2325" width="12" style="106" customWidth="1"/>
    <col min="2326" max="2328" width="13" style="106" customWidth="1"/>
    <col min="2329" max="2329" width="10.88671875" style="106" customWidth="1"/>
    <col min="2330" max="2332" width="15.77734375" style="106" customWidth="1"/>
    <col min="2333" max="2333" width="12.5546875" style="106" customWidth="1"/>
    <col min="2334" max="2334" width="8.5546875" style="106" customWidth="1"/>
    <col min="2335" max="2335" width="11.109375" style="106" customWidth="1"/>
    <col min="2336" max="2336" width="11.6640625" style="106" customWidth="1"/>
    <col min="2337" max="2337" width="8.88671875" style="106" customWidth="1"/>
    <col min="2338" max="2338" width="9.88671875" style="106" customWidth="1"/>
    <col min="2339" max="2339" width="14.88671875" style="106" customWidth="1"/>
    <col min="2340" max="2340" width="14.5546875" style="106" customWidth="1"/>
    <col min="2341" max="2341" width="16.109375" style="106" customWidth="1"/>
    <col min="2342" max="2346" width="12.88671875" style="106" customWidth="1"/>
    <col min="2347" max="2574" width="8.88671875" style="106"/>
    <col min="2575" max="2575" width="3.77734375" style="106" customWidth="1"/>
    <col min="2576" max="2576" width="6.44140625" style="106" customWidth="1"/>
    <col min="2577" max="2577" width="7.44140625" style="106" customWidth="1"/>
    <col min="2578" max="2578" width="10.33203125" style="106" customWidth="1"/>
    <col min="2579" max="2579" width="12.33203125" style="106" customWidth="1"/>
    <col min="2580" max="2580" width="35.77734375" style="106" customWidth="1"/>
    <col min="2581" max="2581" width="12" style="106" customWidth="1"/>
    <col min="2582" max="2584" width="13" style="106" customWidth="1"/>
    <col min="2585" max="2585" width="10.88671875" style="106" customWidth="1"/>
    <col min="2586" max="2588" width="15.77734375" style="106" customWidth="1"/>
    <col min="2589" max="2589" width="12.5546875" style="106" customWidth="1"/>
    <col min="2590" max="2590" width="8.5546875" style="106" customWidth="1"/>
    <col min="2591" max="2591" width="11.109375" style="106" customWidth="1"/>
    <col min="2592" max="2592" width="11.6640625" style="106" customWidth="1"/>
    <col min="2593" max="2593" width="8.88671875" style="106" customWidth="1"/>
    <col min="2594" max="2594" width="9.88671875" style="106" customWidth="1"/>
    <col min="2595" max="2595" width="14.88671875" style="106" customWidth="1"/>
    <col min="2596" max="2596" width="14.5546875" style="106" customWidth="1"/>
    <col min="2597" max="2597" width="16.109375" style="106" customWidth="1"/>
    <col min="2598" max="2602" width="12.88671875" style="106" customWidth="1"/>
    <col min="2603" max="2830" width="8.88671875" style="106"/>
    <col min="2831" max="2831" width="3.77734375" style="106" customWidth="1"/>
    <col min="2832" max="2832" width="6.44140625" style="106" customWidth="1"/>
    <col min="2833" max="2833" width="7.44140625" style="106" customWidth="1"/>
    <col min="2834" max="2834" width="10.33203125" style="106" customWidth="1"/>
    <col min="2835" max="2835" width="12.33203125" style="106" customWidth="1"/>
    <col min="2836" max="2836" width="35.77734375" style="106" customWidth="1"/>
    <col min="2837" max="2837" width="12" style="106" customWidth="1"/>
    <col min="2838" max="2840" width="13" style="106" customWidth="1"/>
    <col min="2841" max="2841" width="10.88671875" style="106" customWidth="1"/>
    <col min="2842" max="2844" width="15.77734375" style="106" customWidth="1"/>
    <col min="2845" max="2845" width="12.5546875" style="106" customWidth="1"/>
    <col min="2846" max="2846" width="8.5546875" style="106" customWidth="1"/>
    <col min="2847" max="2847" width="11.109375" style="106" customWidth="1"/>
    <col min="2848" max="2848" width="11.6640625" style="106" customWidth="1"/>
    <col min="2849" max="2849" width="8.88671875" style="106" customWidth="1"/>
    <col min="2850" max="2850" width="9.88671875" style="106" customWidth="1"/>
    <col min="2851" max="2851" width="14.88671875" style="106" customWidth="1"/>
    <col min="2852" max="2852" width="14.5546875" style="106" customWidth="1"/>
    <col min="2853" max="2853" width="16.109375" style="106" customWidth="1"/>
    <col min="2854" max="2858" width="12.88671875" style="106" customWidth="1"/>
    <col min="2859" max="3086" width="8.88671875" style="106"/>
    <col min="3087" max="3087" width="3.77734375" style="106" customWidth="1"/>
    <col min="3088" max="3088" width="6.44140625" style="106" customWidth="1"/>
    <col min="3089" max="3089" width="7.44140625" style="106" customWidth="1"/>
    <col min="3090" max="3090" width="10.33203125" style="106" customWidth="1"/>
    <col min="3091" max="3091" width="12.33203125" style="106" customWidth="1"/>
    <col min="3092" max="3092" width="35.77734375" style="106" customWidth="1"/>
    <col min="3093" max="3093" width="12" style="106" customWidth="1"/>
    <col min="3094" max="3096" width="13" style="106" customWidth="1"/>
    <col min="3097" max="3097" width="10.88671875" style="106" customWidth="1"/>
    <col min="3098" max="3100" width="15.77734375" style="106" customWidth="1"/>
    <col min="3101" max="3101" width="12.5546875" style="106" customWidth="1"/>
    <col min="3102" max="3102" width="8.5546875" style="106" customWidth="1"/>
    <col min="3103" max="3103" width="11.109375" style="106" customWidth="1"/>
    <col min="3104" max="3104" width="11.6640625" style="106" customWidth="1"/>
    <col min="3105" max="3105" width="8.88671875" style="106" customWidth="1"/>
    <col min="3106" max="3106" width="9.88671875" style="106" customWidth="1"/>
    <col min="3107" max="3107" width="14.88671875" style="106" customWidth="1"/>
    <col min="3108" max="3108" width="14.5546875" style="106" customWidth="1"/>
    <col min="3109" max="3109" width="16.109375" style="106" customWidth="1"/>
    <col min="3110" max="3114" width="12.88671875" style="106" customWidth="1"/>
    <col min="3115" max="3342" width="8.88671875" style="106"/>
    <col min="3343" max="3343" width="3.77734375" style="106" customWidth="1"/>
    <col min="3344" max="3344" width="6.44140625" style="106" customWidth="1"/>
    <col min="3345" max="3345" width="7.44140625" style="106" customWidth="1"/>
    <col min="3346" max="3346" width="10.33203125" style="106" customWidth="1"/>
    <col min="3347" max="3347" width="12.33203125" style="106" customWidth="1"/>
    <col min="3348" max="3348" width="35.77734375" style="106" customWidth="1"/>
    <col min="3349" max="3349" width="12" style="106" customWidth="1"/>
    <col min="3350" max="3352" width="13" style="106" customWidth="1"/>
    <col min="3353" max="3353" width="10.88671875" style="106" customWidth="1"/>
    <col min="3354" max="3356" width="15.77734375" style="106" customWidth="1"/>
    <col min="3357" max="3357" width="12.5546875" style="106" customWidth="1"/>
    <col min="3358" max="3358" width="8.5546875" style="106" customWidth="1"/>
    <col min="3359" max="3359" width="11.109375" style="106" customWidth="1"/>
    <col min="3360" max="3360" width="11.6640625" style="106" customWidth="1"/>
    <col min="3361" max="3361" width="8.88671875" style="106" customWidth="1"/>
    <col min="3362" max="3362" width="9.88671875" style="106" customWidth="1"/>
    <col min="3363" max="3363" width="14.88671875" style="106" customWidth="1"/>
    <col min="3364" max="3364" width="14.5546875" style="106" customWidth="1"/>
    <col min="3365" max="3365" width="16.109375" style="106" customWidth="1"/>
    <col min="3366" max="3370" width="12.88671875" style="106" customWidth="1"/>
    <col min="3371" max="3598" width="8.88671875" style="106"/>
    <col min="3599" max="3599" width="3.77734375" style="106" customWidth="1"/>
    <col min="3600" max="3600" width="6.44140625" style="106" customWidth="1"/>
    <col min="3601" max="3601" width="7.44140625" style="106" customWidth="1"/>
    <col min="3602" max="3602" width="10.33203125" style="106" customWidth="1"/>
    <col min="3603" max="3603" width="12.33203125" style="106" customWidth="1"/>
    <col min="3604" max="3604" width="35.77734375" style="106" customWidth="1"/>
    <col min="3605" max="3605" width="12" style="106" customWidth="1"/>
    <col min="3606" max="3608" width="13" style="106" customWidth="1"/>
    <col min="3609" max="3609" width="10.88671875" style="106" customWidth="1"/>
    <col min="3610" max="3612" width="15.77734375" style="106" customWidth="1"/>
    <col min="3613" max="3613" width="12.5546875" style="106" customWidth="1"/>
    <col min="3614" max="3614" width="8.5546875" style="106" customWidth="1"/>
    <col min="3615" max="3615" width="11.109375" style="106" customWidth="1"/>
    <col min="3616" max="3616" width="11.6640625" style="106" customWidth="1"/>
    <col min="3617" max="3617" width="8.88671875" style="106" customWidth="1"/>
    <col min="3618" max="3618" width="9.88671875" style="106" customWidth="1"/>
    <col min="3619" max="3619" width="14.88671875" style="106" customWidth="1"/>
    <col min="3620" max="3620" width="14.5546875" style="106" customWidth="1"/>
    <col min="3621" max="3621" width="16.109375" style="106" customWidth="1"/>
    <col min="3622" max="3626" width="12.88671875" style="106" customWidth="1"/>
    <col min="3627" max="3854" width="8.88671875" style="106"/>
    <col min="3855" max="3855" width="3.77734375" style="106" customWidth="1"/>
    <col min="3856" max="3856" width="6.44140625" style="106" customWidth="1"/>
    <col min="3857" max="3857" width="7.44140625" style="106" customWidth="1"/>
    <col min="3858" max="3858" width="10.33203125" style="106" customWidth="1"/>
    <col min="3859" max="3859" width="12.33203125" style="106" customWidth="1"/>
    <col min="3860" max="3860" width="35.77734375" style="106" customWidth="1"/>
    <col min="3861" max="3861" width="12" style="106" customWidth="1"/>
    <col min="3862" max="3864" width="13" style="106" customWidth="1"/>
    <col min="3865" max="3865" width="10.88671875" style="106" customWidth="1"/>
    <col min="3866" max="3868" width="15.77734375" style="106" customWidth="1"/>
    <col min="3869" max="3869" width="12.5546875" style="106" customWidth="1"/>
    <col min="3870" max="3870" width="8.5546875" style="106" customWidth="1"/>
    <col min="3871" max="3871" width="11.109375" style="106" customWidth="1"/>
    <col min="3872" max="3872" width="11.6640625" style="106" customWidth="1"/>
    <col min="3873" max="3873" width="8.88671875" style="106" customWidth="1"/>
    <col min="3874" max="3874" width="9.88671875" style="106" customWidth="1"/>
    <col min="3875" max="3875" width="14.88671875" style="106" customWidth="1"/>
    <col min="3876" max="3876" width="14.5546875" style="106" customWidth="1"/>
    <col min="3877" max="3877" width="16.109375" style="106" customWidth="1"/>
    <col min="3878" max="3882" width="12.88671875" style="106" customWidth="1"/>
    <col min="3883" max="4110" width="8.88671875" style="106"/>
    <col min="4111" max="4111" width="3.77734375" style="106" customWidth="1"/>
    <col min="4112" max="4112" width="6.44140625" style="106" customWidth="1"/>
    <col min="4113" max="4113" width="7.44140625" style="106" customWidth="1"/>
    <col min="4114" max="4114" width="10.33203125" style="106" customWidth="1"/>
    <col min="4115" max="4115" width="12.33203125" style="106" customWidth="1"/>
    <col min="4116" max="4116" width="35.77734375" style="106" customWidth="1"/>
    <col min="4117" max="4117" width="12" style="106" customWidth="1"/>
    <col min="4118" max="4120" width="13" style="106" customWidth="1"/>
    <col min="4121" max="4121" width="10.88671875" style="106" customWidth="1"/>
    <col min="4122" max="4124" width="15.77734375" style="106" customWidth="1"/>
    <col min="4125" max="4125" width="12.5546875" style="106" customWidth="1"/>
    <col min="4126" max="4126" width="8.5546875" style="106" customWidth="1"/>
    <col min="4127" max="4127" width="11.109375" style="106" customWidth="1"/>
    <col min="4128" max="4128" width="11.6640625" style="106" customWidth="1"/>
    <col min="4129" max="4129" width="8.88671875" style="106" customWidth="1"/>
    <col min="4130" max="4130" width="9.88671875" style="106" customWidth="1"/>
    <col min="4131" max="4131" width="14.88671875" style="106" customWidth="1"/>
    <col min="4132" max="4132" width="14.5546875" style="106" customWidth="1"/>
    <col min="4133" max="4133" width="16.109375" style="106" customWidth="1"/>
    <col min="4134" max="4138" width="12.88671875" style="106" customWidth="1"/>
    <col min="4139" max="4366" width="8.88671875" style="106"/>
    <col min="4367" max="4367" width="3.77734375" style="106" customWidth="1"/>
    <col min="4368" max="4368" width="6.44140625" style="106" customWidth="1"/>
    <col min="4369" max="4369" width="7.44140625" style="106" customWidth="1"/>
    <col min="4370" max="4370" width="10.33203125" style="106" customWidth="1"/>
    <col min="4371" max="4371" width="12.33203125" style="106" customWidth="1"/>
    <col min="4372" max="4372" width="35.77734375" style="106" customWidth="1"/>
    <col min="4373" max="4373" width="12" style="106" customWidth="1"/>
    <col min="4374" max="4376" width="13" style="106" customWidth="1"/>
    <col min="4377" max="4377" width="10.88671875" style="106" customWidth="1"/>
    <col min="4378" max="4380" width="15.77734375" style="106" customWidth="1"/>
    <col min="4381" max="4381" width="12.5546875" style="106" customWidth="1"/>
    <col min="4382" max="4382" width="8.5546875" style="106" customWidth="1"/>
    <col min="4383" max="4383" width="11.109375" style="106" customWidth="1"/>
    <col min="4384" max="4384" width="11.6640625" style="106" customWidth="1"/>
    <col min="4385" max="4385" width="8.88671875" style="106" customWidth="1"/>
    <col min="4386" max="4386" width="9.88671875" style="106" customWidth="1"/>
    <col min="4387" max="4387" width="14.88671875" style="106" customWidth="1"/>
    <col min="4388" max="4388" width="14.5546875" style="106" customWidth="1"/>
    <col min="4389" max="4389" width="16.109375" style="106" customWidth="1"/>
    <col min="4390" max="4394" width="12.88671875" style="106" customWidth="1"/>
    <col min="4395" max="4622" width="8.88671875" style="106"/>
    <col min="4623" max="4623" width="3.77734375" style="106" customWidth="1"/>
    <col min="4624" max="4624" width="6.44140625" style="106" customWidth="1"/>
    <col min="4625" max="4625" width="7.44140625" style="106" customWidth="1"/>
    <col min="4626" max="4626" width="10.33203125" style="106" customWidth="1"/>
    <col min="4627" max="4627" width="12.33203125" style="106" customWidth="1"/>
    <col min="4628" max="4628" width="35.77734375" style="106" customWidth="1"/>
    <col min="4629" max="4629" width="12" style="106" customWidth="1"/>
    <col min="4630" max="4632" width="13" style="106" customWidth="1"/>
    <col min="4633" max="4633" width="10.88671875" style="106" customWidth="1"/>
    <col min="4634" max="4636" width="15.77734375" style="106" customWidth="1"/>
    <col min="4637" max="4637" width="12.5546875" style="106" customWidth="1"/>
    <col min="4638" max="4638" width="8.5546875" style="106" customWidth="1"/>
    <col min="4639" max="4639" width="11.109375" style="106" customWidth="1"/>
    <col min="4640" max="4640" width="11.6640625" style="106" customWidth="1"/>
    <col min="4641" max="4641" width="8.88671875" style="106" customWidth="1"/>
    <col min="4642" max="4642" width="9.88671875" style="106" customWidth="1"/>
    <col min="4643" max="4643" width="14.88671875" style="106" customWidth="1"/>
    <col min="4644" max="4644" width="14.5546875" style="106" customWidth="1"/>
    <col min="4645" max="4645" width="16.109375" style="106" customWidth="1"/>
    <col min="4646" max="4650" width="12.88671875" style="106" customWidth="1"/>
    <col min="4651" max="4878" width="8.88671875" style="106"/>
    <col min="4879" max="4879" width="3.77734375" style="106" customWidth="1"/>
    <col min="4880" max="4880" width="6.44140625" style="106" customWidth="1"/>
    <col min="4881" max="4881" width="7.44140625" style="106" customWidth="1"/>
    <col min="4882" max="4882" width="10.33203125" style="106" customWidth="1"/>
    <col min="4883" max="4883" width="12.33203125" style="106" customWidth="1"/>
    <col min="4884" max="4884" width="35.77734375" style="106" customWidth="1"/>
    <col min="4885" max="4885" width="12" style="106" customWidth="1"/>
    <col min="4886" max="4888" width="13" style="106" customWidth="1"/>
    <col min="4889" max="4889" width="10.88671875" style="106" customWidth="1"/>
    <col min="4890" max="4892" width="15.77734375" style="106" customWidth="1"/>
    <col min="4893" max="4893" width="12.5546875" style="106" customWidth="1"/>
    <col min="4894" max="4894" width="8.5546875" style="106" customWidth="1"/>
    <col min="4895" max="4895" width="11.109375" style="106" customWidth="1"/>
    <col min="4896" max="4896" width="11.6640625" style="106" customWidth="1"/>
    <col min="4897" max="4897" width="8.88671875" style="106" customWidth="1"/>
    <col min="4898" max="4898" width="9.88671875" style="106" customWidth="1"/>
    <col min="4899" max="4899" width="14.88671875" style="106" customWidth="1"/>
    <col min="4900" max="4900" width="14.5546875" style="106" customWidth="1"/>
    <col min="4901" max="4901" width="16.109375" style="106" customWidth="1"/>
    <col min="4902" max="4906" width="12.88671875" style="106" customWidth="1"/>
    <col min="4907" max="5134" width="8.88671875" style="106"/>
    <col min="5135" max="5135" width="3.77734375" style="106" customWidth="1"/>
    <col min="5136" max="5136" width="6.44140625" style="106" customWidth="1"/>
    <col min="5137" max="5137" width="7.44140625" style="106" customWidth="1"/>
    <col min="5138" max="5138" width="10.33203125" style="106" customWidth="1"/>
    <col min="5139" max="5139" width="12.33203125" style="106" customWidth="1"/>
    <col min="5140" max="5140" width="35.77734375" style="106" customWidth="1"/>
    <col min="5141" max="5141" width="12" style="106" customWidth="1"/>
    <col min="5142" max="5144" width="13" style="106" customWidth="1"/>
    <col min="5145" max="5145" width="10.88671875" style="106" customWidth="1"/>
    <col min="5146" max="5148" width="15.77734375" style="106" customWidth="1"/>
    <col min="5149" max="5149" width="12.5546875" style="106" customWidth="1"/>
    <col min="5150" max="5150" width="8.5546875" style="106" customWidth="1"/>
    <col min="5151" max="5151" width="11.109375" style="106" customWidth="1"/>
    <col min="5152" max="5152" width="11.6640625" style="106" customWidth="1"/>
    <col min="5153" max="5153" width="8.88671875" style="106" customWidth="1"/>
    <col min="5154" max="5154" width="9.88671875" style="106" customWidth="1"/>
    <col min="5155" max="5155" width="14.88671875" style="106" customWidth="1"/>
    <col min="5156" max="5156" width="14.5546875" style="106" customWidth="1"/>
    <col min="5157" max="5157" width="16.109375" style="106" customWidth="1"/>
    <col min="5158" max="5162" width="12.88671875" style="106" customWidth="1"/>
    <col min="5163" max="5390" width="8.88671875" style="106"/>
    <col min="5391" max="5391" width="3.77734375" style="106" customWidth="1"/>
    <col min="5392" max="5392" width="6.44140625" style="106" customWidth="1"/>
    <col min="5393" max="5393" width="7.44140625" style="106" customWidth="1"/>
    <col min="5394" max="5394" width="10.33203125" style="106" customWidth="1"/>
    <col min="5395" max="5395" width="12.33203125" style="106" customWidth="1"/>
    <col min="5396" max="5396" width="35.77734375" style="106" customWidth="1"/>
    <col min="5397" max="5397" width="12" style="106" customWidth="1"/>
    <col min="5398" max="5400" width="13" style="106" customWidth="1"/>
    <col min="5401" max="5401" width="10.88671875" style="106" customWidth="1"/>
    <col min="5402" max="5404" width="15.77734375" style="106" customWidth="1"/>
    <col min="5405" max="5405" width="12.5546875" style="106" customWidth="1"/>
    <col min="5406" max="5406" width="8.5546875" style="106" customWidth="1"/>
    <col min="5407" max="5407" width="11.109375" style="106" customWidth="1"/>
    <col min="5408" max="5408" width="11.6640625" style="106" customWidth="1"/>
    <col min="5409" max="5409" width="8.88671875" style="106" customWidth="1"/>
    <col min="5410" max="5410" width="9.88671875" style="106" customWidth="1"/>
    <col min="5411" max="5411" width="14.88671875" style="106" customWidth="1"/>
    <col min="5412" max="5412" width="14.5546875" style="106" customWidth="1"/>
    <col min="5413" max="5413" width="16.109375" style="106" customWidth="1"/>
    <col min="5414" max="5418" width="12.88671875" style="106" customWidth="1"/>
    <col min="5419" max="5646" width="8.88671875" style="106"/>
    <col min="5647" max="5647" width="3.77734375" style="106" customWidth="1"/>
    <col min="5648" max="5648" width="6.44140625" style="106" customWidth="1"/>
    <col min="5649" max="5649" width="7.44140625" style="106" customWidth="1"/>
    <col min="5650" max="5650" width="10.33203125" style="106" customWidth="1"/>
    <col min="5651" max="5651" width="12.33203125" style="106" customWidth="1"/>
    <col min="5652" max="5652" width="35.77734375" style="106" customWidth="1"/>
    <col min="5653" max="5653" width="12" style="106" customWidth="1"/>
    <col min="5654" max="5656" width="13" style="106" customWidth="1"/>
    <col min="5657" max="5657" width="10.88671875" style="106" customWidth="1"/>
    <col min="5658" max="5660" width="15.77734375" style="106" customWidth="1"/>
    <col min="5661" max="5661" width="12.5546875" style="106" customWidth="1"/>
    <col min="5662" max="5662" width="8.5546875" style="106" customWidth="1"/>
    <col min="5663" max="5663" width="11.109375" style="106" customWidth="1"/>
    <col min="5664" max="5664" width="11.6640625" style="106" customWidth="1"/>
    <col min="5665" max="5665" width="8.88671875" style="106" customWidth="1"/>
    <col min="5666" max="5666" width="9.88671875" style="106" customWidth="1"/>
    <col min="5667" max="5667" width="14.88671875" style="106" customWidth="1"/>
    <col min="5668" max="5668" width="14.5546875" style="106" customWidth="1"/>
    <col min="5669" max="5669" width="16.109375" style="106" customWidth="1"/>
    <col min="5670" max="5674" width="12.88671875" style="106" customWidth="1"/>
    <col min="5675" max="5902" width="8.88671875" style="106"/>
    <col min="5903" max="5903" width="3.77734375" style="106" customWidth="1"/>
    <col min="5904" max="5904" width="6.44140625" style="106" customWidth="1"/>
    <col min="5905" max="5905" width="7.44140625" style="106" customWidth="1"/>
    <col min="5906" max="5906" width="10.33203125" style="106" customWidth="1"/>
    <col min="5907" max="5907" width="12.33203125" style="106" customWidth="1"/>
    <col min="5908" max="5908" width="35.77734375" style="106" customWidth="1"/>
    <col min="5909" max="5909" width="12" style="106" customWidth="1"/>
    <col min="5910" max="5912" width="13" style="106" customWidth="1"/>
    <col min="5913" max="5913" width="10.88671875" style="106" customWidth="1"/>
    <col min="5914" max="5916" width="15.77734375" style="106" customWidth="1"/>
    <col min="5917" max="5917" width="12.5546875" style="106" customWidth="1"/>
    <col min="5918" max="5918" width="8.5546875" style="106" customWidth="1"/>
    <col min="5919" max="5919" width="11.109375" style="106" customWidth="1"/>
    <col min="5920" max="5920" width="11.6640625" style="106" customWidth="1"/>
    <col min="5921" max="5921" width="8.88671875" style="106" customWidth="1"/>
    <col min="5922" max="5922" width="9.88671875" style="106" customWidth="1"/>
    <col min="5923" max="5923" width="14.88671875" style="106" customWidth="1"/>
    <col min="5924" max="5924" width="14.5546875" style="106" customWidth="1"/>
    <col min="5925" max="5925" width="16.109375" style="106" customWidth="1"/>
    <col min="5926" max="5930" width="12.88671875" style="106" customWidth="1"/>
    <col min="5931" max="6158" width="8.88671875" style="106"/>
    <col min="6159" max="6159" width="3.77734375" style="106" customWidth="1"/>
    <col min="6160" max="6160" width="6.44140625" style="106" customWidth="1"/>
    <col min="6161" max="6161" width="7.44140625" style="106" customWidth="1"/>
    <col min="6162" max="6162" width="10.33203125" style="106" customWidth="1"/>
    <col min="6163" max="6163" width="12.33203125" style="106" customWidth="1"/>
    <col min="6164" max="6164" width="35.77734375" style="106" customWidth="1"/>
    <col min="6165" max="6165" width="12" style="106" customWidth="1"/>
    <col min="6166" max="6168" width="13" style="106" customWidth="1"/>
    <col min="6169" max="6169" width="10.88671875" style="106" customWidth="1"/>
    <col min="6170" max="6172" width="15.77734375" style="106" customWidth="1"/>
    <col min="6173" max="6173" width="12.5546875" style="106" customWidth="1"/>
    <col min="6174" max="6174" width="8.5546875" style="106" customWidth="1"/>
    <col min="6175" max="6175" width="11.109375" style="106" customWidth="1"/>
    <col min="6176" max="6176" width="11.6640625" style="106" customWidth="1"/>
    <col min="6177" max="6177" width="8.88671875" style="106" customWidth="1"/>
    <col min="6178" max="6178" width="9.88671875" style="106" customWidth="1"/>
    <col min="6179" max="6179" width="14.88671875" style="106" customWidth="1"/>
    <col min="6180" max="6180" width="14.5546875" style="106" customWidth="1"/>
    <col min="6181" max="6181" width="16.109375" style="106" customWidth="1"/>
    <col min="6182" max="6186" width="12.88671875" style="106" customWidth="1"/>
    <col min="6187" max="6414" width="8.88671875" style="106"/>
    <col min="6415" max="6415" width="3.77734375" style="106" customWidth="1"/>
    <col min="6416" max="6416" width="6.44140625" style="106" customWidth="1"/>
    <col min="6417" max="6417" width="7.44140625" style="106" customWidth="1"/>
    <col min="6418" max="6418" width="10.33203125" style="106" customWidth="1"/>
    <col min="6419" max="6419" width="12.33203125" style="106" customWidth="1"/>
    <col min="6420" max="6420" width="35.77734375" style="106" customWidth="1"/>
    <col min="6421" max="6421" width="12" style="106" customWidth="1"/>
    <col min="6422" max="6424" width="13" style="106" customWidth="1"/>
    <col min="6425" max="6425" width="10.88671875" style="106" customWidth="1"/>
    <col min="6426" max="6428" width="15.77734375" style="106" customWidth="1"/>
    <col min="6429" max="6429" width="12.5546875" style="106" customWidth="1"/>
    <col min="6430" max="6430" width="8.5546875" style="106" customWidth="1"/>
    <col min="6431" max="6431" width="11.109375" style="106" customWidth="1"/>
    <col min="6432" max="6432" width="11.6640625" style="106" customWidth="1"/>
    <col min="6433" max="6433" width="8.88671875" style="106" customWidth="1"/>
    <col min="6434" max="6434" width="9.88671875" style="106" customWidth="1"/>
    <col min="6435" max="6435" width="14.88671875" style="106" customWidth="1"/>
    <col min="6436" max="6436" width="14.5546875" style="106" customWidth="1"/>
    <col min="6437" max="6437" width="16.109375" style="106" customWidth="1"/>
    <col min="6438" max="6442" width="12.88671875" style="106" customWidth="1"/>
    <col min="6443" max="6670" width="8.88671875" style="106"/>
    <col min="6671" max="6671" width="3.77734375" style="106" customWidth="1"/>
    <col min="6672" max="6672" width="6.44140625" style="106" customWidth="1"/>
    <col min="6673" max="6673" width="7.44140625" style="106" customWidth="1"/>
    <col min="6674" max="6674" width="10.33203125" style="106" customWidth="1"/>
    <col min="6675" max="6675" width="12.33203125" style="106" customWidth="1"/>
    <col min="6676" max="6676" width="35.77734375" style="106" customWidth="1"/>
    <col min="6677" max="6677" width="12" style="106" customWidth="1"/>
    <col min="6678" max="6680" width="13" style="106" customWidth="1"/>
    <col min="6681" max="6681" width="10.88671875" style="106" customWidth="1"/>
    <col min="6682" max="6684" width="15.77734375" style="106" customWidth="1"/>
    <col min="6685" max="6685" width="12.5546875" style="106" customWidth="1"/>
    <col min="6686" max="6686" width="8.5546875" style="106" customWidth="1"/>
    <col min="6687" max="6687" width="11.109375" style="106" customWidth="1"/>
    <col min="6688" max="6688" width="11.6640625" style="106" customWidth="1"/>
    <col min="6689" max="6689" width="8.88671875" style="106" customWidth="1"/>
    <col min="6690" max="6690" width="9.88671875" style="106" customWidth="1"/>
    <col min="6691" max="6691" width="14.88671875" style="106" customWidth="1"/>
    <col min="6692" max="6692" width="14.5546875" style="106" customWidth="1"/>
    <col min="6693" max="6693" width="16.109375" style="106" customWidth="1"/>
    <col min="6694" max="6698" width="12.88671875" style="106" customWidth="1"/>
    <col min="6699" max="6926" width="8.88671875" style="106"/>
    <col min="6927" max="6927" width="3.77734375" style="106" customWidth="1"/>
    <col min="6928" max="6928" width="6.44140625" style="106" customWidth="1"/>
    <col min="6929" max="6929" width="7.44140625" style="106" customWidth="1"/>
    <col min="6930" max="6930" width="10.33203125" style="106" customWidth="1"/>
    <col min="6931" max="6931" width="12.33203125" style="106" customWidth="1"/>
    <col min="6932" max="6932" width="35.77734375" style="106" customWidth="1"/>
    <col min="6933" max="6933" width="12" style="106" customWidth="1"/>
    <col min="6934" max="6936" width="13" style="106" customWidth="1"/>
    <col min="6937" max="6937" width="10.88671875" style="106" customWidth="1"/>
    <col min="6938" max="6940" width="15.77734375" style="106" customWidth="1"/>
    <col min="6941" max="6941" width="12.5546875" style="106" customWidth="1"/>
    <col min="6942" max="6942" width="8.5546875" style="106" customWidth="1"/>
    <col min="6943" max="6943" width="11.109375" style="106" customWidth="1"/>
    <col min="6944" max="6944" width="11.6640625" style="106" customWidth="1"/>
    <col min="6945" max="6945" width="8.88671875" style="106" customWidth="1"/>
    <col min="6946" max="6946" width="9.88671875" style="106" customWidth="1"/>
    <col min="6947" max="6947" width="14.88671875" style="106" customWidth="1"/>
    <col min="6948" max="6948" width="14.5546875" style="106" customWidth="1"/>
    <col min="6949" max="6949" width="16.109375" style="106" customWidth="1"/>
    <col min="6950" max="6954" width="12.88671875" style="106" customWidth="1"/>
    <col min="6955" max="7182" width="8.88671875" style="106"/>
    <col min="7183" max="7183" width="3.77734375" style="106" customWidth="1"/>
    <col min="7184" max="7184" width="6.44140625" style="106" customWidth="1"/>
    <col min="7185" max="7185" width="7.44140625" style="106" customWidth="1"/>
    <col min="7186" max="7186" width="10.33203125" style="106" customWidth="1"/>
    <col min="7187" max="7187" width="12.33203125" style="106" customWidth="1"/>
    <col min="7188" max="7188" width="35.77734375" style="106" customWidth="1"/>
    <col min="7189" max="7189" width="12" style="106" customWidth="1"/>
    <col min="7190" max="7192" width="13" style="106" customWidth="1"/>
    <col min="7193" max="7193" width="10.88671875" style="106" customWidth="1"/>
    <col min="7194" max="7196" width="15.77734375" style="106" customWidth="1"/>
    <col min="7197" max="7197" width="12.5546875" style="106" customWidth="1"/>
    <col min="7198" max="7198" width="8.5546875" style="106" customWidth="1"/>
    <col min="7199" max="7199" width="11.109375" style="106" customWidth="1"/>
    <col min="7200" max="7200" width="11.6640625" style="106" customWidth="1"/>
    <col min="7201" max="7201" width="8.88671875" style="106" customWidth="1"/>
    <col min="7202" max="7202" width="9.88671875" style="106" customWidth="1"/>
    <col min="7203" max="7203" width="14.88671875" style="106" customWidth="1"/>
    <col min="7204" max="7204" width="14.5546875" style="106" customWidth="1"/>
    <col min="7205" max="7205" width="16.109375" style="106" customWidth="1"/>
    <col min="7206" max="7210" width="12.88671875" style="106" customWidth="1"/>
    <col min="7211" max="7438" width="8.88671875" style="106"/>
    <col min="7439" max="7439" width="3.77734375" style="106" customWidth="1"/>
    <col min="7440" max="7440" width="6.44140625" style="106" customWidth="1"/>
    <col min="7441" max="7441" width="7.44140625" style="106" customWidth="1"/>
    <col min="7442" max="7442" width="10.33203125" style="106" customWidth="1"/>
    <col min="7443" max="7443" width="12.33203125" style="106" customWidth="1"/>
    <col min="7444" max="7444" width="35.77734375" style="106" customWidth="1"/>
    <col min="7445" max="7445" width="12" style="106" customWidth="1"/>
    <col min="7446" max="7448" width="13" style="106" customWidth="1"/>
    <col min="7449" max="7449" width="10.88671875" style="106" customWidth="1"/>
    <col min="7450" max="7452" width="15.77734375" style="106" customWidth="1"/>
    <col min="7453" max="7453" width="12.5546875" style="106" customWidth="1"/>
    <col min="7454" max="7454" width="8.5546875" style="106" customWidth="1"/>
    <col min="7455" max="7455" width="11.109375" style="106" customWidth="1"/>
    <col min="7456" max="7456" width="11.6640625" style="106" customWidth="1"/>
    <col min="7457" max="7457" width="8.88671875" style="106" customWidth="1"/>
    <col min="7458" max="7458" width="9.88671875" style="106" customWidth="1"/>
    <col min="7459" max="7459" width="14.88671875" style="106" customWidth="1"/>
    <col min="7460" max="7460" width="14.5546875" style="106" customWidth="1"/>
    <col min="7461" max="7461" width="16.109375" style="106" customWidth="1"/>
    <col min="7462" max="7466" width="12.88671875" style="106" customWidth="1"/>
    <col min="7467" max="7694" width="8.88671875" style="106"/>
    <col min="7695" max="7695" width="3.77734375" style="106" customWidth="1"/>
    <col min="7696" max="7696" width="6.44140625" style="106" customWidth="1"/>
    <col min="7697" max="7697" width="7.44140625" style="106" customWidth="1"/>
    <col min="7698" max="7698" width="10.33203125" style="106" customWidth="1"/>
    <col min="7699" max="7699" width="12.33203125" style="106" customWidth="1"/>
    <col min="7700" max="7700" width="35.77734375" style="106" customWidth="1"/>
    <col min="7701" max="7701" width="12" style="106" customWidth="1"/>
    <col min="7702" max="7704" width="13" style="106" customWidth="1"/>
    <col min="7705" max="7705" width="10.88671875" style="106" customWidth="1"/>
    <col min="7706" max="7708" width="15.77734375" style="106" customWidth="1"/>
    <col min="7709" max="7709" width="12.5546875" style="106" customWidth="1"/>
    <col min="7710" max="7710" width="8.5546875" style="106" customWidth="1"/>
    <col min="7711" max="7711" width="11.109375" style="106" customWidth="1"/>
    <col min="7712" max="7712" width="11.6640625" style="106" customWidth="1"/>
    <col min="7713" max="7713" width="8.88671875" style="106" customWidth="1"/>
    <col min="7714" max="7714" width="9.88671875" style="106" customWidth="1"/>
    <col min="7715" max="7715" width="14.88671875" style="106" customWidth="1"/>
    <col min="7716" max="7716" width="14.5546875" style="106" customWidth="1"/>
    <col min="7717" max="7717" width="16.109375" style="106" customWidth="1"/>
    <col min="7718" max="7722" width="12.88671875" style="106" customWidth="1"/>
    <col min="7723" max="7950" width="8.88671875" style="106"/>
    <col min="7951" max="7951" width="3.77734375" style="106" customWidth="1"/>
    <col min="7952" max="7952" width="6.44140625" style="106" customWidth="1"/>
    <col min="7953" max="7953" width="7.44140625" style="106" customWidth="1"/>
    <col min="7954" max="7954" width="10.33203125" style="106" customWidth="1"/>
    <col min="7955" max="7955" width="12.33203125" style="106" customWidth="1"/>
    <col min="7956" max="7956" width="35.77734375" style="106" customWidth="1"/>
    <col min="7957" max="7957" width="12" style="106" customWidth="1"/>
    <col min="7958" max="7960" width="13" style="106" customWidth="1"/>
    <col min="7961" max="7961" width="10.88671875" style="106" customWidth="1"/>
    <col min="7962" max="7964" width="15.77734375" style="106" customWidth="1"/>
    <col min="7965" max="7965" width="12.5546875" style="106" customWidth="1"/>
    <col min="7966" max="7966" width="8.5546875" style="106" customWidth="1"/>
    <col min="7967" max="7967" width="11.109375" style="106" customWidth="1"/>
    <col min="7968" max="7968" width="11.6640625" style="106" customWidth="1"/>
    <col min="7969" max="7969" width="8.88671875" style="106" customWidth="1"/>
    <col min="7970" max="7970" width="9.88671875" style="106" customWidth="1"/>
    <col min="7971" max="7971" width="14.88671875" style="106" customWidth="1"/>
    <col min="7972" max="7972" width="14.5546875" style="106" customWidth="1"/>
    <col min="7973" max="7973" width="16.109375" style="106" customWidth="1"/>
    <col min="7974" max="7978" width="12.88671875" style="106" customWidth="1"/>
    <col min="7979" max="8206" width="8.88671875" style="106"/>
    <col min="8207" max="8207" width="3.77734375" style="106" customWidth="1"/>
    <col min="8208" max="8208" width="6.44140625" style="106" customWidth="1"/>
    <col min="8209" max="8209" width="7.44140625" style="106" customWidth="1"/>
    <col min="8210" max="8210" width="10.33203125" style="106" customWidth="1"/>
    <col min="8211" max="8211" width="12.33203125" style="106" customWidth="1"/>
    <col min="8212" max="8212" width="35.77734375" style="106" customWidth="1"/>
    <col min="8213" max="8213" width="12" style="106" customWidth="1"/>
    <col min="8214" max="8216" width="13" style="106" customWidth="1"/>
    <col min="8217" max="8217" width="10.88671875" style="106" customWidth="1"/>
    <col min="8218" max="8220" width="15.77734375" style="106" customWidth="1"/>
    <col min="8221" max="8221" width="12.5546875" style="106" customWidth="1"/>
    <col min="8222" max="8222" width="8.5546875" style="106" customWidth="1"/>
    <col min="8223" max="8223" width="11.109375" style="106" customWidth="1"/>
    <col min="8224" max="8224" width="11.6640625" style="106" customWidth="1"/>
    <col min="8225" max="8225" width="8.88671875" style="106" customWidth="1"/>
    <col min="8226" max="8226" width="9.88671875" style="106" customWidth="1"/>
    <col min="8227" max="8227" width="14.88671875" style="106" customWidth="1"/>
    <col min="8228" max="8228" width="14.5546875" style="106" customWidth="1"/>
    <col min="8229" max="8229" width="16.109375" style="106" customWidth="1"/>
    <col min="8230" max="8234" width="12.88671875" style="106" customWidth="1"/>
    <col min="8235" max="8462" width="8.88671875" style="106"/>
    <col min="8463" max="8463" width="3.77734375" style="106" customWidth="1"/>
    <col min="8464" max="8464" width="6.44140625" style="106" customWidth="1"/>
    <col min="8465" max="8465" width="7.44140625" style="106" customWidth="1"/>
    <col min="8466" max="8466" width="10.33203125" style="106" customWidth="1"/>
    <col min="8467" max="8467" width="12.33203125" style="106" customWidth="1"/>
    <col min="8468" max="8468" width="35.77734375" style="106" customWidth="1"/>
    <col min="8469" max="8469" width="12" style="106" customWidth="1"/>
    <col min="8470" max="8472" width="13" style="106" customWidth="1"/>
    <col min="8473" max="8473" width="10.88671875" style="106" customWidth="1"/>
    <col min="8474" max="8476" width="15.77734375" style="106" customWidth="1"/>
    <col min="8477" max="8477" width="12.5546875" style="106" customWidth="1"/>
    <col min="8478" max="8478" width="8.5546875" style="106" customWidth="1"/>
    <col min="8479" max="8479" width="11.109375" style="106" customWidth="1"/>
    <col min="8480" max="8480" width="11.6640625" style="106" customWidth="1"/>
    <col min="8481" max="8481" width="8.88671875" style="106" customWidth="1"/>
    <col min="8482" max="8482" width="9.88671875" style="106" customWidth="1"/>
    <col min="8483" max="8483" width="14.88671875" style="106" customWidth="1"/>
    <col min="8484" max="8484" width="14.5546875" style="106" customWidth="1"/>
    <col min="8485" max="8485" width="16.109375" style="106" customWidth="1"/>
    <col min="8486" max="8490" width="12.88671875" style="106" customWidth="1"/>
    <col min="8491" max="8718" width="8.88671875" style="106"/>
    <col min="8719" max="8719" width="3.77734375" style="106" customWidth="1"/>
    <col min="8720" max="8720" width="6.44140625" style="106" customWidth="1"/>
    <col min="8721" max="8721" width="7.44140625" style="106" customWidth="1"/>
    <col min="8722" max="8722" width="10.33203125" style="106" customWidth="1"/>
    <col min="8723" max="8723" width="12.33203125" style="106" customWidth="1"/>
    <col min="8724" max="8724" width="35.77734375" style="106" customWidth="1"/>
    <col min="8725" max="8725" width="12" style="106" customWidth="1"/>
    <col min="8726" max="8728" width="13" style="106" customWidth="1"/>
    <col min="8729" max="8729" width="10.88671875" style="106" customWidth="1"/>
    <col min="8730" max="8732" width="15.77734375" style="106" customWidth="1"/>
    <col min="8733" max="8733" width="12.5546875" style="106" customWidth="1"/>
    <col min="8734" max="8734" width="8.5546875" style="106" customWidth="1"/>
    <col min="8735" max="8735" width="11.109375" style="106" customWidth="1"/>
    <col min="8736" max="8736" width="11.6640625" style="106" customWidth="1"/>
    <col min="8737" max="8737" width="8.88671875" style="106" customWidth="1"/>
    <col min="8738" max="8738" width="9.88671875" style="106" customWidth="1"/>
    <col min="8739" max="8739" width="14.88671875" style="106" customWidth="1"/>
    <col min="8740" max="8740" width="14.5546875" style="106" customWidth="1"/>
    <col min="8741" max="8741" width="16.109375" style="106" customWidth="1"/>
    <col min="8742" max="8746" width="12.88671875" style="106" customWidth="1"/>
    <col min="8747" max="8974" width="8.88671875" style="106"/>
    <col min="8975" max="8975" width="3.77734375" style="106" customWidth="1"/>
    <col min="8976" max="8976" width="6.44140625" style="106" customWidth="1"/>
    <col min="8977" max="8977" width="7.44140625" style="106" customWidth="1"/>
    <col min="8978" max="8978" width="10.33203125" style="106" customWidth="1"/>
    <col min="8979" max="8979" width="12.33203125" style="106" customWidth="1"/>
    <col min="8980" max="8980" width="35.77734375" style="106" customWidth="1"/>
    <col min="8981" max="8981" width="12" style="106" customWidth="1"/>
    <col min="8982" max="8984" width="13" style="106" customWidth="1"/>
    <col min="8985" max="8985" width="10.88671875" style="106" customWidth="1"/>
    <col min="8986" max="8988" width="15.77734375" style="106" customWidth="1"/>
    <col min="8989" max="8989" width="12.5546875" style="106" customWidth="1"/>
    <col min="8990" max="8990" width="8.5546875" style="106" customWidth="1"/>
    <col min="8991" max="8991" width="11.109375" style="106" customWidth="1"/>
    <col min="8992" max="8992" width="11.6640625" style="106" customWidth="1"/>
    <col min="8993" max="8993" width="8.88671875" style="106" customWidth="1"/>
    <col min="8994" max="8994" width="9.88671875" style="106" customWidth="1"/>
    <col min="8995" max="8995" width="14.88671875" style="106" customWidth="1"/>
    <col min="8996" max="8996" width="14.5546875" style="106" customWidth="1"/>
    <col min="8997" max="8997" width="16.109375" style="106" customWidth="1"/>
    <col min="8998" max="9002" width="12.88671875" style="106" customWidth="1"/>
    <col min="9003" max="9230" width="8.88671875" style="106"/>
    <col min="9231" max="9231" width="3.77734375" style="106" customWidth="1"/>
    <col min="9232" max="9232" width="6.44140625" style="106" customWidth="1"/>
    <col min="9233" max="9233" width="7.44140625" style="106" customWidth="1"/>
    <col min="9234" max="9234" width="10.33203125" style="106" customWidth="1"/>
    <col min="9235" max="9235" width="12.33203125" style="106" customWidth="1"/>
    <col min="9236" max="9236" width="35.77734375" style="106" customWidth="1"/>
    <col min="9237" max="9237" width="12" style="106" customWidth="1"/>
    <col min="9238" max="9240" width="13" style="106" customWidth="1"/>
    <col min="9241" max="9241" width="10.88671875" style="106" customWidth="1"/>
    <col min="9242" max="9244" width="15.77734375" style="106" customWidth="1"/>
    <col min="9245" max="9245" width="12.5546875" style="106" customWidth="1"/>
    <col min="9246" max="9246" width="8.5546875" style="106" customWidth="1"/>
    <col min="9247" max="9247" width="11.109375" style="106" customWidth="1"/>
    <col min="9248" max="9248" width="11.6640625" style="106" customWidth="1"/>
    <col min="9249" max="9249" width="8.88671875" style="106" customWidth="1"/>
    <col min="9250" max="9250" width="9.88671875" style="106" customWidth="1"/>
    <col min="9251" max="9251" width="14.88671875" style="106" customWidth="1"/>
    <col min="9252" max="9252" width="14.5546875" style="106" customWidth="1"/>
    <col min="9253" max="9253" width="16.109375" style="106" customWidth="1"/>
    <col min="9254" max="9258" width="12.88671875" style="106" customWidth="1"/>
    <col min="9259" max="9486" width="8.88671875" style="106"/>
    <col min="9487" max="9487" width="3.77734375" style="106" customWidth="1"/>
    <col min="9488" max="9488" width="6.44140625" style="106" customWidth="1"/>
    <col min="9489" max="9489" width="7.44140625" style="106" customWidth="1"/>
    <col min="9490" max="9490" width="10.33203125" style="106" customWidth="1"/>
    <col min="9491" max="9491" width="12.33203125" style="106" customWidth="1"/>
    <col min="9492" max="9492" width="35.77734375" style="106" customWidth="1"/>
    <col min="9493" max="9493" width="12" style="106" customWidth="1"/>
    <col min="9494" max="9496" width="13" style="106" customWidth="1"/>
    <col min="9497" max="9497" width="10.88671875" style="106" customWidth="1"/>
    <col min="9498" max="9500" width="15.77734375" style="106" customWidth="1"/>
    <col min="9501" max="9501" width="12.5546875" style="106" customWidth="1"/>
    <col min="9502" max="9502" width="8.5546875" style="106" customWidth="1"/>
    <col min="9503" max="9503" width="11.109375" style="106" customWidth="1"/>
    <col min="9504" max="9504" width="11.6640625" style="106" customWidth="1"/>
    <col min="9505" max="9505" width="8.88671875" style="106" customWidth="1"/>
    <col min="9506" max="9506" width="9.88671875" style="106" customWidth="1"/>
    <col min="9507" max="9507" width="14.88671875" style="106" customWidth="1"/>
    <col min="9508" max="9508" width="14.5546875" style="106" customWidth="1"/>
    <col min="9509" max="9509" width="16.109375" style="106" customWidth="1"/>
    <col min="9510" max="9514" width="12.88671875" style="106" customWidth="1"/>
    <col min="9515" max="9742" width="8.88671875" style="106"/>
    <col min="9743" max="9743" width="3.77734375" style="106" customWidth="1"/>
    <col min="9744" max="9744" width="6.44140625" style="106" customWidth="1"/>
    <col min="9745" max="9745" width="7.44140625" style="106" customWidth="1"/>
    <col min="9746" max="9746" width="10.33203125" style="106" customWidth="1"/>
    <col min="9747" max="9747" width="12.33203125" style="106" customWidth="1"/>
    <col min="9748" max="9748" width="35.77734375" style="106" customWidth="1"/>
    <col min="9749" max="9749" width="12" style="106" customWidth="1"/>
    <col min="9750" max="9752" width="13" style="106" customWidth="1"/>
    <col min="9753" max="9753" width="10.88671875" style="106" customWidth="1"/>
    <col min="9754" max="9756" width="15.77734375" style="106" customWidth="1"/>
    <col min="9757" max="9757" width="12.5546875" style="106" customWidth="1"/>
    <col min="9758" max="9758" width="8.5546875" style="106" customWidth="1"/>
    <col min="9759" max="9759" width="11.109375" style="106" customWidth="1"/>
    <col min="9760" max="9760" width="11.6640625" style="106" customWidth="1"/>
    <col min="9761" max="9761" width="8.88671875" style="106" customWidth="1"/>
    <col min="9762" max="9762" width="9.88671875" style="106" customWidth="1"/>
    <col min="9763" max="9763" width="14.88671875" style="106" customWidth="1"/>
    <col min="9764" max="9764" width="14.5546875" style="106" customWidth="1"/>
    <col min="9765" max="9765" width="16.109375" style="106" customWidth="1"/>
    <col min="9766" max="9770" width="12.88671875" style="106" customWidth="1"/>
    <col min="9771" max="9998" width="8.88671875" style="106"/>
    <col min="9999" max="9999" width="3.77734375" style="106" customWidth="1"/>
    <col min="10000" max="10000" width="6.44140625" style="106" customWidth="1"/>
    <col min="10001" max="10001" width="7.44140625" style="106" customWidth="1"/>
    <col min="10002" max="10002" width="10.33203125" style="106" customWidth="1"/>
    <col min="10003" max="10003" width="12.33203125" style="106" customWidth="1"/>
    <col min="10004" max="10004" width="35.77734375" style="106" customWidth="1"/>
    <col min="10005" max="10005" width="12" style="106" customWidth="1"/>
    <col min="10006" max="10008" width="13" style="106" customWidth="1"/>
    <col min="10009" max="10009" width="10.88671875" style="106" customWidth="1"/>
    <col min="10010" max="10012" width="15.77734375" style="106" customWidth="1"/>
    <col min="10013" max="10013" width="12.5546875" style="106" customWidth="1"/>
    <col min="10014" max="10014" width="8.5546875" style="106" customWidth="1"/>
    <col min="10015" max="10015" width="11.109375" style="106" customWidth="1"/>
    <col min="10016" max="10016" width="11.6640625" style="106" customWidth="1"/>
    <col min="10017" max="10017" width="8.88671875" style="106" customWidth="1"/>
    <col min="10018" max="10018" width="9.88671875" style="106" customWidth="1"/>
    <col min="10019" max="10019" width="14.88671875" style="106" customWidth="1"/>
    <col min="10020" max="10020" width="14.5546875" style="106" customWidth="1"/>
    <col min="10021" max="10021" width="16.109375" style="106" customWidth="1"/>
    <col min="10022" max="10026" width="12.88671875" style="106" customWidth="1"/>
    <col min="10027" max="10254" width="8.88671875" style="106"/>
    <col min="10255" max="10255" width="3.77734375" style="106" customWidth="1"/>
    <col min="10256" max="10256" width="6.44140625" style="106" customWidth="1"/>
    <col min="10257" max="10257" width="7.44140625" style="106" customWidth="1"/>
    <col min="10258" max="10258" width="10.33203125" style="106" customWidth="1"/>
    <col min="10259" max="10259" width="12.33203125" style="106" customWidth="1"/>
    <col min="10260" max="10260" width="35.77734375" style="106" customWidth="1"/>
    <col min="10261" max="10261" width="12" style="106" customWidth="1"/>
    <col min="10262" max="10264" width="13" style="106" customWidth="1"/>
    <col min="10265" max="10265" width="10.88671875" style="106" customWidth="1"/>
    <col min="10266" max="10268" width="15.77734375" style="106" customWidth="1"/>
    <col min="10269" max="10269" width="12.5546875" style="106" customWidth="1"/>
    <col min="10270" max="10270" width="8.5546875" style="106" customWidth="1"/>
    <col min="10271" max="10271" width="11.109375" style="106" customWidth="1"/>
    <col min="10272" max="10272" width="11.6640625" style="106" customWidth="1"/>
    <col min="10273" max="10273" width="8.88671875" style="106" customWidth="1"/>
    <col min="10274" max="10274" width="9.88671875" style="106" customWidth="1"/>
    <col min="10275" max="10275" width="14.88671875" style="106" customWidth="1"/>
    <col min="10276" max="10276" width="14.5546875" style="106" customWidth="1"/>
    <col min="10277" max="10277" width="16.109375" style="106" customWidth="1"/>
    <col min="10278" max="10282" width="12.88671875" style="106" customWidth="1"/>
    <col min="10283" max="10510" width="8.88671875" style="106"/>
    <col min="10511" max="10511" width="3.77734375" style="106" customWidth="1"/>
    <col min="10512" max="10512" width="6.44140625" style="106" customWidth="1"/>
    <col min="10513" max="10513" width="7.44140625" style="106" customWidth="1"/>
    <col min="10514" max="10514" width="10.33203125" style="106" customWidth="1"/>
    <col min="10515" max="10515" width="12.33203125" style="106" customWidth="1"/>
    <col min="10516" max="10516" width="35.77734375" style="106" customWidth="1"/>
    <col min="10517" max="10517" width="12" style="106" customWidth="1"/>
    <col min="10518" max="10520" width="13" style="106" customWidth="1"/>
    <col min="10521" max="10521" width="10.88671875" style="106" customWidth="1"/>
    <col min="10522" max="10524" width="15.77734375" style="106" customWidth="1"/>
    <col min="10525" max="10525" width="12.5546875" style="106" customWidth="1"/>
    <col min="10526" max="10526" width="8.5546875" style="106" customWidth="1"/>
    <col min="10527" max="10527" width="11.109375" style="106" customWidth="1"/>
    <col min="10528" max="10528" width="11.6640625" style="106" customWidth="1"/>
    <col min="10529" max="10529" width="8.88671875" style="106" customWidth="1"/>
    <col min="10530" max="10530" width="9.88671875" style="106" customWidth="1"/>
    <col min="10531" max="10531" width="14.88671875" style="106" customWidth="1"/>
    <col min="10532" max="10532" width="14.5546875" style="106" customWidth="1"/>
    <col min="10533" max="10533" width="16.109375" style="106" customWidth="1"/>
    <col min="10534" max="10538" width="12.88671875" style="106" customWidth="1"/>
    <col min="10539" max="10766" width="8.88671875" style="106"/>
    <col min="10767" max="10767" width="3.77734375" style="106" customWidth="1"/>
    <col min="10768" max="10768" width="6.44140625" style="106" customWidth="1"/>
    <col min="10769" max="10769" width="7.44140625" style="106" customWidth="1"/>
    <col min="10770" max="10770" width="10.33203125" style="106" customWidth="1"/>
    <col min="10771" max="10771" width="12.33203125" style="106" customWidth="1"/>
    <col min="10772" max="10772" width="35.77734375" style="106" customWidth="1"/>
    <col min="10773" max="10773" width="12" style="106" customWidth="1"/>
    <col min="10774" max="10776" width="13" style="106" customWidth="1"/>
    <col min="10777" max="10777" width="10.88671875" style="106" customWidth="1"/>
    <col min="10778" max="10780" width="15.77734375" style="106" customWidth="1"/>
    <col min="10781" max="10781" width="12.5546875" style="106" customWidth="1"/>
    <col min="10782" max="10782" width="8.5546875" style="106" customWidth="1"/>
    <col min="10783" max="10783" width="11.109375" style="106" customWidth="1"/>
    <col min="10784" max="10784" width="11.6640625" style="106" customWidth="1"/>
    <col min="10785" max="10785" width="8.88671875" style="106" customWidth="1"/>
    <col min="10786" max="10786" width="9.88671875" style="106" customWidth="1"/>
    <col min="10787" max="10787" width="14.88671875" style="106" customWidth="1"/>
    <col min="10788" max="10788" width="14.5546875" style="106" customWidth="1"/>
    <col min="10789" max="10789" width="16.109375" style="106" customWidth="1"/>
    <col min="10790" max="10794" width="12.88671875" style="106" customWidth="1"/>
    <col min="10795" max="11022" width="8.88671875" style="106"/>
    <col min="11023" max="11023" width="3.77734375" style="106" customWidth="1"/>
    <col min="11024" max="11024" width="6.44140625" style="106" customWidth="1"/>
    <col min="11025" max="11025" width="7.44140625" style="106" customWidth="1"/>
    <col min="11026" max="11026" width="10.33203125" style="106" customWidth="1"/>
    <col min="11027" max="11027" width="12.33203125" style="106" customWidth="1"/>
    <col min="11028" max="11028" width="35.77734375" style="106" customWidth="1"/>
    <col min="11029" max="11029" width="12" style="106" customWidth="1"/>
    <col min="11030" max="11032" width="13" style="106" customWidth="1"/>
    <col min="11033" max="11033" width="10.88671875" style="106" customWidth="1"/>
    <col min="11034" max="11036" width="15.77734375" style="106" customWidth="1"/>
    <col min="11037" max="11037" width="12.5546875" style="106" customWidth="1"/>
    <col min="11038" max="11038" width="8.5546875" style="106" customWidth="1"/>
    <col min="11039" max="11039" width="11.109375" style="106" customWidth="1"/>
    <col min="11040" max="11040" width="11.6640625" style="106" customWidth="1"/>
    <col min="11041" max="11041" width="8.88671875" style="106" customWidth="1"/>
    <col min="11042" max="11042" width="9.88671875" style="106" customWidth="1"/>
    <col min="11043" max="11043" width="14.88671875" style="106" customWidth="1"/>
    <col min="11044" max="11044" width="14.5546875" style="106" customWidth="1"/>
    <col min="11045" max="11045" width="16.109375" style="106" customWidth="1"/>
    <col min="11046" max="11050" width="12.88671875" style="106" customWidth="1"/>
    <col min="11051" max="11278" width="8.88671875" style="106"/>
    <col min="11279" max="11279" width="3.77734375" style="106" customWidth="1"/>
    <col min="11280" max="11280" width="6.44140625" style="106" customWidth="1"/>
    <col min="11281" max="11281" width="7.44140625" style="106" customWidth="1"/>
    <col min="11282" max="11282" width="10.33203125" style="106" customWidth="1"/>
    <col min="11283" max="11283" width="12.33203125" style="106" customWidth="1"/>
    <col min="11284" max="11284" width="35.77734375" style="106" customWidth="1"/>
    <col min="11285" max="11285" width="12" style="106" customWidth="1"/>
    <col min="11286" max="11288" width="13" style="106" customWidth="1"/>
    <col min="11289" max="11289" width="10.88671875" style="106" customWidth="1"/>
    <col min="11290" max="11292" width="15.77734375" style="106" customWidth="1"/>
    <col min="11293" max="11293" width="12.5546875" style="106" customWidth="1"/>
    <col min="11294" max="11294" width="8.5546875" style="106" customWidth="1"/>
    <col min="11295" max="11295" width="11.109375" style="106" customWidth="1"/>
    <col min="11296" max="11296" width="11.6640625" style="106" customWidth="1"/>
    <col min="11297" max="11297" width="8.88671875" style="106" customWidth="1"/>
    <col min="11298" max="11298" width="9.88671875" style="106" customWidth="1"/>
    <col min="11299" max="11299" width="14.88671875" style="106" customWidth="1"/>
    <col min="11300" max="11300" width="14.5546875" style="106" customWidth="1"/>
    <col min="11301" max="11301" width="16.109375" style="106" customWidth="1"/>
    <col min="11302" max="11306" width="12.88671875" style="106" customWidth="1"/>
    <col min="11307" max="11534" width="8.88671875" style="106"/>
    <col min="11535" max="11535" width="3.77734375" style="106" customWidth="1"/>
    <col min="11536" max="11536" width="6.44140625" style="106" customWidth="1"/>
    <col min="11537" max="11537" width="7.44140625" style="106" customWidth="1"/>
    <col min="11538" max="11538" width="10.33203125" style="106" customWidth="1"/>
    <col min="11539" max="11539" width="12.33203125" style="106" customWidth="1"/>
    <col min="11540" max="11540" width="35.77734375" style="106" customWidth="1"/>
    <col min="11541" max="11541" width="12" style="106" customWidth="1"/>
    <col min="11542" max="11544" width="13" style="106" customWidth="1"/>
    <col min="11545" max="11545" width="10.88671875" style="106" customWidth="1"/>
    <col min="11546" max="11548" width="15.77734375" style="106" customWidth="1"/>
    <col min="11549" max="11549" width="12.5546875" style="106" customWidth="1"/>
    <col min="11550" max="11550" width="8.5546875" style="106" customWidth="1"/>
    <col min="11551" max="11551" width="11.109375" style="106" customWidth="1"/>
    <col min="11552" max="11552" width="11.6640625" style="106" customWidth="1"/>
    <col min="11553" max="11553" width="8.88671875" style="106" customWidth="1"/>
    <col min="11554" max="11554" width="9.88671875" style="106" customWidth="1"/>
    <col min="11555" max="11555" width="14.88671875" style="106" customWidth="1"/>
    <col min="11556" max="11556" width="14.5546875" style="106" customWidth="1"/>
    <col min="11557" max="11557" width="16.109375" style="106" customWidth="1"/>
    <col min="11558" max="11562" width="12.88671875" style="106" customWidth="1"/>
    <col min="11563" max="11790" width="8.88671875" style="106"/>
    <col min="11791" max="11791" width="3.77734375" style="106" customWidth="1"/>
    <col min="11792" max="11792" width="6.44140625" style="106" customWidth="1"/>
    <col min="11793" max="11793" width="7.44140625" style="106" customWidth="1"/>
    <col min="11794" max="11794" width="10.33203125" style="106" customWidth="1"/>
    <col min="11795" max="11795" width="12.33203125" style="106" customWidth="1"/>
    <col min="11796" max="11796" width="35.77734375" style="106" customWidth="1"/>
    <col min="11797" max="11797" width="12" style="106" customWidth="1"/>
    <col min="11798" max="11800" width="13" style="106" customWidth="1"/>
    <col min="11801" max="11801" width="10.88671875" style="106" customWidth="1"/>
    <col min="11802" max="11804" width="15.77734375" style="106" customWidth="1"/>
    <col min="11805" max="11805" width="12.5546875" style="106" customWidth="1"/>
    <col min="11806" max="11806" width="8.5546875" style="106" customWidth="1"/>
    <col min="11807" max="11807" width="11.109375" style="106" customWidth="1"/>
    <col min="11808" max="11808" width="11.6640625" style="106" customWidth="1"/>
    <col min="11809" max="11809" width="8.88671875" style="106" customWidth="1"/>
    <col min="11810" max="11810" width="9.88671875" style="106" customWidth="1"/>
    <col min="11811" max="11811" width="14.88671875" style="106" customWidth="1"/>
    <col min="11812" max="11812" width="14.5546875" style="106" customWidth="1"/>
    <col min="11813" max="11813" width="16.109375" style="106" customWidth="1"/>
    <col min="11814" max="11818" width="12.88671875" style="106" customWidth="1"/>
    <col min="11819" max="12046" width="8.88671875" style="106"/>
    <col min="12047" max="12047" width="3.77734375" style="106" customWidth="1"/>
    <col min="12048" max="12048" width="6.44140625" style="106" customWidth="1"/>
    <col min="12049" max="12049" width="7.44140625" style="106" customWidth="1"/>
    <col min="12050" max="12050" width="10.33203125" style="106" customWidth="1"/>
    <col min="12051" max="12051" width="12.33203125" style="106" customWidth="1"/>
    <col min="12052" max="12052" width="35.77734375" style="106" customWidth="1"/>
    <col min="12053" max="12053" width="12" style="106" customWidth="1"/>
    <col min="12054" max="12056" width="13" style="106" customWidth="1"/>
    <col min="12057" max="12057" width="10.88671875" style="106" customWidth="1"/>
    <col min="12058" max="12060" width="15.77734375" style="106" customWidth="1"/>
    <col min="12061" max="12061" width="12.5546875" style="106" customWidth="1"/>
    <col min="12062" max="12062" width="8.5546875" style="106" customWidth="1"/>
    <col min="12063" max="12063" width="11.109375" style="106" customWidth="1"/>
    <col min="12064" max="12064" width="11.6640625" style="106" customWidth="1"/>
    <col min="12065" max="12065" width="8.88671875" style="106" customWidth="1"/>
    <col min="12066" max="12066" width="9.88671875" style="106" customWidth="1"/>
    <col min="12067" max="12067" width="14.88671875" style="106" customWidth="1"/>
    <col min="12068" max="12068" width="14.5546875" style="106" customWidth="1"/>
    <col min="12069" max="12069" width="16.109375" style="106" customWidth="1"/>
    <col min="12070" max="12074" width="12.88671875" style="106" customWidth="1"/>
    <col min="12075" max="12302" width="8.88671875" style="106"/>
    <col min="12303" max="12303" width="3.77734375" style="106" customWidth="1"/>
    <col min="12304" max="12304" width="6.44140625" style="106" customWidth="1"/>
    <col min="12305" max="12305" width="7.44140625" style="106" customWidth="1"/>
    <col min="12306" max="12306" width="10.33203125" style="106" customWidth="1"/>
    <col min="12307" max="12307" width="12.33203125" style="106" customWidth="1"/>
    <col min="12308" max="12308" width="35.77734375" style="106" customWidth="1"/>
    <col min="12309" max="12309" width="12" style="106" customWidth="1"/>
    <col min="12310" max="12312" width="13" style="106" customWidth="1"/>
    <col min="12313" max="12313" width="10.88671875" style="106" customWidth="1"/>
    <col min="12314" max="12316" width="15.77734375" style="106" customWidth="1"/>
    <col min="12317" max="12317" width="12.5546875" style="106" customWidth="1"/>
    <col min="12318" max="12318" width="8.5546875" style="106" customWidth="1"/>
    <col min="12319" max="12319" width="11.109375" style="106" customWidth="1"/>
    <col min="12320" max="12320" width="11.6640625" style="106" customWidth="1"/>
    <col min="12321" max="12321" width="8.88671875" style="106" customWidth="1"/>
    <col min="12322" max="12322" width="9.88671875" style="106" customWidth="1"/>
    <col min="12323" max="12323" width="14.88671875" style="106" customWidth="1"/>
    <col min="12324" max="12324" width="14.5546875" style="106" customWidth="1"/>
    <col min="12325" max="12325" width="16.109375" style="106" customWidth="1"/>
    <col min="12326" max="12330" width="12.88671875" style="106" customWidth="1"/>
    <col min="12331" max="12558" width="8.88671875" style="106"/>
    <col min="12559" max="12559" width="3.77734375" style="106" customWidth="1"/>
    <col min="12560" max="12560" width="6.44140625" style="106" customWidth="1"/>
    <col min="12561" max="12561" width="7.44140625" style="106" customWidth="1"/>
    <col min="12562" max="12562" width="10.33203125" style="106" customWidth="1"/>
    <col min="12563" max="12563" width="12.33203125" style="106" customWidth="1"/>
    <col min="12564" max="12564" width="35.77734375" style="106" customWidth="1"/>
    <col min="12565" max="12565" width="12" style="106" customWidth="1"/>
    <col min="12566" max="12568" width="13" style="106" customWidth="1"/>
    <col min="12569" max="12569" width="10.88671875" style="106" customWidth="1"/>
    <col min="12570" max="12572" width="15.77734375" style="106" customWidth="1"/>
    <col min="12573" max="12573" width="12.5546875" style="106" customWidth="1"/>
    <col min="12574" max="12574" width="8.5546875" style="106" customWidth="1"/>
    <col min="12575" max="12575" width="11.109375" style="106" customWidth="1"/>
    <col min="12576" max="12576" width="11.6640625" style="106" customWidth="1"/>
    <col min="12577" max="12577" width="8.88671875" style="106" customWidth="1"/>
    <col min="12578" max="12578" width="9.88671875" style="106" customWidth="1"/>
    <col min="12579" max="12579" width="14.88671875" style="106" customWidth="1"/>
    <col min="12580" max="12580" width="14.5546875" style="106" customWidth="1"/>
    <col min="12581" max="12581" width="16.109375" style="106" customWidth="1"/>
    <col min="12582" max="12586" width="12.88671875" style="106" customWidth="1"/>
    <col min="12587" max="12814" width="8.88671875" style="106"/>
    <col min="12815" max="12815" width="3.77734375" style="106" customWidth="1"/>
    <col min="12816" max="12816" width="6.44140625" style="106" customWidth="1"/>
    <col min="12817" max="12817" width="7.44140625" style="106" customWidth="1"/>
    <col min="12818" max="12818" width="10.33203125" style="106" customWidth="1"/>
    <col min="12819" max="12819" width="12.33203125" style="106" customWidth="1"/>
    <col min="12820" max="12820" width="35.77734375" style="106" customWidth="1"/>
    <col min="12821" max="12821" width="12" style="106" customWidth="1"/>
    <col min="12822" max="12824" width="13" style="106" customWidth="1"/>
    <col min="12825" max="12825" width="10.88671875" style="106" customWidth="1"/>
    <col min="12826" max="12828" width="15.77734375" style="106" customWidth="1"/>
    <col min="12829" max="12829" width="12.5546875" style="106" customWidth="1"/>
    <col min="12830" max="12830" width="8.5546875" style="106" customWidth="1"/>
    <col min="12831" max="12831" width="11.109375" style="106" customWidth="1"/>
    <col min="12832" max="12832" width="11.6640625" style="106" customWidth="1"/>
    <col min="12833" max="12833" width="8.88671875" style="106" customWidth="1"/>
    <col min="12834" max="12834" width="9.88671875" style="106" customWidth="1"/>
    <col min="12835" max="12835" width="14.88671875" style="106" customWidth="1"/>
    <col min="12836" max="12836" width="14.5546875" style="106" customWidth="1"/>
    <col min="12837" max="12837" width="16.109375" style="106" customWidth="1"/>
    <col min="12838" max="12842" width="12.88671875" style="106" customWidth="1"/>
    <col min="12843" max="13070" width="8.88671875" style="106"/>
    <col min="13071" max="13071" width="3.77734375" style="106" customWidth="1"/>
    <col min="13072" max="13072" width="6.44140625" style="106" customWidth="1"/>
    <col min="13073" max="13073" width="7.44140625" style="106" customWidth="1"/>
    <col min="13074" max="13074" width="10.33203125" style="106" customWidth="1"/>
    <col min="13075" max="13075" width="12.33203125" style="106" customWidth="1"/>
    <col min="13076" max="13076" width="35.77734375" style="106" customWidth="1"/>
    <col min="13077" max="13077" width="12" style="106" customWidth="1"/>
    <col min="13078" max="13080" width="13" style="106" customWidth="1"/>
    <col min="13081" max="13081" width="10.88671875" style="106" customWidth="1"/>
    <col min="13082" max="13084" width="15.77734375" style="106" customWidth="1"/>
    <col min="13085" max="13085" width="12.5546875" style="106" customWidth="1"/>
    <col min="13086" max="13086" width="8.5546875" style="106" customWidth="1"/>
    <col min="13087" max="13087" width="11.109375" style="106" customWidth="1"/>
    <col min="13088" max="13088" width="11.6640625" style="106" customWidth="1"/>
    <col min="13089" max="13089" width="8.88671875" style="106" customWidth="1"/>
    <col min="13090" max="13090" width="9.88671875" style="106" customWidth="1"/>
    <col min="13091" max="13091" width="14.88671875" style="106" customWidth="1"/>
    <col min="13092" max="13092" width="14.5546875" style="106" customWidth="1"/>
    <col min="13093" max="13093" width="16.109375" style="106" customWidth="1"/>
    <col min="13094" max="13098" width="12.88671875" style="106" customWidth="1"/>
    <col min="13099" max="13326" width="8.88671875" style="106"/>
    <col min="13327" max="13327" width="3.77734375" style="106" customWidth="1"/>
    <col min="13328" max="13328" width="6.44140625" style="106" customWidth="1"/>
    <col min="13329" max="13329" width="7.44140625" style="106" customWidth="1"/>
    <col min="13330" max="13330" width="10.33203125" style="106" customWidth="1"/>
    <col min="13331" max="13331" width="12.33203125" style="106" customWidth="1"/>
    <col min="13332" max="13332" width="35.77734375" style="106" customWidth="1"/>
    <col min="13333" max="13333" width="12" style="106" customWidth="1"/>
    <col min="13334" max="13336" width="13" style="106" customWidth="1"/>
    <col min="13337" max="13337" width="10.88671875" style="106" customWidth="1"/>
    <col min="13338" max="13340" width="15.77734375" style="106" customWidth="1"/>
    <col min="13341" max="13341" width="12.5546875" style="106" customWidth="1"/>
    <col min="13342" max="13342" width="8.5546875" style="106" customWidth="1"/>
    <col min="13343" max="13343" width="11.109375" style="106" customWidth="1"/>
    <col min="13344" max="13344" width="11.6640625" style="106" customWidth="1"/>
    <col min="13345" max="13345" width="8.88671875" style="106" customWidth="1"/>
    <col min="13346" max="13346" width="9.88671875" style="106" customWidth="1"/>
    <col min="13347" max="13347" width="14.88671875" style="106" customWidth="1"/>
    <col min="13348" max="13348" width="14.5546875" style="106" customWidth="1"/>
    <col min="13349" max="13349" width="16.109375" style="106" customWidth="1"/>
    <col min="13350" max="13354" width="12.88671875" style="106" customWidth="1"/>
    <col min="13355" max="13582" width="8.88671875" style="106"/>
    <col min="13583" max="13583" width="3.77734375" style="106" customWidth="1"/>
    <col min="13584" max="13584" width="6.44140625" style="106" customWidth="1"/>
    <col min="13585" max="13585" width="7.44140625" style="106" customWidth="1"/>
    <col min="13586" max="13586" width="10.33203125" style="106" customWidth="1"/>
    <col min="13587" max="13587" width="12.33203125" style="106" customWidth="1"/>
    <col min="13588" max="13588" width="35.77734375" style="106" customWidth="1"/>
    <col min="13589" max="13589" width="12" style="106" customWidth="1"/>
    <col min="13590" max="13592" width="13" style="106" customWidth="1"/>
    <col min="13593" max="13593" width="10.88671875" style="106" customWidth="1"/>
    <col min="13594" max="13596" width="15.77734375" style="106" customWidth="1"/>
    <col min="13597" max="13597" width="12.5546875" style="106" customWidth="1"/>
    <col min="13598" max="13598" width="8.5546875" style="106" customWidth="1"/>
    <col min="13599" max="13599" width="11.109375" style="106" customWidth="1"/>
    <col min="13600" max="13600" width="11.6640625" style="106" customWidth="1"/>
    <col min="13601" max="13601" width="8.88671875" style="106" customWidth="1"/>
    <col min="13602" max="13602" width="9.88671875" style="106" customWidth="1"/>
    <col min="13603" max="13603" width="14.88671875" style="106" customWidth="1"/>
    <col min="13604" max="13604" width="14.5546875" style="106" customWidth="1"/>
    <col min="13605" max="13605" width="16.109375" style="106" customWidth="1"/>
    <col min="13606" max="13610" width="12.88671875" style="106" customWidth="1"/>
    <col min="13611" max="13838" width="8.88671875" style="106"/>
    <col min="13839" max="13839" width="3.77734375" style="106" customWidth="1"/>
    <col min="13840" max="13840" width="6.44140625" style="106" customWidth="1"/>
    <col min="13841" max="13841" width="7.44140625" style="106" customWidth="1"/>
    <col min="13842" max="13842" width="10.33203125" style="106" customWidth="1"/>
    <col min="13843" max="13843" width="12.33203125" style="106" customWidth="1"/>
    <col min="13844" max="13844" width="35.77734375" style="106" customWidth="1"/>
    <col min="13845" max="13845" width="12" style="106" customWidth="1"/>
    <col min="13846" max="13848" width="13" style="106" customWidth="1"/>
    <col min="13849" max="13849" width="10.88671875" style="106" customWidth="1"/>
    <col min="13850" max="13852" width="15.77734375" style="106" customWidth="1"/>
    <col min="13853" max="13853" width="12.5546875" style="106" customWidth="1"/>
    <col min="13854" max="13854" width="8.5546875" style="106" customWidth="1"/>
    <col min="13855" max="13855" width="11.109375" style="106" customWidth="1"/>
    <col min="13856" max="13856" width="11.6640625" style="106" customWidth="1"/>
    <col min="13857" max="13857" width="8.88671875" style="106" customWidth="1"/>
    <col min="13858" max="13858" width="9.88671875" style="106" customWidth="1"/>
    <col min="13859" max="13859" width="14.88671875" style="106" customWidth="1"/>
    <col min="13860" max="13860" width="14.5546875" style="106" customWidth="1"/>
    <col min="13861" max="13861" width="16.109375" style="106" customWidth="1"/>
    <col min="13862" max="13866" width="12.88671875" style="106" customWidth="1"/>
    <col min="13867" max="14094" width="8.88671875" style="106"/>
    <col min="14095" max="14095" width="3.77734375" style="106" customWidth="1"/>
    <col min="14096" max="14096" width="6.44140625" style="106" customWidth="1"/>
    <col min="14097" max="14097" width="7.44140625" style="106" customWidth="1"/>
    <col min="14098" max="14098" width="10.33203125" style="106" customWidth="1"/>
    <col min="14099" max="14099" width="12.33203125" style="106" customWidth="1"/>
    <col min="14100" max="14100" width="35.77734375" style="106" customWidth="1"/>
    <col min="14101" max="14101" width="12" style="106" customWidth="1"/>
    <col min="14102" max="14104" width="13" style="106" customWidth="1"/>
    <col min="14105" max="14105" width="10.88671875" style="106" customWidth="1"/>
    <col min="14106" max="14108" width="15.77734375" style="106" customWidth="1"/>
    <col min="14109" max="14109" width="12.5546875" style="106" customWidth="1"/>
    <col min="14110" max="14110" width="8.5546875" style="106" customWidth="1"/>
    <col min="14111" max="14111" width="11.109375" style="106" customWidth="1"/>
    <col min="14112" max="14112" width="11.6640625" style="106" customWidth="1"/>
    <col min="14113" max="14113" width="8.88671875" style="106" customWidth="1"/>
    <col min="14114" max="14114" width="9.88671875" style="106" customWidth="1"/>
    <col min="14115" max="14115" width="14.88671875" style="106" customWidth="1"/>
    <col min="14116" max="14116" width="14.5546875" style="106" customWidth="1"/>
    <col min="14117" max="14117" width="16.109375" style="106" customWidth="1"/>
    <col min="14118" max="14122" width="12.88671875" style="106" customWidth="1"/>
    <col min="14123" max="14350" width="8.88671875" style="106"/>
    <col min="14351" max="14351" width="3.77734375" style="106" customWidth="1"/>
    <col min="14352" max="14352" width="6.44140625" style="106" customWidth="1"/>
    <col min="14353" max="14353" width="7.44140625" style="106" customWidth="1"/>
    <col min="14354" max="14354" width="10.33203125" style="106" customWidth="1"/>
    <col min="14355" max="14355" width="12.33203125" style="106" customWidth="1"/>
    <col min="14356" max="14356" width="35.77734375" style="106" customWidth="1"/>
    <col min="14357" max="14357" width="12" style="106" customWidth="1"/>
    <col min="14358" max="14360" width="13" style="106" customWidth="1"/>
    <col min="14361" max="14361" width="10.88671875" style="106" customWidth="1"/>
    <col min="14362" max="14364" width="15.77734375" style="106" customWidth="1"/>
    <col min="14365" max="14365" width="12.5546875" style="106" customWidth="1"/>
    <col min="14366" max="14366" width="8.5546875" style="106" customWidth="1"/>
    <col min="14367" max="14367" width="11.109375" style="106" customWidth="1"/>
    <col min="14368" max="14368" width="11.6640625" style="106" customWidth="1"/>
    <col min="14369" max="14369" width="8.88671875" style="106" customWidth="1"/>
    <col min="14370" max="14370" width="9.88671875" style="106" customWidth="1"/>
    <col min="14371" max="14371" width="14.88671875" style="106" customWidth="1"/>
    <col min="14372" max="14372" width="14.5546875" style="106" customWidth="1"/>
    <col min="14373" max="14373" width="16.109375" style="106" customWidth="1"/>
    <col min="14374" max="14378" width="12.88671875" style="106" customWidth="1"/>
    <col min="14379" max="14606" width="8.88671875" style="106"/>
    <col min="14607" max="14607" width="3.77734375" style="106" customWidth="1"/>
    <col min="14608" max="14608" width="6.44140625" style="106" customWidth="1"/>
    <col min="14609" max="14609" width="7.44140625" style="106" customWidth="1"/>
    <col min="14610" max="14610" width="10.33203125" style="106" customWidth="1"/>
    <col min="14611" max="14611" width="12.33203125" style="106" customWidth="1"/>
    <col min="14612" max="14612" width="35.77734375" style="106" customWidth="1"/>
    <col min="14613" max="14613" width="12" style="106" customWidth="1"/>
    <col min="14614" max="14616" width="13" style="106" customWidth="1"/>
    <col min="14617" max="14617" width="10.88671875" style="106" customWidth="1"/>
    <col min="14618" max="14620" width="15.77734375" style="106" customWidth="1"/>
    <col min="14621" max="14621" width="12.5546875" style="106" customWidth="1"/>
    <col min="14622" max="14622" width="8.5546875" style="106" customWidth="1"/>
    <col min="14623" max="14623" width="11.109375" style="106" customWidth="1"/>
    <col min="14624" max="14624" width="11.6640625" style="106" customWidth="1"/>
    <col min="14625" max="14625" width="8.88671875" style="106" customWidth="1"/>
    <col min="14626" max="14626" width="9.88671875" style="106" customWidth="1"/>
    <col min="14627" max="14627" width="14.88671875" style="106" customWidth="1"/>
    <col min="14628" max="14628" width="14.5546875" style="106" customWidth="1"/>
    <col min="14629" max="14629" width="16.109375" style="106" customWidth="1"/>
    <col min="14630" max="14634" width="12.88671875" style="106" customWidth="1"/>
    <col min="14635" max="14862" width="8.88671875" style="106"/>
    <col min="14863" max="14863" width="3.77734375" style="106" customWidth="1"/>
    <col min="14864" max="14864" width="6.44140625" style="106" customWidth="1"/>
    <col min="14865" max="14865" width="7.44140625" style="106" customWidth="1"/>
    <col min="14866" max="14866" width="10.33203125" style="106" customWidth="1"/>
    <col min="14867" max="14867" width="12.33203125" style="106" customWidth="1"/>
    <col min="14868" max="14868" width="35.77734375" style="106" customWidth="1"/>
    <col min="14869" max="14869" width="12" style="106" customWidth="1"/>
    <col min="14870" max="14872" width="13" style="106" customWidth="1"/>
    <col min="14873" max="14873" width="10.88671875" style="106" customWidth="1"/>
    <col min="14874" max="14876" width="15.77734375" style="106" customWidth="1"/>
    <col min="14877" max="14877" width="12.5546875" style="106" customWidth="1"/>
    <col min="14878" max="14878" width="8.5546875" style="106" customWidth="1"/>
    <col min="14879" max="14879" width="11.109375" style="106" customWidth="1"/>
    <col min="14880" max="14880" width="11.6640625" style="106" customWidth="1"/>
    <col min="14881" max="14881" width="8.88671875" style="106" customWidth="1"/>
    <col min="14882" max="14882" width="9.88671875" style="106" customWidth="1"/>
    <col min="14883" max="14883" width="14.88671875" style="106" customWidth="1"/>
    <col min="14884" max="14884" width="14.5546875" style="106" customWidth="1"/>
    <col min="14885" max="14885" width="16.109375" style="106" customWidth="1"/>
    <col min="14886" max="14890" width="12.88671875" style="106" customWidth="1"/>
    <col min="14891" max="15118" width="8.88671875" style="106"/>
    <col min="15119" max="15119" width="3.77734375" style="106" customWidth="1"/>
    <col min="15120" max="15120" width="6.44140625" style="106" customWidth="1"/>
    <col min="15121" max="15121" width="7.44140625" style="106" customWidth="1"/>
    <col min="15122" max="15122" width="10.33203125" style="106" customWidth="1"/>
    <col min="15123" max="15123" width="12.33203125" style="106" customWidth="1"/>
    <col min="15124" max="15124" width="35.77734375" style="106" customWidth="1"/>
    <col min="15125" max="15125" width="12" style="106" customWidth="1"/>
    <col min="15126" max="15128" width="13" style="106" customWidth="1"/>
    <col min="15129" max="15129" width="10.88671875" style="106" customWidth="1"/>
    <col min="15130" max="15132" width="15.77734375" style="106" customWidth="1"/>
    <col min="15133" max="15133" width="12.5546875" style="106" customWidth="1"/>
    <col min="15134" max="15134" width="8.5546875" style="106" customWidth="1"/>
    <col min="15135" max="15135" width="11.109375" style="106" customWidth="1"/>
    <col min="15136" max="15136" width="11.6640625" style="106" customWidth="1"/>
    <col min="15137" max="15137" width="8.88671875" style="106" customWidth="1"/>
    <col min="15138" max="15138" width="9.88671875" style="106" customWidth="1"/>
    <col min="15139" max="15139" width="14.88671875" style="106" customWidth="1"/>
    <col min="15140" max="15140" width="14.5546875" style="106" customWidth="1"/>
    <col min="15141" max="15141" width="16.109375" style="106" customWidth="1"/>
    <col min="15142" max="15146" width="12.88671875" style="106" customWidth="1"/>
    <col min="15147" max="15374" width="8.88671875" style="106"/>
    <col min="15375" max="15375" width="3.77734375" style="106" customWidth="1"/>
    <col min="15376" max="15376" width="6.44140625" style="106" customWidth="1"/>
    <col min="15377" max="15377" width="7.44140625" style="106" customWidth="1"/>
    <col min="15378" max="15378" width="10.33203125" style="106" customWidth="1"/>
    <col min="15379" max="15379" width="12.33203125" style="106" customWidth="1"/>
    <col min="15380" max="15380" width="35.77734375" style="106" customWidth="1"/>
    <col min="15381" max="15381" width="12" style="106" customWidth="1"/>
    <col min="15382" max="15384" width="13" style="106" customWidth="1"/>
    <col min="15385" max="15385" width="10.88671875" style="106" customWidth="1"/>
    <col min="15386" max="15388" width="15.77734375" style="106" customWidth="1"/>
    <col min="15389" max="15389" width="12.5546875" style="106" customWidth="1"/>
    <col min="15390" max="15390" width="8.5546875" style="106" customWidth="1"/>
    <col min="15391" max="15391" width="11.109375" style="106" customWidth="1"/>
    <col min="15392" max="15392" width="11.6640625" style="106" customWidth="1"/>
    <col min="15393" max="15393" width="8.88671875" style="106" customWidth="1"/>
    <col min="15394" max="15394" width="9.88671875" style="106" customWidth="1"/>
    <col min="15395" max="15395" width="14.88671875" style="106" customWidth="1"/>
    <col min="15396" max="15396" width="14.5546875" style="106" customWidth="1"/>
    <col min="15397" max="15397" width="16.109375" style="106" customWidth="1"/>
    <col min="15398" max="15402" width="12.88671875" style="106" customWidth="1"/>
    <col min="15403" max="15630" width="8.88671875" style="106"/>
    <col min="15631" max="15631" width="3.77734375" style="106" customWidth="1"/>
    <col min="15632" max="15632" width="6.44140625" style="106" customWidth="1"/>
    <col min="15633" max="15633" width="7.44140625" style="106" customWidth="1"/>
    <col min="15634" max="15634" width="10.33203125" style="106" customWidth="1"/>
    <col min="15635" max="15635" width="12.33203125" style="106" customWidth="1"/>
    <col min="15636" max="15636" width="35.77734375" style="106" customWidth="1"/>
    <col min="15637" max="15637" width="12" style="106" customWidth="1"/>
    <col min="15638" max="15640" width="13" style="106" customWidth="1"/>
    <col min="15641" max="15641" width="10.88671875" style="106" customWidth="1"/>
    <col min="15642" max="15644" width="15.77734375" style="106" customWidth="1"/>
    <col min="15645" max="15645" width="12.5546875" style="106" customWidth="1"/>
    <col min="15646" max="15646" width="8.5546875" style="106" customWidth="1"/>
    <col min="15647" max="15647" width="11.109375" style="106" customWidth="1"/>
    <col min="15648" max="15648" width="11.6640625" style="106" customWidth="1"/>
    <col min="15649" max="15649" width="8.88671875" style="106" customWidth="1"/>
    <col min="15650" max="15650" width="9.88671875" style="106" customWidth="1"/>
    <col min="15651" max="15651" width="14.88671875" style="106" customWidth="1"/>
    <col min="15652" max="15652" width="14.5546875" style="106" customWidth="1"/>
    <col min="15653" max="15653" width="16.109375" style="106" customWidth="1"/>
    <col min="15654" max="15658" width="12.88671875" style="106" customWidth="1"/>
    <col min="15659" max="15886" width="8.88671875" style="106"/>
    <col min="15887" max="15887" width="3.77734375" style="106" customWidth="1"/>
    <col min="15888" max="15888" width="6.44140625" style="106" customWidth="1"/>
    <col min="15889" max="15889" width="7.44140625" style="106" customWidth="1"/>
    <col min="15890" max="15890" width="10.33203125" style="106" customWidth="1"/>
    <col min="15891" max="15891" width="12.33203125" style="106" customWidth="1"/>
    <col min="15892" max="15892" width="35.77734375" style="106" customWidth="1"/>
    <col min="15893" max="15893" width="12" style="106" customWidth="1"/>
    <col min="15894" max="15896" width="13" style="106" customWidth="1"/>
    <col min="15897" max="15897" width="10.88671875" style="106" customWidth="1"/>
    <col min="15898" max="15900" width="15.77734375" style="106" customWidth="1"/>
    <col min="15901" max="15901" width="12.5546875" style="106" customWidth="1"/>
    <col min="15902" max="15902" width="8.5546875" style="106" customWidth="1"/>
    <col min="15903" max="15903" width="11.109375" style="106" customWidth="1"/>
    <col min="15904" max="15904" width="11.6640625" style="106" customWidth="1"/>
    <col min="15905" max="15905" width="8.88671875" style="106" customWidth="1"/>
    <col min="15906" max="15906" width="9.88671875" style="106" customWidth="1"/>
    <col min="15907" max="15907" width="14.88671875" style="106" customWidth="1"/>
    <col min="15908" max="15908" width="14.5546875" style="106" customWidth="1"/>
    <col min="15909" max="15909" width="16.109375" style="106" customWidth="1"/>
    <col min="15910" max="15914" width="12.88671875" style="106" customWidth="1"/>
    <col min="15915" max="16142" width="8.88671875" style="106"/>
    <col min="16143" max="16143" width="3.77734375" style="106" customWidth="1"/>
    <col min="16144" max="16144" width="6.44140625" style="106" customWidth="1"/>
    <col min="16145" max="16145" width="7.44140625" style="106" customWidth="1"/>
    <col min="16146" max="16146" width="10.33203125" style="106" customWidth="1"/>
    <col min="16147" max="16147" width="12.33203125" style="106" customWidth="1"/>
    <col min="16148" max="16148" width="35.77734375" style="106" customWidth="1"/>
    <col min="16149" max="16149" width="12" style="106" customWidth="1"/>
    <col min="16150" max="16152" width="13" style="106" customWidth="1"/>
    <col min="16153" max="16153" width="10.88671875" style="106" customWidth="1"/>
    <col min="16154" max="16156" width="15.77734375" style="106" customWidth="1"/>
    <col min="16157" max="16157" width="12.5546875" style="106" customWidth="1"/>
    <col min="16158" max="16158" width="8.5546875" style="106" customWidth="1"/>
    <col min="16159" max="16159" width="11.109375" style="106" customWidth="1"/>
    <col min="16160" max="16160" width="11.6640625" style="106" customWidth="1"/>
    <col min="16161" max="16161" width="8.88671875" style="106" customWidth="1"/>
    <col min="16162" max="16162" width="9.88671875" style="106" customWidth="1"/>
    <col min="16163" max="16163" width="14.88671875" style="106" customWidth="1"/>
    <col min="16164" max="16164" width="14.5546875" style="106" customWidth="1"/>
    <col min="16165" max="16165" width="16.109375" style="106" customWidth="1"/>
    <col min="16166" max="16170" width="12.88671875" style="106" customWidth="1"/>
    <col min="16171" max="16384" width="8.88671875" style="106"/>
  </cols>
  <sheetData>
    <row r="1" spans="1:256" ht="18.75" thickBot="1">
      <c r="A1" s="106"/>
      <c r="B1" s="103"/>
      <c r="C1" s="103"/>
      <c r="D1" s="103"/>
      <c r="E1" s="103"/>
      <c r="F1" s="103"/>
      <c r="G1" s="103"/>
      <c r="H1" s="103"/>
      <c r="I1" s="103"/>
      <c r="J1" s="103"/>
      <c r="K1" s="104"/>
      <c r="L1" s="103"/>
      <c r="M1" s="103"/>
      <c r="N1" s="103"/>
      <c r="O1" s="105"/>
      <c r="P1" s="103"/>
      <c r="Q1" s="103"/>
    </row>
    <row r="2" spans="1:256" ht="17.25" thickBot="1">
      <c r="A2" s="106"/>
      <c r="B2" s="231" t="s">
        <v>42</v>
      </c>
      <c r="C2" s="233" t="s">
        <v>43</v>
      </c>
      <c r="D2" s="229" t="s">
        <v>44</v>
      </c>
      <c r="E2" s="229" t="s">
        <v>45</v>
      </c>
      <c r="F2" s="229" t="s">
        <v>46</v>
      </c>
      <c r="G2" s="229" t="s">
        <v>47</v>
      </c>
      <c r="H2" s="229" t="s">
        <v>48</v>
      </c>
      <c r="I2" s="229" t="s">
        <v>49</v>
      </c>
      <c r="J2" s="229" t="s">
        <v>50</v>
      </c>
      <c r="K2" s="229" t="s">
        <v>51</v>
      </c>
      <c r="L2" s="250" t="s">
        <v>52</v>
      </c>
      <c r="M2" s="229" t="s">
        <v>53</v>
      </c>
      <c r="N2" s="242" t="s">
        <v>54</v>
      </c>
      <c r="O2" s="244" t="s">
        <v>55</v>
      </c>
      <c r="P2" s="231" t="s">
        <v>56</v>
      </c>
      <c r="Q2" s="231" t="s">
        <v>57</v>
      </c>
      <c r="R2" s="246" t="s">
        <v>58</v>
      </c>
      <c r="S2" s="248" t="s">
        <v>59</v>
      </c>
      <c r="T2" s="236" t="s">
        <v>60</v>
      </c>
      <c r="U2" s="110"/>
      <c r="V2" s="111"/>
      <c r="W2" s="213" t="s">
        <v>61</v>
      </c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4"/>
    </row>
    <row r="3" spans="1:256" ht="17.25" thickBot="1">
      <c r="A3" s="106"/>
      <c r="B3" s="232"/>
      <c r="C3" s="234"/>
      <c r="D3" s="235"/>
      <c r="E3" s="235"/>
      <c r="F3" s="235"/>
      <c r="G3" s="230"/>
      <c r="H3" s="235"/>
      <c r="I3" s="230"/>
      <c r="J3" s="235"/>
      <c r="K3" s="235"/>
      <c r="L3" s="251"/>
      <c r="M3" s="230"/>
      <c r="N3" s="243"/>
      <c r="O3" s="245"/>
      <c r="P3" s="232"/>
      <c r="Q3" s="232"/>
      <c r="R3" s="247"/>
      <c r="S3" s="249"/>
      <c r="T3" s="237"/>
      <c r="U3" s="112" t="s">
        <v>62</v>
      </c>
      <c r="V3" s="113" t="s">
        <v>63</v>
      </c>
      <c r="W3" s="114" t="s">
        <v>64</v>
      </c>
      <c r="X3" s="212">
        <v>1</v>
      </c>
      <c r="Y3" s="115">
        <v>2</v>
      </c>
      <c r="Z3" s="115">
        <v>3</v>
      </c>
      <c r="AA3" s="115">
        <v>4</v>
      </c>
      <c r="AB3" s="115">
        <v>5</v>
      </c>
      <c r="AC3" s="115">
        <v>6</v>
      </c>
      <c r="AD3" s="115">
        <v>7</v>
      </c>
      <c r="AE3" s="115">
        <v>8</v>
      </c>
      <c r="AF3" s="115">
        <v>9</v>
      </c>
      <c r="AG3" s="115">
        <v>10</v>
      </c>
      <c r="AH3" s="115">
        <v>11</v>
      </c>
      <c r="AI3" s="115">
        <v>12</v>
      </c>
      <c r="AJ3" s="115">
        <v>1</v>
      </c>
      <c r="AK3" s="115">
        <v>2</v>
      </c>
      <c r="AL3" s="115">
        <v>3</v>
      </c>
      <c r="AM3" s="115">
        <v>4</v>
      </c>
      <c r="AN3" s="115">
        <v>5</v>
      </c>
      <c r="AO3" s="115">
        <v>6</v>
      </c>
      <c r="AP3" s="116" t="s">
        <v>65</v>
      </c>
    </row>
    <row r="4" spans="1:256" s="117" customFormat="1">
      <c r="B4" s="146"/>
      <c r="C4" s="147"/>
      <c r="D4" s="148"/>
      <c r="E4" s="148"/>
      <c r="F4" s="148"/>
      <c r="G4" s="149"/>
      <c r="H4" s="149"/>
      <c r="I4" s="149"/>
      <c r="J4" s="150"/>
      <c r="K4" s="151"/>
      <c r="L4" s="152"/>
      <c r="M4" s="153"/>
      <c r="N4" s="154"/>
      <c r="O4" s="155"/>
      <c r="P4" s="156"/>
      <c r="Q4" s="157"/>
      <c r="R4" s="158"/>
      <c r="S4" s="159"/>
      <c r="T4" s="160"/>
      <c r="U4" s="161"/>
      <c r="V4" s="160"/>
      <c r="W4" s="162"/>
      <c r="X4" s="163"/>
      <c r="Y4" s="164"/>
      <c r="Z4" s="164"/>
      <c r="AA4" s="165"/>
      <c r="AB4" s="164"/>
      <c r="AC4" s="164"/>
      <c r="AD4" s="164"/>
      <c r="AE4" s="165"/>
      <c r="AF4" s="164"/>
      <c r="AG4" s="164"/>
      <c r="AH4" s="164"/>
      <c r="AI4" s="165"/>
      <c r="AJ4" s="164"/>
      <c r="AK4" s="164"/>
      <c r="AL4" s="164"/>
      <c r="AM4" s="165"/>
      <c r="AN4" s="164"/>
      <c r="AO4" s="165"/>
      <c r="AP4" s="166"/>
    </row>
    <row r="5" spans="1:256" s="118" customFormat="1">
      <c r="B5" s="167"/>
      <c r="C5" s="168"/>
      <c r="D5" s="169"/>
      <c r="E5" s="169"/>
      <c r="F5" s="169"/>
      <c r="G5" s="170"/>
      <c r="H5" s="170"/>
      <c r="I5" s="170"/>
      <c r="J5" s="171"/>
      <c r="K5" s="172"/>
      <c r="L5" s="173"/>
      <c r="M5" s="174"/>
      <c r="N5" s="175"/>
      <c r="O5" s="176"/>
      <c r="P5" s="177"/>
      <c r="Q5" s="178"/>
      <c r="R5" s="179"/>
      <c r="S5" s="180"/>
      <c r="T5" s="181"/>
      <c r="U5" s="182"/>
      <c r="V5" s="181"/>
      <c r="W5" s="183"/>
      <c r="X5" s="184"/>
      <c r="Y5" s="185"/>
      <c r="Z5" s="186"/>
      <c r="AA5" s="186"/>
      <c r="AB5" s="186"/>
      <c r="AC5" s="185"/>
      <c r="AD5" s="186"/>
      <c r="AE5" s="186"/>
      <c r="AF5" s="186"/>
      <c r="AG5" s="185"/>
      <c r="AH5" s="186"/>
      <c r="AI5" s="186"/>
      <c r="AJ5" s="186"/>
      <c r="AK5" s="185"/>
      <c r="AL5" s="186"/>
      <c r="AM5" s="186"/>
      <c r="AN5" s="186"/>
      <c r="AO5" s="186"/>
      <c r="AP5" s="187"/>
    </row>
    <row r="6" spans="1:256" s="118" customFormat="1" ht="15" thickBot="1">
      <c r="B6" s="167"/>
      <c r="C6" s="168"/>
      <c r="D6" s="169"/>
      <c r="E6" s="169"/>
      <c r="F6" s="169"/>
      <c r="G6" s="170"/>
      <c r="H6" s="170"/>
      <c r="I6" s="170"/>
      <c r="J6" s="171"/>
      <c r="K6" s="172"/>
      <c r="L6" s="173"/>
      <c r="M6" s="174"/>
      <c r="N6" s="175"/>
      <c r="O6" s="176"/>
      <c r="P6" s="177"/>
      <c r="Q6" s="178"/>
      <c r="R6" s="188"/>
      <c r="S6" s="180"/>
      <c r="T6" s="181"/>
      <c r="U6" s="182"/>
      <c r="V6" s="181"/>
      <c r="W6" s="183"/>
      <c r="X6" s="189"/>
      <c r="Y6" s="185"/>
      <c r="Z6" s="185"/>
      <c r="AA6" s="186"/>
      <c r="AB6" s="185"/>
      <c r="AC6" s="185"/>
      <c r="AD6" s="185"/>
      <c r="AE6" s="186"/>
      <c r="AF6" s="185"/>
      <c r="AG6" s="185"/>
      <c r="AH6" s="185"/>
      <c r="AI6" s="186"/>
      <c r="AJ6" s="185"/>
      <c r="AK6" s="185"/>
      <c r="AL6" s="185"/>
      <c r="AM6" s="186"/>
      <c r="AN6" s="185"/>
      <c r="AO6" s="186"/>
      <c r="AP6" s="187"/>
    </row>
    <row r="7" spans="1:256" ht="15" thickBot="1">
      <c r="A7" s="106"/>
      <c r="B7" s="119"/>
      <c r="C7" s="120"/>
      <c r="D7" s="121"/>
      <c r="E7" s="121"/>
      <c r="F7" s="121"/>
      <c r="G7" s="121"/>
      <c r="H7" s="122">
        <f>SUM(H4:H6)</f>
        <v>0</v>
      </c>
      <c r="I7" s="122"/>
      <c r="J7" s="122"/>
      <c r="K7" s="123"/>
      <c r="L7" s="124">
        <f>SUM(L4:L6)</f>
        <v>0</v>
      </c>
      <c r="M7" s="124">
        <f>SUM(M4:M6)</f>
        <v>0</v>
      </c>
      <c r="N7" s="124"/>
      <c r="O7" s="125"/>
      <c r="P7" s="126"/>
      <c r="Q7" s="126"/>
      <c r="R7" s="124"/>
      <c r="S7" s="124"/>
      <c r="T7" s="124"/>
      <c r="U7" s="127">
        <f>SUM(U4:U6)</f>
        <v>0</v>
      </c>
      <c r="V7" s="127">
        <f>SUM(V4:V6)</f>
        <v>0</v>
      </c>
      <c r="W7" s="127">
        <f>SUM(W4:W6)</f>
        <v>0</v>
      </c>
      <c r="X7" s="127">
        <f>SUM(X4:X6)</f>
        <v>0</v>
      </c>
      <c r="Y7" s="127">
        <f t="shared" ref="Y7:AJ7" si="0">SUM(Y4:Y6)</f>
        <v>0</v>
      </c>
      <c r="Z7" s="127">
        <f t="shared" si="0"/>
        <v>0</v>
      </c>
      <c r="AA7" s="127">
        <f t="shared" si="0"/>
        <v>0</v>
      </c>
      <c r="AB7" s="127">
        <f t="shared" si="0"/>
        <v>0</v>
      </c>
      <c r="AC7" s="127">
        <f>SUM(AC4:AC6)</f>
        <v>0</v>
      </c>
      <c r="AD7" s="127">
        <f>SUM(AD4:AD6)</f>
        <v>0</v>
      </c>
      <c r="AE7" s="127">
        <f>SUM(AE4:AE6)</f>
        <v>0</v>
      </c>
      <c r="AF7" s="127">
        <f>SUM(AF4:AF6)</f>
        <v>0</v>
      </c>
      <c r="AG7" s="127">
        <f t="shared" si="0"/>
        <v>0</v>
      </c>
      <c r="AH7" s="127">
        <f t="shared" si="0"/>
        <v>0</v>
      </c>
      <c r="AI7" s="127">
        <f t="shared" si="0"/>
        <v>0</v>
      </c>
      <c r="AJ7" s="127">
        <f t="shared" si="0"/>
        <v>0</v>
      </c>
      <c r="AK7" s="127">
        <f t="shared" ref="AK7:AP7" si="1">SUM(AK4:AK6)</f>
        <v>0</v>
      </c>
      <c r="AL7" s="127">
        <f t="shared" si="1"/>
        <v>0</v>
      </c>
      <c r="AM7" s="127">
        <f t="shared" si="1"/>
        <v>0</v>
      </c>
      <c r="AN7" s="127">
        <f t="shared" si="1"/>
        <v>0</v>
      </c>
      <c r="AO7" s="127">
        <f t="shared" si="1"/>
        <v>0</v>
      </c>
      <c r="AP7" s="127">
        <f t="shared" si="1"/>
        <v>0</v>
      </c>
    </row>
    <row r="8" spans="1:256" ht="15" thickBot="1">
      <c r="A8" s="106"/>
      <c r="T8" s="130"/>
      <c r="U8" s="203">
        <f>SUM(U7:AP7)</f>
        <v>0</v>
      </c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5"/>
    </row>
    <row r="9" spans="1:256" ht="15" thickBot="1">
      <c r="A9" s="106"/>
      <c r="B9" s="145"/>
      <c r="C9" s="145"/>
      <c r="D9" s="145"/>
      <c r="E9" s="145"/>
      <c r="U9" s="106"/>
      <c r="V9" s="106"/>
      <c r="W9" s="106"/>
    </row>
    <row r="10" spans="1:256" ht="18" thickBot="1">
      <c r="A10" s="106"/>
      <c r="B10" s="131"/>
      <c r="C10" s="132"/>
      <c r="D10" s="133"/>
      <c r="E10" s="134"/>
      <c r="F10" s="84" t="s">
        <v>66</v>
      </c>
      <c r="G10" s="238" t="s">
        <v>67</v>
      </c>
      <c r="H10" s="239"/>
      <c r="I10" s="240"/>
      <c r="J10" s="241"/>
      <c r="K10" s="85"/>
      <c r="L10" s="107"/>
      <c r="M10" s="107"/>
      <c r="N10" s="106"/>
      <c r="O10" s="106"/>
      <c r="Q10" s="106"/>
      <c r="T10" s="106"/>
      <c r="U10" s="106"/>
      <c r="V10" s="106"/>
      <c r="W10" s="106"/>
    </row>
    <row r="11" spans="1:256" ht="15" thickBot="1">
      <c r="A11" s="106"/>
      <c r="B11" s="132"/>
      <c r="C11" s="132"/>
      <c r="D11" s="133"/>
      <c r="E11" s="135"/>
      <c r="F11" s="86" t="s">
        <v>38</v>
      </c>
      <c r="G11" s="136" t="s">
        <v>68</v>
      </c>
      <c r="H11" s="137" t="s">
        <v>69</v>
      </c>
      <c r="I11" s="138" t="s">
        <v>70</v>
      </c>
      <c r="J11" s="139" t="s">
        <v>71</v>
      </c>
      <c r="K11" s="87" t="s">
        <v>40</v>
      </c>
      <c r="L11" s="107"/>
      <c r="M11" s="107"/>
      <c r="N11" s="106"/>
      <c r="O11" s="106"/>
      <c r="Q11" s="106"/>
      <c r="T11" s="106"/>
      <c r="U11" s="106"/>
      <c r="V11" s="106"/>
      <c r="W11" s="106"/>
    </row>
    <row r="12" spans="1:256">
      <c r="A12" s="106"/>
      <c r="B12" s="132"/>
      <c r="C12" s="132"/>
      <c r="D12" s="133"/>
      <c r="E12" s="135"/>
      <c r="F12" s="88"/>
      <c r="G12" s="89"/>
      <c r="H12" s="90"/>
      <c r="I12" s="140"/>
      <c r="J12" s="91"/>
      <c r="K12" s="92"/>
      <c r="L12" s="107"/>
      <c r="M12" s="107"/>
      <c r="N12" s="106"/>
      <c r="O12" s="106"/>
      <c r="Q12" s="106"/>
      <c r="T12" s="106"/>
      <c r="U12" s="106"/>
      <c r="V12" s="106"/>
      <c r="W12" s="106"/>
    </row>
    <row r="13" spans="1:256">
      <c r="A13" s="106"/>
      <c r="B13" s="132"/>
      <c r="C13" s="132"/>
      <c r="D13" s="133"/>
      <c r="E13" s="141"/>
      <c r="F13" s="93"/>
      <c r="G13" s="94"/>
      <c r="H13" s="95"/>
      <c r="I13" s="142"/>
      <c r="J13" s="96"/>
      <c r="K13" s="97"/>
      <c r="L13" s="107"/>
      <c r="M13" s="107"/>
      <c r="N13" s="106"/>
      <c r="O13" s="106"/>
      <c r="Q13" s="106"/>
      <c r="T13" s="106"/>
      <c r="U13" s="106"/>
      <c r="V13" s="106"/>
      <c r="W13" s="106"/>
    </row>
    <row r="14" spans="1:256">
      <c r="A14" s="106"/>
      <c r="B14" s="143"/>
      <c r="C14" s="143"/>
      <c r="D14" s="143"/>
      <c r="E14" s="143"/>
      <c r="F14" s="93"/>
      <c r="G14" s="94"/>
      <c r="H14" s="95"/>
      <c r="I14" s="142"/>
      <c r="J14" s="96"/>
      <c r="K14" s="97"/>
      <c r="L14" s="107"/>
      <c r="M14" s="107"/>
      <c r="N14" s="106"/>
      <c r="O14" s="106"/>
      <c r="Q14" s="106"/>
      <c r="T14" s="106"/>
      <c r="U14" s="106"/>
      <c r="V14" s="106"/>
      <c r="W14" s="106"/>
    </row>
    <row r="15" spans="1:256" s="107" customFormat="1" ht="15" thickBot="1">
      <c r="A15" s="117"/>
      <c r="B15" s="128"/>
      <c r="C15" s="128"/>
      <c r="D15" s="128"/>
      <c r="E15" s="128"/>
      <c r="F15" s="98" t="s">
        <v>41</v>
      </c>
      <c r="G15" s="99">
        <f>SUM(G12:G14)</f>
        <v>0</v>
      </c>
      <c r="H15" s="99">
        <f>SUM(H12:H14)</f>
        <v>0</v>
      </c>
      <c r="I15" s="99">
        <f>SUM(I12:I14)</f>
        <v>0</v>
      </c>
      <c r="J15" s="99">
        <f>SUM(J12:J14)</f>
        <v>0</v>
      </c>
      <c r="K15" s="100"/>
      <c r="N15" s="106"/>
      <c r="O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  <c r="CF15" s="106"/>
      <c r="CG15" s="106"/>
      <c r="CH15" s="106"/>
      <c r="CI15" s="106"/>
      <c r="CJ15" s="106"/>
      <c r="CK15" s="106"/>
      <c r="CL15" s="106"/>
      <c r="CM15" s="106"/>
      <c r="CN15" s="106"/>
      <c r="CO15" s="106"/>
      <c r="CP15" s="106"/>
      <c r="CQ15" s="106"/>
      <c r="CR15" s="106"/>
      <c r="CS15" s="106"/>
      <c r="CT15" s="106"/>
      <c r="CU15" s="106"/>
      <c r="CV15" s="106"/>
      <c r="CW15" s="106"/>
      <c r="CX15" s="106"/>
      <c r="CY15" s="106"/>
      <c r="CZ15" s="106"/>
      <c r="DA15" s="106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  <c r="DN15" s="106"/>
      <c r="DO15" s="106"/>
      <c r="DP15" s="106"/>
      <c r="DQ15" s="106"/>
      <c r="DR15" s="106"/>
      <c r="DS15" s="106"/>
      <c r="DT15" s="106"/>
      <c r="DU15" s="106"/>
      <c r="DV15" s="106"/>
      <c r="DW15" s="106"/>
      <c r="DX15" s="106"/>
      <c r="DY15" s="106"/>
      <c r="DZ15" s="106"/>
      <c r="EA15" s="106"/>
      <c r="EB15" s="106"/>
      <c r="EC15" s="106"/>
      <c r="ED15" s="106"/>
      <c r="EE15" s="106"/>
      <c r="EF15" s="106"/>
      <c r="EG15" s="106"/>
      <c r="EH15" s="106"/>
      <c r="EI15" s="106"/>
      <c r="EJ15" s="106"/>
      <c r="EK15" s="106"/>
      <c r="EL15" s="106"/>
      <c r="EM15" s="106"/>
      <c r="EN15" s="106"/>
      <c r="EO15" s="106"/>
      <c r="EP15" s="106"/>
      <c r="EQ15" s="106"/>
      <c r="ER15" s="106"/>
      <c r="ES15" s="106"/>
      <c r="ET15" s="106"/>
      <c r="EU15" s="106"/>
      <c r="EV15" s="106"/>
      <c r="EW15" s="106"/>
      <c r="EX15" s="106"/>
      <c r="EY15" s="106"/>
      <c r="EZ15" s="106"/>
      <c r="FA15" s="106"/>
      <c r="FB15" s="106"/>
      <c r="FC15" s="106"/>
      <c r="FD15" s="106"/>
      <c r="FE15" s="106"/>
      <c r="FF15" s="106"/>
      <c r="FG15" s="106"/>
      <c r="FH15" s="106"/>
      <c r="FI15" s="106"/>
      <c r="FJ15" s="106"/>
      <c r="FK15" s="106"/>
      <c r="FL15" s="106"/>
      <c r="FM15" s="106"/>
      <c r="FN15" s="106"/>
      <c r="FO15" s="106"/>
      <c r="FP15" s="106"/>
      <c r="FQ15" s="106"/>
      <c r="FR15" s="106"/>
      <c r="FS15" s="106"/>
      <c r="FT15" s="106"/>
      <c r="FU15" s="106"/>
      <c r="FV15" s="106"/>
      <c r="FW15" s="106"/>
      <c r="FX15" s="106"/>
      <c r="FY15" s="106"/>
      <c r="FZ15" s="106"/>
      <c r="GA15" s="106"/>
      <c r="GB15" s="106"/>
      <c r="GC15" s="106"/>
      <c r="GD15" s="106"/>
      <c r="GE15" s="106"/>
      <c r="GF15" s="106"/>
      <c r="GG15" s="106"/>
      <c r="GH15" s="106"/>
      <c r="GI15" s="106"/>
      <c r="GJ15" s="106"/>
      <c r="GK15" s="106"/>
      <c r="GL15" s="106"/>
      <c r="GM15" s="106"/>
      <c r="GN15" s="106"/>
      <c r="GO15" s="106"/>
      <c r="GP15" s="106"/>
      <c r="GQ15" s="106"/>
      <c r="GR15" s="106"/>
      <c r="GS15" s="106"/>
      <c r="GT15" s="106"/>
      <c r="GU15" s="106"/>
      <c r="GV15" s="106"/>
      <c r="GW15" s="106"/>
      <c r="GX15" s="106"/>
      <c r="GY15" s="106"/>
      <c r="GZ15" s="106"/>
      <c r="HA15" s="106"/>
      <c r="HB15" s="106"/>
      <c r="HC15" s="106"/>
      <c r="HD15" s="106"/>
      <c r="HE15" s="106"/>
      <c r="HF15" s="106"/>
      <c r="HG15" s="106"/>
      <c r="HH15" s="106"/>
      <c r="HI15" s="106"/>
      <c r="HJ15" s="106"/>
      <c r="HK15" s="106"/>
      <c r="HL15" s="106"/>
      <c r="HM15" s="106"/>
      <c r="HN15" s="106"/>
      <c r="HO15" s="106"/>
      <c r="HP15" s="106"/>
      <c r="HQ15" s="106"/>
      <c r="HR15" s="106"/>
      <c r="HS15" s="106"/>
      <c r="HT15" s="106"/>
      <c r="HU15" s="106"/>
      <c r="HV15" s="106"/>
      <c r="HW15" s="106"/>
      <c r="HX15" s="106"/>
      <c r="HY15" s="106"/>
      <c r="HZ15" s="106"/>
      <c r="IA15" s="106"/>
      <c r="IB15" s="106"/>
      <c r="IC15" s="106"/>
      <c r="ID15" s="106"/>
      <c r="IE15" s="106"/>
      <c r="IF15" s="106"/>
      <c r="IG15" s="106"/>
      <c r="IH15" s="106"/>
      <c r="II15" s="106"/>
      <c r="IJ15" s="106"/>
      <c r="IK15" s="106"/>
      <c r="IL15" s="106"/>
      <c r="IM15" s="106"/>
      <c r="IN15" s="106"/>
      <c r="IO15" s="106"/>
      <c r="IP15" s="106"/>
      <c r="IQ15" s="106"/>
      <c r="IR15" s="106"/>
      <c r="IS15" s="106"/>
      <c r="IT15" s="106"/>
      <c r="IU15" s="106"/>
      <c r="IV15" s="106"/>
    </row>
    <row r="16" spans="1:256">
      <c r="U16" s="106"/>
      <c r="V16" s="106"/>
      <c r="W16" s="106"/>
    </row>
    <row r="17" spans="21:23">
      <c r="U17" s="106"/>
      <c r="V17" s="106"/>
      <c r="W17" s="106"/>
    </row>
  </sheetData>
  <mergeCells count="20">
    <mergeCell ref="T2:T3"/>
    <mergeCell ref="G10:J10"/>
    <mergeCell ref="N2:N3"/>
    <mergeCell ref="O2:O3"/>
    <mergeCell ref="P2:P3"/>
    <mergeCell ref="Q2:Q3"/>
    <mergeCell ref="R2:R3"/>
    <mergeCell ref="S2:S3"/>
    <mergeCell ref="H2:H3"/>
    <mergeCell ref="I2:I3"/>
    <mergeCell ref="J2:J3"/>
    <mergeCell ref="K2:K3"/>
    <mergeCell ref="L2:L3"/>
    <mergeCell ref="M2:M3"/>
    <mergeCell ref="G2:G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</sheetPr>
  <dimension ref="A1:IJ17"/>
  <sheetViews>
    <sheetView zoomScale="85" zoomScaleNormal="85" workbookViewId="0">
      <selection activeCell="G12" sqref="G12"/>
    </sheetView>
  </sheetViews>
  <sheetFormatPr defaultRowHeight="14.25"/>
  <cols>
    <col min="1" max="1" width="3.77734375" style="117" customWidth="1"/>
    <col min="2" max="2" width="6.44140625" style="128" customWidth="1"/>
    <col min="3" max="3" width="7.44140625" style="128" customWidth="1"/>
    <col min="4" max="4" width="10.33203125" style="128" customWidth="1"/>
    <col min="5" max="5" width="12.33203125" style="128" customWidth="1"/>
    <col min="6" max="6" width="35.77734375" style="128" customWidth="1"/>
    <col min="7" max="7" width="12" style="108" customWidth="1"/>
    <col min="8" max="10" width="13" style="108" customWidth="1"/>
    <col min="11" max="11" width="10.88671875" style="107" customWidth="1"/>
    <col min="12" max="14" width="15.77734375" style="108" customWidth="1"/>
    <col min="15" max="15" width="12.5546875" style="129" customWidth="1"/>
    <col min="16" max="16" width="8.5546875" style="107" customWidth="1"/>
    <col min="17" max="17" width="11.109375" style="107" customWidth="1"/>
    <col min="18" max="18" width="11.6640625" style="106" customWidth="1"/>
    <col min="19" max="19" width="8.88671875" style="106" customWidth="1"/>
    <col min="20" max="20" width="9.88671875" style="107" customWidth="1"/>
    <col min="21" max="21" width="14.88671875" style="108" customWidth="1"/>
    <col min="22" max="22" width="14.5546875" style="107" customWidth="1"/>
    <col min="23" max="23" width="16.109375" style="109" customWidth="1"/>
    <col min="24" max="42" width="12.88671875" style="106" customWidth="1"/>
    <col min="43" max="256" width="8.88671875" style="106"/>
    <col min="257" max="257" width="3.77734375" style="106" customWidth="1"/>
    <col min="258" max="258" width="6.44140625" style="106" customWidth="1"/>
    <col min="259" max="259" width="7.44140625" style="106" customWidth="1"/>
    <col min="260" max="260" width="10.33203125" style="106" customWidth="1"/>
    <col min="261" max="261" width="12.33203125" style="106" customWidth="1"/>
    <col min="262" max="262" width="35.77734375" style="106" customWidth="1"/>
    <col min="263" max="263" width="12" style="106" customWidth="1"/>
    <col min="264" max="266" width="13" style="106" customWidth="1"/>
    <col min="267" max="267" width="10.88671875" style="106" customWidth="1"/>
    <col min="268" max="270" width="15.77734375" style="106" customWidth="1"/>
    <col min="271" max="271" width="12.5546875" style="106" customWidth="1"/>
    <col min="272" max="272" width="8.5546875" style="106" customWidth="1"/>
    <col min="273" max="273" width="11.109375" style="106" customWidth="1"/>
    <col min="274" max="274" width="11.6640625" style="106" customWidth="1"/>
    <col min="275" max="275" width="8.88671875" style="106" customWidth="1"/>
    <col min="276" max="276" width="9.88671875" style="106" customWidth="1"/>
    <col min="277" max="277" width="14.88671875" style="106" customWidth="1"/>
    <col min="278" max="278" width="14.5546875" style="106" customWidth="1"/>
    <col min="279" max="279" width="16.109375" style="106" customWidth="1"/>
    <col min="280" max="284" width="12.88671875" style="106" customWidth="1"/>
    <col min="285" max="512" width="8.88671875" style="106"/>
    <col min="513" max="513" width="3.77734375" style="106" customWidth="1"/>
    <col min="514" max="514" width="6.44140625" style="106" customWidth="1"/>
    <col min="515" max="515" width="7.44140625" style="106" customWidth="1"/>
    <col min="516" max="516" width="10.33203125" style="106" customWidth="1"/>
    <col min="517" max="517" width="12.33203125" style="106" customWidth="1"/>
    <col min="518" max="518" width="35.77734375" style="106" customWidth="1"/>
    <col min="519" max="519" width="12" style="106" customWidth="1"/>
    <col min="520" max="522" width="13" style="106" customWidth="1"/>
    <col min="523" max="523" width="10.88671875" style="106" customWidth="1"/>
    <col min="524" max="526" width="15.77734375" style="106" customWidth="1"/>
    <col min="527" max="527" width="12.5546875" style="106" customWidth="1"/>
    <col min="528" max="528" width="8.5546875" style="106" customWidth="1"/>
    <col min="529" max="529" width="11.109375" style="106" customWidth="1"/>
    <col min="530" max="530" width="11.6640625" style="106" customWidth="1"/>
    <col min="531" max="531" width="8.88671875" style="106" customWidth="1"/>
    <col min="532" max="532" width="9.88671875" style="106" customWidth="1"/>
    <col min="533" max="533" width="14.88671875" style="106" customWidth="1"/>
    <col min="534" max="534" width="14.5546875" style="106" customWidth="1"/>
    <col min="535" max="535" width="16.109375" style="106" customWidth="1"/>
    <col min="536" max="540" width="12.88671875" style="106" customWidth="1"/>
    <col min="541" max="768" width="8.88671875" style="106"/>
    <col min="769" max="769" width="3.77734375" style="106" customWidth="1"/>
    <col min="770" max="770" width="6.44140625" style="106" customWidth="1"/>
    <col min="771" max="771" width="7.44140625" style="106" customWidth="1"/>
    <col min="772" max="772" width="10.33203125" style="106" customWidth="1"/>
    <col min="773" max="773" width="12.33203125" style="106" customWidth="1"/>
    <col min="774" max="774" width="35.77734375" style="106" customWidth="1"/>
    <col min="775" max="775" width="12" style="106" customWidth="1"/>
    <col min="776" max="778" width="13" style="106" customWidth="1"/>
    <col min="779" max="779" width="10.88671875" style="106" customWidth="1"/>
    <col min="780" max="782" width="15.77734375" style="106" customWidth="1"/>
    <col min="783" max="783" width="12.5546875" style="106" customWidth="1"/>
    <col min="784" max="784" width="8.5546875" style="106" customWidth="1"/>
    <col min="785" max="785" width="11.109375" style="106" customWidth="1"/>
    <col min="786" max="786" width="11.6640625" style="106" customWidth="1"/>
    <col min="787" max="787" width="8.88671875" style="106" customWidth="1"/>
    <col min="788" max="788" width="9.88671875" style="106" customWidth="1"/>
    <col min="789" max="789" width="14.88671875" style="106" customWidth="1"/>
    <col min="790" max="790" width="14.5546875" style="106" customWidth="1"/>
    <col min="791" max="791" width="16.109375" style="106" customWidth="1"/>
    <col min="792" max="796" width="12.88671875" style="106" customWidth="1"/>
    <col min="797" max="1024" width="8.88671875" style="106"/>
    <col min="1025" max="1025" width="3.77734375" style="106" customWidth="1"/>
    <col min="1026" max="1026" width="6.44140625" style="106" customWidth="1"/>
    <col min="1027" max="1027" width="7.44140625" style="106" customWidth="1"/>
    <col min="1028" max="1028" width="10.33203125" style="106" customWidth="1"/>
    <col min="1029" max="1029" width="12.33203125" style="106" customWidth="1"/>
    <col min="1030" max="1030" width="35.77734375" style="106" customWidth="1"/>
    <col min="1031" max="1031" width="12" style="106" customWidth="1"/>
    <col min="1032" max="1034" width="13" style="106" customWidth="1"/>
    <col min="1035" max="1035" width="10.88671875" style="106" customWidth="1"/>
    <col min="1036" max="1038" width="15.77734375" style="106" customWidth="1"/>
    <col min="1039" max="1039" width="12.5546875" style="106" customWidth="1"/>
    <col min="1040" max="1040" width="8.5546875" style="106" customWidth="1"/>
    <col min="1041" max="1041" width="11.109375" style="106" customWidth="1"/>
    <col min="1042" max="1042" width="11.6640625" style="106" customWidth="1"/>
    <col min="1043" max="1043" width="8.88671875" style="106" customWidth="1"/>
    <col min="1044" max="1044" width="9.88671875" style="106" customWidth="1"/>
    <col min="1045" max="1045" width="14.88671875" style="106" customWidth="1"/>
    <col min="1046" max="1046" width="14.5546875" style="106" customWidth="1"/>
    <col min="1047" max="1047" width="16.109375" style="106" customWidth="1"/>
    <col min="1048" max="1052" width="12.88671875" style="106" customWidth="1"/>
    <col min="1053" max="1280" width="8.88671875" style="106"/>
    <col min="1281" max="1281" width="3.77734375" style="106" customWidth="1"/>
    <col min="1282" max="1282" width="6.44140625" style="106" customWidth="1"/>
    <col min="1283" max="1283" width="7.44140625" style="106" customWidth="1"/>
    <col min="1284" max="1284" width="10.33203125" style="106" customWidth="1"/>
    <col min="1285" max="1285" width="12.33203125" style="106" customWidth="1"/>
    <col min="1286" max="1286" width="35.77734375" style="106" customWidth="1"/>
    <col min="1287" max="1287" width="12" style="106" customWidth="1"/>
    <col min="1288" max="1290" width="13" style="106" customWidth="1"/>
    <col min="1291" max="1291" width="10.88671875" style="106" customWidth="1"/>
    <col min="1292" max="1294" width="15.77734375" style="106" customWidth="1"/>
    <col min="1295" max="1295" width="12.5546875" style="106" customWidth="1"/>
    <col min="1296" max="1296" width="8.5546875" style="106" customWidth="1"/>
    <col min="1297" max="1297" width="11.109375" style="106" customWidth="1"/>
    <col min="1298" max="1298" width="11.6640625" style="106" customWidth="1"/>
    <col min="1299" max="1299" width="8.88671875" style="106" customWidth="1"/>
    <col min="1300" max="1300" width="9.88671875" style="106" customWidth="1"/>
    <col min="1301" max="1301" width="14.88671875" style="106" customWidth="1"/>
    <col min="1302" max="1302" width="14.5546875" style="106" customWidth="1"/>
    <col min="1303" max="1303" width="16.109375" style="106" customWidth="1"/>
    <col min="1304" max="1308" width="12.88671875" style="106" customWidth="1"/>
    <col min="1309" max="1536" width="8.88671875" style="106"/>
    <col min="1537" max="1537" width="3.77734375" style="106" customWidth="1"/>
    <col min="1538" max="1538" width="6.44140625" style="106" customWidth="1"/>
    <col min="1539" max="1539" width="7.44140625" style="106" customWidth="1"/>
    <col min="1540" max="1540" width="10.33203125" style="106" customWidth="1"/>
    <col min="1541" max="1541" width="12.33203125" style="106" customWidth="1"/>
    <col min="1542" max="1542" width="35.77734375" style="106" customWidth="1"/>
    <col min="1543" max="1543" width="12" style="106" customWidth="1"/>
    <col min="1544" max="1546" width="13" style="106" customWidth="1"/>
    <col min="1547" max="1547" width="10.88671875" style="106" customWidth="1"/>
    <col min="1548" max="1550" width="15.77734375" style="106" customWidth="1"/>
    <col min="1551" max="1551" width="12.5546875" style="106" customWidth="1"/>
    <col min="1552" max="1552" width="8.5546875" style="106" customWidth="1"/>
    <col min="1553" max="1553" width="11.109375" style="106" customWidth="1"/>
    <col min="1554" max="1554" width="11.6640625" style="106" customWidth="1"/>
    <col min="1555" max="1555" width="8.88671875" style="106" customWidth="1"/>
    <col min="1556" max="1556" width="9.88671875" style="106" customWidth="1"/>
    <col min="1557" max="1557" width="14.88671875" style="106" customWidth="1"/>
    <col min="1558" max="1558" width="14.5546875" style="106" customWidth="1"/>
    <col min="1559" max="1559" width="16.109375" style="106" customWidth="1"/>
    <col min="1560" max="1564" width="12.88671875" style="106" customWidth="1"/>
    <col min="1565" max="1792" width="8.88671875" style="106"/>
    <col min="1793" max="1793" width="3.77734375" style="106" customWidth="1"/>
    <col min="1794" max="1794" width="6.44140625" style="106" customWidth="1"/>
    <col min="1795" max="1795" width="7.44140625" style="106" customWidth="1"/>
    <col min="1796" max="1796" width="10.33203125" style="106" customWidth="1"/>
    <col min="1797" max="1797" width="12.33203125" style="106" customWidth="1"/>
    <col min="1798" max="1798" width="35.77734375" style="106" customWidth="1"/>
    <col min="1799" max="1799" width="12" style="106" customWidth="1"/>
    <col min="1800" max="1802" width="13" style="106" customWidth="1"/>
    <col min="1803" max="1803" width="10.88671875" style="106" customWidth="1"/>
    <col min="1804" max="1806" width="15.77734375" style="106" customWidth="1"/>
    <col min="1807" max="1807" width="12.5546875" style="106" customWidth="1"/>
    <col min="1808" max="1808" width="8.5546875" style="106" customWidth="1"/>
    <col min="1809" max="1809" width="11.109375" style="106" customWidth="1"/>
    <col min="1810" max="1810" width="11.6640625" style="106" customWidth="1"/>
    <col min="1811" max="1811" width="8.88671875" style="106" customWidth="1"/>
    <col min="1812" max="1812" width="9.88671875" style="106" customWidth="1"/>
    <col min="1813" max="1813" width="14.88671875" style="106" customWidth="1"/>
    <col min="1814" max="1814" width="14.5546875" style="106" customWidth="1"/>
    <col min="1815" max="1815" width="16.109375" style="106" customWidth="1"/>
    <col min="1816" max="1820" width="12.88671875" style="106" customWidth="1"/>
    <col min="1821" max="2048" width="8.88671875" style="106"/>
    <col min="2049" max="2049" width="3.77734375" style="106" customWidth="1"/>
    <col min="2050" max="2050" width="6.44140625" style="106" customWidth="1"/>
    <col min="2051" max="2051" width="7.44140625" style="106" customWidth="1"/>
    <col min="2052" max="2052" width="10.33203125" style="106" customWidth="1"/>
    <col min="2053" max="2053" width="12.33203125" style="106" customWidth="1"/>
    <col min="2054" max="2054" width="35.77734375" style="106" customWidth="1"/>
    <col min="2055" max="2055" width="12" style="106" customWidth="1"/>
    <col min="2056" max="2058" width="13" style="106" customWidth="1"/>
    <col min="2059" max="2059" width="10.88671875" style="106" customWidth="1"/>
    <col min="2060" max="2062" width="15.77734375" style="106" customWidth="1"/>
    <col min="2063" max="2063" width="12.5546875" style="106" customWidth="1"/>
    <col min="2064" max="2064" width="8.5546875" style="106" customWidth="1"/>
    <col min="2065" max="2065" width="11.109375" style="106" customWidth="1"/>
    <col min="2066" max="2066" width="11.6640625" style="106" customWidth="1"/>
    <col min="2067" max="2067" width="8.88671875" style="106" customWidth="1"/>
    <col min="2068" max="2068" width="9.88671875" style="106" customWidth="1"/>
    <col min="2069" max="2069" width="14.88671875" style="106" customWidth="1"/>
    <col min="2070" max="2070" width="14.5546875" style="106" customWidth="1"/>
    <col min="2071" max="2071" width="16.109375" style="106" customWidth="1"/>
    <col min="2072" max="2076" width="12.88671875" style="106" customWidth="1"/>
    <col min="2077" max="2304" width="8.88671875" style="106"/>
    <col min="2305" max="2305" width="3.77734375" style="106" customWidth="1"/>
    <col min="2306" max="2306" width="6.44140625" style="106" customWidth="1"/>
    <col min="2307" max="2307" width="7.44140625" style="106" customWidth="1"/>
    <col min="2308" max="2308" width="10.33203125" style="106" customWidth="1"/>
    <col min="2309" max="2309" width="12.33203125" style="106" customWidth="1"/>
    <col min="2310" max="2310" width="35.77734375" style="106" customWidth="1"/>
    <col min="2311" max="2311" width="12" style="106" customWidth="1"/>
    <col min="2312" max="2314" width="13" style="106" customWidth="1"/>
    <col min="2315" max="2315" width="10.88671875" style="106" customWidth="1"/>
    <col min="2316" max="2318" width="15.77734375" style="106" customWidth="1"/>
    <col min="2319" max="2319" width="12.5546875" style="106" customWidth="1"/>
    <col min="2320" max="2320" width="8.5546875" style="106" customWidth="1"/>
    <col min="2321" max="2321" width="11.109375" style="106" customWidth="1"/>
    <col min="2322" max="2322" width="11.6640625" style="106" customWidth="1"/>
    <col min="2323" max="2323" width="8.88671875" style="106" customWidth="1"/>
    <col min="2324" max="2324" width="9.88671875" style="106" customWidth="1"/>
    <col min="2325" max="2325" width="14.88671875" style="106" customWidth="1"/>
    <col min="2326" max="2326" width="14.5546875" style="106" customWidth="1"/>
    <col min="2327" max="2327" width="16.109375" style="106" customWidth="1"/>
    <col min="2328" max="2332" width="12.88671875" style="106" customWidth="1"/>
    <col min="2333" max="2560" width="8.88671875" style="106"/>
    <col min="2561" max="2561" width="3.77734375" style="106" customWidth="1"/>
    <col min="2562" max="2562" width="6.44140625" style="106" customWidth="1"/>
    <col min="2563" max="2563" width="7.44140625" style="106" customWidth="1"/>
    <col min="2564" max="2564" width="10.33203125" style="106" customWidth="1"/>
    <col min="2565" max="2565" width="12.33203125" style="106" customWidth="1"/>
    <col min="2566" max="2566" width="35.77734375" style="106" customWidth="1"/>
    <col min="2567" max="2567" width="12" style="106" customWidth="1"/>
    <col min="2568" max="2570" width="13" style="106" customWidth="1"/>
    <col min="2571" max="2571" width="10.88671875" style="106" customWidth="1"/>
    <col min="2572" max="2574" width="15.77734375" style="106" customWidth="1"/>
    <col min="2575" max="2575" width="12.5546875" style="106" customWidth="1"/>
    <col min="2576" max="2576" width="8.5546875" style="106" customWidth="1"/>
    <col min="2577" max="2577" width="11.109375" style="106" customWidth="1"/>
    <col min="2578" max="2578" width="11.6640625" style="106" customWidth="1"/>
    <col min="2579" max="2579" width="8.88671875" style="106" customWidth="1"/>
    <col min="2580" max="2580" width="9.88671875" style="106" customWidth="1"/>
    <col min="2581" max="2581" width="14.88671875" style="106" customWidth="1"/>
    <col min="2582" max="2582" width="14.5546875" style="106" customWidth="1"/>
    <col min="2583" max="2583" width="16.109375" style="106" customWidth="1"/>
    <col min="2584" max="2588" width="12.88671875" style="106" customWidth="1"/>
    <col min="2589" max="2816" width="8.88671875" style="106"/>
    <col min="2817" max="2817" width="3.77734375" style="106" customWidth="1"/>
    <col min="2818" max="2818" width="6.44140625" style="106" customWidth="1"/>
    <col min="2819" max="2819" width="7.44140625" style="106" customWidth="1"/>
    <col min="2820" max="2820" width="10.33203125" style="106" customWidth="1"/>
    <col min="2821" max="2821" width="12.33203125" style="106" customWidth="1"/>
    <col min="2822" max="2822" width="35.77734375" style="106" customWidth="1"/>
    <col min="2823" max="2823" width="12" style="106" customWidth="1"/>
    <col min="2824" max="2826" width="13" style="106" customWidth="1"/>
    <col min="2827" max="2827" width="10.88671875" style="106" customWidth="1"/>
    <col min="2828" max="2830" width="15.77734375" style="106" customWidth="1"/>
    <col min="2831" max="2831" width="12.5546875" style="106" customWidth="1"/>
    <col min="2832" max="2832" width="8.5546875" style="106" customWidth="1"/>
    <col min="2833" max="2833" width="11.109375" style="106" customWidth="1"/>
    <col min="2834" max="2834" width="11.6640625" style="106" customWidth="1"/>
    <col min="2835" max="2835" width="8.88671875" style="106" customWidth="1"/>
    <col min="2836" max="2836" width="9.88671875" style="106" customWidth="1"/>
    <col min="2837" max="2837" width="14.88671875" style="106" customWidth="1"/>
    <col min="2838" max="2838" width="14.5546875" style="106" customWidth="1"/>
    <col min="2839" max="2839" width="16.109375" style="106" customWidth="1"/>
    <col min="2840" max="2844" width="12.88671875" style="106" customWidth="1"/>
    <col min="2845" max="3072" width="8.88671875" style="106"/>
    <col min="3073" max="3073" width="3.77734375" style="106" customWidth="1"/>
    <col min="3074" max="3074" width="6.44140625" style="106" customWidth="1"/>
    <col min="3075" max="3075" width="7.44140625" style="106" customWidth="1"/>
    <col min="3076" max="3076" width="10.33203125" style="106" customWidth="1"/>
    <col min="3077" max="3077" width="12.33203125" style="106" customWidth="1"/>
    <col min="3078" max="3078" width="35.77734375" style="106" customWidth="1"/>
    <col min="3079" max="3079" width="12" style="106" customWidth="1"/>
    <col min="3080" max="3082" width="13" style="106" customWidth="1"/>
    <col min="3083" max="3083" width="10.88671875" style="106" customWidth="1"/>
    <col min="3084" max="3086" width="15.77734375" style="106" customWidth="1"/>
    <col min="3087" max="3087" width="12.5546875" style="106" customWidth="1"/>
    <col min="3088" max="3088" width="8.5546875" style="106" customWidth="1"/>
    <col min="3089" max="3089" width="11.109375" style="106" customWidth="1"/>
    <col min="3090" max="3090" width="11.6640625" style="106" customWidth="1"/>
    <col min="3091" max="3091" width="8.88671875" style="106" customWidth="1"/>
    <col min="3092" max="3092" width="9.88671875" style="106" customWidth="1"/>
    <col min="3093" max="3093" width="14.88671875" style="106" customWidth="1"/>
    <col min="3094" max="3094" width="14.5546875" style="106" customWidth="1"/>
    <col min="3095" max="3095" width="16.109375" style="106" customWidth="1"/>
    <col min="3096" max="3100" width="12.88671875" style="106" customWidth="1"/>
    <col min="3101" max="3328" width="8.88671875" style="106"/>
    <col min="3329" max="3329" width="3.77734375" style="106" customWidth="1"/>
    <col min="3330" max="3330" width="6.44140625" style="106" customWidth="1"/>
    <col min="3331" max="3331" width="7.44140625" style="106" customWidth="1"/>
    <col min="3332" max="3332" width="10.33203125" style="106" customWidth="1"/>
    <col min="3333" max="3333" width="12.33203125" style="106" customWidth="1"/>
    <col min="3334" max="3334" width="35.77734375" style="106" customWidth="1"/>
    <col min="3335" max="3335" width="12" style="106" customWidth="1"/>
    <col min="3336" max="3338" width="13" style="106" customWidth="1"/>
    <col min="3339" max="3339" width="10.88671875" style="106" customWidth="1"/>
    <col min="3340" max="3342" width="15.77734375" style="106" customWidth="1"/>
    <col min="3343" max="3343" width="12.5546875" style="106" customWidth="1"/>
    <col min="3344" max="3344" width="8.5546875" style="106" customWidth="1"/>
    <col min="3345" max="3345" width="11.109375" style="106" customWidth="1"/>
    <col min="3346" max="3346" width="11.6640625" style="106" customWidth="1"/>
    <col min="3347" max="3347" width="8.88671875" style="106" customWidth="1"/>
    <col min="3348" max="3348" width="9.88671875" style="106" customWidth="1"/>
    <col min="3349" max="3349" width="14.88671875" style="106" customWidth="1"/>
    <col min="3350" max="3350" width="14.5546875" style="106" customWidth="1"/>
    <col min="3351" max="3351" width="16.109375" style="106" customWidth="1"/>
    <col min="3352" max="3356" width="12.88671875" style="106" customWidth="1"/>
    <col min="3357" max="3584" width="8.88671875" style="106"/>
    <col min="3585" max="3585" width="3.77734375" style="106" customWidth="1"/>
    <col min="3586" max="3586" width="6.44140625" style="106" customWidth="1"/>
    <col min="3587" max="3587" width="7.44140625" style="106" customWidth="1"/>
    <col min="3588" max="3588" width="10.33203125" style="106" customWidth="1"/>
    <col min="3589" max="3589" width="12.33203125" style="106" customWidth="1"/>
    <col min="3590" max="3590" width="35.77734375" style="106" customWidth="1"/>
    <col min="3591" max="3591" width="12" style="106" customWidth="1"/>
    <col min="3592" max="3594" width="13" style="106" customWidth="1"/>
    <col min="3595" max="3595" width="10.88671875" style="106" customWidth="1"/>
    <col min="3596" max="3598" width="15.77734375" style="106" customWidth="1"/>
    <col min="3599" max="3599" width="12.5546875" style="106" customWidth="1"/>
    <col min="3600" max="3600" width="8.5546875" style="106" customWidth="1"/>
    <col min="3601" max="3601" width="11.109375" style="106" customWidth="1"/>
    <col min="3602" max="3602" width="11.6640625" style="106" customWidth="1"/>
    <col min="3603" max="3603" width="8.88671875" style="106" customWidth="1"/>
    <col min="3604" max="3604" width="9.88671875" style="106" customWidth="1"/>
    <col min="3605" max="3605" width="14.88671875" style="106" customWidth="1"/>
    <col min="3606" max="3606" width="14.5546875" style="106" customWidth="1"/>
    <col min="3607" max="3607" width="16.109375" style="106" customWidth="1"/>
    <col min="3608" max="3612" width="12.88671875" style="106" customWidth="1"/>
    <col min="3613" max="3840" width="8.88671875" style="106"/>
    <col min="3841" max="3841" width="3.77734375" style="106" customWidth="1"/>
    <col min="3842" max="3842" width="6.44140625" style="106" customWidth="1"/>
    <col min="3843" max="3843" width="7.44140625" style="106" customWidth="1"/>
    <col min="3844" max="3844" width="10.33203125" style="106" customWidth="1"/>
    <col min="3845" max="3845" width="12.33203125" style="106" customWidth="1"/>
    <col min="3846" max="3846" width="35.77734375" style="106" customWidth="1"/>
    <col min="3847" max="3847" width="12" style="106" customWidth="1"/>
    <col min="3848" max="3850" width="13" style="106" customWidth="1"/>
    <col min="3851" max="3851" width="10.88671875" style="106" customWidth="1"/>
    <col min="3852" max="3854" width="15.77734375" style="106" customWidth="1"/>
    <col min="3855" max="3855" width="12.5546875" style="106" customWidth="1"/>
    <col min="3856" max="3856" width="8.5546875" style="106" customWidth="1"/>
    <col min="3857" max="3857" width="11.109375" style="106" customWidth="1"/>
    <col min="3858" max="3858" width="11.6640625" style="106" customWidth="1"/>
    <col min="3859" max="3859" width="8.88671875" style="106" customWidth="1"/>
    <col min="3860" max="3860" width="9.88671875" style="106" customWidth="1"/>
    <col min="3861" max="3861" width="14.88671875" style="106" customWidth="1"/>
    <col min="3862" max="3862" width="14.5546875" style="106" customWidth="1"/>
    <col min="3863" max="3863" width="16.109375" style="106" customWidth="1"/>
    <col min="3864" max="3868" width="12.88671875" style="106" customWidth="1"/>
    <col min="3869" max="4096" width="8.88671875" style="106"/>
    <col min="4097" max="4097" width="3.77734375" style="106" customWidth="1"/>
    <col min="4098" max="4098" width="6.44140625" style="106" customWidth="1"/>
    <col min="4099" max="4099" width="7.44140625" style="106" customWidth="1"/>
    <col min="4100" max="4100" width="10.33203125" style="106" customWidth="1"/>
    <col min="4101" max="4101" width="12.33203125" style="106" customWidth="1"/>
    <col min="4102" max="4102" width="35.77734375" style="106" customWidth="1"/>
    <col min="4103" max="4103" width="12" style="106" customWidth="1"/>
    <col min="4104" max="4106" width="13" style="106" customWidth="1"/>
    <col min="4107" max="4107" width="10.88671875" style="106" customWidth="1"/>
    <col min="4108" max="4110" width="15.77734375" style="106" customWidth="1"/>
    <col min="4111" max="4111" width="12.5546875" style="106" customWidth="1"/>
    <col min="4112" max="4112" width="8.5546875" style="106" customWidth="1"/>
    <col min="4113" max="4113" width="11.109375" style="106" customWidth="1"/>
    <col min="4114" max="4114" width="11.6640625" style="106" customWidth="1"/>
    <col min="4115" max="4115" width="8.88671875" style="106" customWidth="1"/>
    <col min="4116" max="4116" width="9.88671875" style="106" customWidth="1"/>
    <col min="4117" max="4117" width="14.88671875" style="106" customWidth="1"/>
    <col min="4118" max="4118" width="14.5546875" style="106" customWidth="1"/>
    <col min="4119" max="4119" width="16.109375" style="106" customWidth="1"/>
    <col min="4120" max="4124" width="12.88671875" style="106" customWidth="1"/>
    <col min="4125" max="4352" width="8.88671875" style="106"/>
    <col min="4353" max="4353" width="3.77734375" style="106" customWidth="1"/>
    <col min="4354" max="4354" width="6.44140625" style="106" customWidth="1"/>
    <col min="4355" max="4355" width="7.44140625" style="106" customWidth="1"/>
    <col min="4356" max="4356" width="10.33203125" style="106" customWidth="1"/>
    <col min="4357" max="4357" width="12.33203125" style="106" customWidth="1"/>
    <col min="4358" max="4358" width="35.77734375" style="106" customWidth="1"/>
    <col min="4359" max="4359" width="12" style="106" customWidth="1"/>
    <col min="4360" max="4362" width="13" style="106" customWidth="1"/>
    <col min="4363" max="4363" width="10.88671875" style="106" customWidth="1"/>
    <col min="4364" max="4366" width="15.77734375" style="106" customWidth="1"/>
    <col min="4367" max="4367" width="12.5546875" style="106" customWidth="1"/>
    <col min="4368" max="4368" width="8.5546875" style="106" customWidth="1"/>
    <col min="4369" max="4369" width="11.109375" style="106" customWidth="1"/>
    <col min="4370" max="4370" width="11.6640625" style="106" customWidth="1"/>
    <col min="4371" max="4371" width="8.88671875" style="106" customWidth="1"/>
    <col min="4372" max="4372" width="9.88671875" style="106" customWidth="1"/>
    <col min="4373" max="4373" width="14.88671875" style="106" customWidth="1"/>
    <col min="4374" max="4374" width="14.5546875" style="106" customWidth="1"/>
    <col min="4375" max="4375" width="16.109375" style="106" customWidth="1"/>
    <col min="4376" max="4380" width="12.88671875" style="106" customWidth="1"/>
    <col min="4381" max="4608" width="8.88671875" style="106"/>
    <col min="4609" max="4609" width="3.77734375" style="106" customWidth="1"/>
    <col min="4610" max="4610" width="6.44140625" style="106" customWidth="1"/>
    <col min="4611" max="4611" width="7.44140625" style="106" customWidth="1"/>
    <col min="4612" max="4612" width="10.33203125" style="106" customWidth="1"/>
    <col min="4613" max="4613" width="12.33203125" style="106" customWidth="1"/>
    <col min="4614" max="4614" width="35.77734375" style="106" customWidth="1"/>
    <col min="4615" max="4615" width="12" style="106" customWidth="1"/>
    <col min="4616" max="4618" width="13" style="106" customWidth="1"/>
    <col min="4619" max="4619" width="10.88671875" style="106" customWidth="1"/>
    <col min="4620" max="4622" width="15.77734375" style="106" customWidth="1"/>
    <col min="4623" max="4623" width="12.5546875" style="106" customWidth="1"/>
    <col min="4624" max="4624" width="8.5546875" style="106" customWidth="1"/>
    <col min="4625" max="4625" width="11.109375" style="106" customWidth="1"/>
    <col min="4626" max="4626" width="11.6640625" style="106" customWidth="1"/>
    <col min="4627" max="4627" width="8.88671875" style="106" customWidth="1"/>
    <col min="4628" max="4628" width="9.88671875" style="106" customWidth="1"/>
    <col min="4629" max="4629" width="14.88671875" style="106" customWidth="1"/>
    <col min="4630" max="4630" width="14.5546875" style="106" customWidth="1"/>
    <col min="4631" max="4631" width="16.109375" style="106" customWidth="1"/>
    <col min="4632" max="4636" width="12.88671875" style="106" customWidth="1"/>
    <col min="4637" max="4864" width="8.88671875" style="106"/>
    <col min="4865" max="4865" width="3.77734375" style="106" customWidth="1"/>
    <col min="4866" max="4866" width="6.44140625" style="106" customWidth="1"/>
    <col min="4867" max="4867" width="7.44140625" style="106" customWidth="1"/>
    <col min="4868" max="4868" width="10.33203125" style="106" customWidth="1"/>
    <col min="4869" max="4869" width="12.33203125" style="106" customWidth="1"/>
    <col min="4870" max="4870" width="35.77734375" style="106" customWidth="1"/>
    <col min="4871" max="4871" width="12" style="106" customWidth="1"/>
    <col min="4872" max="4874" width="13" style="106" customWidth="1"/>
    <col min="4875" max="4875" width="10.88671875" style="106" customWidth="1"/>
    <col min="4876" max="4878" width="15.77734375" style="106" customWidth="1"/>
    <col min="4879" max="4879" width="12.5546875" style="106" customWidth="1"/>
    <col min="4880" max="4880" width="8.5546875" style="106" customWidth="1"/>
    <col min="4881" max="4881" width="11.109375" style="106" customWidth="1"/>
    <col min="4882" max="4882" width="11.6640625" style="106" customWidth="1"/>
    <col min="4883" max="4883" width="8.88671875" style="106" customWidth="1"/>
    <col min="4884" max="4884" width="9.88671875" style="106" customWidth="1"/>
    <col min="4885" max="4885" width="14.88671875" style="106" customWidth="1"/>
    <col min="4886" max="4886" width="14.5546875" style="106" customWidth="1"/>
    <col min="4887" max="4887" width="16.109375" style="106" customWidth="1"/>
    <col min="4888" max="4892" width="12.88671875" style="106" customWidth="1"/>
    <col min="4893" max="5120" width="8.88671875" style="106"/>
    <col min="5121" max="5121" width="3.77734375" style="106" customWidth="1"/>
    <col min="5122" max="5122" width="6.44140625" style="106" customWidth="1"/>
    <col min="5123" max="5123" width="7.44140625" style="106" customWidth="1"/>
    <col min="5124" max="5124" width="10.33203125" style="106" customWidth="1"/>
    <col min="5125" max="5125" width="12.33203125" style="106" customWidth="1"/>
    <col min="5126" max="5126" width="35.77734375" style="106" customWidth="1"/>
    <col min="5127" max="5127" width="12" style="106" customWidth="1"/>
    <col min="5128" max="5130" width="13" style="106" customWidth="1"/>
    <col min="5131" max="5131" width="10.88671875" style="106" customWidth="1"/>
    <col min="5132" max="5134" width="15.77734375" style="106" customWidth="1"/>
    <col min="5135" max="5135" width="12.5546875" style="106" customWidth="1"/>
    <col min="5136" max="5136" width="8.5546875" style="106" customWidth="1"/>
    <col min="5137" max="5137" width="11.109375" style="106" customWidth="1"/>
    <col min="5138" max="5138" width="11.6640625" style="106" customWidth="1"/>
    <col min="5139" max="5139" width="8.88671875" style="106" customWidth="1"/>
    <col min="5140" max="5140" width="9.88671875" style="106" customWidth="1"/>
    <col min="5141" max="5141" width="14.88671875" style="106" customWidth="1"/>
    <col min="5142" max="5142" width="14.5546875" style="106" customWidth="1"/>
    <col min="5143" max="5143" width="16.109375" style="106" customWidth="1"/>
    <col min="5144" max="5148" width="12.88671875" style="106" customWidth="1"/>
    <col min="5149" max="5376" width="8.88671875" style="106"/>
    <col min="5377" max="5377" width="3.77734375" style="106" customWidth="1"/>
    <col min="5378" max="5378" width="6.44140625" style="106" customWidth="1"/>
    <col min="5379" max="5379" width="7.44140625" style="106" customWidth="1"/>
    <col min="5380" max="5380" width="10.33203125" style="106" customWidth="1"/>
    <col min="5381" max="5381" width="12.33203125" style="106" customWidth="1"/>
    <col min="5382" max="5382" width="35.77734375" style="106" customWidth="1"/>
    <col min="5383" max="5383" width="12" style="106" customWidth="1"/>
    <col min="5384" max="5386" width="13" style="106" customWidth="1"/>
    <col min="5387" max="5387" width="10.88671875" style="106" customWidth="1"/>
    <col min="5388" max="5390" width="15.77734375" style="106" customWidth="1"/>
    <col min="5391" max="5391" width="12.5546875" style="106" customWidth="1"/>
    <col min="5392" max="5392" width="8.5546875" style="106" customWidth="1"/>
    <col min="5393" max="5393" width="11.109375" style="106" customWidth="1"/>
    <col min="5394" max="5394" width="11.6640625" style="106" customWidth="1"/>
    <col min="5395" max="5395" width="8.88671875" style="106" customWidth="1"/>
    <col min="5396" max="5396" width="9.88671875" style="106" customWidth="1"/>
    <col min="5397" max="5397" width="14.88671875" style="106" customWidth="1"/>
    <col min="5398" max="5398" width="14.5546875" style="106" customWidth="1"/>
    <col min="5399" max="5399" width="16.109375" style="106" customWidth="1"/>
    <col min="5400" max="5404" width="12.88671875" style="106" customWidth="1"/>
    <col min="5405" max="5632" width="8.88671875" style="106"/>
    <col min="5633" max="5633" width="3.77734375" style="106" customWidth="1"/>
    <col min="5634" max="5634" width="6.44140625" style="106" customWidth="1"/>
    <col min="5635" max="5635" width="7.44140625" style="106" customWidth="1"/>
    <col min="5636" max="5636" width="10.33203125" style="106" customWidth="1"/>
    <col min="5637" max="5637" width="12.33203125" style="106" customWidth="1"/>
    <col min="5638" max="5638" width="35.77734375" style="106" customWidth="1"/>
    <col min="5639" max="5639" width="12" style="106" customWidth="1"/>
    <col min="5640" max="5642" width="13" style="106" customWidth="1"/>
    <col min="5643" max="5643" width="10.88671875" style="106" customWidth="1"/>
    <col min="5644" max="5646" width="15.77734375" style="106" customWidth="1"/>
    <col min="5647" max="5647" width="12.5546875" style="106" customWidth="1"/>
    <col min="5648" max="5648" width="8.5546875" style="106" customWidth="1"/>
    <col min="5649" max="5649" width="11.109375" style="106" customWidth="1"/>
    <col min="5650" max="5650" width="11.6640625" style="106" customWidth="1"/>
    <col min="5651" max="5651" width="8.88671875" style="106" customWidth="1"/>
    <col min="5652" max="5652" width="9.88671875" style="106" customWidth="1"/>
    <col min="5653" max="5653" width="14.88671875" style="106" customWidth="1"/>
    <col min="5654" max="5654" width="14.5546875" style="106" customWidth="1"/>
    <col min="5655" max="5655" width="16.109375" style="106" customWidth="1"/>
    <col min="5656" max="5660" width="12.88671875" style="106" customWidth="1"/>
    <col min="5661" max="5888" width="8.88671875" style="106"/>
    <col min="5889" max="5889" width="3.77734375" style="106" customWidth="1"/>
    <col min="5890" max="5890" width="6.44140625" style="106" customWidth="1"/>
    <col min="5891" max="5891" width="7.44140625" style="106" customWidth="1"/>
    <col min="5892" max="5892" width="10.33203125" style="106" customWidth="1"/>
    <col min="5893" max="5893" width="12.33203125" style="106" customWidth="1"/>
    <col min="5894" max="5894" width="35.77734375" style="106" customWidth="1"/>
    <col min="5895" max="5895" width="12" style="106" customWidth="1"/>
    <col min="5896" max="5898" width="13" style="106" customWidth="1"/>
    <col min="5899" max="5899" width="10.88671875" style="106" customWidth="1"/>
    <col min="5900" max="5902" width="15.77734375" style="106" customWidth="1"/>
    <col min="5903" max="5903" width="12.5546875" style="106" customWidth="1"/>
    <col min="5904" max="5904" width="8.5546875" style="106" customWidth="1"/>
    <col min="5905" max="5905" width="11.109375" style="106" customWidth="1"/>
    <col min="5906" max="5906" width="11.6640625" style="106" customWidth="1"/>
    <col min="5907" max="5907" width="8.88671875" style="106" customWidth="1"/>
    <col min="5908" max="5908" width="9.88671875" style="106" customWidth="1"/>
    <col min="5909" max="5909" width="14.88671875" style="106" customWidth="1"/>
    <col min="5910" max="5910" width="14.5546875" style="106" customWidth="1"/>
    <col min="5911" max="5911" width="16.109375" style="106" customWidth="1"/>
    <col min="5912" max="5916" width="12.88671875" style="106" customWidth="1"/>
    <col min="5917" max="6144" width="8.88671875" style="106"/>
    <col min="6145" max="6145" width="3.77734375" style="106" customWidth="1"/>
    <col min="6146" max="6146" width="6.44140625" style="106" customWidth="1"/>
    <col min="6147" max="6147" width="7.44140625" style="106" customWidth="1"/>
    <col min="6148" max="6148" width="10.33203125" style="106" customWidth="1"/>
    <col min="6149" max="6149" width="12.33203125" style="106" customWidth="1"/>
    <col min="6150" max="6150" width="35.77734375" style="106" customWidth="1"/>
    <col min="6151" max="6151" width="12" style="106" customWidth="1"/>
    <col min="6152" max="6154" width="13" style="106" customWidth="1"/>
    <col min="6155" max="6155" width="10.88671875" style="106" customWidth="1"/>
    <col min="6156" max="6158" width="15.77734375" style="106" customWidth="1"/>
    <col min="6159" max="6159" width="12.5546875" style="106" customWidth="1"/>
    <col min="6160" max="6160" width="8.5546875" style="106" customWidth="1"/>
    <col min="6161" max="6161" width="11.109375" style="106" customWidth="1"/>
    <col min="6162" max="6162" width="11.6640625" style="106" customWidth="1"/>
    <col min="6163" max="6163" width="8.88671875" style="106" customWidth="1"/>
    <col min="6164" max="6164" width="9.88671875" style="106" customWidth="1"/>
    <col min="6165" max="6165" width="14.88671875" style="106" customWidth="1"/>
    <col min="6166" max="6166" width="14.5546875" style="106" customWidth="1"/>
    <col min="6167" max="6167" width="16.109375" style="106" customWidth="1"/>
    <col min="6168" max="6172" width="12.88671875" style="106" customWidth="1"/>
    <col min="6173" max="6400" width="8.88671875" style="106"/>
    <col min="6401" max="6401" width="3.77734375" style="106" customWidth="1"/>
    <col min="6402" max="6402" width="6.44140625" style="106" customWidth="1"/>
    <col min="6403" max="6403" width="7.44140625" style="106" customWidth="1"/>
    <col min="6404" max="6404" width="10.33203125" style="106" customWidth="1"/>
    <col min="6405" max="6405" width="12.33203125" style="106" customWidth="1"/>
    <col min="6406" max="6406" width="35.77734375" style="106" customWidth="1"/>
    <col min="6407" max="6407" width="12" style="106" customWidth="1"/>
    <col min="6408" max="6410" width="13" style="106" customWidth="1"/>
    <col min="6411" max="6411" width="10.88671875" style="106" customWidth="1"/>
    <col min="6412" max="6414" width="15.77734375" style="106" customWidth="1"/>
    <col min="6415" max="6415" width="12.5546875" style="106" customWidth="1"/>
    <col min="6416" max="6416" width="8.5546875" style="106" customWidth="1"/>
    <col min="6417" max="6417" width="11.109375" style="106" customWidth="1"/>
    <col min="6418" max="6418" width="11.6640625" style="106" customWidth="1"/>
    <col min="6419" max="6419" width="8.88671875" style="106" customWidth="1"/>
    <col min="6420" max="6420" width="9.88671875" style="106" customWidth="1"/>
    <col min="6421" max="6421" width="14.88671875" style="106" customWidth="1"/>
    <col min="6422" max="6422" width="14.5546875" style="106" customWidth="1"/>
    <col min="6423" max="6423" width="16.109375" style="106" customWidth="1"/>
    <col min="6424" max="6428" width="12.88671875" style="106" customWidth="1"/>
    <col min="6429" max="6656" width="8.88671875" style="106"/>
    <col min="6657" max="6657" width="3.77734375" style="106" customWidth="1"/>
    <col min="6658" max="6658" width="6.44140625" style="106" customWidth="1"/>
    <col min="6659" max="6659" width="7.44140625" style="106" customWidth="1"/>
    <col min="6660" max="6660" width="10.33203125" style="106" customWidth="1"/>
    <col min="6661" max="6661" width="12.33203125" style="106" customWidth="1"/>
    <col min="6662" max="6662" width="35.77734375" style="106" customWidth="1"/>
    <col min="6663" max="6663" width="12" style="106" customWidth="1"/>
    <col min="6664" max="6666" width="13" style="106" customWidth="1"/>
    <col min="6667" max="6667" width="10.88671875" style="106" customWidth="1"/>
    <col min="6668" max="6670" width="15.77734375" style="106" customWidth="1"/>
    <col min="6671" max="6671" width="12.5546875" style="106" customWidth="1"/>
    <col min="6672" max="6672" width="8.5546875" style="106" customWidth="1"/>
    <col min="6673" max="6673" width="11.109375" style="106" customWidth="1"/>
    <col min="6674" max="6674" width="11.6640625" style="106" customWidth="1"/>
    <col min="6675" max="6675" width="8.88671875" style="106" customWidth="1"/>
    <col min="6676" max="6676" width="9.88671875" style="106" customWidth="1"/>
    <col min="6677" max="6677" width="14.88671875" style="106" customWidth="1"/>
    <col min="6678" max="6678" width="14.5546875" style="106" customWidth="1"/>
    <col min="6679" max="6679" width="16.109375" style="106" customWidth="1"/>
    <col min="6680" max="6684" width="12.88671875" style="106" customWidth="1"/>
    <col min="6685" max="6912" width="8.88671875" style="106"/>
    <col min="6913" max="6913" width="3.77734375" style="106" customWidth="1"/>
    <col min="6914" max="6914" width="6.44140625" style="106" customWidth="1"/>
    <col min="6915" max="6915" width="7.44140625" style="106" customWidth="1"/>
    <col min="6916" max="6916" width="10.33203125" style="106" customWidth="1"/>
    <col min="6917" max="6917" width="12.33203125" style="106" customWidth="1"/>
    <col min="6918" max="6918" width="35.77734375" style="106" customWidth="1"/>
    <col min="6919" max="6919" width="12" style="106" customWidth="1"/>
    <col min="6920" max="6922" width="13" style="106" customWidth="1"/>
    <col min="6923" max="6923" width="10.88671875" style="106" customWidth="1"/>
    <col min="6924" max="6926" width="15.77734375" style="106" customWidth="1"/>
    <col min="6927" max="6927" width="12.5546875" style="106" customWidth="1"/>
    <col min="6928" max="6928" width="8.5546875" style="106" customWidth="1"/>
    <col min="6929" max="6929" width="11.109375" style="106" customWidth="1"/>
    <col min="6930" max="6930" width="11.6640625" style="106" customWidth="1"/>
    <col min="6931" max="6931" width="8.88671875" style="106" customWidth="1"/>
    <col min="6932" max="6932" width="9.88671875" style="106" customWidth="1"/>
    <col min="6933" max="6933" width="14.88671875" style="106" customWidth="1"/>
    <col min="6934" max="6934" width="14.5546875" style="106" customWidth="1"/>
    <col min="6935" max="6935" width="16.109375" style="106" customWidth="1"/>
    <col min="6936" max="6940" width="12.88671875" style="106" customWidth="1"/>
    <col min="6941" max="7168" width="8.88671875" style="106"/>
    <col min="7169" max="7169" width="3.77734375" style="106" customWidth="1"/>
    <col min="7170" max="7170" width="6.44140625" style="106" customWidth="1"/>
    <col min="7171" max="7171" width="7.44140625" style="106" customWidth="1"/>
    <col min="7172" max="7172" width="10.33203125" style="106" customWidth="1"/>
    <col min="7173" max="7173" width="12.33203125" style="106" customWidth="1"/>
    <col min="7174" max="7174" width="35.77734375" style="106" customWidth="1"/>
    <col min="7175" max="7175" width="12" style="106" customWidth="1"/>
    <col min="7176" max="7178" width="13" style="106" customWidth="1"/>
    <col min="7179" max="7179" width="10.88671875" style="106" customWidth="1"/>
    <col min="7180" max="7182" width="15.77734375" style="106" customWidth="1"/>
    <col min="7183" max="7183" width="12.5546875" style="106" customWidth="1"/>
    <col min="7184" max="7184" width="8.5546875" style="106" customWidth="1"/>
    <col min="7185" max="7185" width="11.109375" style="106" customWidth="1"/>
    <col min="7186" max="7186" width="11.6640625" style="106" customWidth="1"/>
    <col min="7187" max="7187" width="8.88671875" style="106" customWidth="1"/>
    <col min="7188" max="7188" width="9.88671875" style="106" customWidth="1"/>
    <col min="7189" max="7189" width="14.88671875" style="106" customWidth="1"/>
    <col min="7190" max="7190" width="14.5546875" style="106" customWidth="1"/>
    <col min="7191" max="7191" width="16.109375" style="106" customWidth="1"/>
    <col min="7192" max="7196" width="12.88671875" style="106" customWidth="1"/>
    <col min="7197" max="7424" width="8.88671875" style="106"/>
    <col min="7425" max="7425" width="3.77734375" style="106" customWidth="1"/>
    <col min="7426" max="7426" width="6.44140625" style="106" customWidth="1"/>
    <col min="7427" max="7427" width="7.44140625" style="106" customWidth="1"/>
    <col min="7428" max="7428" width="10.33203125" style="106" customWidth="1"/>
    <col min="7429" max="7429" width="12.33203125" style="106" customWidth="1"/>
    <col min="7430" max="7430" width="35.77734375" style="106" customWidth="1"/>
    <col min="7431" max="7431" width="12" style="106" customWidth="1"/>
    <col min="7432" max="7434" width="13" style="106" customWidth="1"/>
    <col min="7435" max="7435" width="10.88671875" style="106" customWidth="1"/>
    <col min="7436" max="7438" width="15.77734375" style="106" customWidth="1"/>
    <col min="7439" max="7439" width="12.5546875" style="106" customWidth="1"/>
    <col min="7440" max="7440" width="8.5546875" style="106" customWidth="1"/>
    <col min="7441" max="7441" width="11.109375" style="106" customWidth="1"/>
    <col min="7442" max="7442" width="11.6640625" style="106" customWidth="1"/>
    <col min="7443" max="7443" width="8.88671875" style="106" customWidth="1"/>
    <col min="7444" max="7444" width="9.88671875" style="106" customWidth="1"/>
    <col min="7445" max="7445" width="14.88671875" style="106" customWidth="1"/>
    <col min="7446" max="7446" width="14.5546875" style="106" customWidth="1"/>
    <col min="7447" max="7447" width="16.109375" style="106" customWidth="1"/>
    <col min="7448" max="7452" width="12.88671875" style="106" customWidth="1"/>
    <col min="7453" max="7680" width="8.88671875" style="106"/>
    <col min="7681" max="7681" width="3.77734375" style="106" customWidth="1"/>
    <col min="7682" max="7682" width="6.44140625" style="106" customWidth="1"/>
    <col min="7683" max="7683" width="7.44140625" style="106" customWidth="1"/>
    <col min="7684" max="7684" width="10.33203125" style="106" customWidth="1"/>
    <col min="7685" max="7685" width="12.33203125" style="106" customWidth="1"/>
    <col min="7686" max="7686" width="35.77734375" style="106" customWidth="1"/>
    <col min="7687" max="7687" width="12" style="106" customWidth="1"/>
    <col min="7688" max="7690" width="13" style="106" customWidth="1"/>
    <col min="7691" max="7691" width="10.88671875" style="106" customWidth="1"/>
    <col min="7692" max="7694" width="15.77734375" style="106" customWidth="1"/>
    <col min="7695" max="7695" width="12.5546875" style="106" customWidth="1"/>
    <col min="7696" max="7696" width="8.5546875" style="106" customWidth="1"/>
    <col min="7697" max="7697" width="11.109375" style="106" customWidth="1"/>
    <col min="7698" max="7698" width="11.6640625" style="106" customWidth="1"/>
    <col min="7699" max="7699" width="8.88671875" style="106" customWidth="1"/>
    <col min="7700" max="7700" width="9.88671875" style="106" customWidth="1"/>
    <col min="7701" max="7701" width="14.88671875" style="106" customWidth="1"/>
    <col min="7702" max="7702" width="14.5546875" style="106" customWidth="1"/>
    <col min="7703" max="7703" width="16.109375" style="106" customWidth="1"/>
    <col min="7704" max="7708" width="12.88671875" style="106" customWidth="1"/>
    <col min="7709" max="7936" width="8.88671875" style="106"/>
    <col min="7937" max="7937" width="3.77734375" style="106" customWidth="1"/>
    <col min="7938" max="7938" width="6.44140625" style="106" customWidth="1"/>
    <col min="7939" max="7939" width="7.44140625" style="106" customWidth="1"/>
    <col min="7940" max="7940" width="10.33203125" style="106" customWidth="1"/>
    <col min="7941" max="7941" width="12.33203125" style="106" customWidth="1"/>
    <col min="7942" max="7942" width="35.77734375" style="106" customWidth="1"/>
    <col min="7943" max="7943" width="12" style="106" customWidth="1"/>
    <col min="7944" max="7946" width="13" style="106" customWidth="1"/>
    <col min="7947" max="7947" width="10.88671875" style="106" customWidth="1"/>
    <col min="7948" max="7950" width="15.77734375" style="106" customWidth="1"/>
    <col min="7951" max="7951" width="12.5546875" style="106" customWidth="1"/>
    <col min="7952" max="7952" width="8.5546875" style="106" customWidth="1"/>
    <col min="7953" max="7953" width="11.109375" style="106" customWidth="1"/>
    <col min="7954" max="7954" width="11.6640625" style="106" customWidth="1"/>
    <col min="7955" max="7955" width="8.88671875" style="106" customWidth="1"/>
    <col min="7956" max="7956" width="9.88671875" style="106" customWidth="1"/>
    <col min="7957" max="7957" width="14.88671875" style="106" customWidth="1"/>
    <col min="7958" max="7958" width="14.5546875" style="106" customWidth="1"/>
    <col min="7959" max="7959" width="16.109375" style="106" customWidth="1"/>
    <col min="7960" max="7964" width="12.88671875" style="106" customWidth="1"/>
    <col min="7965" max="8192" width="8.88671875" style="106"/>
    <col min="8193" max="8193" width="3.77734375" style="106" customWidth="1"/>
    <col min="8194" max="8194" width="6.44140625" style="106" customWidth="1"/>
    <col min="8195" max="8195" width="7.44140625" style="106" customWidth="1"/>
    <col min="8196" max="8196" width="10.33203125" style="106" customWidth="1"/>
    <col min="8197" max="8197" width="12.33203125" style="106" customWidth="1"/>
    <col min="8198" max="8198" width="35.77734375" style="106" customWidth="1"/>
    <col min="8199" max="8199" width="12" style="106" customWidth="1"/>
    <col min="8200" max="8202" width="13" style="106" customWidth="1"/>
    <col min="8203" max="8203" width="10.88671875" style="106" customWidth="1"/>
    <col min="8204" max="8206" width="15.77734375" style="106" customWidth="1"/>
    <col min="8207" max="8207" width="12.5546875" style="106" customWidth="1"/>
    <col min="8208" max="8208" width="8.5546875" style="106" customWidth="1"/>
    <col min="8209" max="8209" width="11.109375" style="106" customWidth="1"/>
    <col min="8210" max="8210" width="11.6640625" style="106" customWidth="1"/>
    <col min="8211" max="8211" width="8.88671875" style="106" customWidth="1"/>
    <col min="8212" max="8212" width="9.88671875" style="106" customWidth="1"/>
    <col min="8213" max="8213" width="14.88671875" style="106" customWidth="1"/>
    <col min="8214" max="8214" width="14.5546875" style="106" customWidth="1"/>
    <col min="8215" max="8215" width="16.109375" style="106" customWidth="1"/>
    <col min="8216" max="8220" width="12.88671875" style="106" customWidth="1"/>
    <col min="8221" max="8448" width="8.88671875" style="106"/>
    <col min="8449" max="8449" width="3.77734375" style="106" customWidth="1"/>
    <col min="8450" max="8450" width="6.44140625" style="106" customWidth="1"/>
    <col min="8451" max="8451" width="7.44140625" style="106" customWidth="1"/>
    <col min="8452" max="8452" width="10.33203125" style="106" customWidth="1"/>
    <col min="8453" max="8453" width="12.33203125" style="106" customWidth="1"/>
    <col min="8454" max="8454" width="35.77734375" style="106" customWidth="1"/>
    <col min="8455" max="8455" width="12" style="106" customWidth="1"/>
    <col min="8456" max="8458" width="13" style="106" customWidth="1"/>
    <col min="8459" max="8459" width="10.88671875" style="106" customWidth="1"/>
    <col min="8460" max="8462" width="15.77734375" style="106" customWidth="1"/>
    <col min="8463" max="8463" width="12.5546875" style="106" customWidth="1"/>
    <col min="8464" max="8464" width="8.5546875" style="106" customWidth="1"/>
    <col min="8465" max="8465" width="11.109375" style="106" customWidth="1"/>
    <col min="8466" max="8466" width="11.6640625" style="106" customWidth="1"/>
    <col min="8467" max="8467" width="8.88671875" style="106" customWidth="1"/>
    <col min="8468" max="8468" width="9.88671875" style="106" customWidth="1"/>
    <col min="8469" max="8469" width="14.88671875" style="106" customWidth="1"/>
    <col min="8470" max="8470" width="14.5546875" style="106" customWidth="1"/>
    <col min="8471" max="8471" width="16.109375" style="106" customWidth="1"/>
    <col min="8472" max="8476" width="12.88671875" style="106" customWidth="1"/>
    <col min="8477" max="8704" width="8.88671875" style="106"/>
    <col min="8705" max="8705" width="3.77734375" style="106" customWidth="1"/>
    <col min="8706" max="8706" width="6.44140625" style="106" customWidth="1"/>
    <col min="8707" max="8707" width="7.44140625" style="106" customWidth="1"/>
    <col min="8708" max="8708" width="10.33203125" style="106" customWidth="1"/>
    <col min="8709" max="8709" width="12.33203125" style="106" customWidth="1"/>
    <col min="8710" max="8710" width="35.77734375" style="106" customWidth="1"/>
    <col min="8711" max="8711" width="12" style="106" customWidth="1"/>
    <col min="8712" max="8714" width="13" style="106" customWidth="1"/>
    <col min="8715" max="8715" width="10.88671875" style="106" customWidth="1"/>
    <col min="8716" max="8718" width="15.77734375" style="106" customWidth="1"/>
    <col min="8719" max="8719" width="12.5546875" style="106" customWidth="1"/>
    <col min="8720" max="8720" width="8.5546875" style="106" customWidth="1"/>
    <col min="8721" max="8721" width="11.109375" style="106" customWidth="1"/>
    <col min="8722" max="8722" width="11.6640625" style="106" customWidth="1"/>
    <col min="8723" max="8723" width="8.88671875" style="106" customWidth="1"/>
    <col min="8724" max="8724" width="9.88671875" style="106" customWidth="1"/>
    <col min="8725" max="8725" width="14.88671875" style="106" customWidth="1"/>
    <col min="8726" max="8726" width="14.5546875" style="106" customWidth="1"/>
    <col min="8727" max="8727" width="16.109375" style="106" customWidth="1"/>
    <col min="8728" max="8732" width="12.88671875" style="106" customWidth="1"/>
    <col min="8733" max="8960" width="8.88671875" style="106"/>
    <col min="8961" max="8961" width="3.77734375" style="106" customWidth="1"/>
    <col min="8962" max="8962" width="6.44140625" style="106" customWidth="1"/>
    <col min="8963" max="8963" width="7.44140625" style="106" customWidth="1"/>
    <col min="8964" max="8964" width="10.33203125" style="106" customWidth="1"/>
    <col min="8965" max="8965" width="12.33203125" style="106" customWidth="1"/>
    <col min="8966" max="8966" width="35.77734375" style="106" customWidth="1"/>
    <col min="8967" max="8967" width="12" style="106" customWidth="1"/>
    <col min="8968" max="8970" width="13" style="106" customWidth="1"/>
    <col min="8971" max="8971" width="10.88671875" style="106" customWidth="1"/>
    <col min="8972" max="8974" width="15.77734375" style="106" customWidth="1"/>
    <col min="8975" max="8975" width="12.5546875" style="106" customWidth="1"/>
    <col min="8976" max="8976" width="8.5546875" style="106" customWidth="1"/>
    <col min="8977" max="8977" width="11.109375" style="106" customWidth="1"/>
    <col min="8978" max="8978" width="11.6640625" style="106" customWidth="1"/>
    <col min="8979" max="8979" width="8.88671875" style="106" customWidth="1"/>
    <col min="8980" max="8980" width="9.88671875" style="106" customWidth="1"/>
    <col min="8981" max="8981" width="14.88671875" style="106" customWidth="1"/>
    <col min="8982" max="8982" width="14.5546875" style="106" customWidth="1"/>
    <col min="8983" max="8983" width="16.109375" style="106" customWidth="1"/>
    <col min="8984" max="8988" width="12.88671875" style="106" customWidth="1"/>
    <col min="8989" max="9216" width="8.88671875" style="106"/>
    <col min="9217" max="9217" width="3.77734375" style="106" customWidth="1"/>
    <col min="9218" max="9218" width="6.44140625" style="106" customWidth="1"/>
    <col min="9219" max="9219" width="7.44140625" style="106" customWidth="1"/>
    <col min="9220" max="9220" width="10.33203125" style="106" customWidth="1"/>
    <col min="9221" max="9221" width="12.33203125" style="106" customWidth="1"/>
    <col min="9222" max="9222" width="35.77734375" style="106" customWidth="1"/>
    <col min="9223" max="9223" width="12" style="106" customWidth="1"/>
    <col min="9224" max="9226" width="13" style="106" customWidth="1"/>
    <col min="9227" max="9227" width="10.88671875" style="106" customWidth="1"/>
    <col min="9228" max="9230" width="15.77734375" style="106" customWidth="1"/>
    <col min="9231" max="9231" width="12.5546875" style="106" customWidth="1"/>
    <col min="9232" max="9232" width="8.5546875" style="106" customWidth="1"/>
    <col min="9233" max="9233" width="11.109375" style="106" customWidth="1"/>
    <col min="9234" max="9234" width="11.6640625" style="106" customWidth="1"/>
    <col min="9235" max="9235" width="8.88671875" style="106" customWidth="1"/>
    <col min="9236" max="9236" width="9.88671875" style="106" customWidth="1"/>
    <col min="9237" max="9237" width="14.88671875" style="106" customWidth="1"/>
    <col min="9238" max="9238" width="14.5546875" style="106" customWidth="1"/>
    <col min="9239" max="9239" width="16.109375" style="106" customWidth="1"/>
    <col min="9240" max="9244" width="12.88671875" style="106" customWidth="1"/>
    <col min="9245" max="9472" width="8.88671875" style="106"/>
    <col min="9473" max="9473" width="3.77734375" style="106" customWidth="1"/>
    <col min="9474" max="9474" width="6.44140625" style="106" customWidth="1"/>
    <col min="9475" max="9475" width="7.44140625" style="106" customWidth="1"/>
    <col min="9476" max="9476" width="10.33203125" style="106" customWidth="1"/>
    <col min="9477" max="9477" width="12.33203125" style="106" customWidth="1"/>
    <col min="9478" max="9478" width="35.77734375" style="106" customWidth="1"/>
    <col min="9479" max="9479" width="12" style="106" customWidth="1"/>
    <col min="9480" max="9482" width="13" style="106" customWidth="1"/>
    <col min="9483" max="9483" width="10.88671875" style="106" customWidth="1"/>
    <col min="9484" max="9486" width="15.77734375" style="106" customWidth="1"/>
    <col min="9487" max="9487" width="12.5546875" style="106" customWidth="1"/>
    <col min="9488" max="9488" width="8.5546875" style="106" customWidth="1"/>
    <col min="9489" max="9489" width="11.109375" style="106" customWidth="1"/>
    <col min="9490" max="9490" width="11.6640625" style="106" customWidth="1"/>
    <col min="9491" max="9491" width="8.88671875" style="106" customWidth="1"/>
    <col min="9492" max="9492" width="9.88671875" style="106" customWidth="1"/>
    <col min="9493" max="9493" width="14.88671875" style="106" customWidth="1"/>
    <col min="9494" max="9494" width="14.5546875" style="106" customWidth="1"/>
    <col min="9495" max="9495" width="16.109375" style="106" customWidth="1"/>
    <col min="9496" max="9500" width="12.88671875" style="106" customWidth="1"/>
    <col min="9501" max="9728" width="8.88671875" style="106"/>
    <col min="9729" max="9729" width="3.77734375" style="106" customWidth="1"/>
    <col min="9730" max="9730" width="6.44140625" style="106" customWidth="1"/>
    <col min="9731" max="9731" width="7.44140625" style="106" customWidth="1"/>
    <col min="9732" max="9732" width="10.33203125" style="106" customWidth="1"/>
    <col min="9733" max="9733" width="12.33203125" style="106" customWidth="1"/>
    <col min="9734" max="9734" width="35.77734375" style="106" customWidth="1"/>
    <col min="9735" max="9735" width="12" style="106" customWidth="1"/>
    <col min="9736" max="9738" width="13" style="106" customWidth="1"/>
    <col min="9739" max="9739" width="10.88671875" style="106" customWidth="1"/>
    <col min="9740" max="9742" width="15.77734375" style="106" customWidth="1"/>
    <col min="9743" max="9743" width="12.5546875" style="106" customWidth="1"/>
    <col min="9744" max="9744" width="8.5546875" style="106" customWidth="1"/>
    <col min="9745" max="9745" width="11.109375" style="106" customWidth="1"/>
    <col min="9746" max="9746" width="11.6640625" style="106" customWidth="1"/>
    <col min="9747" max="9747" width="8.88671875" style="106" customWidth="1"/>
    <col min="9748" max="9748" width="9.88671875" style="106" customWidth="1"/>
    <col min="9749" max="9749" width="14.88671875" style="106" customWidth="1"/>
    <col min="9750" max="9750" width="14.5546875" style="106" customWidth="1"/>
    <col min="9751" max="9751" width="16.109375" style="106" customWidth="1"/>
    <col min="9752" max="9756" width="12.88671875" style="106" customWidth="1"/>
    <col min="9757" max="9984" width="8.88671875" style="106"/>
    <col min="9985" max="9985" width="3.77734375" style="106" customWidth="1"/>
    <col min="9986" max="9986" width="6.44140625" style="106" customWidth="1"/>
    <col min="9987" max="9987" width="7.44140625" style="106" customWidth="1"/>
    <col min="9988" max="9988" width="10.33203125" style="106" customWidth="1"/>
    <col min="9989" max="9989" width="12.33203125" style="106" customWidth="1"/>
    <col min="9990" max="9990" width="35.77734375" style="106" customWidth="1"/>
    <col min="9991" max="9991" width="12" style="106" customWidth="1"/>
    <col min="9992" max="9994" width="13" style="106" customWidth="1"/>
    <col min="9995" max="9995" width="10.88671875" style="106" customWidth="1"/>
    <col min="9996" max="9998" width="15.77734375" style="106" customWidth="1"/>
    <col min="9999" max="9999" width="12.5546875" style="106" customWidth="1"/>
    <col min="10000" max="10000" width="8.5546875" style="106" customWidth="1"/>
    <col min="10001" max="10001" width="11.109375" style="106" customWidth="1"/>
    <col min="10002" max="10002" width="11.6640625" style="106" customWidth="1"/>
    <col min="10003" max="10003" width="8.88671875" style="106" customWidth="1"/>
    <col min="10004" max="10004" width="9.88671875" style="106" customWidth="1"/>
    <col min="10005" max="10005" width="14.88671875" style="106" customWidth="1"/>
    <col min="10006" max="10006" width="14.5546875" style="106" customWidth="1"/>
    <col min="10007" max="10007" width="16.109375" style="106" customWidth="1"/>
    <col min="10008" max="10012" width="12.88671875" style="106" customWidth="1"/>
    <col min="10013" max="10240" width="8.88671875" style="106"/>
    <col min="10241" max="10241" width="3.77734375" style="106" customWidth="1"/>
    <col min="10242" max="10242" width="6.44140625" style="106" customWidth="1"/>
    <col min="10243" max="10243" width="7.44140625" style="106" customWidth="1"/>
    <col min="10244" max="10244" width="10.33203125" style="106" customWidth="1"/>
    <col min="10245" max="10245" width="12.33203125" style="106" customWidth="1"/>
    <col min="10246" max="10246" width="35.77734375" style="106" customWidth="1"/>
    <col min="10247" max="10247" width="12" style="106" customWidth="1"/>
    <col min="10248" max="10250" width="13" style="106" customWidth="1"/>
    <col min="10251" max="10251" width="10.88671875" style="106" customWidth="1"/>
    <col min="10252" max="10254" width="15.77734375" style="106" customWidth="1"/>
    <col min="10255" max="10255" width="12.5546875" style="106" customWidth="1"/>
    <col min="10256" max="10256" width="8.5546875" style="106" customWidth="1"/>
    <col min="10257" max="10257" width="11.109375" style="106" customWidth="1"/>
    <col min="10258" max="10258" width="11.6640625" style="106" customWidth="1"/>
    <col min="10259" max="10259" width="8.88671875" style="106" customWidth="1"/>
    <col min="10260" max="10260" width="9.88671875" style="106" customWidth="1"/>
    <col min="10261" max="10261" width="14.88671875" style="106" customWidth="1"/>
    <col min="10262" max="10262" width="14.5546875" style="106" customWidth="1"/>
    <col min="10263" max="10263" width="16.109375" style="106" customWidth="1"/>
    <col min="10264" max="10268" width="12.88671875" style="106" customWidth="1"/>
    <col min="10269" max="10496" width="8.88671875" style="106"/>
    <col min="10497" max="10497" width="3.77734375" style="106" customWidth="1"/>
    <col min="10498" max="10498" width="6.44140625" style="106" customWidth="1"/>
    <col min="10499" max="10499" width="7.44140625" style="106" customWidth="1"/>
    <col min="10500" max="10500" width="10.33203125" style="106" customWidth="1"/>
    <col min="10501" max="10501" width="12.33203125" style="106" customWidth="1"/>
    <col min="10502" max="10502" width="35.77734375" style="106" customWidth="1"/>
    <col min="10503" max="10503" width="12" style="106" customWidth="1"/>
    <col min="10504" max="10506" width="13" style="106" customWidth="1"/>
    <col min="10507" max="10507" width="10.88671875" style="106" customWidth="1"/>
    <col min="10508" max="10510" width="15.77734375" style="106" customWidth="1"/>
    <col min="10511" max="10511" width="12.5546875" style="106" customWidth="1"/>
    <col min="10512" max="10512" width="8.5546875" style="106" customWidth="1"/>
    <col min="10513" max="10513" width="11.109375" style="106" customWidth="1"/>
    <col min="10514" max="10514" width="11.6640625" style="106" customWidth="1"/>
    <col min="10515" max="10515" width="8.88671875" style="106" customWidth="1"/>
    <col min="10516" max="10516" width="9.88671875" style="106" customWidth="1"/>
    <col min="10517" max="10517" width="14.88671875" style="106" customWidth="1"/>
    <col min="10518" max="10518" width="14.5546875" style="106" customWidth="1"/>
    <col min="10519" max="10519" width="16.109375" style="106" customWidth="1"/>
    <col min="10520" max="10524" width="12.88671875" style="106" customWidth="1"/>
    <col min="10525" max="10752" width="8.88671875" style="106"/>
    <col min="10753" max="10753" width="3.77734375" style="106" customWidth="1"/>
    <col min="10754" max="10754" width="6.44140625" style="106" customWidth="1"/>
    <col min="10755" max="10755" width="7.44140625" style="106" customWidth="1"/>
    <col min="10756" max="10756" width="10.33203125" style="106" customWidth="1"/>
    <col min="10757" max="10757" width="12.33203125" style="106" customWidth="1"/>
    <col min="10758" max="10758" width="35.77734375" style="106" customWidth="1"/>
    <col min="10759" max="10759" width="12" style="106" customWidth="1"/>
    <col min="10760" max="10762" width="13" style="106" customWidth="1"/>
    <col min="10763" max="10763" width="10.88671875" style="106" customWidth="1"/>
    <col min="10764" max="10766" width="15.77734375" style="106" customWidth="1"/>
    <col min="10767" max="10767" width="12.5546875" style="106" customWidth="1"/>
    <col min="10768" max="10768" width="8.5546875" style="106" customWidth="1"/>
    <col min="10769" max="10769" width="11.109375" style="106" customWidth="1"/>
    <col min="10770" max="10770" width="11.6640625" style="106" customWidth="1"/>
    <col min="10771" max="10771" width="8.88671875" style="106" customWidth="1"/>
    <col min="10772" max="10772" width="9.88671875" style="106" customWidth="1"/>
    <col min="10773" max="10773" width="14.88671875" style="106" customWidth="1"/>
    <col min="10774" max="10774" width="14.5546875" style="106" customWidth="1"/>
    <col min="10775" max="10775" width="16.109375" style="106" customWidth="1"/>
    <col min="10776" max="10780" width="12.88671875" style="106" customWidth="1"/>
    <col min="10781" max="11008" width="8.88671875" style="106"/>
    <col min="11009" max="11009" width="3.77734375" style="106" customWidth="1"/>
    <col min="11010" max="11010" width="6.44140625" style="106" customWidth="1"/>
    <col min="11011" max="11011" width="7.44140625" style="106" customWidth="1"/>
    <col min="11012" max="11012" width="10.33203125" style="106" customWidth="1"/>
    <col min="11013" max="11013" width="12.33203125" style="106" customWidth="1"/>
    <col min="11014" max="11014" width="35.77734375" style="106" customWidth="1"/>
    <col min="11015" max="11015" width="12" style="106" customWidth="1"/>
    <col min="11016" max="11018" width="13" style="106" customWidth="1"/>
    <col min="11019" max="11019" width="10.88671875" style="106" customWidth="1"/>
    <col min="11020" max="11022" width="15.77734375" style="106" customWidth="1"/>
    <col min="11023" max="11023" width="12.5546875" style="106" customWidth="1"/>
    <col min="11024" max="11024" width="8.5546875" style="106" customWidth="1"/>
    <col min="11025" max="11025" width="11.109375" style="106" customWidth="1"/>
    <col min="11026" max="11026" width="11.6640625" style="106" customWidth="1"/>
    <col min="11027" max="11027" width="8.88671875" style="106" customWidth="1"/>
    <col min="11028" max="11028" width="9.88671875" style="106" customWidth="1"/>
    <col min="11029" max="11029" width="14.88671875" style="106" customWidth="1"/>
    <col min="11030" max="11030" width="14.5546875" style="106" customWidth="1"/>
    <col min="11031" max="11031" width="16.109375" style="106" customWidth="1"/>
    <col min="11032" max="11036" width="12.88671875" style="106" customWidth="1"/>
    <col min="11037" max="11264" width="8.88671875" style="106"/>
    <col min="11265" max="11265" width="3.77734375" style="106" customWidth="1"/>
    <col min="11266" max="11266" width="6.44140625" style="106" customWidth="1"/>
    <col min="11267" max="11267" width="7.44140625" style="106" customWidth="1"/>
    <col min="11268" max="11268" width="10.33203125" style="106" customWidth="1"/>
    <col min="11269" max="11269" width="12.33203125" style="106" customWidth="1"/>
    <col min="11270" max="11270" width="35.77734375" style="106" customWidth="1"/>
    <col min="11271" max="11271" width="12" style="106" customWidth="1"/>
    <col min="11272" max="11274" width="13" style="106" customWidth="1"/>
    <col min="11275" max="11275" width="10.88671875" style="106" customWidth="1"/>
    <col min="11276" max="11278" width="15.77734375" style="106" customWidth="1"/>
    <col min="11279" max="11279" width="12.5546875" style="106" customWidth="1"/>
    <col min="11280" max="11280" width="8.5546875" style="106" customWidth="1"/>
    <col min="11281" max="11281" width="11.109375" style="106" customWidth="1"/>
    <col min="11282" max="11282" width="11.6640625" style="106" customWidth="1"/>
    <col min="11283" max="11283" width="8.88671875" style="106" customWidth="1"/>
    <col min="11284" max="11284" width="9.88671875" style="106" customWidth="1"/>
    <col min="11285" max="11285" width="14.88671875" style="106" customWidth="1"/>
    <col min="11286" max="11286" width="14.5546875" style="106" customWidth="1"/>
    <col min="11287" max="11287" width="16.109375" style="106" customWidth="1"/>
    <col min="11288" max="11292" width="12.88671875" style="106" customWidth="1"/>
    <col min="11293" max="11520" width="8.88671875" style="106"/>
    <col min="11521" max="11521" width="3.77734375" style="106" customWidth="1"/>
    <col min="11522" max="11522" width="6.44140625" style="106" customWidth="1"/>
    <col min="11523" max="11523" width="7.44140625" style="106" customWidth="1"/>
    <col min="11524" max="11524" width="10.33203125" style="106" customWidth="1"/>
    <col min="11525" max="11525" width="12.33203125" style="106" customWidth="1"/>
    <col min="11526" max="11526" width="35.77734375" style="106" customWidth="1"/>
    <col min="11527" max="11527" width="12" style="106" customWidth="1"/>
    <col min="11528" max="11530" width="13" style="106" customWidth="1"/>
    <col min="11531" max="11531" width="10.88671875" style="106" customWidth="1"/>
    <col min="11532" max="11534" width="15.77734375" style="106" customWidth="1"/>
    <col min="11535" max="11535" width="12.5546875" style="106" customWidth="1"/>
    <col min="11536" max="11536" width="8.5546875" style="106" customWidth="1"/>
    <col min="11537" max="11537" width="11.109375" style="106" customWidth="1"/>
    <col min="11538" max="11538" width="11.6640625" style="106" customWidth="1"/>
    <col min="11539" max="11539" width="8.88671875" style="106" customWidth="1"/>
    <col min="11540" max="11540" width="9.88671875" style="106" customWidth="1"/>
    <col min="11541" max="11541" width="14.88671875" style="106" customWidth="1"/>
    <col min="11542" max="11542" width="14.5546875" style="106" customWidth="1"/>
    <col min="11543" max="11543" width="16.109375" style="106" customWidth="1"/>
    <col min="11544" max="11548" width="12.88671875" style="106" customWidth="1"/>
    <col min="11549" max="11776" width="8.88671875" style="106"/>
    <col min="11777" max="11777" width="3.77734375" style="106" customWidth="1"/>
    <col min="11778" max="11778" width="6.44140625" style="106" customWidth="1"/>
    <col min="11779" max="11779" width="7.44140625" style="106" customWidth="1"/>
    <col min="11780" max="11780" width="10.33203125" style="106" customWidth="1"/>
    <col min="11781" max="11781" width="12.33203125" style="106" customWidth="1"/>
    <col min="11782" max="11782" width="35.77734375" style="106" customWidth="1"/>
    <col min="11783" max="11783" width="12" style="106" customWidth="1"/>
    <col min="11784" max="11786" width="13" style="106" customWidth="1"/>
    <col min="11787" max="11787" width="10.88671875" style="106" customWidth="1"/>
    <col min="11788" max="11790" width="15.77734375" style="106" customWidth="1"/>
    <col min="11791" max="11791" width="12.5546875" style="106" customWidth="1"/>
    <col min="11792" max="11792" width="8.5546875" style="106" customWidth="1"/>
    <col min="11793" max="11793" width="11.109375" style="106" customWidth="1"/>
    <col min="11794" max="11794" width="11.6640625" style="106" customWidth="1"/>
    <col min="11795" max="11795" width="8.88671875" style="106" customWidth="1"/>
    <col min="11796" max="11796" width="9.88671875" style="106" customWidth="1"/>
    <col min="11797" max="11797" width="14.88671875" style="106" customWidth="1"/>
    <col min="11798" max="11798" width="14.5546875" style="106" customWidth="1"/>
    <col min="11799" max="11799" width="16.109375" style="106" customWidth="1"/>
    <col min="11800" max="11804" width="12.88671875" style="106" customWidth="1"/>
    <col min="11805" max="12032" width="8.88671875" style="106"/>
    <col min="12033" max="12033" width="3.77734375" style="106" customWidth="1"/>
    <col min="12034" max="12034" width="6.44140625" style="106" customWidth="1"/>
    <col min="12035" max="12035" width="7.44140625" style="106" customWidth="1"/>
    <col min="12036" max="12036" width="10.33203125" style="106" customWidth="1"/>
    <col min="12037" max="12037" width="12.33203125" style="106" customWidth="1"/>
    <col min="12038" max="12038" width="35.77734375" style="106" customWidth="1"/>
    <col min="12039" max="12039" width="12" style="106" customWidth="1"/>
    <col min="12040" max="12042" width="13" style="106" customWidth="1"/>
    <col min="12043" max="12043" width="10.88671875" style="106" customWidth="1"/>
    <col min="12044" max="12046" width="15.77734375" style="106" customWidth="1"/>
    <col min="12047" max="12047" width="12.5546875" style="106" customWidth="1"/>
    <col min="12048" max="12048" width="8.5546875" style="106" customWidth="1"/>
    <col min="12049" max="12049" width="11.109375" style="106" customWidth="1"/>
    <col min="12050" max="12050" width="11.6640625" style="106" customWidth="1"/>
    <col min="12051" max="12051" width="8.88671875" style="106" customWidth="1"/>
    <col min="12052" max="12052" width="9.88671875" style="106" customWidth="1"/>
    <col min="12053" max="12053" width="14.88671875" style="106" customWidth="1"/>
    <col min="12054" max="12054" width="14.5546875" style="106" customWidth="1"/>
    <col min="12055" max="12055" width="16.109375" style="106" customWidth="1"/>
    <col min="12056" max="12060" width="12.88671875" style="106" customWidth="1"/>
    <col min="12061" max="12288" width="8.88671875" style="106"/>
    <col min="12289" max="12289" width="3.77734375" style="106" customWidth="1"/>
    <col min="12290" max="12290" width="6.44140625" style="106" customWidth="1"/>
    <col min="12291" max="12291" width="7.44140625" style="106" customWidth="1"/>
    <col min="12292" max="12292" width="10.33203125" style="106" customWidth="1"/>
    <col min="12293" max="12293" width="12.33203125" style="106" customWidth="1"/>
    <col min="12294" max="12294" width="35.77734375" style="106" customWidth="1"/>
    <col min="12295" max="12295" width="12" style="106" customWidth="1"/>
    <col min="12296" max="12298" width="13" style="106" customWidth="1"/>
    <col min="12299" max="12299" width="10.88671875" style="106" customWidth="1"/>
    <col min="12300" max="12302" width="15.77734375" style="106" customWidth="1"/>
    <col min="12303" max="12303" width="12.5546875" style="106" customWidth="1"/>
    <col min="12304" max="12304" width="8.5546875" style="106" customWidth="1"/>
    <col min="12305" max="12305" width="11.109375" style="106" customWidth="1"/>
    <col min="12306" max="12306" width="11.6640625" style="106" customWidth="1"/>
    <col min="12307" max="12307" width="8.88671875" style="106" customWidth="1"/>
    <col min="12308" max="12308" width="9.88671875" style="106" customWidth="1"/>
    <col min="12309" max="12309" width="14.88671875" style="106" customWidth="1"/>
    <col min="12310" max="12310" width="14.5546875" style="106" customWidth="1"/>
    <col min="12311" max="12311" width="16.109375" style="106" customWidth="1"/>
    <col min="12312" max="12316" width="12.88671875" style="106" customWidth="1"/>
    <col min="12317" max="12544" width="8.88671875" style="106"/>
    <col min="12545" max="12545" width="3.77734375" style="106" customWidth="1"/>
    <col min="12546" max="12546" width="6.44140625" style="106" customWidth="1"/>
    <col min="12547" max="12547" width="7.44140625" style="106" customWidth="1"/>
    <col min="12548" max="12548" width="10.33203125" style="106" customWidth="1"/>
    <col min="12549" max="12549" width="12.33203125" style="106" customWidth="1"/>
    <col min="12550" max="12550" width="35.77734375" style="106" customWidth="1"/>
    <col min="12551" max="12551" width="12" style="106" customWidth="1"/>
    <col min="12552" max="12554" width="13" style="106" customWidth="1"/>
    <col min="12555" max="12555" width="10.88671875" style="106" customWidth="1"/>
    <col min="12556" max="12558" width="15.77734375" style="106" customWidth="1"/>
    <col min="12559" max="12559" width="12.5546875" style="106" customWidth="1"/>
    <col min="12560" max="12560" width="8.5546875" style="106" customWidth="1"/>
    <col min="12561" max="12561" width="11.109375" style="106" customWidth="1"/>
    <col min="12562" max="12562" width="11.6640625" style="106" customWidth="1"/>
    <col min="12563" max="12563" width="8.88671875" style="106" customWidth="1"/>
    <col min="12564" max="12564" width="9.88671875" style="106" customWidth="1"/>
    <col min="12565" max="12565" width="14.88671875" style="106" customWidth="1"/>
    <col min="12566" max="12566" width="14.5546875" style="106" customWidth="1"/>
    <col min="12567" max="12567" width="16.109375" style="106" customWidth="1"/>
    <col min="12568" max="12572" width="12.88671875" style="106" customWidth="1"/>
    <col min="12573" max="12800" width="8.88671875" style="106"/>
    <col min="12801" max="12801" width="3.77734375" style="106" customWidth="1"/>
    <col min="12802" max="12802" width="6.44140625" style="106" customWidth="1"/>
    <col min="12803" max="12803" width="7.44140625" style="106" customWidth="1"/>
    <col min="12804" max="12804" width="10.33203125" style="106" customWidth="1"/>
    <col min="12805" max="12805" width="12.33203125" style="106" customWidth="1"/>
    <col min="12806" max="12806" width="35.77734375" style="106" customWidth="1"/>
    <col min="12807" max="12807" width="12" style="106" customWidth="1"/>
    <col min="12808" max="12810" width="13" style="106" customWidth="1"/>
    <col min="12811" max="12811" width="10.88671875" style="106" customWidth="1"/>
    <col min="12812" max="12814" width="15.77734375" style="106" customWidth="1"/>
    <col min="12815" max="12815" width="12.5546875" style="106" customWidth="1"/>
    <col min="12816" max="12816" width="8.5546875" style="106" customWidth="1"/>
    <col min="12817" max="12817" width="11.109375" style="106" customWidth="1"/>
    <col min="12818" max="12818" width="11.6640625" style="106" customWidth="1"/>
    <col min="12819" max="12819" width="8.88671875" style="106" customWidth="1"/>
    <col min="12820" max="12820" width="9.88671875" style="106" customWidth="1"/>
    <col min="12821" max="12821" width="14.88671875" style="106" customWidth="1"/>
    <col min="12822" max="12822" width="14.5546875" style="106" customWidth="1"/>
    <col min="12823" max="12823" width="16.109375" style="106" customWidth="1"/>
    <col min="12824" max="12828" width="12.88671875" style="106" customWidth="1"/>
    <col min="12829" max="13056" width="8.88671875" style="106"/>
    <col min="13057" max="13057" width="3.77734375" style="106" customWidth="1"/>
    <col min="13058" max="13058" width="6.44140625" style="106" customWidth="1"/>
    <col min="13059" max="13059" width="7.44140625" style="106" customWidth="1"/>
    <col min="13060" max="13060" width="10.33203125" style="106" customWidth="1"/>
    <col min="13061" max="13061" width="12.33203125" style="106" customWidth="1"/>
    <col min="13062" max="13062" width="35.77734375" style="106" customWidth="1"/>
    <col min="13063" max="13063" width="12" style="106" customWidth="1"/>
    <col min="13064" max="13066" width="13" style="106" customWidth="1"/>
    <col min="13067" max="13067" width="10.88671875" style="106" customWidth="1"/>
    <col min="13068" max="13070" width="15.77734375" style="106" customWidth="1"/>
    <col min="13071" max="13071" width="12.5546875" style="106" customWidth="1"/>
    <col min="13072" max="13072" width="8.5546875" style="106" customWidth="1"/>
    <col min="13073" max="13073" width="11.109375" style="106" customWidth="1"/>
    <col min="13074" max="13074" width="11.6640625" style="106" customWidth="1"/>
    <col min="13075" max="13075" width="8.88671875" style="106" customWidth="1"/>
    <col min="13076" max="13076" width="9.88671875" style="106" customWidth="1"/>
    <col min="13077" max="13077" width="14.88671875" style="106" customWidth="1"/>
    <col min="13078" max="13078" width="14.5546875" style="106" customWidth="1"/>
    <col min="13079" max="13079" width="16.109375" style="106" customWidth="1"/>
    <col min="13080" max="13084" width="12.88671875" style="106" customWidth="1"/>
    <col min="13085" max="13312" width="8.88671875" style="106"/>
    <col min="13313" max="13313" width="3.77734375" style="106" customWidth="1"/>
    <col min="13314" max="13314" width="6.44140625" style="106" customWidth="1"/>
    <col min="13315" max="13315" width="7.44140625" style="106" customWidth="1"/>
    <col min="13316" max="13316" width="10.33203125" style="106" customWidth="1"/>
    <col min="13317" max="13317" width="12.33203125" style="106" customWidth="1"/>
    <col min="13318" max="13318" width="35.77734375" style="106" customWidth="1"/>
    <col min="13319" max="13319" width="12" style="106" customWidth="1"/>
    <col min="13320" max="13322" width="13" style="106" customWidth="1"/>
    <col min="13323" max="13323" width="10.88671875" style="106" customWidth="1"/>
    <col min="13324" max="13326" width="15.77734375" style="106" customWidth="1"/>
    <col min="13327" max="13327" width="12.5546875" style="106" customWidth="1"/>
    <col min="13328" max="13328" width="8.5546875" style="106" customWidth="1"/>
    <col min="13329" max="13329" width="11.109375" style="106" customWidth="1"/>
    <col min="13330" max="13330" width="11.6640625" style="106" customWidth="1"/>
    <col min="13331" max="13331" width="8.88671875" style="106" customWidth="1"/>
    <col min="13332" max="13332" width="9.88671875" style="106" customWidth="1"/>
    <col min="13333" max="13333" width="14.88671875" style="106" customWidth="1"/>
    <col min="13334" max="13334" width="14.5546875" style="106" customWidth="1"/>
    <col min="13335" max="13335" width="16.109375" style="106" customWidth="1"/>
    <col min="13336" max="13340" width="12.88671875" style="106" customWidth="1"/>
    <col min="13341" max="13568" width="8.88671875" style="106"/>
    <col min="13569" max="13569" width="3.77734375" style="106" customWidth="1"/>
    <col min="13570" max="13570" width="6.44140625" style="106" customWidth="1"/>
    <col min="13571" max="13571" width="7.44140625" style="106" customWidth="1"/>
    <col min="13572" max="13572" width="10.33203125" style="106" customWidth="1"/>
    <col min="13573" max="13573" width="12.33203125" style="106" customWidth="1"/>
    <col min="13574" max="13574" width="35.77734375" style="106" customWidth="1"/>
    <col min="13575" max="13575" width="12" style="106" customWidth="1"/>
    <col min="13576" max="13578" width="13" style="106" customWidth="1"/>
    <col min="13579" max="13579" width="10.88671875" style="106" customWidth="1"/>
    <col min="13580" max="13582" width="15.77734375" style="106" customWidth="1"/>
    <col min="13583" max="13583" width="12.5546875" style="106" customWidth="1"/>
    <col min="13584" max="13584" width="8.5546875" style="106" customWidth="1"/>
    <col min="13585" max="13585" width="11.109375" style="106" customWidth="1"/>
    <col min="13586" max="13586" width="11.6640625" style="106" customWidth="1"/>
    <col min="13587" max="13587" width="8.88671875" style="106" customWidth="1"/>
    <col min="13588" max="13588" width="9.88671875" style="106" customWidth="1"/>
    <col min="13589" max="13589" width="14.88671875" style="106" customWidth="1"/>
    <col min="13590" max="13590" width="14.5546875" style="106" customWidth="1"/>
    <col min="13591" max="13591" width="16.109375" style="106" customWidth="1"/>
    <col min="13592" max="13596" width="12.88671875" style="106" customWidth="1"/>
    <col min="13597" max="13824" width="8.88671875" style="106"/>
    <col min="13825" max="13825" width="3.77734375" style="106" customWidth="1"/>
    <col min="13826" max="13826" width="6.44140625" style="106" customWidth="1"/>
    <col min="13827" max="13827" width="7.44140625" style="106" customWidth="1"/>
    <col min="13828" max="13828" width="10.33203125" style="106" customWidth="1"/>
    <col min="13829" max="13829" width="12.33203125" style="106" customWidth="1"/>
    <col min="13830" max="13830" width="35.77734375" style="106" customWidth="1"/>
    <col min="13831" max="13831" width="12" style="106" customWidth="1"/>
    <col min="13832" max="13834" width="13" style="106" customWidth="1"/>
    <col min="13835" max="13835" width="10.88671875" style="106" customWidth="1"/>
    <col min="13836" max="13838" width="15.77734375" style="106" customWidth="1"/>
    <col min="13839" max="13839" width="12.5546875" style="106" customWidth="1"/>
    <col min="13840" max="13840" width="8.5546875" style="106" customWidth="1"/>
    <col min="13841" max="13841" width="11.109375" style="106" customWidth="1"/>
    <col min="13842" max="13842" width="11.6640625" style="106" customWidth="1"/>
    <col min="13843" max="13843" width="8.88671875" style="106" customWidth="1"/>
    <col min="13844" max="13844" width="9.88671875" style="106" customWidth="1"/>
    <col min="13845" max="13845" width="14.88671875" style="106" customWidth="1"/>
    <col min="13846" max="13846" width="14.5546875" style="106" customWidth="1"/>
    <col min="13847" max="13847" width="16.109375" style="106" customWidth="1"/>
    <col min="13848" max="13852" width="12.88671875" style="106" customWidth="1"/>
    <col min="13853" max="14080" width="8.88671875" style="106"/>
    <col min="14081" max="14081" width="3.77734375" style="106" customWidth="1"/>
    <col min="14082" max="14082" width="6.44140625" style="106" customWidth="1"/>
    <col min="14083" max="14083" width="7.44140625" style="106" customWidth="1"/>
    <col min="14084" max="14084" width="10.33203125" style="106" customWidth="1"/>
    <col min="14085" max="14085" width="12.33203125" style="106" customWidth="1"/>
    <col min="14086" max="14086" width="35.77734375" style="106" customWidth="1"/>
    <col min="14087" max="14087" width="12" style="106" customWidth="1"/>
    <col min="14088" max="14090" width="13" style="106" customWidth="1"/>
    <col min="14091" max="14091" width="10.88671875" style="106" customWidth="1"/>
    <col min="14092" max="14094" width="15.77734375" style="106" customWidth="1"/>
    <col min="14095" max="14095" width="12.5546875" style="106" customWidth="1"/>
    <col min="14096" max="14096" width="8.5546875" style="106" customWidth="1"/>
    <col min="14097" max="14097" width="11.109375" style="106" customWidth="1"/>
    <col min="14098" max="14098" width="11.6640625" style="106" customWidth="1"/>
    <col min="14099" max="14099" width="8.88671875" style="106" customWidth="1"/>
    <col min="14100" max="14100" width="9.88671875" style="106" customWidth="1"/>
    <col min="14101" max="14101" width="14.88671875" style="106" customWidth="1"/>
    <col min="14102" max="14102" width="14.5546875" style="106" customWidth="1"/>
    <col min="14103" max="14103" width="16.109375" style="106" customWidth="1"/>
    <col min="14104" max="14108" width="12.88671875" style="106" customWidth="1"/>
    <col min="14109" max="14336" width="8.88671875" style="106"/>
    <col min="14337" max="14337" width="3.77734375" style="106" customWidth="1"/>
    <col min="14338" max="14338" width="6.44140625" style="106" customWidth="1"/>
    <col min="14339" max="14339" width="7.44140625" style="106" customWidth="1"/>
    <col min="14340" max="14340" width="10.33203125" style="106" customWidth="1"/>
    <col min="14341" max="14341" width="12.33203125" style="106" customWidth="1"/>
    <col min="14342" max="14342" width="35.77734375" style="106" customWidth="1"/>
    <col min="14343" max="14343" width="12" style="106" customWidth="1"/>
    <col min="14344" max="14346" width="13" style="106" customWidth="1"/>
    <col min="14347" max="14347" width="10.88671875" style="106" customWidth="1"/>
    <col min="14348" max="14350" width="15.77734375" style="106" customWidth="1"/>
    <col min="14351" max="14351" width="12.5546875" style="106" customWidth="1"/>
    <col min="14352" max="14352" width="8.5546875" style="106" customWidth="1"/>
    <col min="14353" max="14353" width="11.109375" style="106" customWidth="1"/>
    <col min="14354" max="14354" width="11.6640625" style="106" customWidth="1"/>
    <col min="14355" max="14355" width="8.88671875" style="106" customWidth="1"/>
    <col min="14356" max="14356" width="9.88671875" style="106" customWidth="1"/>
    <col min="14357" max="14357" width="14.88671875" style="106" customWidth="1"/>
    <col min="14358" max="14358" width="14.5546875" style="106" customWidth="1"/>
    <col min="14359" max="14359" width="16.109375" style="106" customWidth="1"/>
    <col min="14360" max="14364" width="12.88671875" style="106" customWidth="1"/>
    <col min="14365" max="14592" width="8.88671875" style="106"/>
    <col min="14593" max="14593" width="3.77734375" style="106" customWidth="1"/>
    <col min="14594" max="14594" width="6.44140625" style="106" customWidth="1"/>
    <col min="14595" max="14595" width="7.44140625" style="106" customWidth="1"/>
    <col min="14596" max="14596" width="10.33203125" style="106" customWidth="1"/>
    <col min="14597" max="14597" width="12.33203125" style="106" customWidth="1"/>
    <col min="14598" max="14598" width="35.77734375" style="106" customWidth="1"/>
    <col min="14599" max="14599" width="12" style="106" customWidth="1"/>
    <col min="14600" max="14602" width="13" style="106" customWidth="1"/>
    <col min="14603" max="14603" width="10.88671875" style="106" customWidth="1"/>
    <col min="14604" max="14606" width="15.77734375" style="106" customWidth="1"/>
    <col min="14607" max="14607" width="12.5546875" style="106" customWidth="1"/>
    <col min="14608" max="14608" width="8.5546875" style="106" customWidth="1"/>
    <col min="14609" max="14609" width="11.109375" style="106" customWidth="1"/>
    <col min="14610" max="14610" width="11.6640625" style="106" customWidth="1"/>
    <col min="14611" max="14611" width="8.88671875" style="106" customWidth="1"/>
    <col min="14612" max="14612" width="9.88671875" style="106" customWidth="1"/>
    <col min="14613" max="14613" width="14.88671875" style="106" customWidth="1"/>
    <col min="14614" max="14614" width="14.5546875" style="106" customWidth="1"/>
    <col min="14615" max="14615" width="16.109375" style="106" customWidth="1"/>
    <col min="14616" max="14620" width="12.88671875" style="106" customWidth="1"/>
    <col min="14621" max="14848" width="8.88671875" style="106"/>
    <col min="14849" max="14849" width="3.77734375" style="106" customWidth="1"/>
    <col min="14850" max="14850" width="6.44140625" style="106" customWidth="1"/>
    <col min="14851" max="14851" width="7.44140625" style="106" customWidth="1"/>
    <col min="14852" max="14852" width="10.33203125" style="106" customWidth="1"/>
    <col min="14853" max="14853" width="12.33203125" style="106" customWidth="1"/>
    <col min="14854" max="14854" width="35.77734375" style="106" customWidth="1"/>
    <col min="14855" max="14855" width="12" style="106" customWidth="1"/>
    <col min="14856" max="14858" width="13" style="106" customWidth="1"/>
    <col min="14859" max="14859" width="10.88671875" style="106" customWidth="1"/>
    <col min="14860" max="14862" width="15.77734375" style="106" customWidth="1"/>
    <col min="14863" max="14863" width="12.5546875" style="106" customWidth="1"/>
    <col min="14864" max="14864" width="8.5546875" style="106" customWidth="1"/>
    <col min="14865" max="14865" width="11.109375" style="106" customWidth="1"/>
    <col min="14866" max="14866" width="11.6640625" style="106" customWidth="1"/>
    <col min="14867" max="14867" width="8.88671875" style="106" customWidth="1"/>
    <col min="14868" max="14868" width="9.88671875" style="106" customWidth="1"/>
    <col min="14869" max="14869" width="14.88671875" style="106" customWidth="1"/>
    <col min="14870" max="14870" width="14.5546875" style="106" customWidth="1"/>
    <col min="14871" max="14871" width="16.109375" style="106" customWidth="1"/>
    <col min="14872" max="14876" width="12.88671875" style="106" customWidth="1"/>
    <col min="14877" max="15104" width="8.88671875" style="106"/>
    <col min="15105" max="15105" width="3.77734375" style="106" customWidth="1"/>
    <col min="15106" max="15106" width="6.44140625" style="106" customWidth="1"/>
    <col min="15107" max="15107" width="7.44140625" style="106" customWidth="1"/>
    <col min="15108" max="15108" width="10.33203125" style="106" customWidth="1"/>
    <col min="15109" max="15109" width="12.33203125" style="106" customWidth="1"/>
    <col min="15110" max="15110" width="35.77734375" style="106" customWidth="1"/>
    <col min="15111" max="15111" width="12" style="106" customWidth="1"/>
    <col min="15112" max="15114" width="13" style="106" customWidth="1"/>
    <col min="15115" max="15115" width="10.88671875" style="106" customWidth="1"/>
    <col min="15116" max="15118" width="15.77734375" style="106" customWidth="1"/>
    <col min="15119" max="15119" width="12.5546875" style="106" customWidth="1"/>
    <col min="15120" max="15120" width="8.5546875" style="106" customWidth="1"/>
    <col min="15121" max="15121" width="11.109375" style="106" customWidth="1"/>
    <col min="15122" max="15122" width="11.6640625" style="106" customWidth="1"/>
    <col min="15123" max="15123" width="8.88671875" style="106" customWidth="1"/>
    <col min="15124" max="15124" width="9.88671875" style="106" customWidth="1"/>
    <col min="15125" max="15125" width="14.88671875" style="106" customWidth="1"/>
    <col min="15126" max="15126" width="14.5546875" style="106" customWidth="1"/>
    <col min="15127" max="15127" width="16.109375" style="106" customWidth="1"/>
    <col min="15128" max="15132" width="12.88671875" style="106" customWidth="1"/>
    <col min="15133" max="15360" width="8.88671875" style="106"/>
    <col min="15361" max="15361" width="3.77734375" style="106" customWidth="1"/>
    <col min="15362" max="15362" width="6.44140625" style="106" customWidth="1"/>
    <col min="15363" max="15363" width="7.44140625" style="106" customWidth="1"/>
    <col min="15364" max="15364" width="10.33203125" style="106" customWidth="1"/>
    <col min="15365" max="15365" width="12.33203125" style="106" customWidth="1"/>
    <col min="15366" max="15366" width="35.77734375" style="106" customWidth="1"/>
    <col min="15367" max="15367" width="12" style="106" customWidth="1"/>
    <col min="15368" max="15370" width="13" style="106" customWidth="1"/>
    <col min="15371" max="15371" width="10.88671875" style="106" customWidth="1"/>
    <col min="15372" max="15374" width="15.77734375" style="106" customWidth="1"/>
    <col min="15375" max="15375" width="12.5546875" style="106" customWidth="1"/>
    <col min="15376" max="15376" width="8.5546875" style="106" customWidth="1"/>
    <col min="15377" max="15377" width="11.109375" style="106" customWidth="1"/>
    <col min="15378" max="15378" width="11.6640625" style="106" customWidth="1"/>
    <col min="15379" max="15379" width="8.88671875" style="106" customWidth="1"/>
    <col min="15380" max="15380" width="9.88671875" style="106" customWidth="1"/>
    <col min="15381" max="15381" width="14.88671875" style="106" customWidth="1"/>
    <col min="15382" max="15382" width="14.5546875" style="106" customWidth="1"/>
    <col min="15383" max="15383" width="16.109375" style="106" customWidth="1"/>
    <col min="15384" max="15388" width="12.88671875" style="106" customWidth="1"/>
    <col min="15389" max="15616" width="8.88671875" style="106"/>
    <col min="15617" max="15617" width="3.77734375" style="106" customWidth="1"/>
    <col min="15618" max="15618" width="6.44140625" style="106" customWidth="1"/>
    <col min="15619" max="15619" width="7.44140625" style="106" customWidth="1"/>
    <col min="15620" max="15620" width="10.33203125" style="106" customWidth="1"/>
    <col min="15621" max="15621" width="12.33203125" style="106" customWidth="1"/>
    <col min="15622" max="15622" width="35.77734375" style="106" customWidth="1"/>
    <col min="15623" max="15623" width="12" style="106" customWidth="1"/>
    <col min="15624" max="15626" width="13" style="106" customWidth="1"/>
    <col min="15627" max="15627" width="10.88671875" style="106" customWidth="1"/>
    <col min="15628" max="15630" width="15.77734375" style="106" customWidth="1"/>
    <col min="15631" max="15631" width="12.5546875" style="106" customWidth="1"/>
    <col min="15632" max="15632" width="8.5546875" style="106" customWidth="1"/>
    <col min="15633" max="15633" width="11.109375" style="106" customWidth="1"/>
    <col min="15634" max="15634" width="11.6640625" style="106" customWidth="1"/>
    <col min="15635" max="15635" width="8.88671875" style="106" customWidth="1"/>
    <col min="15636" max="15636" width="9.88671875" style="106" customWidth="1"/>
    <col min="15637" max="15637" width="14.88671875" style="106" customWidth="1"/>
    <col min="15638" max="15638" width="14.5546875" style="106" customWidth="1"/>
    <col min="15639" max="15639" width="16.109375" style="106" customWidth="1"/>
    <col min="15640" max="15644" width="12.88671875" style="106" customWidth="1"/>
    <col min="15645" max="15872" width="8.88671875" style="106"/>
    <col min="15873" max="15873" width="3.77734375" style="106" customWidth="1"/>
    <col min="15874" max="15874" width="6.44140625" style="106" customWidth="1"/>
    <col min="15875" max="15875" width="7.44140625" style="106" customWidth="1"/>
    <col min="15876" max="15876" width="10.33203125" style="106" customWidth="1"/>
    <col min="15877" max="15877" width="12.33203125" style="106" customWidth="1"/>
    <col min="15878" max="15878" width="35.77734375" style="106" customWidth="1"/>
    <col min="15879" max="15879" width="12" style="106" customWidth="1"/>
    <col min="15880" max="15882" width="13" style="106" customWidth="1"/>
    <col min="15883" max="15883" width="10.88671875" style="106" customWidth="1"/>
    <col min="15884" max="15886" width="15.77734375" style="106" customWidth="1"/>
    <col min="15887" max="15887" width="12.5546875" style="106" customWidth="1"/>
    <col min="15888" max="15888" width="8.5546875" style="106" customWidth="1"/>
    <col min="15889" max="15889" width="11.109375" style="106" customWidth="1"/>
    <col min="15890" max="15890" width="11.6640625" style="106" customWidth="1"/>
    <col min="15891" max="15891" width="8.88671875" style="106" customWidth="1"/>
    <col min="15892" max="15892" width="9.88671875" style="106" customWidth="1"/>
    <col min="15893" max="15893" width="14.88671875" style="106" customWidth="1"/>
    <col min="15894" max="15894" width="14.5546875" style="106" customWidth="1"/>
    <col min="15895" max="15895" width="16.109375" style="106" customWidth="1"/>
    <col min="15896" max="15900" width="12.88671875" style="106" customWidth="1"/>
    <col min="15901" max="16128" width="8.88671875" style="106"/>
    <col min="16129" max="16129" width="3.77734375" style="106" customWidth="1"/>
    <col min="16130" max="16130" width="6.44140625" style="106" customWidth="1"/>
    <col min="16131" max="16131" width="7.44140625" style="106" customWidth="1"/>
    <col min="16132" max="16132" width="10.33203125" style="106" customWidth="1"/>
    <col min="16133" max="16133" width="12.33203125" style="106" customWidth="1"/>
    <col min="16134" max="16134" width="35.77734375" style="106" customWidth="1"/>
    <col min="16135" max="16135" width="12" style="106" customWidth="1"/>
    <col min="16136" max="16138" width="13" style="106" customWidth="1"/>
    <col min="16139" max="16139" width="10.88671875" style="106" customWidth="1"/>
    <col min="16140" max="16142" width="15.77734375" style="106" customWidth="1"/>
    <col min="16143" max="16143" width="12.5546875" style="106" customWidth="1"/>
    <col min="16144" max="16144" width="8.5546875" style="106" customWidth="1"/>
    <col min="16145" max="16145" width="11.109375" style="106" customWidth="1"/>
    <col min="16146" max="16146" width="11.6640625" style="106" customWidth="1"/>
    <col min="16147" max="16147" width="8.88671875" style="106" customWidth="1"/>
    <col min="16148" max="16148" width="9.88671875" style="106" customWidth="1"/>
    <col min="16149" max="16149" width="14.88671875" style="106" customWidth="1"/>
    <col min="16150" max="16150" width="14.5546875" style="106" customWidth="1"/>
    <col min="16151" max="16151" width="16.109375" style="106" customWidth="1"/>
    <col min="16152" max="16156" width="12.88671875" style="106" customWidth="1"/>
    <col min="16157" max="16384" width="8.88671875" style="106"/>
  </cols>
  <sheetData>
    <row r="1" spans="1:244" ht="18.75" thickBot="1">
      <c r="A1" s="106"/>
      <c r="B1" s="103"/>
      <c r="C1" s="103"/>
      <c r="D1" s="103"/>
      <c r="E1" s="103"/>
      <c r="F1" s="103"/>
      <c r="G1" s="103"/>
      <c r="H1" s="103"/>
      <c r="I1" s="103"/>
      <c r="J1" s="103"/>
      <c r="K1" s="104"/>
      <c r="L1" s="103"/>
      <c r="M1" s="103"/>
      <c r="N1" s="103"/>
      <c r="O1" s="105"/>
      <c r="P1" s="103"/>
      <c r="Q1" s="103"/>
    </row>
    <row r="2" spans="1:244" ht="17.25" thickBot="1">
      <c r="A2" s="106"/>
      <c r="B2" s="231" t="s">
        <v>42</v>
      </c>
      <c r="C2" s="233" t="s">
        <v>43</v>
      </c>
      <c r="D2" s="229" t="s">
        <v>44</v>
      </c>
      <c r="E2" s="229" t="s">
        <v>45</v>
      </c>
      <c r="F2" s="229" t="s">
        <v>46</v>
      </c>
      <c r="G2" s="229" t="s">
        <v>47</v>
      </c>
      <c r="H2" s="229" t="s">
        <v>48</v>
      </c>
      <c r="I2" s="229" t="s">
        <v>49</v>
      </c>
      <c r="J2" s="229" t="s">
        <v>50</v>
      </c>
      <c r="K2" s="229" t="s">
        <v>51</v>
      </c>
      <c r="L2" s="250" t="s">
        <v>52</v>
      </c>
      <c r="M2" s="229" t="s">
        <v>53</v>
      </c>
      <c r="N2" s="242" t="s">
        <v>54</v>
      </c>
      <c r="O2" s="244" t="s">
        <v>55</v>
      </c>
      <c r="P2" s="231" t="s">
        <v>56</v>
      </c>
      <c r="Q2" s="231" t="s">
        <v>57</v>
      </c>
      <c r="R2" s="246" t="s">
        <v>58</v>
      </c>
      <c r="S2" s="248" t="s">
        <v>59</v>
      </c>
      <c r="T2" s="236" t="s">
        <v>60</v>
      </c>
      <c r="U2" s="110"/>
      <c r="V2" s="144"/>
      <c r="W2" s="213" t="s">
        <v>61</v>
      </c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4"/>
    </row>
    <row r="3" spans="1:244" ht="17.25" thickBot="1">
      <c r="A3" s="106"/>
      <c r="B3" s="232"/>
      <c r="C3" s="234"/>
      <c r="D3" s="235"/>
      <c r="E3" s="235"/>
      <c r="F3" s="235"/>
      <c r="G3" s="230"/>
      <c r="H3" s="235"/>
      <c r="I3" s="230"/>
      <c r="J3" s="235"/>
      <c r="K3" s="235"/>
      <c r="L3" s="251"/>
      <c r="M3" s="230"/>
      <c r="N3" s="243"/>
      <c r="O3" s="245"/>
      <c r="P3" s="232"/>
      <c r="Q3" s="232"/>
      <c r="R3" s="247"/>
      <c r="S3" s="249"/>
      <c r="T3" s="237"/>
      <c r="U3" s="112" t="s">
        <v>34</v>
      </c>
      <c r="V3" s="113" t="s">
        <v>37</v>
      </c>
      <c r="W3" s="114" t="s">
        <v>64</v>
      </c>
      <c r="X3" s="212">
        <v>1</v>
      </c>
      <c r="Y3" s="115">
        <v>2</v>
      </c>
      <c r="Z3" s="115">
        <v>3</v>
      </c>
      <c r="AA3" s="115">
        <v>4</v>
      </c>
      <c r="AB3" s="115">
        <v>5</v>
      </c>
      <c r="AC3" s="115">
        <v>6</v>
      </c>
      <c r="AD3" s="115">
        <v>7</v>
      </c>
      <c r="AE3" s="115">
        <v>8</v>
      </c>
      <c r="AF3" s="115">
        <v>9</v>
      </c>
      <c r="AG3" s="115">
        <v>10</v>
      </c>
      <c r="AH3" s="115">
        <v>11</v>
      </c>
      <c r="AI3" s="115">
        <v>12</v>
      </c>
      <c r="AJ3" s="115">
        <v>1</v>
      </c>
      <c r="AK3" s="115">
        <v>2</v>
      </c>
      <c r="AL3" s="115">
        <v>3</v>
      </c>
      <c r="AM3" s="115">
        <v>4</v>
      </c>
      <c r="AN3" s="115">
        <v>5</v>
      </c>
      <c r="AO3" s="115">
        <v>6</v>
      </c>
      <c r="AP3" s="116" t="s">
        <v>65</v>
      </c>
    </row>
    <row r="4" spans="1:244" s="117" customFormat="1">
      <c r="B4" s="146"/>
      <c r="C4" s="147"/>
      <c r="D4" s="148"/>
      <c r="E4" s="148"/>
      <c r="F4" s="148"/>
      <c r="G4" s="149"/>
      <c r="H4" s="149"/>
      <c r="I4" s="149"/>
      <c r="J4" s="150"/>
      <c r="K4" s="151"/>
      <c r="L4" s="152"/>
      <c r="M4" s="153"/>
      <c r="N4" s="154"/>
      <c r="O4" s="155"/>
      <c r="P4" s="156"/>
      <c r="Q4" s="157"/>
      <c r="R4" s="158"/>
      <c r="S4" s="159"/>
      <c r="T4" s="160"/>
      <c r="U4" s="161"/>
      <c r="V4" s="160"/>
      <c r="W4" s="162"/>
      <c r="X4" s="163"/>
      <c r="Y4" s="164"/>
      <c r="Z4" s="164"/>
      <c r="AA4" s="165"/>
      <c r="AB4" s="164"/>
      <c r="AC4" s="164"/>
      <c r="AD4" s="164"/>
      <c r="AE4" s="165"/>
      <c r="AF4" s="164"/>
      <c r="AG4" s="164"/>
      <c r="AH4" s="164"/>
      <c r="AI4" s="165"/>
      <c r="AJ4" s="164"/>
      <c r="AK4" s="164"/>
      <c r="AL4" s="164"/>
      <c r="AM4" s="165"/>
      <c r="AN4" s="164"/>
      <c r="AO4" s="165"/>
      <c r="AP4" s="166"/>
    </row>
    <row r="5" spans="1:244" s="118" customFormat="1">
      <c r="B5" s="167"/>
      <c r="C5" s="168"/>
      <c r="D5" s="169"/>
      <c r="E5" s="169"/>
      <c r="F5" s="169"/>
      <c r="G5" s="170"/>
      <c r="H5" s="170"/>
      <c r="I5" s="170"/>
      <c r="J5" s="171"/>
      <c r="K5" s="172"/>
      <c r="L5" s="173"/>
      <c r="M5" s="174"/>
      <c r="N5" s="175"/>
      <c r="O5" s="176"/>
      <c r="P5" s="177"/>
      <c r="Q5" s="178"/>
      <c r="R5" s="179"/>
      <c r="S5" s="180"/>
      <c r="T5" s="181"/>
      <c r="U5" s="182"/>
      <c r="V5" s="181"/>
      <c r="W5" s="183"/>
      <c r="X5" s="184"/>
      <c r="Y5" s="185"/>
      <c r="Z5" s="186"/>
      <c r="AA5" s="186"/>
      <c r="AB5" s="186"/>
      <c r="AC5" s="185"/>
      <c r="AD5" s="186"/>
      <c r="AE5" s="186"/>
      <c r="AF5" s="186"/>
      <c r="AG5" s="185"/>
      <c r="AH5" s="186"/>
      <c r="AI5" s="186"/>
      <c r="AJ5" s="186"/>
      <c r="AK5" s="185"/>
      <c r="AL5" s="186"/>
      <c r="AM5" s="186"/>
      <c r="AN5" s="186"/>
      <c r="AO5" s="186"/>
      <c r="AP5" s="187"/>
    </row>
    <row r="6" spans="1:244" s="118" customFormat="1" ht="15" thickBot="1">
      <c r="B6" s="167"/>
      <c r="C6" s="168"/>
      <c r="D6" s="169"/>
      <c r="E6" s="169"/>
      <c r="F6" s="169"/>
      <c r="G6" s="170"/>
      <c r="H6" s="170"/>
      <c r="I6" s="170"/>
      <c r="J6" s="171"/>
      <c r="K6" s="172"/>
      <c r="L6" s="173"/>
      <c r="M6" s="174"/>
      <c r="N6" s="175"/>
      <c r="O6" s="176"/>
      <c r="P6" s="177"/>
      <c r="Q6" s="178"/>
      <c r="R6" s="188"/>
      <c r="S6" s="180"/>
      <c r="T6" s="181"/>
      <c r="U6" s="182"/>
      <c r="V6" s="181"/>
      <c r="W6" s="183"/>
      <c r="X6" s="189"/>
      <c r="Y6" s="185"/>
      <c r="Z6" s="185"/>
      <c r="AA6" s="186"/>
      <c r="AB6" s="185"/>
      <c r="AC6" s="185"/>
      <c r="AD6" s="185"/>
      <c r="AE6" s="186"/>
      <c r="AF6" s="185"/>
      <c r="AG6" s="185"/>
      <c r="AH6" s="185"/>
      <c r="AI6" s="186"/>
      <c r="AJ6" s="185"/>
      <c r="AK6" s="185"/>
      <c r="AL6" s="185"/>
      <c r="AM6" s="186"/>
      <c r="AN6" s="185"/>
      <c r="AO6" s="186"/>
      <c r="AP6" s="187"/>
    </row>
    <row r="7" spans="1:244" ht="15" thickBot="1">
      <c r="A7" s="106"/>
      <c r="B7" s="119"/>
      <c r="C7" s="120"/>
      <c r="D7" s="121"/>
      <c r="E7" s="121"/>
      <c r="F7" s="121"/>
      <c r="G7" s="121"/>
      <c r="H7" s="122">
        <f>SUM(H4:H6)</f>
        <v>0</v>
      </c>
      <c r="I7" s="122"/>
      <c r="J7" s="122"/>
      <c r="K7" s="123"/>
      <c r="L7" s="124">
        <f>SUM(L4:L6)</f>
        <v>0</v>
      </c>
      <c r="M7" s="124">
        <f>SUM(M4:M6)</f>
        <v>0</v>
      </c>
      <c r="N7" s="124"/>
      <c r="O7" s="125"/>
      <c r="P7" s="126"/>
      <c r="Q7" s="126"/>
      <c r="R7" s="124"/>
      <c r="S7" s="124"/>
      <c r="T7" s="124"/>
      <c r="U7" s="127">
        <f t="shared" ref="U7:AP7" si="0">SUM(U4:U6)</f>
        <v>0</v>
      </c>
      <c r="V7" s="127">
        <f t="shared" si="0"/>
        <v>0</v>
      </c>
      <c r="W7" s="127">
        <f t="shared" si="0"/>
        <v>0</v>
      </c>
      <c r="X7" s="127">
        <f>SUM(X4:X6)</f>
        <v>0</v>
      </c>
      <c r="Y7" s="127">
        <f t="shared" ref="Y7:AJ7" si="1">SUM(Y4:Y6)</f>
        <v>0</v>
      </c>
      <c r="Z7" s="127">
        <f t="shared" si="1"/>
        <v>0</v>
      </c>
      <c r="AA7" s="127">
        <f t="shared" si="1"/>
        <v>0</v>
      </c>
      <c r="AB7" s="127">
        <f t="shared" si="1"/>
        <v>0</v>
      </c>
      <c r="AC7" s="127">
        <f t="shared" si="1"/>
        <v>0</v>
      </c>
      <c r="AD7" s="127">
        <f t="shared" si="1"/>
        <v>0</v>
      </c>
      <c r="AE7" s="127">
        <f t="shared" si="1"/>
        <v>0</v>
      </c>
      <c r="AF7" s="127">
        <f t="shared" si="1"/>
        <v>0</v>
      </c>
      <c r="AG7" s="127">
        <f t="shared" si="1"/>
        <v>0</v>
      </c>
      <c r="AH7" s="127">
        <f t="shared" si="1"/>
        <v>0</v>
      </c>
      <c r="AI7" s="127">
        <f t="shared" si="1"/>
        <v>0</v>
      </c>
      <c r="AJ7" s="127">
        <f t="shared" si="1"/>
        <v>0</v>
      </c>
      <c r="AK7" s="127">
        <f t="shared" si="0"/>
        <v>0</v>
      </c>
      <c r="AL7" s="127">
        <f t="shared" si="0"/>
        <v>0</v>
      </c>
      <c r="AM7" s="127">
        <f t="shared" si="0"/>
        <v>0</v>
      </c>
      <c r="AN7" s="127">
        <f t="shared" si="0"/>
        <v>0</v>
      </c>
      <c r="AO7" s="127">
        <f t="shared" si="0"/>
        <v>0</v>
      </c>
      <c r="AP7" s="127">
        <f t="shared" si="0"/>
        <v>0</v>
      </c>
    </row>
    <row r="8" spans="1:244" ht="15" thickBot="1">
      <c r="A8" s="106"/>
      <c r="T8" s="130"/>
      <c r="U8" s="203">
        <f>SUM(U7:AP7)</f>
        <v>0</v>
      </c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5"/>
    </row>
    <row r="9" spans="1:244" ht="15" thickBot="1">
      <c r="A9" s="106"/>
      <c r="B9" s="145"/>
      <c r="C9" s="145"/>
      <c r="D9" s="145"/>
      <c r="E9" s="145"/>
      <c r="U9" s="106"/>
      <c r="V9" s="106"/>
      <c r="W9" s="106"/>
    </row>
    <row r="10" spans="1:244" ht="18" thickBot="1">
      <c r="A10" s="106"/>
      <c r="B10" s="131"/>
      <c r="C10" s="132"/>
      <c r="D10" s="133"/>
      <c r="E10" s="134"/>
      <c r="F10" s="84" t="s">
        <v>35</v>
      </c>
      <c r="G10" s="238" t="s">
        <v>72</v>
      </c>
      <c r="H10" s="239"/>
      <c r="I10" s="240"/>
      <c r="J10" s="241"/>
      <c r="K10" s="85"/>
      <c r="L10" s="107"/>
      <c r="M10" s="107"/>
      <c r="N10" s="106"/>
      <c r="O10" s="106"/>
      <c r="Q10" s="106"/>
      <c r="T10" s="106"/>
      <c r="U10" s="106"/>
      <c r="V10" s="106"/>
      <c r="W10" s="106"/>
    </row>
    <row r="11" spans="1:244" ht="15" thickBot="1">
      <c r="A11" s="106"/>
      <c r="B11" s="132"/>
      <c r="C11" s="132"/>
      <c r="D11" s="133"/>
      <c r="E11" s="135"/>
      <c r="F11" s="86" t="s">
        <v>38</v>
      </c>
      <c r="G11" s="136" t="s">
        <v>39</v>
      </c>
      <c r="H11" s="137" t="s">
        <v>69</v>
      </c>
      <c r="I11" s="138" t="s">
        <v>70</v>
      </c>
      <c r="J11" s="139" t="s">
        <v>71</v>
      </c>
      <c r="K11" s="87" t="s">
        <v>40</v>
      </c>
      <c r="L11" s="107"/>
      <c r="M11" s="107"/>
      <c r="N11" s="106"/>
      <c r="O11" s="106"/>
      <c r="Q11" s="106"/>
      <c r="T11" s="106"/>
      <c r="U11" s="106"/>
      <c r="V11" s="106"/>
      <c r="W11" s="106"/>
    </row>
    <row r="12" spans="1:244">
      <c r="A12" s="106"/>
      <c r="B12" s="132"/>
      <c r="C12" s="132"/>
      <c r="D12" s="133"/>
      <c r="E12" s="135"/>
      <c r="F12" s="88"/>
      <c r="G12" s="89"/>
      <c r="H12" s="90"/>
      <c r="I12" s="140"/>
      <c r="J12" s="91"/>
      <c r="K12" s="92"/>
      <c r="L12" s="107"/>
      <c r="M12" s="107"/>
      <c r="N12" s="106"/>
      <c r="O12" s="106"/>
      <c r="Q12" s="106"/>
      <c r="T12" s="106"/>
      <c r="U12" s="106"/>
      <c r="V12" s="106"/>
      <c r="W12" s="106"/>
    </row>
    <row r="13" spans="1:244">
      <c r="A13" s="106"/>
      <c r="B13" s="132"/>
      <c r="C13" s="132"/>
      <c r="D13" s="133"/>
      <c r="E13" s="141"/>
      <c r="F13" s="93"/>
      <c r="G13" s="94"/>
      <c r="H13" s="95"/>
      <c r="I13" s="142"/>
      <c r="J13" s="96"/>
      <c r="K13" s="97"/>
      <c r="L13" s="107"/>
      <c r="M13" s="107"/>
      <c r="N13" s="106"/>
      <c r="O13" s="106"/>
      <c r="Q13" s="106"/>
      <c r="T13" s="106"/>
      <c r="U13" s="106"/>
      <c r="V13" s="106"/>
      <c r="W13" s="106"/>
    </row>
    <row r="14" spans="1:244">
      <c r="A14" s="106"/>
      <c r="B14" s="143"/>
      <c r="C14" s="143"/>
      <c r="D14" s="143"/>
      <c r="E14" s="143"/>
      <c r="F14" s="93"/>
      <c r="G14" s="94"/>
      <c r="H14" s="95"/>
      <c r="I14" s="142"/>
      <c r="J14" s="96"/>
      <c r="K14" s="97"/>
      <c r="L14" s="107"/>
      <c r="M14" s="107"/>
      <c r="N14" s="106"/>
      <c r="O14" s="106"/>
      <c r="Q14" s="106"/>
      <c r="T14" s="106"/>
      <c r="U14" s="106"/>
      <c r="V14" s="106"/>
      <c r="W14" s="106"/>
    </row>
    <row r="15" spans="1:244" s="107" customFormat="1" ht="15" thickBot="1">
      <c r="A15" s="117"/>
      <c r="B15" s="128"/>
      <c r="C15" s="128"/>
      <c r="D15" s="128"/>
      <c r="E15" s="128"/>
      <c r="F15" s="98" t="s">
        <v>41</v>
      </c>
      <c r="G15" s="99">
        <f>SUM(G12:G14)</f>
        <v>0</v>
      </c>
      <c r="H15" s="99">
        <f>SUM(H12:H14)</f>
        <v>0</v>
      </c>
      <c r="I15" s="99">
        <f>SUM(I12:I14)</f>
        <v>0</v>
      </c>
      <c r="J15" s="99">
        <f>SUM(J12:J14)</f>
        <v>0</v>
      </c>
      <c r="K15" s="100"/>
      <c r="N15" s="106"/>
      <c r="O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  <c r="CF15" s="106"/>
      <c r="CG15" s="106"/>
      <c r="CH15" s="106"/>
      <c r="CI15" s="106"/>
      <c r="CJ15" s="106"/>
      <c r="CK15" s="106"/>
      <c r="CL15" s="106"/>
      <c r="CM15" s="106"/>
      <c r="CN15" s="106"/>
      <c r="CO15" s="106"/>
      <c r="CP15" s="106"/>
      <c r="CQ15" s="106"/>
      <c r="CR15" s="106"/>
      <c r="CS15" s="106"/>
      <c r="CT15" s="106"/>
      <c r="CU15" s="106"/>
      <c r="CV15" s="106"/>
      <c r="CW15" s="106"/>
      <c r="CX15" s="106"/>
      <c r="CY15" s="106"/>
      <c r="CZ15" s="106"/>
      <c r="DA15" s="106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  <c r="DN15" s="106"/>
      <c r="DO15" s="106"/>
      <c r="DP15" s="106"/>
      <c r="DQ15" s="106"/>
      <c r="DR15" s="106"/>
      <c r="DS15" s="106"/>
      <c r="DT15" s="106"/>
      <c r="DU15" s="106"/>
      <c r="DV15" s="106"/>
      <c r="DW15" s="106"/>
      <c r="DX15" s="106"/>
      <c r="DY15" s="106"/>
      <c r="DZ15" s="106"/>
      <c r="EA15" s="106"/>
      <c r="EB15" s="106"/>
      <c r="EC15" s="106"/>
      <c r="ED15" s="106"/>
      <c r="EE15" s="106"/>
      <c r="EF15" s="106"/>
      <c r="EG15" s="106"/>
      <c r="EH15" s="106"/>
      <c r="EI15" s="106"/>
      <c r="EJ15" s="106"/>
      <c r="EK15" s="106"/>
      <c r="EL15" s="106"/>
      <c r="EM15" s="106"/>
      <c r="EN15" s="106"/>
      <c r="EO15" s="106"/>
      <c r="EP15" s="106"/>
      <c r="EQ15" s="106"/>
      <c r="ER15" s="106"/>
      <c r="ES15" s="106"/>
      <c r="ET15" s="106"/>
      <c r="EU15" s="106"/>
      <c r="EV15" s="106"/>
      <c r="EW15" s="106"/>
      <c r="EX15" s="106"/>
      <c r="EY15" s="106"/>
      <c r="EZ15" s="106"/>
      <c r="FA15" s="106"/>
      <c r="FB15" s="106"/>
      <c r="FC15" s="106"/>
      <c r="FD15" s="106"/>
      <c r="FE15" s="106"/>
      <c r="FF15" s="106"/>
      <c r="FG15" s="106"/>
      <c r="FH15" s="106"/>
      <c r="FI15" s="106"/>
      <c r="FJ15" s="106"/>
      <c r="FK15" s="106"/>
      <c r="FL15" s="106"/>
      <c r="FM15" s="106"/>
      <c r="FN15" s="106"/>
      <c r="FO15" s="106"/>
      <c r="FP15" s="106"/>
      <c r="FQ15" s="106"/>
      <c r="FR15" s="106"/>
      <c r="FS15" s="106"/>
      <c r="FT15" s="106"/>
      <c r="FU15" s="106"/>
      <c r="FV15" s="106"/>
      <c r="FW15" s="106"/>
      <c r="FX15" s="106"/>
      <c r="FY15" s="106"/>
      <c r="FZ15" s="106"/>
      <c r="GA15" s="106"/>
      <c r="GB15" s="106"/>
      <c r="GC15" s="106"/>
      <c r="GD15" s="106"/>
      <c r="GE15" s="106"/>
      <c r="GF15" s="106"/>
      <c r="GG15" s="106"/>
      <c r="GH15" s="106"/>
      <c r="GI15" s="106"/>
      <c r="GJ15" s="106"/>
      <c r="GK15" s="106"/>
      <c r="GL15" s="106"/>
      <c r="GM15" s="106"/>
      <c r="GN15" s="106"/>
      <c r="GO15" s="106"/>
      <c r="GP15" s="106"/>
      <c r="GQ15" s="106"/>
      <c r="GR15" s="106"/>
      <c r="GS15" s="106"/>
      <c r="GT15" s="106"/>
      <c r="GU15" s="106"/>
      <c r="GV15" s="106"/>
      <c r="GW15" s="106"/>
      <c r="GX15" s="106"/>
      <c r="GY15" s="106"/>
      <c r="GZ15" s="106"/>
      <c r="HA15" s="106"/>
      <c r="HB15" s="106"/>
      <c r="HC15" s="106"/>
      <c r="HD15" s="106"/>
      <c r="HE15" s="106"/>
      <c r="HF15" s="106"/>
      <c r="HG15" s="106"/>
      <c r="HH15" s="106"/>
      <c r="HI15" s="106"/>
      <c r="HJ15" s="106"/>
      <c r="HK15" s="106"/>
      <c r="HL15" s="106"/>
      <c r="HM15" s="106"/>
      <c r="HN15" s="106"/>
      <c r="HO15" s="106"/>
      <c r="HP15" s="106"/>
      <c r="HQ15" s="106"/>
      <c r="HR15" s="106"/>
      <c r="HS15" s="106"/>
      <c r="HT15" s="106"/>
      <c r="HU15" s="106"/>
      <c r="HV15" s="106"/>
      <c r="HW15" s="106"/>
      <c r="HX15" s="106"/>
      <c r="HY15" s="106"/>
      <c r="HZ15" s="106"/>
      <c r="IA15" s="106"/>
      <c r="IB15" s="106"/>
      <c r="IC15" s="106"/>
      <c r="ID15" s="106"/>
      <c r="IE15" s="106"/>
      <c r="IF15" s="106"/>
      <c r="IG15" s="106"/>
      <c r="IH15" s="106"/>
      <c r="II15" s="106"/>
      <c r="IJ15" s="106"/>
    </row>
    <row r="16" spans="1:244">
      <c r="U16" s="106"/>
      <c r="V16" s="106"/>
      <c r="W16" s="106"/>
    </row>
    <row r="17" spans="23:23">
      <c r="W17" s="106"/>
    </row>
  </sheetData>
  <mergeCells count="20">
    <mergeCell ref="B2:B3"/>
    <mergeCell ref="C2:C3"/>
    <mergeCell ref="D2:D3"/>
    <mergeCell ref="E2:E3"/>
    <mergeCell ref="F2:F3"/>
    <mergeCell ref="T2:T3"/>
    <mergeCell ref="G10:J10"/>
    <mergeCell ref="N2:N3"/>
    <mergeCell ref="O2:O3"/>
    <mergeCell ref="P2:P3"/>
    <mergeCell ref="Q2:Q3"/>
    <mergeCell ref="R2:R3"/>
    <mergeCell ref="S2:S3"/>
    <mergeCell ref="H2:H3"/>
    <mergeCell ref="I2:I3"/>
    <mergeCell ref="J2:J3"/>
    <mergeCell ref="K2:K3"/>
    <mergeCell ref="L2:L3"/>
    <mergeCell ref="M2:M3"/>
    <mergeCell ref="G2:G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SUM</vt:lpstr>
      <vt:lpstr>BVT 선적계획</vt:lpstr>
      <vt:lpstr>ETP 선적계획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2018-08-27T14:32:37Z</dcterms:created>
  <dcterms:modified xsi:type="dcterms:W3CDTF">2020-04-01T09:15:42Z</dcterms:modified>
</cp:coreProperties>
</file>