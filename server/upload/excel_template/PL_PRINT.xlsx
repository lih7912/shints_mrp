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TS.INVOICE" sheetId="1" state="visible" r:id="rId3"/>
    <sheet name="P" sheetId="2" state="visible" r:id="rId4"/>
    <sheet name="C.INV" sheetId="3" state="visible" r:id="rId5"/>
    <sheet name="BVT.INV" sheetId="4" state="visible" r:id="rId6"/>
    <sheet name="D.INV" sheetId="5" state="visible" r:id="rId7"/>
    <sheet name="PAC" sheetId="6" state="visible" r:id="rId8"/>
    <sheet name="D.PAC" sheetId="7" state="visible" r:id="rId9"/>
    <sheet name="SHINTS" sheetId="8" state="visible" r:id="rId10"/>
    <sheet name="V1" sheetId="9" state="visible" r:id="rId11"/>
  </sheets>
  <definedNames>
    <definedName function="false" hidden="false" localSheetId="0" name="_xlnm.Print_Area" vbProcedure="false">'STS.INVOICE'!$A$1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<sst xmlns="http://schemas.openxmlformats.org/spreadsheetml/2006/main" count="230" uniqueCount="104">
  <si>
    <t xml:space="preserve">PROFORMA INVOICE FOR SHINTS</t>
  </si>
  <si>
    <t xml:space="preserve">No</t>
  </si>
  <si>
    <t xml:space="preserve">HS_No</t>
  </si>
  <si>
    <t xml:space="preserve">Matl Name</t>
  </si>
  <si>
    <t xml:space="preserve">Unit Price</t>
  </si>
  <si>
    <t xml:space="preserve">Q'ty</t>
  </si>
  <si>
    <t xml:space="preserve">Unit</t>
  </si>
  <si>
    <t xml:space="preserve">Amount</t>
  </si>
  <si>
    <t xml:space="preserve">Country</t>
  </si>
  <si>
    <t xml:space="preserve">Weight</t>
  </si>
  <si>
    <t xml:space="preserve">Width</t>
  </si>
  <si>
    <t xml:space="preserve">Composition</t>
  </si>
  <si>
    <t xml:space="preserve">GRAND TOTAL :</t>
  </si>
  <si>
    <t xml:space="preserve">kg</t>
  </si>
  <si>
    <t xml:space="preserve">DETAIL PACKING LIST FOR </t>
  </si>
  <si>
    <t xml:space="preserve">Supplier</t>
  </si>
  <si>
    <t xml:space="preserve">DESCRIPTION</t>
  </si>
  <si>
    <t xml:space="preserve">COLOR</t>
  </si>
  <si>
    <t xml:space="preserve">SPEC</t>
  </si>
  <si>
    <t xml:space="preserve">UNIT</t>
  </si>
  <si>
    <t xml:space="preserve">IN-Q'TY</t>
  </si>
  <si>
    <t xml:space="preserve">C/T Q'ty</t>
  </si>
  <si>
    <t xml:space="preserve">C/T No.</t>
  </si>
  <si>
    <t xml:space="preserve">Remark</t>
  </si>
  <si>
    <t xml:space="preserve">TOTAL</t>
  </si>
  <si>
    <t xml:space="preserve">BALES</t>
  </si>
  <si>
    <t xml:space="preserve">COMMERCIAL INVOICE </t>
  </si>
  <si>
    <t xml:space="preserve">1) Shipper/ Exporter :</t>
  </si>
  <si>
    <t xml:space="preserve">8) No &amp; Date of Invoice</t>
  </si>
  <si>
    <t xml:space="preserve">Shin Textile Solutions Co., Ltd.</t>
  </si>
  <si>
    <t xml:space="preserve">801,E&amp;C Venture Dreamtower 2, 55, Digital-ro 33-gil,</t>
  </si>
  <si>
    <t xml:space="preserve">STB-A24-078</t>
  </si>
  <si>
    <t xml:space="preserve">Guro-gu, Seoul, Korea</t>
  </si>
  <si>
    <t xml:space="preserve">9) No &amp; Date L/C</t>
  </si>
  <si>
    <t xml:space="preserve">TEL :070-4659-3337 FAX :02-6330-2019</t>
  </si>
  <si>
    <t xml:space="preserve">2) Consignee :</t>
  </si>
  <si>
    <t xml:space="preserve"> </t>
  </si>
  <si>
    <t xml:space="preserve">10) L/C issuing bank</t>
  </si>
  <si>
    <t xml:space="preserve">11) Remarks:</t>
  </si>
  <si>
    <t xml:space="preserve">3) Notify party :</t>
  </si>
  <si>
    <t xml:space="preserve">THE SAME AS ABOVE</t>
  </si>
  <si>
    <t xml:space="preserve">4) Port of loading:</t>
  </si>
  <si>
    <r>
      <rPr>
        <b val="true"/>
        <sz val="8"/>
        <rFont val="돋움체"/>
        <family val="3"/>
        <charset val="129"/>
      </rPr>
      <t xml:space="preserve">5) </t>
    </r>
    <r>
      <rPr>
        <b val="true"/>
        <sz val="8"/>
        <rFont val="돋움체"/>
        <family val="3"/>
        <charset val="1"/>
      </rPr>
      <t xml:space="preserve">Port of discharge :</t>
    </r>
  </si>
  <si>
    <t xml:space="preserve">6) Carrier</t>
  </si>
  <si>
    <t xml:space="preserve">7) Sailing on/ or About </t>
  </si>
  <si>
    <t xml:space="preserve">12) Marks and Number of PKGS</t>
  </si>
  <si>
    <t xml:space="preserve">13) Description of Goods</t>
  </si>
  <si>
    <t xml:space="preserve">14) Quantity/Uint</t>
  </si>
  <si>
    <t xml:space="preserve">15) Unit/price</t>
  </si>
  <si>
    <t xml:space="preserve">16) Amount</t>
  </si>
  <si>
    <t xml:space="preserve">MATERIALS FOR GARMENT</t>
  </si>
  <si>
    <t xml:space="preserve">STYLE NO.:</t>
  </si>
  <si>
    <t xml:space="preserve">ITEM  :</t>
  </si>
  <si>
    <t xml:space="preserve">Q'TY  :</t>
  </si>
  <si>
    <t xml:space="preserve">C/T NO. :</t>
  </si>
  <si>
    <t xml:space="preserve"> TEL NO.  : 070-4006-3700~14, (DIR. 070-4006-3727)</t>
  </si>
  <si>
    <t xml:space="preserve"> FAX NO.  : (02)6330-2019</t>
  </si>
  <si>
    <t xml:space="preserve">17).Signed by :</t>
  </si>
  <si>
    <t xml:space="preserve">PROFORMA INVOICE FOR BVT</t>
  </si>
  <si>
    <t xml:space="preserve">HS Name</t>
  </si>
  <si>
    <t xml:space="preserve">PROFORMA INVOICE FOR PO24-0893KL</t>
  </si>
  <si>
    <t xml:space="preserve">No.</t>
  </si>
  <si>
    <t xml:space="preserve">ORDER No.</t>
  </si>
  <si>
    <t xml:space="preserve">STYLE</t>
  </si>
  <si>
    <t xml:space="preserve">QUANTITY</t>
  </si>
  <si>
    <t xml:space="preserve">DELIVERY</t>
  </si>
  <si>
    <t xml:space="preserve">PACKING LIST</t>
  </si>
  <si>
    <t xml:space="preserve">1) Shipper/ Exporter:</t>
  </si>
  <si>
    <t xml:space="preserve">9) Remarks:</t>
  </si>
  <si>
    <r>
      <rPr>
        <b val="true"/>
        <sz val="8"/>
        <rFont val="돋움체"/>
        <family val="3"/>
        <charset val="129"/>
      </rPr>
      <t xml:space="preserve">5) </t>
    </r>
    <r>
      <rPr>
        <b val="true"/>
        <sz val="8"/>
        <rFont val="돋움체"/>
        <family val="3"/>
        <charset val="1"/>
      </rPr>
      <t xml:space="preserve">Port of discharge</t>
    </r>
    <r>
      <rPr>
        <b val="true"/>
        <sz val="8"/>
        <rFont val="돋움체"/>
        <family val="3"/>
        <charset val="129"/>
      </rPr>
      <t xml:space="preserve">:</t>
    </r>
  </si>
  <si>
    <t xml:space="preserve">INCHEON, KOREA</t>
  </si>
  <si>
    <t xml:space="preserve">HANOI, VIETNAM</t>
  </si>
  <si>
    <t xml:space="preserve">10) Marks and Number of PKGS</t>
  </si>
  <si>
    <t xml:space="preserve">11) Description of Goods</t>
  </si>
  <si>
    <t xml:space="preserve">12) Quantity</t>
  </si>
  <si>
    <t xml:space="preserve">13) Net</t>
  </si>
  <si>
    <t xml:space="preserve">14) Gross</t>
  </si>
  <si>
    <t xml:space="preserve">15) Measurement</t>
  </si>
  <si>
    <t xml:space="preserve">TOTAL  :</t>
  </si>
  <si>
    <t xml:space="preserve"> TEL NO.  : (02)6330-2000~14, (DIR. 6330-2012)</t>
  </si>
  <si>
    <t xml:space="preserve">16).Signed by :</t>
  </si>
  <si>
    <t xml:space="preserve">COMMERCIAL INVOICE</t>
  </si>
  <si>
    <t xml:space="preserve">FREIGHT CHARGE :</t>
  </si>
  <si>
    <t xml:space="preserve">INSURANCE CHARGE :</t>
  </si>
  <si>
    <t xml:space="preserve">제조자 미상</t>
  </si>
  <si>
    <r>
      <rPr>
        <b val="true"/>
        <sz val="8"/>
        <rFont val="돋움체"/>
        <family val="3"/>
        <charset val="129"/>
      </rPr>
      <t xml:space="preserve">5) </t>
    </r>
    <r>
      <rPr>
        <b val="true"/>
        <sz val="8"/>
        <rFont val="돋움체"/>
        <family val="3"/>
        <charset val="1"/>
      </rPr>
      <t xml:space="preserve">Port of discharge </t>
    </r>
    <r>
      <rPr>
        <b val="true"/>
        <sz val="8"/>
        <rFont val="돋움체"/>
        <family val="3"/>
        <charset val="129"/>
      </rPr>
      <t xml:space="preserve">:</t>
    </r>
  </si>
  <si>
    <t xml:space="preserve">C/T :</t>
  </si>
  <si>
    <t xml:space="preserve">CT</t>
  </si>
  <si>
    <t xml:space="preserve">NET :</t>
  </si>
  <si>
    <t xml:space="preserve">KGS</t>
  </si>
  <si>
    <t xml:space="preserve">GRS :</t>
  </si>
  <si>
    <t xml:space="preserve">SHIN TEXTILE SOLUTIONS CO., LTD.</t>
  </si>
  <si>
    <t xml:space="preserve">801, E&amp;C VENTURE DREAMTOWER 2</t>
  </si>
  <si>
    <t xml:space="preserve">55, DIGITAL-RO 33-GIL, GURO-GU, SEOUL, KOREA</t>
  </si>
  <si>
    <t xml:space="preserve">TEL : 070-4659-3337 FAX : 82-2-6330-2019</t>
  </si>
  <si>
    <t xml:space="preserve">             -</t>
  </si>
  <si>
    <t xml:space="preserve">HAIPHONG, VIETNAM</t>
  </si>
  <si>
    <t xml:space="preserve">  ( CIF  HAIPHONG, VIETNAM ) </t>
  </si>
  <si>
    <t xml:space="preserve">Desc</t>
  </si>
  <si>
    <t xml:space="preserve">Price</t>
  </si>
  <si>
    <t xml:space="preserve">Total</t>
  </si>
  <si>
    <t xml:space="preserve">DESC/SPEC</t>
  </si>
  <si>
    <t xml:space="preserve">HS CODE</t>
  </si>
  <si>
    <t xml:space="preserve">OFFER SPEC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</si>
</sst>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.00"/>
    <numFmt numFmtId="166" formatCode="#,##0_ "/>
    <numFmt numFmtId="167" formatCode="\$#,##0.00_);[RED]&quot;($&quot;#,##0.00\)"/>
    <numFmt numFmtId="168" formatCode="_-* #,##0.0_-;\-* #,##0.0_-;_-* \-_-;_-@_-"/>
    <numFmt numFmtId="169" formatCode="0.00_ "/>
    <numFmt numFmtId="170" formatCode="\$#,##0.0000_);[RED]&quot;($&quot;#,##0.0000\)"/>
    <numFmt numFmtId="171" formatCode="0.0_ "/>
    <numFmt numFmtId="172" formatCode="@"/>
    <numFmt numFmtId="173" formatCode="_-* #,##0_-;\-* #,##0_-;_-* \-_-;_-@_-"/>
    <numFmt numFmtId="174" formatCode="d\-mmm\-yy;@"/>
    <numFmt numFmtId="175" formatCode="_-* #,##0.00_-;\-* #,##0.00_-;_-* \-_-;_-@_-"/>
    <numFmt numFmtId="176" formatCode="dd\-mmm\-yy"/>
    <numFmt numFmtId="177" formatCode="&quot;US$&quot;#,##0.00"/>
    <numFmt numFmtId="178" formatCode="mmm\-yy"/>
    <numFmt numFmtId="179" formatCode="0.000&quot;CBM&quot;"/>
    <numFmt numFmtId="180" formatCode="\$#,##0.00"/>
    <numFmt numFmtId="181" formatCode="&quot;US$&quot;#,##0.00_);[RED]&quot;(US$&quot;#,##0.00\)"/>
    <numFmt numFmtId="182" formatCode="yyyy\-mm\-dd"/>
    <numFmt numFmtId="183" formatCode="#,###&quot; CARTON&quot;"/>
    <numFmt numFmtId="184" formatCode="#,###.00&quot;KGS&quot;"/>
    <numFmt numFmtId="185" formatCode="#,##0.00_ "/>
  </numFmts>
  <fonts count="17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체"/>
      <family val="3"/>
      <charset val="129"/>
    </font>
    <font>
      <b val="true"/>
      <u val="single"/>
      <sz val="14"/>
      <name val="돋움"/>
      <family val="3"/>
      <charset val="129"/>
    </font>
    <font>
      <b val="true"/>
      <sz val="16"/>
      <name val="돋움체"/>
      <family val="3"/>
      <charset val="129"/>
    </font>
    <font>
      <sz val="16"/>
      <name val="돋움체"/>
      <family val="3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  <font>
      <b val="true"/>
      <sz val="10"/>
      <name val="돋움체"/>
      <family val="3"/>
      <charset val="129"/>
    </font>
    <font>
      <b val="true"/>
      <sz val="16"/>
      <name val="돋움"/>
      <family val="3"/>
      <charset val="129"/>
    </font>
    <font>
      <b val="true"/>
      <sz val="8"/>
      <name val="돋움체"/>
      <family val="3"/>
      <charset val="129"/>
    </font>
    <font>
      <sz val="9"/>
      <name val="돋움체"/>
      <family val="3"/>
      <charset val="129"/>
    </font>
    <font>
      <b val="true"/>
      <sz val="9"/>
      <name val="돋움체"/>
      <family val="3"/>
      <charset val="129"/>
    </font>
    <font>
      <b val="true"/>
      <sz val="8"/>
      <name val="돋움체"/>
      <family val="3"/>
      <charset val="1"/>
    </font>
    <font>
      <sz val="12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8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8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0" fontId="1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3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2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5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4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5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5" shrinkToFit="false"/>
      <protection locked="true" hidden="false"/>
    </xf>
    <xf numFmtId="177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7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0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0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38160</xdr:colOff>
      <xdr:row>35</xdr:row>
      <xdr:rowOff>166320</xdr:rowOff>
    </xdr:from>
    <xdr:to>
      <xdr:col>9</xdr:col>
      <xdr:colOff>969120</xdr:colOff>
      <xdr:row>41</xdr:row>
      <xdr:rowOff>11160</xdr:rowOff>
    </xdr:to>
    <xdr:pic>
      <xdr:nvPicPr>
        <xdr:cNvPr id="0" name="그림 2" descr=""/>
        <xdr:cNvPicPr/>
      </xdr:nvPicPr>
      <xdr:blipFill>
        <a:blip r:embed="rId1"/>
        <a:stretch/>
      </xdr:blipFill>
      <xdr:spPr>
        <a:xfrm>
          <a:off x="4755600" y="6893640"/>
          <a:ext cx="1911960" cy="987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38160</xdr:colOff>
      <xdr:row>46</xdr:row>
      <xdr:rowOff>166680</xdr:rowOff>
    </xdr:from>
    <xdr:to>
      <xdr:col>10</xdr:col>
      <xdr:colOff>207360</xdr:colOff>
      <xdr:row>52</xdr:row>
      <xdr:rowOff>11880</xdr:rowOff>
    </xdr:to>
    <xdr:pic>
      <xdr:nvPicPr>
        <xdr:cNvPr id="1" name="그림 2" descr=""/>
        <xdr:cNvPicPr/>
      </xdr:nvPicPr>
      <xdr:blipFill>
        <a:blip r:embed="rId1"/>
        <a:stretch/>
      </xdr:blipFill>
      <xdr:spPr>
        <a:xfrm>
          <a:off x="4704120" y="8989200"/>
          <a:ext cx="1839240" cy="9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38160</xdr:colOff>
      <xdr:row>37</xdr:row>
      <xdr:rowOff>166320</xdr:rowOff>
    </xdr:from>
    <xdr:to>
      <xdr:col>9</xdr:col>
      <xdr:colOff>969120</xdr:colOff>
      <xdr:row>43</xdr:row>
      <xdr:rowOff>11520</xdr:rowOff>
    </xdr:to>
    <xdr:pic>
      <xdr:nvPicPr>
        <xdr:cNvPr id="2" name="그림 1" descr=""/>
        <xdr:cNvPicPr/>
      </xdr:nvPicPr>
      <xdr:blipFill>
        <a:blip r:embed="rId1"/>
        <a:stretch/>
      </xdr:blipFill>
      <xdr:spPr>
        <a:xfrm>
          <a:off x="4755600" y="7274520"/>
          <a:ext cx="1911960" cy="988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4453125" defaultRowHeight="12.75" zeroHeight="false" outlineLevelRow="0" outlineLevelCol="0"/>
  <cols>
    <col collapsed="false" customWidth="true" hidden="false" outlineLevel="0" max="1" min="1" style="1" width="4.56"/>
    <col collapsed="false" customWidth="true" hidden="false" outlineLevel="0" max="2" min="2" style="1" width="15.11"/>
    <col collapsed="false" customWidth="true" hidden="false" outlineLevel="0" max="3" min="3" style="1" width="26.44"/>
    <col collapsed="false" customWidth="true" hidden="false" outlineLevel="0" max="4" min="4" style="1" width="7.78"/>
    <col collapsed="false" customWidth="true" hidden="false" outlineLevel="0" max="5" min="5" style="1" width="9.67"/>
    <col collapsed="false" customWidth="true" hidden="false" outlineLevel="0" max="6" min="6" style="1" width="4.11"/>
    <col collapsed="false" customWidth="true" hidden="false" outlineLevel="0" max="7" min="7" style="1" width="11.33"/>
    <col collapsed="false" customWidth="true" hidden="false" outlineLevel="0" max="9" min="8" style="1" width="9"/>
    <col collapsed="false" customWidth="true" hidden="false" outlineLevel="0" max="10" min="10" style="1" width="2.44"/>
    <col collapsed="false" customWidth="true" hidden="false" outlineLevel="0" max="11" min="11" style="1" width="7.9"/>
    <col collapsed="false" customWidth="true" hidden="false" outlineLevel="0" max="12" min="12" style="1" width="11.22"/>
  </cols>
  <sheetData>
    <row r="1" customFormat="false" ht="2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customFormat="false" ht="12" hidden="false" customHeight="true" outlineLevel="0" collapsed="false">
      <c r="A2" s="6"/>
      <c r="B2" s="6"/>
      <c r="C2" s="6"/>
      <c r="D2" s="6"/>
      <c r="E2" s="6"/>
      <c r="F2" s="6"/>
      <c r="G2" s="6"/>
      <c r="H2" s="7"/>
      <c r="I2" s="3"/>
      <c r="J2" s="3"/>
    </row>
    <row r="3" customFormat="false" ht="12" hidden="false" customHeight="true" outlineLevel="0" collapsed="false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customFormat="false" ht="12" hidden="false" customHeight="true" outlineLevel="0" collapsed="false">
      <c r="A4" s="11"/>
      <c r="B4" s="12"/>
      <c r="C4" s="12"/>
      <c r="D4" s="13"/>
      <c r="E4" s="14"/>
      <c r="F4" s="15"/>
      <c r="G4" s="13"/>
      <c r="H4" s="16"/>
      <c r="I4" s="17"/>
      <c r="J4" s="18"/>
    </row>
    <row r="5" customFormat="false" ht="12.75" hidden="false" customHeight="false" outlineLevel="0" collapsed="false">
      <c r="A5" s="19"/>
      <c r="B5" s="20" t="s">
        <v>12</v>
      </c>
      <c r="C5" s="20"/>
      <c r="D5" s="21"/>
      <c r="E5" s="22" t="n">
        <f aca="false">SUM(E4)</f>
        <v>0</v>
      </c>
      <c r="F5" s="23"/>
      <c r="G5" s="24" t="n">
        <f aca="false">SUM(G4)</f>
        <v>0</v>
      </c>
      <c r="H5" s="25"/>
      <c r="I5" s="26" t="n">
        <f aca="false">SUM(I4)</f>
        <v>0</v>
      </c>
      <c r="J5" s="18" t="s">
        <v>13</v>
      </c>
      <c r="K5" s="27"/>
    </row>
  </sheetData>
  <mergeCells count="1">
    <mergeCell ref="A1:I1"/>
  </mergeCells>
  <printOptions headings="false" gridLines="false" gridLinesSet="true" horizontalCentered="true" verticalCentered="false"/>
  <pageMargins left="0.159722222222222" right="0.159722222222222" top="0.709722222222222" bottom="0.430555555555556" header="0.511811023622047" footer="0.240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6" activeCellId="0" sqref="D46"/>
    </sheetView>
  </sheetViews>
  <sheetFormatPr defaultColWidth="8.66796875" defaultRowHeight="12.75" zeroHeight="false" outlineLevelRow="0" outlineLevelCol="0"/>
  <cols>
    <col collapsed="false" customWidth="true" hidden="false" outlineLevel="0" max="1" min="1" style="28" width="19.88"/>
    <col collapsed="false" customWidth="true" hidden="false" outlineLevel="0" max="2" min="2" style="28" width="30.44"/>
    <col collapsed="false" customWidth="true" hidden="false" outlineLevel="0" max="3" min="3" style="28" width="23.22"/>
    <col collapsed="false" customWidth="true" hidden="false" outlineLevel="0" max="4" min="4" style="28" width="28.44"/>
    <col collapsed="false" customWidth="true" hidden="false" outlineLevel="0" max="5" min="5" style="28" width="6.89"/>
    <col collapsed="false" customWidth="true" hidden="false" outlineLevel="0" max="6" min="6" style="28" width="8.56"/>
    <col collapsed="false" customWidth="true" hidden="false" outlineLevel="0" max="7" min="7" style="28" width="9.11"/>
    <col collapsed="false" customWidth="true" hidden="false" outlineLevel="0" max="8" min="8" style="28" width="11.11"/>
    <col collapsed="false" customWidth="true" hidden="false" outlineLevel="0" max="9" min="9" style="28" width="12.34"/>
  </cols>
  <sheetData>
    <row r="1" customFormat="false" ht="19.7" hidden="false" customHeight="false" outlineLevel="0" collapsed="false">
      <c r="A1" s="29" t="s">
        <v>14</v>
      </c>
      <c r="B1" s="29"/>
      <c r="C1" s="29"/>
      <c r="D1" s="29"/>
      <c r="E1" s="29"/>
      <c r="F1" s="29"/>
      <c r="G1" s="29"/>
      <c r="H1" s="29"/>
      <c r="I1" s="29"/>
    </row>
    <row r="3" customFormat="false" ht="15.65" hidden="false" customHeight="false" outlineLevel="0" collapsed="false">
      <c r="A3" s="30" t="s">
        <v>15</v>
      </c>
      <c r="B3" s="30" t="s">
        <v>16</v>
      </c>
      <c r="C3" s="31" t="s">
        <v>17</v>
      </c>
      <c r="D3" s="32" t="s">
        <v>18</v>
      </c>
      <c r="E3" s="31" t="s">
        <v>19</v>
      </c>
      <c r="F3" s="33" t="s">
        <v>20</v>
      </c>
      <c r="G3" s="33" t="s">
        <v>21</v>
      </c>
      <c r="H3" s="33" t="s">
        <v>22</v>
      </c>
      <c r="I3" s="33" t="s">
        <v>23</v>
      </c>
    </row>
    <row r="4" customFormat="false" ht="12.75" hidden="false" customHeight="false" outlineLevel="0" collapsed="false">
      <c r="A4" s="34"/>
      <c r="B4" s="34"/>
      <c r="C4" s="35"/>
      <c r="D4" s="36"/>
      <c r="E4" s="37"/>
      <c r="F4" s="38"/>
      <c r="G4" s="39"/>
      <c r="H4" s="40"/>
      <c r="I4" s="40"/>
    </row>
    <row r="5" customFormat="false" ht="12.75" hidden="false" customHeight="false" outlineLevel="0" collapsed="false">
      <c r="A5" s="41" t="s">
        <v>24</v>
      </c>
      <c r="B5" s="42" t="s">
        <v>25</v>
      </c>
      <c r="C5" s="43"/>
      <c r="D5" s="43"/>
      <c r="E5" s="43"/>
      <c r="F5" s="44" t="n">
        <f aca="false">SUM(F4)</f>
        <v>0</v>
      </c>
      <c r="G5" s="45" t="n">
        <f aca="false">SUM(G4)</f>
        <v>0</v>
      </c>
      <c r="H5" s="43"/>
      <c r="I5" s="43"/>
    </row>
  </sheetData>
  <mergeCells count="1">
    <mergeCell ref="A1:I1"/>
  </mergeCells>
  <printOptions headings="false" gridLines="false" gridLinesSet="true" horizontalCentered="true" verticalCentered="false"/>
  <pageMargins left="0.159722222222222" right="0.159722222222222" top="0.35" bottom="0.1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66796875" defaultRowHeight="12.75" zeroHeight="false" outlineLevelRow="0" outlineLevelCol="0"/>
  <cols>
    <col collapsed="false" customWidth="true" hidden="false" outlineLevel="0" max="4" min="1" style="1" width="7.78"/>
    <col collapsed="false" customWidth="true" hidden="false" outlineLevel="0" max="5" min="5" style="1" width="6.56"/>
    <col collapsed="false" customWidth="true" hidden="false" outlineLevel="0" max="6" min="6" style="1" width="7.78"/>
    <col collapsed="false" customWidth="true" hidden="false" outlineLevel="0" max="7" min="7" style="1" width="8"/>
    <col collapsed="false" customWidth="true" hidden="false" outlineLevel="0" max="8" min="8" style="1" width="7.44"/>
    <col collapsed="false" customWidth="true" hidden="false" outlineLevel="0" max="9" min="9" style="1" width="12.66"/>
    <col collapsed="false" customWidth="true" hidden="false" outlineLevel="0" max="10" min="10" style="1" width="14.78"/>
    <col collapsed="false" customWidth="true" hidden="false" outlineLevel="0" max="11" min="11" style="1" width="8.44"/>
  </cols>
  <sheetData>
    <row r="1" customFormat="false" ht="19.7" hidden="false" customHeight="false" outlineLevel="0" collapsed="false">
      <c r="A1" s="46" t="s">
        <v>26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15" hidden="false" customHeight="true" outlineLevel="0" collapsed="false">
      <c r="A2" s="47" t="s">
        <v>27</v>
      </c>
      <c r="B2" s="47"/>
      <c r="C2" s="47"/>
      <c r="F2" s="48"/>
      <c r="G2" s="49" t="s">
        <v>28</v>
      </c>
      <c r="H2" s="47"/>
      <c r="I2" s="47"/>
    </row>
    <row r="3" customFormat="false" ht="15" hidden="false" customHeight="true" outlineLevel="0" collapsed="false">
      <c r="A3" s="50" t="s">
        <v>29</v>
      </c>
      <c r="B3" s="50"/>
      <c r="C3" s="50"/>
      <c r="D3" s="50"/>
      <c r="E3" s="50"/>
      <c r="F3" s="48"/>
      <c r="G3" s="3"/>
      <c r="J3" s="3"/>
      <c r="K3" s="51"/>
    </row>
    <row r="4" customFormat="false" ht="15" hidden="false" customHeight="true" outlineLevel="0" collapsed="false">
      <c r="A4" s="1" t="s">
        <v>30</v>
      </c>
      <c r="F4" s="48"/>
      <c r="G4" s="52" t="s">
        <v>31</v>
      </c>
      <c r="J4" s="53"/>
      <c r="K4" s="53" t="n">
        <v>45633</v>
      </c>
    </row>
    <row r="5" customFormat="false" ht="15" hidden="false" customHeight="true" outlineLevel="0" collapsed="false">
      <c r="A5" s="1" t="s">
        <v>32</v>
      </c>
      <c r="F5" s="48"/>
      <c r="G5" s="49" t="s">
        <v>33</v>
      </c>
      <c r="H5" s="47"/>
      <c r="I5" s="54"/>
    </row>
    <row r="6" customFormat="false" ht="15" hidden="false" customHeight="true" outlineLevel="0" collapsed="false">
      <c r="A6" s="1" t="s">
        <v>34</v>
      </c>
      <c r="F6" s="48"/>
      <c r="G6" s="3"/>
      <c r="H6" s="3"/>
      <c r="I6" s="3"/>
      <c r="J6" s="3"/>
      <c r="K6" s="55"/>
    </row>
    <row r="7" customFormat="false" ht="15" hidden="false" customHeight="true" outlineLevel="0" collapsed="false">
      <c r="A7" s="47" t="s">
        <v>35</v>
      </c>
      <c r="B7" s="47"/>
      <c r="C7" s="54"/>
      <c r="D7" s="54"/>
      <c r="E7" s="54"/>
      <c r="F7" s="56"/>
      <c r="H7" s="50"/>
      <c r="I7" s="50"/>
      <c r="J7" s="57" t="s">
        <v>36</v>
      </c>
      <c r="K7" s="58"/>
    </row>
    <row r="8" customFormat="false" ht="15" hidden="false" customHeight="true" outlineLevel="0" collapsed="false">
      <c r="A8" s="50"/>
      <c r="B8" s="50"/>
      <c r="C8" s="50"/>
      <c r="F8" s="48"/>
      <c r="G8" s="49" t="s">
        <v>37</v>
      </c>
      <c r="H8" s="47"/>
      <c r="I8" s="47"/>
      <c r="J8" s="54"/>
      <c r="K8" s="59"/>
    </row>
    <row r="9" customFormat="false" ht="15" hidden="false" customHeight="true" outlineLevel="0" collapsed="false">
      <c r="F9" s="48"/>
      <c r="G9" s="1" t="s">
        <v>36</v>
      </c>
      <c r="K9" s="58"/>
    </row>
    <row r="10" customFormat="false" ht="15" hidden="false" customHeight="true" outlineLevel="0" collapsed="false">
      <c r="F10" s="48"/>
      <c r="G10" s="60" t="s">
        <v>36</v>
      </c>
      <c r="H10" s="60"/>
      <c r="I10" s="60"/>
      <c r="J10" s="60"/>
      <c r="K10" s="58"/>
    </row>
    <row r="11" customFormat="false" ht="15" hidden="false" customHeight="true" outlineLevel="0" collapsed="false">
      <c r="F11" s="48"/>
      <c r="G11" s="49" t="s">
        <v>38</v>
      </c>
      <c r="H11" s="47"/>
      <c r="K11" s="61"/>
    </row>
    <row r="12" customFormat="false" ht="15" hidden="false" customHeight="true" outlineLevel="0" collapsed="false">
      <c r="A12" s="60"/>
      <c r="B12" s="62"/>
      <c r="C12" s="60"/>
      <c r="D12" s="60"/>
      <c r="E12" s="60"/>
      <c r="F12" s="63"/>
      <c r="G12" s="28"/>
      <c r="K12" s="64"/>
    </row>
    <row r="13" customFormat="false" ht="15" hidden="false" customHeight="true" outlineLevel="0" collapsed="false">
      <c r="A13" s="65" t="s">
        <v>39</v>
      </c>
      <c r="F13" s="48"/>
      <c r="G13" s="28"/>
      <c r="I13" s="66"/>
      <c r="J13" s="67"/>
      <c r="K13" s="64"/>
    </row>
    <row r="14" customFormat="false" ht="15" hidden="false" customHeight="true" outlineLevel="0" collapsed="false">
      <c r="A14" s="68" t="s">
        <v>40</v>
      </c>
      <c r="B14" s="68"/>
      <c r="F14" s="48"/>
      <c r="I14" s="66"/>
      <c r="J14" s="67"/>
      <c r="K14" s="64"/>
    </row>
    <row r="15" customFormat="false" ht="15" hidden="false" customHeight="true" outlineLevel="0" collapsed="false">
      <c r="F15" s="48"/>
      <c r="H15" s="50"/>
      <c r="K15" s="64"/>
    </row>
    <row r="16" customFormat="false" ht="15" hidden="false" customHeight="true" outlineLevel="0" collapsed="false">
      <c r="A16" s="47" t="s">
        <v>41</v>
      </c>
      <c r="B16" s="47"/>
      <c r="C16" s="56"/>
      <c r="D16" s="47" t="s">
        <v>42</v>
      </c>
      <c r="E16" s="47"/>
      <c r="F16" s="69"/>
      <c r="G16" s="28"/>
      <c r="H16" s="66"/>
      <c r="I16" s="70"/>
      <c r="J16" s="50"/>
      <c r="K16" s="64"/>
    </row>
    <row r="17" customFormat="false" ht="15" hidden="false" customHeight="true" outlineLevel="0" collapsed="false">
      <c r="D17" s="71" t="s">
        <v>36</v>
      </c>
      <c r="E17" s="52"/>
      <c r="F17" s="48"/>
      <c r="H17" s="66"/>
      <c r="I17" s="70"/>
      <c r="J17" s="50"/>
      <c r="K17" s="64"/>
    </row>
    <row r="18" customFormat="false" ht="15" hidden="false" customHeight="true" outlineLevel="0" collapsed="false">
      <c r="A18" s="72"/>
      <c r="B18" s="72"/>
      <c r="C18" s="72"/>
      <c r="D18" s="73"/>
      <c r="E18" s="73"/>
      <c r="F18" s="73"/>
      <c r="H18" s="66"/>
      <c r="I18" s="70"/>
      <c r="J18" s="50"/>
      <c r="K18" s="64"/>
    </row>
    <row r="19" customFormat="false" ht="15" hidden="false" customHeight="true" outlineLevel="0" collapsed="false">
      <c r="A19" s="47" t="s">
        <v>43</v>
      </c>
      <c r="B19" s="47"/>
      <c r="C19" s="48"/>
      <c r="D19" s="47" t="s">
        <v>44</v>
      </c>
      <c r="E19" s="47"/>
      <c r="F19" s="69"/>
      <c r="K19" s="64"/>
    </row>
    <row r="20" customFormat="false" ht="15" hidden="false" customHeight="true" outlineLevel="0" collapsed="false">
      <c r="A20" s="1" t="s">
        <v>36</v>
      </c>
      <c r="C20" s="48"/>
      <c r="D20" s="1" t="s">
        <v>36</v>
      </c>
      <c r="F20" s="48"/>
      <c r="G20" s="1" t="s">
        <v>36</v>
      </c>
      <c r="K20" s="64"/>
    </row>
    <row r="21" customFormat="false" ht="15" hidden="false" customHeight="true" outlineLevel="0" collapsed="false">
      <c r="A21" s="74"/>
      <c r="B21" s="74"/>
      <c r="C21" s="74"/>
      <c r="D21" s="75"/>
      <c r="E21" s="75"/>
      <c r="F21" s="75"/>
      <c r="G21" s="60"/>
      <c r="H21" s="60"/>
      <c r="I21" s="60"/>
      <c r="J21" s="60"/>
      <c r="K21" s="76"/>
    </row>
    <row r="22" customFormat="false" ht="15" hidden="false" customHeight="true" outlineLevel="0" collapsed="false">
      <c r="A22" s="77" t="s">
        <v>45</v>
      </c>
      <c r="B22" s="77"/>
      <c r="C22" s="77"/>
      <c r="D22" s="78" t="s">
        <v>46</v>
      </c>
      <c r="E22" s="78"/>
      <c r="F22" s="78"/>
      <c r="G22" s="78" t="s">
        <v>47</v>
      </c>
      <c r="H22" s="78"/>
      <c r="I22" s="79" t="s">
        <v>48</v>
      </c>
      <c r="J22" s="80" t="s">
        <v>49</v>
      </c>
      <c r="K22" s="81"/>
    </row>
    <row r="23" customFormat="false" ht="15" hidden="false" customHeight="true" outlineLevel="0" collapsed="false">
      <c r="A23" s="1" t="s">
        <v>36</v>
      </c>
      <c r="C23" s="48"/>
      <c r="F23" s="48"/>
      <c r="H23" s="48"/>
      <c r="I23" s="48"/>
    </row>
    <row r="24" customFormat="false" ht="15" hidden="false" customHeight="true" outlineLevel="0" collapsed="false">
      <c r="A24" s="1" t="s">
        <v>36</v>
      </c>
      <c r="G24" s="82"/>
      <c r="H24" s="82"/>
      <c r="I24" s="82"/>
    </row>
    <row r="25" customFormat="false" ht="15" hidden="false" customHeight="true" outlineLevel="0" collapsed="false">
      <c r="A25" s="83"/>
      <c r="C25" s="3"/>
      <c r="F25" s="3"/>
      <c r="G25" s="3"/>
      <c r="H25" s="3"/>
      <c r="I25" s="3"/>
      <c r="J25" s="3"/>
      <c r="K25" s="84"/>
    </row>
    <row r="26" customFormat="false" ht="15" hidden="false" customHeight="true" outlineLevel="0" collapsed="false">
      <c r="A26" s="85"/>
      <c r="C26" s="3"/>
      <c r="F26" s="3"/>
      <c r="G26" s="3"/>
      <c r="H26" s="3"/>
      <c r="I26" s="3"/>
      <c r="J26" s="3"/>
      <c r="K26" s="86"/>
    </row>
    <row r="27" customFormat="false" ht="15" hidden="false" customHeight="true" outlineLevel="0" collapsed="false">
      <c r="A27" s="87"/>
      <c r="D27" s="50" t="s">
        <v>50</v>
      </c>
      <c r="E27" s="50"/>
      <c r="F27" s="50"/>
      <c r="K27" s="86"/>
    </row>
    <row r="28" customFormat="false" ht="15" hidden="false" customHeight="true" outlineLevel="0" collapsed="false">
      <c r="A28" s="87" t="s">
        <v>51</v>
      </c>
      <c r="K28" s="86"/>
    </row>
    <row r="29" customFormat="false" ht="15" hidden="false" customHeight="true" outlineLevel="0" collapsed="false">
      <c r="A29" s="87" t="s">
        <v>52</v>
      </c>
      <c r="F29" s="3"/>
      <c r="G29" s="88"/>
      <c r="H29" s="89"/>
      <c r="I29" s="90"/>
      <c r="J29" s="91"/>
    </row>
    <row r="30" customFormat="false" ht="15" hidden="false" customHeight="true" outlineLevel="0" collapsed="false">
      <c r="A30" s="87" t="s">
        <v>53</v>
      </c>
      <c r="B30" s="88"/>
      <c r="F30" s="3"/>
      <c r="G30" s="88"/>
      <c r="H30" s="89"/>
      <c r="I30" s="90"/>
      <c r="J30" s="91"/>
    </row>
    <row r="31" customFormat="false" ht="15" hidden="false" customHeight="true" outlineLevel="0" collapsed="false">
      <c r="A31" s="87" t="s">
        <v>54</v>
      </c>
      <c r="B31" s="88"/>
      <c r="C31" s="3"/>
      <c r="D31" s="92" t="s">
        <v>24</v>
      </c>
      <c r="E31" s="92"/>
      <c r="F31" s="92"/>
      <c r="G31" s="93"/>
      <c r="H31" s="94"/>
      <c r="I31" s="94"/>
      <c r="J31" s="95" t="e">
        <f aca="false">#REF!+#REF!+#REF!+#REF!+#REF!+#REF!+#REF!+#REF!+#REF!+#REF!+#REF!+#REF!+#REF!+#REF!</f>
        <v>#REF!</v>
      </c>
    </row>
    <row r="32" customFormat="false" ht="15" hidden="false" customHeight="true" outlineLevel="0" collapsed="false">
      <c r="B32" s="88"/>
      <c r="F32" s="3"/>
      <c r="G32" s="88"/>
      <c r="H32" s="89"/>
      <c r="I32" s="90"/>
      <c r="J32" s="96"/>
    </row>
    <row r="33" customFormat="false" ht="15" hidden="false" customHeight="true" outlineLevel="0" collapsed="false">
      <c r="B33" s="88"/>
      <c r="F33" s="3"/>
      <c r="G33" s="88"/>
      <c r="H33" s="89"/>
      <c r="I33" s="90"/>
      <c r="J33" s="96"/>
    </row>
    <row r="34" customFormat="false" ht="15" hidden="false" customHeight="true" outlineLevel="0" collapsed="false">
      <c r="B34" s="88"/>
      <c r="F34" s="3"/>
      <c r="G34" s="88"/>
      <c r="H34" s="89"/>
      <c r="I34" s="90"/>
      <c r="J34" s="96"/>
    </row>
    <row r="35" customFormat="false" ht="15" hidden="false" customHeight="true" outlineLevel="0" collapsed="false">
      <c r="B35" s="88"/>
      <c r="F35" s="3"/>
      <c r="G35" s="88"/>
      <c r="H35" s="89"/>
      <c r="I35" s="90"/>
      <c r="J35" s="96"/>
    </row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>
      <c r="A40" s="65" t="s">
        <v>55</v>
      </c>
      <c r="B40" s="65"/>
      <c r="C40" s="65"/>
      <c r="D40" s="65"/>
      <c r="E40" s="65"/>
      <c r="F40" s="65"/>
    </row>
    <row r="41" customFormat="false" ht="15" hidden="false" customHeight="true" outlineLevel="0" collapsed="false">
      <c r="A41" s="65" t="s">
        <v>56</v>
      </c>
      <c r="B41" s="65"/>
      <c r="C41" s="65"/>
      <c r="H41" s="97" t="s">
        <v>57</v>
      </c>
      <c r="I41" s="60"/>
      <c r="J41" s="60"/>
      <c r="K41" s="60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rintOptions headings="false" gridLines="false" gridLinesSet="true" horizontalCentered="true" verticalCentered="false"/>
  <pageMargins left="0.159722222222222" right="0.159722222222222" top="0.709722222222222" bottom="0.430555555555556" header="0.511811023622047" footer="0.240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98" width="4.56"/>
    <col collapsed="false" customWidth="true" hidden="false" outlineLevel="0" max="2" min="2" style="98" width="15.11"/>
    <col collapsed="false" customWidth="true" hidden="false" outlineLevel="0" max="3" min="3" style="98" width="26.44"/>
    <col collapsed="false" customWidth="true" hidden="false" outlineLevel="0" max="4" min="4" style="98" width="7.78"/>
    <col collapsed="false" customWidth="true" hidden="false" outlineLevel="0" max="5" min="5" style="98" width="9.67"/>
    <col collapsed="false" customWidth="true" hidden="false" outlineLevel="0" max="6" min="6" style="98" width="4.11"/>
    <col collapsed="false" customWidth="true" hidden="false" outlineLevel="0" max="7" min="7" style="98" width="11.33"/>
    <col collapsed="false" customWidth="true" hidden="false" outlineLevel="0" max="9" min="8" style="98" width="9"/>
    <col collapsed="false" customWidth="true" hidden="false" outlineLevel="0" max="10" min="10" style="98" width="2.44"/>
    <col collapsed="false" customWidth="true" hidden="false" outlineLevel="0" max="11" min="11" style="98" width="7.9"/>
    <col collapsed="false" customWidth="true" hidden="false" outlineLevel="0" max="12" min="12" style="98" width="6.11"/>
    <col collapsed="false" customWidth="true" hidden="false" outlineLevel="0" max="13" min="13" style="98" width="12.11"/>
  </cols>
  <sheetData>
    <row r="1" customFormat="false" ht="23.25" hidden="false" customHeight="true" outlineLevel="0" collapsed="false">
      <c r="A1" s="99" t="s">
        <v>58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customFormat="false" ht="12" hidden="false" customHeight="true" outlineLevel="0" collapsed="false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customFormat="false" ht="12" hidden="false" customHeight="true" outlineLevel="0" collapsed="false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59</v>
      </c>
      <c r="L3" s="107" t="s">
        <v>10</v>
      </c>
      <c r="M3" s="107" t="s">
        <v>11</v>
      </c>
    </row>
    <row r="4" customFormat="false" ht="12" hidden="false" customHeight="true" outlineLevel="0" collapsed="false">
      <c r="A4" s="108"/>
      <c r="B4" s="109"/>
      <c r="C4" s="109"/>
      <c r="D4" s="110"/>
      <c r="E4" s="111"/>
      <c r="F4" s="112"/>
      <c r="G4" s="110"/>
      <c r="H4" s="113"/>
      <c r="I4" s="114"/>
      <c r="J4" s="115"/>
    </row>
    <row r="5" customFormat="false" ht="12.75" hidden="false" customHeight="false" outlineLevel="0" collapsed="false">
      <c r="A5" s="116"/>
      <c r="B5" s="117" t="s">
        <v>12</v>
      </c>
      <c r="C5" s="117"/>
      <c r="D5" s="118"/>
      <c r="E5" s="119" t="n">
        <f aca="false">SUM(E4)</f>
        <v>0</v>
      </c>
      <c r="F5" s="120"/>
      <c r="G5" s="121" t="n">
        <f aca="false">SUM(G4)</f>
        <v>0</v>
      </c>
      <c r="H5" s="122"/>
      <c r="I5" s="123" t="n">
        <f aca="false">SUM(I4)</f>
        <v>0</v>
      </c>
      <c r="J5" s="115" t="s">
        <v>13</v>
      </c>
      <c r="K5" s="124"/>
    </row>
  </sheetData>
  <mergeCells count="1">
    <mergeCell ref="A1:I1"/>
  </mergeCells>
  <printOptions headings="false" gridLines="false" gridLinesSet="true" horizontalCentered="true" verticalCentered="false"/>
  <pageMargins left="0.159722222222222" right="0.159722222222222" top="0.709722222222222" bottom="0.430555555555556" header="0.511811023622047" footer="0.240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66796875" defaultRowHeight="12.8" zeroHeight="false" outlineLevelRow="0" outlineLevelCol="0"/>
  <cols>
    <col collapsed="false" customWidth="true" hidden="false" outlineLevel="0" max="1" min="1" style="125" width="4.67"/>
    <col collapsed="false" customWidth="true" hidden="false" outlineLevel="0" max="2" min="2" style="125" width="14.44"/>
    <col collapsed="false" customWidth="true" hidden="false" outlineLevel="0" max="3" min="3" style="125" width="45.6"/>
    <col collapsed="false" customWidth="true" hidden="false" outlineLevel="0" max="5" min="5" style="125" width="8.78"/>
    <col collapsed="false" customWidth="true" hidden="false" outlineLevel="0" max="6" min="6" style="125" width="12.9"/>
    <col collapsed="false" customWidth="true" hidden="false" outlineLevel="0" max="7" min="7" style="125" width="11.44"/>
    <col collapsed="false" customWidth="true" hidden="false" outlineLevel="0" max="9" min="8" style="125" width="8.88"/>
  </cols>
  <sheetData>
    <row r="1" customFormat="false" ht="23.25" hidden="false" customHeight="true" outlineLevel="0" collapsed="false">
      <c r="A1" s="2" t="s">
        <v>60</v>
      </c>
      <c r="B1" s="2"/>
      <c r="C1" s="2"/>
      <c r="D1" s="2"/>
      <c r="E1" s="2"/>
      <c r="F1" s="2"/>
      <c r="G1" s="2"/>
      <c r="H1" s="28"/>
      <c r="I1" s="28" t="s">
        <v>31</v>
      </c>
    </row>
    <row r="2" customFormat="false" ht="12.75" hidden="false" customHeight="false" outlineLevel="0" collapsed="false">
      <c r="A2" s="28"/>
      <c r="B2" s="7"/>
      <c r="C2" s="7"/>
      <c r="D2" s="7"/>
      <c r="E2" s="28"/>
      <c r="F2" s="28"/>
      <c r="G2" s="126"/>
      <c r="H2" s="28"/>
      <c r="I2" s="28"/>
    </row>
    <row r="3" customFormat="false" ht="12.75" hidden="false" customHeight="false" outlineLevel="0" collapsed="false">
      <c r="A3" s="127" t="s">
        <v>61</v>
      </c>
      <c r="B3" s="128" t="s">
        <v>62</v>
      </c>
      <c r="C3" s="128" t="s">
        <v>63</v>
      </c>
      <c r="D3" s="127" t="s">
        <v>64</v>
      </c>
      <c r="E3" s="127" t="s">
        <v>19</v>
      </c>
      <c r="F3" s="127" t="s">
        <v>65</v>
      </c>
      <c r="G3" s="129"/>
      <c r="H3" s="12"/>
      <c r="I3" s="12"/>
    </row>
    <row r="4" customFormat="false" ht="12.75" hidden="false" customHeight="false" outlineLevel="0" collapsed="false">
      <c r="A4" s="130"/>
      <c r="B4" s="6"/>
      <c r="C4" s="131"/>
      <c r="D4" s="132"/>
      <c r="E4" s="11"/>
      <c r="F4" s="133"/>
      <c r="G4" s="134"/>
      <c r="H4" s="28"/>
      <c r="I4" s="28"/>
    </row>
  </sheetData>
  <mergeCells count="1">
    <mergeCell ref="A1:G1"/>
  </mergeCells>
  <printOptions headings="false" gridLines="false" gridLinesSet="true" horizontalCentered="true" verticalCentered="false"/>
  <pageMargins left="0.159722222222222" right="0.159722222222222" top="0.5" bottom="0.1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66796875" defaultRowHeight="12.75" zeroHeight="false" outlineLevelRow="0" outlineLevelCol="0"/>
  <cols>
    <col collapsed="false" customWidth="true" hidden="false" outlineLevel="0" max="6" min="1" style="1" width="7.78"/>
    <col collapsed="false" customWidth="true" hidden="false" outlineLevel="0" max="8" min="7" style="1" width="6.78"/>
    <col collapsed="false" customWidth="true" hidden="false" outlineLevel="0" max="11" min="9" style="1" width="10.78"/>
  </cols>
  <sheetData>
    <row r="1" customFormat="false" ht="19.7" hidden="false" customHeight="false" outlineLevel="0" collapsed="false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15" hidden="false" customHeight="true" outlineLevel="0" collapsed="false">
      <c r="A2" s="47" t="s">
        <v>67</v>
      </c>
      <c r="B2" s="47"/>
      <c r="C2" s="47"/>
      <c r="D2" s="54"/>
      <c r="E2" s="54"/>
      <c r="F2" s="56"/>
      <c r="G2" s="49" t="s">
        <v>28</v>
      </c>
      <c r="H2" s="47"/>
      <c r="I2" s="47"/>
      <c r="J2" s="54"/>
      <c r="K2" s="54"/>
    </row>
    <row r="3" customFormat="false" ht="15" hidden="false" customHeight="true" outlineLevel="0" collapsed="false">
      <c r="A3" s="50" t="s">
        <v>29</v>
      </c>
      <c r="B3" s="50"/>
      <c r="C3" s="50"/>
      <c r="D3" s="50"/>
      <c r="E3" s="50"/>
      <c r="F3" s="48"/>
      <c r="G3" s="135"/>
      <c r="J3" s="51"/>
      <c r="K3" s="51"/>
    </row>
    <row r="4" customFormat="false" ht="15" hidden="false" customHeight="true" outlineLevel="0" collapsed="false">
      <c r="A4" s="1" t="s">
        <v>30</v>
      </c>
      <c r="F4" s="48"/>
      <c r="G4" s="136" t="s">
        <v>31</v>
      </c>
      <c r="H4" s="60"/>
      <c r="I4" s="60"/>
      <c r="J4" s="51"/>
      <c r="K4" s="53" t="n">
        <v>45633</v>
      </c>
    </row>
    <row r="5" customFormat="false" ht="15" hidden="false" customHeight="true" outlineLevel="0" collapsed="false">
      <c r="A5" s="1" t="s">
        <v>32</v>
      </c>
      <c r="F5" s="48"/>
      <c r="G5" s="137" t="s">
        <v>68</v>
      </c>
      <c r="H5" s="65"/>
      <c r="J5" s="54"/>
    </row>
    <row r="6" customFormat="false" ht="15" hidden="false" customHeight="true" outlineLevel="0" collapsed="false">
      <c r="A6" s="1" t="s">
        <v>34</v>
      </c>
      <c r="G6" s="138"/>
      <c r="H6" s="139"/>
      <c r="I6" s="140"/>
      <c r="J6" s="58"/>
      <c r="K6" s="58"/>
    </row>
    <row r="7" customFormat="false" ht="15" hidden="false" customHeight="true" outlineLevel="0" collapsed="false">
      <c r="A7" s="47" t="s">
        <v>35</v>
      </c>
      <c r="B7" s="47"/>
      <c r="C7" s="54"/>
      <c r="D7" s="54"/>
      <c r="E7" s="54"/>
      <c r="F7" s="54"/>
      <c r="G7" s="138"/>
      <c r="H7" s="139"/>
      <c r="I7" s="140"/>
      <c r="J7" s="58"/>
      <c r="K7" s="58"/>
    </row>
    <row r="8" customFormat="false" ht="15" hidden="false" customHeight="true" outlineLevel="0" collapsed="false">
      <c r="A8" s="50"/>
      <c r="B8" s="50"/>
      <c r="C8" s="50"/>
      <c r="F8" s="48"/>
      <c r="G8" s="138"/>
      <c r="H8" s="139"/>
      <c r="I8" s="140"/>
      <c r="J8" s="58"/>
      <c r="K8" s="58"/>
    </row>
    <row r="9" customFormat="false" ht="15" hidden="false" customHeight="true" outlineLevel="0" collapsed="false">
      <c r="F9" s="48"/>
      <c r="G9" s="138"/>
      <c r="H9" s="139"/>
      <c r="I9" s="140"/>
      <c r="J9" s="58"/>
      <c r="K9" s="58"/>
    </row>
    <row r="10" customFormat="false" ht="15" hidden="false" customHeight="true" outlineLevel="0" collapsed="false">
      <c r="F10" s="48"/>
      <c r="G10" s="138"/>
      <c r="H10" s="139"/>
      <c r="I10" s="140"/>
      <c r="J10" s="58"/>
      <c r="K10" s="58"/>
    </row>
    <row r="11" customFormat="false" ht="15" hidden="false" customHeight="true" outlineLevel="0" collapsed="false">
      <c r="F11" s="48"/>
      <c r="G11" s="138"/>
      <c r="H11" s="139"/>
      <c r="I11" s="140"/>
      <c r="J11" s="64"/>
      <c r="K11" s="64"/>
    </row>
    <row r="12" customFormat="false" ht="15" hidden="false" customHeight="true" outlineLevel="0" collapsed="false">
      <c r="A12" s="60"/>
      <c r="B12" s="62"/>
      <c r="C12" s="60"/>
      <c r="D12" s="60"/>
      <c r="E12" s="60"/>
      <c r="F12" s="63"/>
      <c r="G12" s="138"/>
      <c r="H12" s="139"/>
      <c r="I12" s="140"/>
      <c r="J12" s="64"/>
      <c r="K12" s="64"/>
    </row>
    <row r="13" customFormat="false" ht="15" hidden="false" customHeight="true" outlineLevel="0" collapsed="false">
      <c r="A13" s="65" t="s">
        <v>39</v>
      </c>
      <c r="F13" s="48"/>
      <c r="G13" s="138"/>
      <c r="H13" s="139"/>
      <c r="I13" s="140"/>
      <c r="J13" s="64"/>
      <c r="K13" s="64"/>
    </row>
    <row r="14" customFormat="false" ht="15" hidden="false" customHeight="true" outlineLevel="0" collapsed="false">
      <c r="A14" s="141" t="s">
        <v>40</v>
      </c>
      <c r="B14" s="141"/>
      <c r="C14" s="141"/>
      <c r="G14" s="138"/>
      <c r="H14" s="139"/>
      <c r="I14" s="140"/>
      <c r="J14" s="64"/>
      <c r="K14" s="64"/>
    </row>
    <row r="15" customFormat="false" ht="15" hidden="false" customHeight="true" outlineLevel="0" collapsed="false">
      <c r="A15" s="60"/>
      <c r="B15" s="60"/>
      <c r="C15" s="60"/>
      <c r="D15" s="60"/>
      <c r="E15" s="60"/>
      <c r="F15" s="60"/>
      <c r="G15" s="138"/>
      <c r="H15" s="139"/>
      <c r="I15" s="140"/>
      <c r="J15" s="64"/>
      <c r="K15" s="64"/>
    </row>
    <row r="16" customFormat="false" ht="15" hidden="false" customHeight="true" outlineLevel="0" collapsed="false">
      <c r="A16" s="47" t="s">
        <v>41</v>
      </c>
      <c r="B16" s="47"/>
      <c r="C16" s="48"/>
      <c r="D16" s="47" t="s">
        <v>69</v>
      </c>
      <c r="E16" s="47"/>
      <c r="F16" s="47"/>
      <c r="G16" s="138"/>
      <c r="H16" s="139"/>
      <c r="I16" s="140"/>
      <c r="J16" s="64"/>
      <c r="K16" s="64"/>
    </row>
    <row r="17" customFormat="false" ht="15" hidden="false" customHeight="true" outlineLevel="0" collapsed="false">
      <c r="A17" s="135"/>
      <c r="C17" s="48"/>
      <c r="D17" s="135"/>
      <c r="E17" s="135"/>
      <c r="G17" s="138"/>
      <c r="H17" s="139"/>
      <c r="I17" s="140"/>
      <c r="J17" s="64"/>
      <c r="K17" s="64"/>
    </row>
    <row r="18" customFormat="false" ht="15" hidden="false" customHeight="true" outlineLevel="0" collapsed="false">
      <c r="A18" s="72" t="s">
        <v>70</v>
      </c>
      <c r="B18" s="72"/>
      <c r="C18" s="72"/>
      <c r="D18" s="142" t="s">
        <v>71</v>
      </c>
      <c r="E18" s="142"/>
      <c r="F18" s="142"/>
      <c r="G18" s="138"/>
      <c r="H18" s="139"/>
      <c r="I18" s="140"/>
      <c r="J18" s="64"/>
      <c r="K18" s="64"/>
    </row>
    <row r="19" customFormat="false" ht="15" hidden="false" customHeight="true" outlineLevel="0" collapsed="false">
      <c r="A19" s="47" t="s">
        <v>43</v>
      </c>
      <c r="B19" s="47"/>
      <c r="C19" s="48"/>
      <c r="D19" s="47" t="s">
        <v>44</v>
      </c>
      <c r="E19" s="47"/>
      <c r="F19" s="47"/>
      <c r="G19" s="138"/>
      <c r="H19" s="139"/>
      <c r="I19" s="140"/>
      <c r="J19" s="64"/>
      <c r="K19" s="64"/>
    </row>
    <row r="20" customFormat="false" ht="15" hidden="false" customHeight="true" outlineLevel="0" collapsed="false">
      <c r="C20" s="48"/>
      <c r="D20" s="143" t="s">
        <v>36</v>
      </c>
      <c r="E20" s="143"/>
      <c r="G20" s="138"/>
      <c r="H20" s="139"/>
      <c r="I20" s="140"/>
      <c r="J20" s="64"/>
      <c r="K20" s="64"/>
    </row>
    <row r="21" customFormat="false" ht="15" hidden="false" customHeight="true" outlineLevel="0" collapsed="false">
      <c r="A21" s="72"/>
      <c r="B21" s="72"/>
      <c r="C21" s="72"/>
      <c r="D21" s="75"/>
      <c r="E21" s="75"/>
      <c r="F21" s="75"/>
      <c r="G21" s="144"/>
      <c r="H21" s="60"/>
      <c r="I21" s="145"/>
      <c r="J21" s="146"/>
      <c r="K21" s="146"/>
    </row>
    <row r="22" customFormat="false" ht="15" hidden="false" customHeight="true" outlineLevel="0" collapsed="false">
      <c r="A22" s="77" t="s">
        <v>72</v>
      </c>
      <c r="B22" s="77"/>
      <c r="C22" s="77"/>
      <c r="D22" s="78" t="s">
        <v>73</v>
      </c>
      <c r="E22" s="78"/>
      <c r="F22" s="78"/>
      <c r="G22" s="78" t="s">
        <v>74</v>
      </c>
      <c r="H22" s="78"/>
      <c r="I22" s="79" t="s">
        <v>75</v>
      </c>
      <c r="J22" s="79" t="s">
        <v>76</v>
      </c>
      <c r="K22" s="80" t="s">
        <v>77</v>
      </c>
    </row>
    <row r="23" customFormat="false" ht="15" hidden="false" customHeight="true" outlineLevel="0" collapsed="false">
      <c r="A23" s="1" t="s">
        <v>36</v>
      </c>
      <c r="C23" s="48"/>
      <c r="G23" s="147"/>
      <c r="H23" s="48"/>
      <c r="I23" s="148" t="s">
        <v>9</v>
      </c>
      <c r="J23" s="148" t="s">
        <v>9</v>
      </c>
    </row>
    <row r="24" customFormat="false" ht="15" hidden="false" customHeight="true" outlineLevel="0" collapsed="false">
      <c r="A24" s="1" t="s">
        <v>36</v>
      </c>
      <c r="G24" s="50"/>
    </row>
    <row r="25" customFormat="false" ht="15" hidden="false" customHeight="true" outlineLevel="0" collapsed="false">
      <c r="D25" s="50" t="s">
        <v>78</v>
      </c>
      <c r="E25" s="50"/>
      <c r="G25" s="149" t="n">
        <f aca="false">SUM('D.PAC'!H:H)</f>
        <v>0</v>
      </c>
      <c r="H25" s="149"/>
      <c r="I25" s="150" t="e">
        <f aca="false">#REF!</f>
        <v>#REF!</v>
      </c>
      <c r="J25" s="151" t="e">
        <f aca="false">I25*1.1</f>
        <v>#REF!</v>
      </c>
      <c r="K25" s="84" t="e">
        <f aca="false">J25/166</f>
        <v>#REF!</v>
      </c>
    </row>
    <row r="26" customFormat="false" ht="15" hidden="false" customHeight="true" outlineLevel="0" collapsed="false">
      <c r="D26" s="152"/>
      <c r="E26" s="152"/>
      <c r="I26" s="153"/>
      <c r="J26" s="86"/>
      <c r="K26" s="86"/>
    </row>
    <row r="27" customFormat="false" ht="15" hidden="false" customHeight="true" outlineLevel="0" collapsed="false">
      <c r="A27" s="154"/>
      <c r="B27" s="154"/>
      <c r="D27" s="155"/>
      <c r="E27" s="155"/>
      <c r="F27" s="156"/>
      <c r="G27" s="155"/>
      <c r="I27" s="153"/>
      <c r="J27" s="86"/>
      <c r="K27" s="86"/>
    </row>
    <row r="28" customFormat="false" ht="15" hidden="false" customHeight="true" outlineLevel="0" collapsed="false">
      <c r="A28" s="157"/>
      <c r="D28" s="50"/>
      <c r="E28" s="155"/>
      <c r="F28" s="156"/>
      <c r="G28" s="155"/>
      <c r="I28" s="153"/>
      <c r="J28" s="86"/>
      <c r="K28" s="86"/>
    </row>
    <row r="29" customFormat="false" ht="15" hidden="false" customHeight="true" outlineLevel="0" collapsed="false">
      <c r="A29" s="158"/>
      <c r="D29" s="50" t="s">
        <v>50</v>
      </c>
      <c r="E29" s="50"/>
      <c r="F29" s="50"/>
      <c r="G29" s="155"/>
      <c r="I29" s="86"/>
      <c r="J29" s="86"/>
      <c r="K29" s="86"/>
    </row>
    <row r="30" customFormat="false" ht="15" hidden="false" customHeight="true" outlineLevel="0" collapsed="false">
      <c r="A30" s="158" t="s">
        <v>51</v>
      </c>
      <c r="B30" s="158"/>
      <c r="G30" s="155"/>
      <c r="H30" s="89"/>
      <c r="I30" s="86"/>
      <c r="J30" s="151"/>
      <c r="K30" s="84"/>
    </row>
    <row r="31" customFormat="false" ht="15" hidden="false" customHeight="true" outlineLevel="0" collapsed="false">
      <c r="A31" s="158" t="s">
        <v>52</v>
      </c>
      <c r="B31" s="159"/>
    </row>
    <row r="32" customFormat="false" ht="15" hidden="false" customHeight="true" outlineLevel="0" collapsed="false">
      <c r="A32" s="158" t="s">
        <v>53</v>
      </c>
      <c r="B32" s="159"/>
      <c r="F32" s="158"/>
      <c r="G32" s="88"/>
      <c r="H32" s="89"/>
      <c r="J32" s="86"/>
    </row>
    <row r="33" customFormat="false" ht="15" hidden="false" customHeight="true" outlineLevel="0" collapsed="false">
      <c r="A33" s="158" t="s">
        <v>54</v>
      </c>
      <c r="B33" s="159"/>
      <c r="D33" s="160" t="s">
        <v>24</v>
      </c>
      <c r="E33" s="161"/>
      <c r="F33" s="161"/>
      <c r="G33" s="162"/>
      <c r="H33" s="163"/>
      <c r="I33" s="161"/>
      <c r="J33" s="161"/>
      <c r="K33" s="161"/>
    </row>
    <row r="34" customFormat="false" ht="15" hidden="false" customHeight="true" outlineLevel="0" collapsed="false">
      <c r="F34" s="50"/>
      <c r="J34" s="86"/>
    </row>
    <row r="35" customFormat="false" ht="15" hidden="false" customHeight="true" outlineLevel="0" collapsed="false">
      <c r="G35" s="88"/>
      <c r="H35" s="89"/>
    </row>
    <row r="36" customFormat="false" ht="15" hidden="false" customHeight="true" outlineLevel="0" collapsed="false">
      <c r="F36" s="50"/>
      <c r="G36" s="88"/>
      <c r="H36" s="89"/>
      <c r="J36" s="86"/>
    </row>
    <row r="37" customFormat="false" ht="15" hidden="false" customHeight="true" outlineLevel="0" collapsed="false"/>
    <row r="38" customFormat="false" ht="15" hidden="false" customHeight="true" outlineLevel="0" collapsed="false">
      <c r="D38" s="164"/>
      <c r="E38" s="164"/>
      <c r="G38" s="158"/>
    </row>
    <row r="39" customFormat="false" ht="15" hidden="false" customHeight="true" outlineLevel="0" collapsed="false">
      <c r="D39" s="164"/>
      <c r="E39" s="164"/>
      <c r="G39" s="158"/>
    </row>
    <row r="40" customFormat="false" ht="15" hidden="false" customHeight="true" outlineLevel="0" collapsed="false">
      <c r="D40" s="164"/>
      <c r="E40" s="164"/>
      <c r="G40" s="158"/>
    </row>
    <row r="41" customFormat="false" ht="15" hidden="false" customHeight="true" outlineLevel="0" collapsed="false">
      <c r="D41" s="164"/>
      <c r="E41" s="164"/>
      <c r="G41" s="158"/>
    </row>
    <row r="42" customFormat="false" ht="15" hidden="false" customHeight="true" outlineLevel="0" collapsed="false">
      <c r="D42" s="164"/>
      <c r="E42" s="164"/>
      <c r="G42" s="158"/>
    </row>
    <row r="43" customFormat="false" ht="15" hidden="false" customHeight="true" outlineLevel="0" collapsed="false">
      <c r="D43" s="164"/>
      <c r="E43" s="164"/>
      <c r="G43" s="158"/>
    </row>
    <row r="44" customFormat="false" ht="15" hidden="false" customHeight="true" outlineLevel="0" collapsed="false">
      <c r="D44" s="164"/>
      <c r="E44" s="164"/>
      <c r="G44" s="158"/>
    </row>
    <row r="45" customFormat="false" ht="15" hidden="false" customHeight="true" outlineLevel="0" collapsed="false">
      <c r="D45" s="164"/>
      <c r="E45" s="164"/>
      <c r="G45" s="158"/>
    </row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>
      <c r="A51" s="65" t="s">
        <v>79</v>
      </c>
      <c r="B51" s="65"/>
      <c r="C51" s="65"/>
      <c r="D51" s="65"/>
      <c r="E51" s="65"/>
    </row>
    <row r="52" customFormat="false" ht="15" hidden="false" customHeight="true" outlineLevel="0" collapsed="false">
      <c r="A52" s="65" t="s">
        <v>56</v>
      </c>
      <c r="B52" s="65"/>
      <c r="C52" s="65"/>
      <c r="H52" s="97" t="s">
        <v>80</v>
      </c>
      <c r="I52" s="60"/>
      <c r="J52" s="60"/>
      <c r="K52" s="60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rintOptions headings="false" gridLines="false" gridLinesSet="true" horizontalCentered="true" verticalCentered="false"/>
  <pageMargins left="0.159722222222222" right="0.159722222222222" top="0.709722222222222" bottom="0.430555555555556" header="0.511811023622047" footer="0.240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6796875" defaultRowHeight="12.8" zeroHeight="false" outlineLevelRow="0" outlineLevelCol="0"/>
  <cols>
    <col collapsed="false" customWidth="true" hidden="false" outlineLevel="0" max="1" min="1" style="125" width="19.88"/>
    <col collapsed="false" customWidth="true" hidden="false" outlineLevel="0" max="2" min="2" style="125" width="11.78"/>
    <col collapsed="false" customWidth="true" hidden="false" outlineLevel="0" max="3" min="3" style="125" width="38.4"/>
    <col collapsed="false" customWidth="true" hidden="false" outlineLevel="0" max="4" min="4" style="125" width="23.22"/>
    <col collapsed="false" customWidth="true" hidden="false" outlineLevel="0" max="5" min="5" style="125" width="37.05"/>
    <col collapsed="false" customWidth="true" hidden="false" outlineLevel="0" max="6" min="6" style="125" width="6.89"/>
    <col collapsed="false" customWidth="true" hidden="false" outlineLevel="0" max="8" min="8" style="125" width="9.11"/>
    <col collapsed="false" customWidth="true" hidden="false" outlineLevel="0" max="9" min="9" style="125" width="22.05"/>
    <col collapsed="false" customWidth="true" hidden="false" outlineLevel="0" max="10" min="10" style="125" width="36.15"/>
  </cols>
  <sheetData/>
  <printOptions headings="false" gridLines="false" gridLinesSet="true" horizontalCentered="true" verticalCentered="false"/>
  <pageMargins left="0.159722222222222" right="0.159722222222222" top="0.35" bottom="0.1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0.4453125" defaultRowHeight="12.75" zeroHeight="false" outlineLevelRow="0" outlineLevelCol="0"/>
  <cols>
    <col collapsed="false" customWidth="true" hidden="false" outlineLevel="0" max="4" min="1" style="1" width="7.78"/>
    <col collapsed="false" customWidth="true" hidden="false" outlineLevel="0" max="5" min="5" style="1" width="6.56"/>
    <col collapsed="false" customWidth="true" hidden="false" outlineLevel="0" max="6" min="6" style="1" width="7.78"/>
    <col collapsed="false" customWidth="true" hidden="false" outlineLevel="0" max="7" min="7" style="1" width="8"/>
    <col collapsed="false" customWidth="true" hidden="false" outlineLevel="0" max="8" min="8" style="1" width="7.44"/>
    <col collapsed="false" customWidth="true" hidden="false" outlineLevel="0" max="9" min="9" style="1" width="12.66"/>
    <col collapsed="false" customWidth="true" hidden="false" outlineLevel="0" max="10" min="10" style="1" width="14.78"/>
    <col collapsed="false" customWidth="true" hidden="false" outlineLevel="0" max="11" min="11" style="1" width="8.44"/>
  </cols>
  <sheetData>
    <row r="1" customFormat="false" ht="19.7" hidden="false" customHeight="false" outlineLevel="0" collapsed="false">
      <c r="A1" s="46" t="s">
        <v>81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15" hidden="false" customHeight="true" outlineLevel="0" collapsed="false">
      <c r="A2" s="47" t="s">
        <v>27</v>
      </c>
      <c r="B2" s="47"/>
      <c r="C2" s="47"/>
      <c r="D2" s="54"/>
      <c r="E2" s="54"/>
      <c r="F2" s="56"/>
      <c r="G2" s="49" t="s">
        <v>28</v>
      </c>
      <c r="H2" s="47"/>
      <c r="I2" s="47"/>
      <c r="J2" s="54"/>
      <c r="K2" s="54"/>
    </row>
    <row r="3" customFormat="false" ht="15" hidden="false" customHeight="true" outlineLevel="0" collapsed="false">
      <c r="A3" s="50" t="s">
        <v>29</v>
      </c>
      <c r="B3" s="50"/>
      <c r="C3" s="50"/>
      <c r="D3" s="50"/>
      <c r="E3" s="50"/>
      <c r="F3" s="48"/>
      <c r="G3" s="3"/>
      <c r="J3" s="3"/>
      <c r="K3" s="51"/>
    </row>
    <row r="4" customFormat="false" ht="15" hidden="false" customHeight="true" outlineLevel="0" collapsed="false">
      <c r="A4" s="1" t="s">
        <v>30</v>
      </c>
      <c r="F4" s="48"/>
      <c r="G4" s="52" t="s">
        <v>31</v>
      </c>
      <c r="J4" s="53"/>
      <c r="K4" s="53" t="n">
        <v>45633</v>
      </c>
    </row>
    <row r="5" customFormat="false" ht="15" hidden="false" customHeight="true" outlineLevel="0" collapsed="false">
      <c r="A5" s="1" t="s">
        <v>32</v>
      </c>
      <c r="F5" s="48"/>
      <c r="G5" s="49" t="s">
        <v>33</v>
      </c>
      <c r="H5" s="47"/>
      <c r="I5" s="54"/>
    </row>
    <row r="6" customFormat="false" ht="15" hidden="false" customHeight="true" outlineLevel="0" collapsed="false">
      <c r="A6" s="1" t="s">
        <v>34</v>
      </c>
      <c r="F6" s="48"/>
      <c r="G6" s="3"/>
      <c r="H6" s="3"/>
      <c r="I6" s="3"/>
      <c r="J6" s="3"/>
      <c r="K6" s="55"/>
    </row>
    <row r="7" customFormat="false" ht="15" hidden="false" customHeight="true" outlineLevel="0" collapsed="false">
      <c r="A7" s="47" t="s">
        <v>35</v>
      </c>
      <c r="B7" s="47"/>
      <c r="C7" s="54"/>
      <c r="D7" s="54"/>
      <c r="E7" s="54"/>
      <c r="F7" s="56"/>
      <c r="H7" s="50"/>
      <c r="I7" s="50"/>
      <c r="J7" s="57" t="s">
        <v>36</v>
      </c>
      <c r="K7" s="58"/>
    </row>
    <row r="8" customFormat="false" ht="15" hidden="false" customHeight="true" outlineLevel="0" collapsed="false">
      <c r="A8" s="50"/>
      <c r="B8" s="50"/>
      <c r="C8" s="50"/>
      <c r="F8" s="48"/>
      <c r="G8" s="49" t="s">
        <v>37</v>
      </c>
      <c r="H8" s="47"/>
      <c r="I8" s="47"/>
      <c r="J8" s="54"/>
      <c r="K8" s="59"/>
    </row>
    <row r="9" customFormat="false" ht="15" hidden="false" customHeight="true" outlineLevel="0" collapsed="false">
      <c r="F9" s="48"/>
      <c r="G9" s="1" t="s">
        <v>36</v>
      </c>
      <c r="K9" s="58"/>
    </row>
    <row r="10" customFormat="false" ht="15" hidden="false" customHeight="true" outlineLevel="0" collapsed="false">
      <c r="F10" s="48"/>
      <c r="G10" s="60" t="s">
        <v>36</v>
      </c>
      <c r="H10" s="60"/>
      <c r="I10" s="60"/>
      <c r="J10" s="60"/>
      <c r="K10" s="58"/>
    </row>
    <row r="11" customFormat="false" ht="15" hidden="false" customHeight="true" outlineLevel="0" collapsed="false">
      <c r="F11" s="48"/>
      <c r="G11" s="49" t="s">
        <v>38</v>
      </c>
      <c r="H11" s="47"/>
      <c r="K11" s="61"/>
    </row>
    <row r="12" customFormat="false" ht="15" hidden="false" customHeight="true" outlineLevel="0" collapsed="false">
      <c r="A12" s="60"/>
      <c r="B12" s="62"/>
      <c r="C12" s="60"/>
      <c r="D12" s="60"/>
      <c r="E12" s="60"/>
      <c r="F12" s="63"/>
      <c r="G12" s="3"/>
      <c r="K12" s="64"/>
    </row>
    <row r="13" customFormat="false" ht="15" hidden="false" customHeight="true" outlineLevel="0" collapsed="false">
      <c r="A13" s="65" t="s">
        <v>39</v>
      </c>
      <c r="F13" s="48"/>
      <c r="G13" s="3"/>
      <c r="I13" s="66" t="s">
        <v>82</v>
      </c>
      <c r="J13" s="165" t="n">
        <f aca="false">1500/16399.4867243431*J29</f>
        <v>0</v>
      </c>
      <c r="K13" s="64"/>
    </row>
    <row r="14" customFormat="false" ht="15" hidden="false" customHeight="true" outlineLevel="0" collapsed="false">
      <c r="A14" s="68" t="s">
        <v>40</v>
      </c>
      <c r="B14" s="68"/>
      <c r="F14" s="48"/>
      <c r="I14" s="66" t="s">
        <v>83</v>
      </c>
      <c r="J14" s="166" t="n">
        <f aca="false">J29*1.1*0.026%</f>
        <v>0</v>
      </c>
      <c r="K14" s="64"/>
    </row>
    <row r="15" customFormat="false" ht="15" hidden="false" customHeight="true" outlineLevel="0" collapsed="false">
      <c r="F15" s="48"/>
      <c r="H15" s="50"/>
      <c r="I15" s="167" t="s">
        <v>84</v>
      </c>
      <c r="K15" s="64"/>
    </row>
    <row r="16" customFormat="false" ht="15" hidden="false" customHeight="true" outlineLevel="0" collapsed="false">
      <c r="A16" s="47" t="s">
        <v>41</v>
      </c>
      <c r="B16" s="47"/>
      <c r="C16" s="56"/>
      <c r="D16" s="47" t="s">
        <v>85</v>
      </c>
      <c r="E16" s="47"/>
      <c r="F16" s="69"/>
      <c r="G16" s="3"/>
      <c r="H16" s="66" t="s">
        <v>86</v>
      </c>
      <c r="I16" s="70" t="n">
        <v>13</v>
      </c>
      <c r="J16" s="50" t="s">
        <v>87</v>
      </c>
      <c r="K16" s="64"/>
    </row>
    <row r="17" customFormat="false" ht="15" hidden="false" customHeight="true" outlineLevel="0" collapsed="false">
      <c r="D17" s="71" t="s">
        <v>36</v>
      </c>
      <c r="E17" s="52"/>
      <c r="F17" s="48"/>
      <c r="H17" s="66" t="s">
        <v>88</v>
      </c>
      <c r="I17" s="168" t="n">
        <f aca="false">'STS.INVOICE'!I5</f>
        <v>0</v>
      </c>
      <c r="J17" s="50" t="s">
        <v>89</v>
      </c>
      <c r="K17" s="64"/>
    </row>
    <row r="18" customFormat="false" ht="15" hidden="false" customHeight="true" outlineLevel="0" collapsed="false">
      <c r="A18" s="72"/>
      <c r="B18" s="72"/>
      <c r="C18" s="72"/>
      <c r="D18" s="73"/>
      <c r="E18" s="73"/>
      <c r="F18" s="73"/>
      <c r="H18" s="66" t="s">
        <v>90</v>
      </c>
      <c r="I18" s="168" t="n">
        <f aca="false">I17*1.1</f>
        <v>0</v>
      </c>
      <c r="J18" s="50" t="s">
        <v>89</v>
      </c>
      <c r="K18" s="64"/>
    </row>
    <row r="19" customFormat="false" ht="15" hidden="false" customHeight="true" outlineLevel="0" collapsed="false">
      <c r="A19" s="47" t="s">
        <v>43</v>
      </c>
      <c r="B19" s="47"/>
      <c r="C19" s="48"/>
      <c r="D19" s="47" t="s">
        <v>44</v>
      </c>
      <c r="E19" s="47"/>
      <c r="F19" s="69"/>
      <c r="K19" s="64"/>
    </row>
    <row r="20" customFormat="false" ht="15" hidden="false" customHeight="true" outlineLevel="0" collapsed="false">
      <c r="A20" s="1" t="s">
        <v>36</v>
      </c>
      <c r="C20" s="48"/>
      <c r="D20" s="1" t="s">
        <v>36</v>
      </c>
      <c r="F20" s="48"/>
      <c r="G20" s="1" t="s">
        <v>36</v>
      </c>
      <c r="K20" s="64"/>
    </row>
    <row r="21" customFormat="false" ht="15" hidden="false" customHeight="true" outlineLevel="0" collapsed="false">
      <c r="A21" s="74"/>
      <c r="B21" s="74"/>
      <c r="C21" s="74"/>
      <c r="D21" s="75"/>
      <c r="E21" s="75"/>
      <c r="F21" s="75"/>
      <c r="G21" s="60"/>
      <c r="H21" s="60"/>
      <c r="I21" s="60"/>
      <c r="J21" s="60"/>
      <c r="K21" s="76"/>
    </row>
    <row r="22" customFormat="false" ht="15" hidden="false" customHeight="true" outlineLevel="0" collapsed="false">
      <c r="A22" s="77" t="s">
        <v>45</v>
      </c>
      <c r="B22" s="77"/>
      <c r="C22" s="77"/>
      <c r="D22" s="78" t="s">
        <v>46</v>
      </c>
      <c r="E22" s="78"/>
      <c r="F22" s="78"/>
      <c r="G22" s="78" t="s">
        <v>47</v>
      </c>
      <c r="H22" s="78"/>
      <c r="I22" s="79" t="s">
        <v>48</v>
      </c>
      <c r="J22" s="80" t="s">
        <v>49</v>
      </c>
      <c r="K22" s="81"/>
    </row>
    <row r="23" customFormat="false" ht="15" hidden="false" customHeight="true" outlineLevel="0" collapsed="false">
      <c r="A23" s="1" t="s">
        <v>36</v>
      </c>
      <c r="C23" s="48"/>
      <c r="F23" s="48"/>
      <c r="H23" s="48"/>
      <c r="I23" s="48"/>
    </row>
    <row r="24" customFormat="false" ht="15" hidden="false" customHeight="true" outlineLevel="0" collapsed="false">
      <c r="A24" s="1" t="s">
        <v>36</v>
      </c>
      <c r="G24" s="169"/>
      <c r="H24" s="82"/>
      <c r="I24" s="82"/>
    </row>
    <row r="25" customFormat="false" ht="15" hidden="false" customHeight="true" outlineLevel="0" collapsed="false">
      <c r="A25" s="83"/>
      <c r="C25" s="3"/>
      <c r="F25" s="3"/>
      <c r="G25" s="3"/>
      <c r="H25" s="3"/>
      <c r="I25" s="3"/>
      <c r="J25" s="3"/>
      <c r="K25" s="84"/>
    </row>
    <row r="26" customFormat="false" ht="15" hidden="false" customHeight="true" outlineLevel="0" collapsed="false">
      <c r="A26" s="85"/>
      <c r="C26" s="3"/>
      <c r="D26" s="157"/>
      <c r="E26" s="157"/>
      <c r="F26" s="157"/>
      <c r="G26" s="157"/>
      <c r="H26" s="157"/>
      <c r="I26" s="157"/>
      <c r="J26" s="157"/>
      <c r="K26" s="86"/>
    </row>
    <row r="27" customFormat="false" ht="15" hidden="false" customHeight="true" outlineLevel="0" collapsed="false">
      <c r="A27" s="87"/>
      <c r="D27" s="28"/>
      <c r="E27" s="3"/>
      <c r="F27" s="170"/>
      <c r="G27" s="170"/>
      <c r="H27" s="171"/>
      <c r="I27" s="172"/>
      <c r="J27" s="173"/>
      <c r="K27" s="86"/>
    </row>
    <row r="28" customFormat="false" ht="15" hidden="false" customHeight="true" outlineLevel="0" collapsed="false">
      <c r="A28" s="87"/>
      <c r="D28" s="28"/>
      <c r="E28" s="3"/>
      <c r="F28" s="170"/>
      <c r="G28" s="170"/>
      <c r="H28" s="171"/>
      <c r="I28" s="172"/>
      <c r="J28" s="173"/>
      <c r="K28" s="86"/>
    </row>
    <row r="29" customFormat="false" ht="15" hidden="false" customHeight="true" outlineLevel="0" collapsed="false">
      <c r="A29" s="87"/>
      <c r="B29" s="88"/>
      <c r="C29" s="3"/>
      <c r="D29" s="160" t="s">
        <v>24</v>
      </c>
      <c r="E29" s="160"/>
      <c r="F29" s="160"/>
      <c r="G29" s="174"/>
      <c r="H29" s="175"/>
      <c r="I29" s="176"/>
      <c r="J29" s="177" t="n">
        <f aca="false">'STS.INVOICE'!G5</f>
        <v>0</v>
      </c>
    </row>
    <row r="30" customFormat="false" ht="15" hidden="false" customHeight="true" outlineLevel="0" collapsed="false">
      <c r="B30" s="88"/>
      <c r="F30" s="3"/>
      <c r="G30" s="88"/>
      <c r="H30" s="89"/>
      <c r="I30" s="90"/>
      <c r="J30" s="96"/>
    </row>
    <row r="31" customFormat="false" ht="15" hidden="false" customHeight="true" outlineLevel="0" collapsed="false">
      <c r="B31" s="88"/>
      <c r="F31" s="159"/>
      <c r="G31" s="88"/>
      <c r="H31" s="89"/>
      <c r="I31" s="90"/>
      <c r="J31" s="91"/>
    </row>
    <row r="32" customFormat="false" ht="15" hidden="false" customHeight="true" outlineLevel="0" collapsed="false">
      <c r="B32" s="88"/>
      <c r="F32" s="159"/>
      <c r="G32" s="88"/>
      <c r="H32" s="89"/>
      <c r="I32" s="90"/>
      <c r="J32" s="91"/>
    </row>
    <row r="33" customFormat="false" ht="15" hidden="false" customHeight="true" outlineLevel="0" collapsed="false">
      <c r="F33" s="159"/>
      <c r="G33" s="88"/>
      <c r="H33" s="89"/>
    </row>
    <row r="34" customFormat="false" ht="15" hidden="false" customHeight="true" outlineLevel="0" collapsed="false">
      <c r="F34" s="159"/>
      <c r="G34" s="88"/>
      <c r="H34" s="89"/>
      <c r="J34" s="86"/>
    </row>
    <row r="35" customFormat="false" ht="15" hidden="false" customHeight="true" outlineLevel="0" collapsed="false">
      <c r="F35" s="159"/>
    </row>
    <row r="36" customFormat="false" ht="15" hidden="false" customHeight="true" outlineLevel="0" collapsed="false">
      <c r="D36" s="164"/>
      <c r="E36" s="164"/>
      <c r="F36" s="159"/>
      <c r="G36" s="158"/>
    </row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>
      <c r="A42" s="65" t="s">
        <v>55</v>
      </c>
      <c r="B42" s="65"/>
      <c r="C42" s="65"/>
      <c r="D42" s="65"/>
      <c r="E42" s="65"/>
      <c r="F42" s="65"/>
    </row>
    <row r="43" customFormat="false" ht="15" hidden="false" customHeight="true" outlineLevel="0" collapsed="false">
      <c r="A43" s="65" t="s">
        <v>56</v>
      </c>
      <c r="B43" s="65"/>
      <c r="C43" s="65"/>
      <c r="H43" s="97" t="s">
        <v>57</v>
      </c>
      <c r="I43" s="60"/>
      <c r="J43" s="60"/>
      <c r="K43" s="60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rintOptions headings="false" gridLines="false" gridLinesSet="true" horizontalCentered="true" verticalCentered="false"/>
  <pageMargins left="0.159722222222222" right="0.159722222222222" top="0.709722222222222" bottom="0.430555555555556" header="0.511811023622047" footer="0.240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ColWidth="8.66796875" defaultRowHeight="12.75" zeroHeight="false" outlineLevelRow="0" outlineLevelCol="0"/>
  <cols>
    <col collapsed="false" customWidth="true" hidden="false" outlineLevel="0" max="4" min="1" style="1" width="7.78"/>
    <col collapsed="false" customWidth="true" hidden="false" outlineLevel="0" max="5" min="5" style="1" width="6.56"/>
    <col collapsed="false" customWidth="true" hidden="false" outlineLevel="0" max="6" min="6" style="1" width="7.78"/>
    <col collapsed="false" customWidth="true" hidden="false" outlineLevel="0" max="7" min="7" style="1" width="8"/>
    <col collapsed="false" customWidth="true" hidden="false" outlineLevel="0" max="8" min="8" style="1" width="7.44"/>
    <col collapsed="false" customWidth="true" hidden="false" outlineLevel="0" max="9" min="9" style="1" width="12.66"/>
    <col collapsed="false" customWidth="true" hidden="false" outlineLevel="0" max="10" min="10" style="1" width="14.78"/>
    <col collapsed="false" customWidth="true" hidden="false" outlineLevel="0" max="11" min="11" style="1" width="8.44"/>
  </cols>
  <sheetData>
    <row r="1" customFormat="false" ht="19.7" hidden="false" customHeight="false" outlineLevel="0" collapsed="false">
      <c r="A1" s="46" t="s">
        <v>81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15" hidden="false" customHeight="true" outlineLevel="0" collapsed="false">
      <c r="A2" s="47" t="s">
        <v>27</v>
      </c>
      <c r="B2" s="47"/>
      <c r="C2" s="47"/>
      <c r="D2" s="54"/>
      <c r="E2" s="54"/>
      <c r="F2" s="56"/>
      <c r="G2" s="49" t="s">
        <v>28</v>
      </c>
      <c r="H2" s="47"/>
      <c r="I2" s="47"/>
      <c r="J2" s="54"/>
      <c r="K2" s="54"/>
    </row>
    <row r="3" customFormat="false" ht="15" hidden="false" customHeight="true" outlineLevel="0" collapsed="false">
      <c r="A3" s="50" t="s">
        <v>91</v>
      </c>
      <c r="B3" s="50"/>
      <c r="C3" s="50"/>
      <c r="D3" s="50"/>
      <c r="E3" s="50"/>
      <c r="F3" s="48"/>
      <c r="G3" s="3"/>
      <c r="J3" s="3"/>
      <c r="K3" s="51"/>
    </row>
    <row r="4" customFormat="false" ht="15" hidden="false" customHeight="true" outlineLevel="0" collapsed="false">
      <c r="A4" s="1" t="s">
        <v>92</v>
      </c>
      <c r="F4" s="48"/>
      <c r="G4" s="52"/>
      <c r="J4" s="53"/>
      <c r="K4" s="53"/>
    </row>
    <row r="5" customFormat="false" ht="15" hidden="false" customHeight="true" outlineLevel="0" collapsed="false">
      <c r="A5" s="1" t="s">
        <v>93</v>
      </c>
      <c r="F5" s="48"/>
      <c r="G5" s="49" t="s">
        <v>33</v>
      </c>
      <c r="H5" s="47"/>
      <c r="I5" s="54"/>
    </row>
    <row r="6" customFormat="false" ht="15" hidden="false" customHeight="true" outlineLevel="0" collapsed="false">
      <c r="A6" s="1" t="s">
        <v>94</v>
      </c>
      <c r="F6" s="48"/>
      <c r="G6" s="3"/>
      <c r="H6" s="3"/>
      <c r="I6" s="3"/>
      <c r="J6" s="3"/>
      <c r="K6" s="55"/>
    </row>
    <row r="7" customFormat="false" ht="15" hidden="false" customHeight="true" outlineLevel="0" collapsed="false">
      <c r="A7" s="47" t="s">
        <v>35</v>
      </c>
      <c r="B7" s="47"/>
      <c r="C7" s="54"/>
      <c r="D7" s="54"/>
      <c r="E7" s="54"/>
      <c r="F7" s="56"/>
      <c r="H7" s="50"/>
      <c r="I7" s="50"/>
      <c r="J7" s="57" t="s">
        <v>36</v>
      </c>
      <c r="K7" s="58"/>
    </row>
    <row r="8" customFormat="false" ht="15" hidden="false" customHeight="true" outlineLevel="0" collapsed="false">
      <c r="A8" s="50"/>
      <c r="B8" s="50"/>
      <c r="C8" s="50"/>
      <c r="F8" s="48"/>
      <c r="G8" s="49" t="s">
        <v>37</v>
      </c>
      <c r="H8" s="47"/>
      <c r="I8" s="47"/>
      <c r="J8" s="54"/>
      <c r="K8" s="59"/>
    </row>
    <row r="9" customFormat="false" ht="15" hidden="false" customHeight="true" outlineLevel="0" collapsed="false">
      <c r="F9" s="48"/>
      <c r="G9" s="1" t="s">
        <v>36</v>
      </c>
      <c r="K9" s="58"/>
    </row>
    <row r="10" customFormat="false" ht="15" hidden="false" customHeight="true" outlineLevel="0" collapsed="false">
      <c r="F10" s="48"/>
      <c r="G10" s="60" t="s">
        <v>36</v>
      </c>
      <c r="H10" s="60"/>
      <c r="I10" s="60"/>
      <c r="J10" s="60"/>
      <c r="K10" s="58"/>
    </row>
    <row r="11" customFormat="false" ht="15" hidden="false" customHeight="true" outlineLevel="0" collapsed="false">
      <c r="F11" s="48"/>
      <c r="G11" s="49" t="s">
        <v>38</v>
      </c>
      <c r="H11" s="47"/>
      <c r="K11" s="61"/>
    </row>
    <row r="12" customFormat="false" ht="15" hidden="false" customHeight="true" outlineLevel="0" collapsed="false">
      <c r="A12" s="60"/>
      <c r="B12" s="62"/>
      <c r="C12" s="60"/>
      <c r="D12" s="60"/>
      <c r="E12" s="60"/>
      <c r="F12" s="63"/>
      <c r="G12" s="3"/>
      <c r="K12" s="64"/>
    </row>
    <row r="13" customFormat="false" ht="15" hidden="false" customHeight="true" outlineLevel="0" collapsed="false">
      <c r="A13" s="65" t="s">
        <v>39</v>
      </c>
      <c r="F13" s="48"/>
      <c r="G13" s="3"/>
      <c r="I13" s="66" t="s">
        <v>82</v>
      </c>
      <c r="J13" s="165" t="n">
        <f aca="false">1500/324106.53*J28</f>
        <v>0</v>
      </c>
      <c r="K13" s="64"/>
    </row>
    <row r="14" customFormat="false" ht="15" hidden="false" customHeight="true" outlineLevel="0" collapsed="false">
      <c r="A14" s="68" t="s">
        <v>40</v>
      </c>
      <c r="B14" s="68"/>
      <c r="F14" s="48"/>
      <c r="I14" s="66" t="s">
        <v>83</v>
      </c>
      <c r="J14" s="166" t="n">
        <f aca="false">J28*1.1*0.026%</f>
        <v>0</v>
      </c>
      <c r="K14" s="64"/>
    </row>
    <row r="15" customFormat="false" ht="15" hidden="false" customHeight="true" outlineLevel="0" collapsed="false">
      <c r="F15" s="48"/>
      <c r="H15" s="50"/>
      <c r="I15" s="167"/>
      <c r="K15" s="64"/>
    </row>
    <row r="16" customFormat="false" ht="15" hidden="false" customHeight="true" outlineLevel="0" collapsed="false">
      <c r="A16" s="47" t="s">
        <v>41</v>
      </c>
      <c r="B16" s="47"/>
      <c r="C16" s="56"/>
      <c r="D16" s="47" t="s">
        <v>85</v>
      </c>
      <c r="E16" s="47"/>
      <c r="F16" s="69"/>
      <c r="G16" s="3"/>
      <c r="H16" s="66" t="s">
        <v>86</v>
      </c>
      <c r="I16" s="70" t="s">
        <v>95</v>
      </c>
      <c r="J16" s="50" t="s">
        <v>87</v>
      </c>
      <c r="K16" s="64"/>
    </row>
    <row r="17" customFormat="false" ht="15" hidden="false" customHeight="true" outlineLevel="0" collapsed="false">
      <c r="D17" s="71" t="s">
        <v>36</v>
      </c>
      <c r="E17" s="52"/>
      <c r="F17" s="48"/>
      <c r="H17" s="66" t="s">
        <v>88</v>
      </c>
      <c r="I17" s="168" t="n">
        <f aca="false">K28</f>
        <v>0</v>
      </c>
      <c r="J17" s="50" t="s">
        <v>89</v>
      </c>
      <c r="K17" s="64"/>
    </row>
    <row r="18" customFormat="false" ht="15" hidden="false" customHeight="true" outlineLevel="0" collapsed="false">
      <c r="A18" s="72" t="s">
        <v>70</v>
      </c>
      <c r="B18" s="72"/>
      <c r="C18" s="72"/>
      <c r="D18" s="73" t="s">
        <v>96</v>
      </c>
      <c r="E18" s="73"/>
      <c r="F18" s="73"/>
      <c r="H18" s="66" t="s">
        <v>90</v>
      </c>
      <c r="I18" s="168" t="n">
        <f aca="false">I17*1.1</f>
        <v>0</v>
      </c>
      <c r="J18" s="50" t="s">
        <v>89</v>
      </c>
      <c r="K18" s="64"/>
    </row>
    <row r="19" customFormat="false" ht="15" hidden="false" customHeight="true" outlineLevel="0" collapsed="false">
      <c r="A19" s="47" t="s">
        <v>43</v>
      </c>
      <c r="B19" s="47"/>
      <c r="C19" s="48"/>
      <c r="D19" s="47" t="s">
        <v>44</v>
      </c>
      <c r="E19" s="47"/>
      <c r="F19" s="69"/>
      <c r="K19" s="64"/>
    </row>
    <row r="20" customFormat="false" ht="15" hidden="false" customHeight="true" outlineLevel="0" collapsed="false">
      <c r="A20" s="1" t="s">
        <v>36</v>
      </c>
      <c r="C20" s="48"/>
      <c r="D20" s="1" t="s">
        <v>36</v>
      </c>
      <c r="F20" s="48"/>
      <c r="G20" s="1" t="s">
        <v>36</v>
      </c>
      <c r="K20" s="64"/>
    </row>
    <row r="21" customFormat="false" ht="15" hidden="false" customHeight="true" outlineLevel="0" collapsed="false">
      <c r="A21" s="74"/>
      <c r="B21" s="74"/>
      <c r="C21" s="74"/>
      <c r="D21" s="75"/>
      <c r="E21" s="75"/>
      <c r="F21" s="75"/>
      <c r="G21" s="60"/>
      <c r="H21" s="60"/>
      <c r="I21" s="60"/>
      <c r="J21" s="60"/>
      <c r="K21" s="76"/>
    </row>
    <row r="22" customFormat="false" ht="15" hidden="false" customHeight="true" outlineLevel="0" collapsed="false">
      <c r="A22" s="77" t="s">
        <v>45</v>
      </c>
      <c r="B22" s="77"/>
      <c r="C22" s="77"/>
      <c r="D22" s="78" t="s">
        <v>46</v>
      </c>
      <c r="E22" s="78"/>
      <c r="F22" s="78"/>
      <c r="G22" s="78" t="s">
        <v>47</v>
      </c>
      <c r="H22" s="78"/>
      <c r="I22" s="79" t="s">
        <v>48</v>
      </c>
      <c r="J22" s="80" t="s">
        <v>49</v>
      </c>
      <c r="K22" s="81"/>
    </row>
    <row r="23" customFormat="false" ht="15" hidden="false" customHeight="true" outlineLevel="0" collapsed="false">
      <c r="A23" s="1" t="s">
        <v>36</v>
      </c>
      <c r="C23" s="48"/>
      <c r="F23" s="48"/>
      <c r="H23" s="48"/>
      <c r="I23" s="48"/>
    </row>
    <row r="24" customFormat="false" ht="15" hidden="false" customHeight="true" outlineLevel="0" collapsed="false">
      <c r="A24" s="1" t="s">
        <v>36</v>
      </c>
      <c r="G24" s="82" t="s">
        <v>97</v>
      </c>
      <c r="H24" s="82"/>
      <c r="I24" s="82"/>
    </row>
    <row r="25" customFormat="false" ht="15" hidden="false" customHeight="true" outlineLevel="0" collapsed="false">
      <c r="A25" s="83"/>
      <c r="C25" s="3"/>
      <c r="F25" s="3"/>
      <c r="G25" s="3"/>
      <c r="H25" s="3"/>
      <c r="I25" s="3"/>
      <c r="J25" s="3"/>
      <c r="K25" s="84"/>
    </row>
    <row r="26" customFormat="false" ht="15" hidden="false" customHeight="true" outlineLevel="0" collapsed="false">
      <c r="A26" s="85"/>
      <c r="C26" s="3"/>
      <c r="D26" s="178" t="s">
        <v>98</v>
      </c>
      <c r="E26" s="178"/>
      <c r="F26" s="178"/>
      <c r="G26" s="178" t="s">
        <v>5</v>
      </c>
      <c r="H26" s="178" t="s">
        <v>6</v>
      </c>
      <c r="I26" s="178" t="s">
        <v>99</v>
      </c>
      <c r="J26" s="178" t="s">
        <v>100</v>
      </c>
      <c r="K26" s="179" t="s">
        <v>9</v>
      </c>
    </row>
    <row r="27" customFormat="false" ht="15" hidden="false" customHeight="true" outlineLevel="0" collapsed="false">
      <c r="A27" s="87"/>
      <c r="D27" s="28"/>
      <c r="E27" s="3"/>
      <c r="F27" s="170"/>
      <c r="G27" s="170"/>
      <c r="H27" s="171"/>
      <c r="I27" s="172"/>
      <c r="J27" s="173" t="n">
        <f aca="false">G27*I27</f>
        <v>0</v>
      </c>
      <c r="K27" s="180"/>
    </row>
    <row r="28" customFormat="false" ht="15" hidden="false" customHeight="true" outlineLevel="0" collapsed="false">
      <c r="A28" s="87"/>
      <c r="B28" s="88"/>
      <c r="C28" s="3"/>
      <c r="D28" s="160" t="s">
        <v>24</v>
      </c>
      <c r="E28" s="160"/>
      <c r="F28" s="160"/>
      <c r="G28" s="174"/>
      <c r="H28" s="175"/>
      <c r="I28" s="176"/>
      <c r="J28" s="177" t="n">
        <f aca="false">SUM(J27)</f>
        <v>0</v>
      </c>
      <c r="K28" s="181" t="n">
        <f aca="false">SUM(K27)</f>
        <v>0</v>
      </c>
    </row>
    <row r="29" customFormat="false" ht="15" hidden="false" customHeight="true" outlineLevel="0" collapsed="false">
      <c r="A29" s="87"/>
      <c r="B29" s="88"/>
      <c r="C29" s="3"/>
      <c r="D29" s="182"/>
      <c r="E29" s="182"/>
      <c r="F29" s="182"/>
      <c r="G29" s="183"/>
      <c r="H29" s="184"/>
      <c r="I29" s="185"/>
      <c r="J29" s="186"/>
      <c r="K29" s="86"/>
    </row>
    <row r="30" customFormat="false" ht="15" hidden="false" customHeight="true" outlineLevel="0" collapsed="false">
      <c r="A30" s="1" t="s">
        <v>101</v>
      </c>
      <c r="B30" s="88"/>
      <c r="D30" s="1" t="s">
        <v>102</v>
      </c>
      <c r="F30" s="1" t="s">
        <v>103</v>
      </c>
      <c r="H30" s="89"/>
      <c r="I30" s="90"/>
      <c r="J30" s="96"/>
    </row>
    <row r="31" customFormat="false" ht="18" hidden="false" customHeight="true" outlineLevel="0" collapsed="false">
      <c r="A31" s="187"/>
      <c r="B31" s="187"/>
      <c r="C31" s="187"/>
      <c r="D31" s="187"/>
      <c r="E31" s="187"/>
      <c r="F31" s="188"/>
      <c r="G31" s="188"/>
      <c r="H31" s="188"/>
      <c r="I31" s="188"/>
      <c r="J31" s="188"/>
      <c r="K31" s="188"/>
    </row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>
      <c r="A37" s="65" t="s">
        <v>55</v>
      </c>
      <c r="B37" s="65"/>
      <c r="C37" s="65"/>
      <c r="D37" s="65"/>
      <c r="E37" s="65"/>
      <c r="F37" s="65"/>
    </row>
    <row r="38" customFormat="false" ht="15" hidden="false" customHeight="true" outlineLevel="0" collapsed="false">
      <c r="A38" s="65" t="s">
        <v>56</v>
      </c>
      <c r="B38" s="65"/>
      <c r="C38" s="65"/>
      <c r="H38" s="97" t="s">
        <v>57</v>
      </c>
      <c r="I38" s="60"/>
      <c r="J38" s="60"/>
      <c r="K38" s="60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rintOptions headings="false" gridLines="false" gridLinesSet="true" horizontalCentered="true" verticalCentered="false"/>
  <pageMargins left="0.159722222222222" right="0.159722222222222" top="0.709722222222222" bottom="0.430555555555556" header="0.511811023622047" footer="0.240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2019-04-25T08:40:03Z</dcterms:created>
  <dc:creator>desktop-GULI604</dc:creator>
  <dc:description/>
  <dc:language>ko-KR</dc:language>
  <cp:lastModifiedBy/>
  <dcterms:modified xsi:type="dcterms:W3CDTF">2026-04-27T10:00:00Z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