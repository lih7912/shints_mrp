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20" yWindow="255" windowWidth="16860" windowHeight="10380"/>
  </bookViews>
  <sheets>
    <sheet sheetId="1" name="Sheet1" state="visible" r:id="rId4"/>
    <sheet sheetId="3" name="Sheet2" state="visible" r:id="rId5"/>
    <sheet sheetId="4" name="Sheet3" state="visible" r:id="rId6"/>
    <sheet sheetId="5" name="Sheet4" state="visible" r:id="rId7"/>
    <sheet sheetId="6" name="Sheet5" state="visible" r:id="rId8"/>
  </sheets>
  <definedNames>
    <definedName name="_xlnm.Print_Area" localSheetId="0">'Sheet1'!$A1:$AD167</definedName>
    <definedName name="_xlnm.Print_Titles" localSheetId="0">'Sheet1'!$9:$9</definedName>
    <definedName name="_xlnm.Print_Area" localSheetId="1">'Sheet2'!$A1:$AD167</definedName>
    <definedName name="_xlnm.Print_Titles" localSheetId="1">'Sheet2'!$9:$9</definedName>
    <definedName name="_xlnm.Print_Area" localSheetId="2">'Sheet3'!$A1:$AD167</definedName>
    <definedName name="_xlnm.Print_Titles" localSheetId="2">'Sheet3'!$9:$9</definedName>
    <definedName name="_xlnm.Print_Area" localSheetId="3">'Sheet4'!$A1:$AD167</definedName>
    <definedName name="_xlnm.Print_Titles" localSheetId="3">'Sheet4'!$9:$9</definedName>
    <definedName name="_xlnm.Print_Area" localSheetId="4">'Sheet5'!$A1:$AD167</definedName>
    <definedName name="_xlnm.Print_Titles" localSheetId="4">'Sheet5'!$9:$9</definedName>
  </definedNames>
  <calcPr calcId="171027"/>
</workbook>
</file>

<file path=xl/sharedStrings.xml><?xml version="1.0" encoding="utf-8"?>
<sst xmlns="http://schemas.openxmlformats.org/spreadsheetml/2006/main" count="1204" uniqueCount="431">
  <si>
    <t>NE 26FW N264WDW160-2 (최유진) W' 카이만 프로 롱기장 구스다운 점퍼</t>
  </si>
  <si>
    <t>20260526</t>
  </si>
  <si>
    <t>SEQ</t>
  </si>
  <si>
    <t>COLOR</t>
  </si>
  <si>
    <t>Q'TY</t>
  </si>
  <si>
    <t>BLACK (099)</t>
  </si>
  <si>
    <t>100</t>
  </si>
  <si>
    <t>No</t>
  </si>
  <si>
    <t>Code</t>
  </si>
  <si>
    <t>Description</t>
  </si>
  <si>
    <t>Color</t>
  </si>
  <si>
    <t>Spec.</t>
  </si>
  <si>
    <t>Unit</t>
  </si>
  <si>
    <t>Net</t>
  </si>
  <si>
    <t>Loss</t>
  </si>
  <si>
    <t>Gross</t>
  </si>
  <si>
    <t>Q'ty</t>
  </si>
  <si>
    <t>Total</t>
  </si>
  <si>
    <t>Price</t>
  </si>
  <si>
    <t>Reg Date</t>
  </si>
  <si>
    <t>Add rate</t>
  </si>
  <si>
    <t>Add loss</t>
  </si>
  <si>
    <t>Add amt</t>
  </si>
  <si>
    <t>Size</t>
  </si>
  <si>
    <t>Amount</t>
  </si>
  <si>
    <t>Amount($)</t>
  </si>
  <si>
    <t>U.Amt($/Unit)</t>
  </si>
  <si>
    <t>Usage</t>
  </si>
  <si>
    <t>Vendor</t>
  </si>
  <si>
    <t>Amt($)/Total</t>
  </si>
  <si>
    <t>STS Usd</t>
  </si>
  <si>
    <t>Usd Price</t>
  </si>
  <si>
    <t>Master Price</t>
  </si>
  <si>
    <t>M26-00206</t>
  </si>
  <si>
    <t>*</t>
  </si>
  <si>
    <t>KP-5257</t>
  </si>
  <si>
    <t>BLACK</t>
  </si>
  <si>
    <t>54/57" 폴리3050오토만/PE100</t>
  </si>
  <si>
    <t>YD</t>
  </si>
  <si>
    <t>20260122125719</t>
  </si>
  <si>
    <t>USD</t>
  </si>
  <si>
    <t/>
  </si>
  <si>
    <t>O/S G</t>
  </si>
  <si>
    <t>(KI)케이아이에스코퍼레이션</t>
  </si>
  <si>
    <t>M26-00215</t>
  </si>
  <si>
    <t>54/57" 폴리3050오토만/PE100 (for down repair)</t>
  </si>
  <si>
    <t>20260122125720</t>
  </si>
  <si>
    <t>for DOWN REPAIR</t>
  </si>
  <si>
    <t>M25-00387</t>
  </si>
  <si>
    <t>MJ-NFD152 DMPU</t>
  </si>
  <si>
    <t>54/56" 20D N100</t>
  </si>
  <si>
    <t>20250909115749</t>
  </si>
  <si>
    <t>(G) Lining</t>
  </si>
  <si>
    <t>(MJ)미지엔티</t>
  </si>
  <si>
    <t>S-45223</t>
  </si>
  <si>
    <t>T-387 BRUSHED TRICOT(FI0141)</t>
  </si>
  <si>
    <t>BLK</t>
  </si>
  <si>
    <t>58/60"</t>
  </si>
  <si>
    <t>20260522093851</t>
  </si>
  <si>
    <t>(G) Side pocket lining(plam and back hand), top of front flap, Inside pkt lining(Plam and back of hand part)</t>
  </si>
  <si>
    <t>IMPORT-K(DK TEX)</t>
  </si>
  <si>
    <t>(G) Inplacket top</t>
  </si>
  <si>
    <t>M25-00202</t>
  </si>
  <si>
    <t>EF-3703 (VELBOA)</t>
  </si>
  <si>
    <t xml:space="preserve">58/60" </t>
  </si>
  <si>
    <t>KRW</t>
  </si>
  <si>
    <t>(G) Inside collar</t>
  </si>
  <si>
    <t>M26-00656</t>
  </si>
  <si>
    <t>1X1 POLY SPUN YARN (14GG DOUBLE)</t>
  </si>
  <si>
    <t>[(L)28CM X (H)16CM (시접포함)] CUFF</t>
  </si>
  <si>
    <t>PC</t>
  </si>
  <si>
    <t>20260507114831</t>
  </si>
  <si>
    <t>(G) Cuff</t>
  </si>
  <si>
    <t>(DH)디에이치글로벌(구,동현상사)</t>
  </si>
  <si>
    <t>S25-79133</t>
  </si>
  <si>
    <t>EUROPEAN RDS GOOSE DOWN 80:20 (KS)</t>
  </si>
  <si>
    <t>GREY</t>
  </si>
  <si>
    <t>KG RDS</t>
  </si>
  <si>
    <t>KG</t>
  </si>
  <si>
    <t>20260127094051</t>
  </si>
  <si>
    <t>Filler (90: 275g KR)</t>
  </si>
  <si>
    <t>(GYF)광양훼더</t>
  </si>
  <si>
    <t>M25-01447</t>
  </si>
  <si>
    <t>P20D 400T DOWN BAG</t>
  </si>
  <si>
    <t>WHITE</t>
  </si>
  <si>
    <t>58" (unit:YD)</t>
  </si>
  <si>
    <t>20260305154029</t>
  </si>
  <si>
    <t xml:space="preserve">DOWN BAG(2 layer), Collar inside Velboa &amp; Side pkt lining (Plam and Back of hand) add 1 layer more. </t>
  </si>
  <si>
    <t>IMPORT-K(JENTEX)</t>
  </si>
  <si>
    <t>M23-04921</t>
  </si>
  <si>
    <t xml:space="preserve">NON ADHESIVE (1040S)     </t>
  </si>
  <si>
    <t>40"</t>
  </si>
  <si>
    <t>20260423171015</t>
  </si>
  <si>
    <t>Hood facing, front flap, Inner front flap, side pkt flap, Inside pkt flap, inside front facing</t>
  </si>
  <si>
    <t>FACTORY(VYMEX)</t>
  </si>
  <si>
    <t>M18-01166</t>
  </si>
  <si>
    <t>NEEDLE PUNCH</t>
  </si>
  <si>
    <t>WHT</t>
  </si>
  <si>
    <t>60" 1.5OZ</t>
  </si>
  <si>
    <t>20260520184937</t>
  </si>
  <si>
    <t>Inner front flap, cuff viso</t>
  </si>
  <si>
    <t>FACTORY(ABC Bac Ninh)</t>
  </si>
  <si>
    <t>M19-00544</t>
  </si>
  <si>
    <t>SEAL PADDING</t>
  </si>
  <si>
    <t>60" 6OZ</t>
  </si>
  <si>
    <t>20260402100215</t>
  </si>
  <si>
    <t>Hood front part</t>
  </si>
  <si>
    <t>M19-00542</t>
  </si>
  <si>
    <t>60" 4OZ</t>
  </si>
  <si>
    <t>20260402100026</t>
  </si>
  <si>
    <t>Front flap, Front zipper beside part(Under front flap), Reinforcement padding on back body top &amp; Sleeve top part)</t>
  </si>
  <si>
    <t>M19-00539</t>
  </si>
  <si>
    <t>20260402095937</t>
  </si>
  <si>
    <t>Side pkt flap (Folded = 3oz) , reinforcement for side pkt palm</t>
  </si>
  <si>
    <t>M19-00541</t>
  </si>
  <si>
    <t>60" 3OZ</t>
  </si>
  <si>
    <t>20260424131547</t>
  </si>
  <si>
    <t>Side pkt flap</t>
  </si>
  <si>
    <t>S26-11949</t>
  </si>
  <si>
    <t>#5 PL ZIP O/E 2-WAY(N) DA ZS-05/DAG ZS-05</t>
  </si>
  <si>
    <t>#580 BLACK</t>
  </si>
  <si>
    <t>80 CM</t>
  </si>
  <si>
    <t>20260416154848</t>
  </si>
  <si>
    <t>Front</t>
  </si>
  <si>
    <t>IMPORT-K(KOR YKK)</t>
  </si>
  <si>
    <t>S26-14122</t>
  </si>
  <si>
    <t>#3 NY ZIP C/E(N) REVERSE ZS-05</t>
  </si>
  <si>
    <t>23 CM T-B-0</t>
  </si>
  <si>
    <t>20260313105007</t>
  </si>
  <si>
    <t>(+1cm) Chest pkt</t>
  </si>
  <si>
    <t>S26-05103</t>
  </si>
  <si>
    <t>NATIONAL GEOGRAPHIC LOGO ZIPPER PULLER</t>
  </si>
  <si>
    <t>BLACK+YELLOW SQUARE</t>
  </si>
  <si>
    <t>#5 개발풀러</t>
  </si>
  <si>
    <t>20260514143017</t>
  </si>
  <si>
    <t>CF zip</t>
  </si>
  <si>
    <t>(BR)브래니티(구,인성클로웨어)</t>
  </si>
  <si>
    <t>S26-05104</t>
  </si>
  <si>
    <t>#3 개발풀러</t>
  </si>
  <si>
    <t>20260514143046</t>
  </si>
  <si>
    <t>Chest pkt zip</t>
  </si>
  <si>
    <t>S26-05109</t>
  </si>
  <si>
    <t>ZIPPER CAP</t>
  </si>
  <si>
    <t>#3 오리지널용 지퍼캡 (무지 퀄리티)</t>
  </si>
  <si>
    <t>20260327095819</t>
  </si>
  <si>
    <t>Chest pkt zip-top</t>
  </si>
  <si>
    <t>(PC)플라스틱컴퍼니</t>
  </si>
  <si>
    <t>S25-05834</t>
  </si>
  <si>
    <t>HIDDEN SNAP</t>
  </si>
  <si>
    <t>BLK MATTE (흑무광)</t>
  </si>
  <si>
    <t>15MM (A+B+C+D part +1washer) 장촉</t>
  </si>
  <si>
    <t>SET</t>
  </si>
  <si>
    <t>20260424084846</t>
  </si>
  <si>
    <t>F/F(7), Side pkt(2), inpkt(1)</t>
  </si>
  <si>
    <t>(MB)엠비에프지</t>
  </si>
  <si>
    <t>S26-05105</t>
  </si>
  <si>
    <t>NATIONAL GEIGRAPHIC LOGO TAPE</t>
  </si>
  <si>
    <t>YELLOW(+BK logo)</t>
  </si>
  <si>
    <t>TP-03-1</t>
  </si>
  <si>
    <t>20260327094431</t>
  </si>
  <si>
    <t>Inpocket</t>
  </si>
  <si>
    <t>S25-02703</t>
  </si>
  <si>
    <t>EYELET(N)</t>
  </si>
  <si>
    <t>#2 EY-01 (A+B+1washer)</t>
  </si>
  <si>
    <t>20260318150517</t>
  </si>
  <si>
    <t>(G) Hood</t>
  </si>
  <si>
    <t>S25-118970</t>
  </si>
  <si>
    <t>PLASTIC STOPPER</t>
  </si>
  <si>
    <t>SP-29</t>
  </si>
  <si>
    <t>20251112093727</t>
  </si>
  <si>
    <t>S25-113821</t>
  </si>
  <si>
    <t>BEAD STOPPER</t>
  </si>
  <si>
    <t>BD-05</t>
  </si>
  <si>
    <t>20251107172358</t>
  </si>
  <si>
    <t>S25-108714</t>
  </si>
  <si>
    <t>ELASTIC NYLON STRING</t>
  </si>
  <si>
    <t>3MM 12본 ES-04 (NON LOGO)</t>
  </si>
  <si>
    <t>20250804174810</t>
  </si>
  <si>
    <t>S25-02713</t>
  </si>
  <si>
    <t>VELCRO HOOK</t>
  </si>
  <si>
    <t>2 X 4.5 CM</t>
  </si>
  <si>
    <t>20250211111800</t>
  </si>
  <si>
    <t>S26-18486</t>
  </si>
  <si>
    <t>NATIONAL GEOGRAPHIC LOGO VELCRO LOOP</t>
  </si>
  <si>
    <t>2 X 8.5 CM (수입)</t>
  </si>
  <si>
    <t>20260327112209</t>
  </si>
  <si>
    <t>S26-05627</t>
  </si>
  <si>
    <t>COTTON PIPING CORD</t>
  </si>
  <si>
    <t>2MM</t>
  </si>
  <si>
    <t>20260408091924</t>
  </si>
  <si>
    <t>Side pkt facing</t>
  </si>
  <si>
    <t>S26-05473</t>
  </si>
  <si>
    <t>NATIONAL GEOGRAPHIC HANGERLOOP</t>
  </si>
  <si>
    <t>YELLOW</t>
  </si>
  <si>
    <t>10MM TP-06-1</t>
  </si>
  <si>
    <t>20260327095847</t>
  </si>
  <si>
    <t>Back neck</t>
  </si>
  <si>
    <t>S26-05221</t>
  </si>
  <si>
    <t xml:space="preserve">45'S/2 POLY CORE SPUN </t>
  </si>
  <si>
    <t>(KP-5257) BLACK</t>
  </si>
  <si>
    <t>2500M/C</t>
  </si>
  <si>
    <t>C</t>
  </si>
  <si>
    <t>20260429151359</t>
  </si>
  <si>
    <t>O/S quilting</t>
  </si>
  <si>
    <t>FACTORY(HANSUNG)</t>
  </si>
  <si>
    <t>O/S</t>
  </si>
  <si>
    <t>S26-05227</t>
  </si>
  <si>
    <t>60'S/3 POLYESTER SPUN</t>
  </si>
  <si>
    <t>5000M/C</t>
  </si>
  <si>
    <t>20260408124615</t>
  </si>
  <si>
    <t>O/S overlock (B)</t>
  </si>
  <si>
    <t>T-18207</t>
  </si>
  <si>
    <t>45'S/2 POLY CORE SPUN</t>
  </si>
  <si>
    <t>*WHITE</t>
  </si>
  <si>
    <t>20251216103654</t>
  </si>
  <si>
    <t>CHAN KEP TANG</t>
  </si>
  <si>
    <t>S25-03747</t>
  </si>
  <si>
    <t>(MJ-NFD152) BLACK</t>
  </si>
  <si>
    <t>20251021171832</t>
  </si>
  <si>
    <t>Lining overlock (B)</t>
  </si>
  <si>
    <t>S25-129877</t>
  </si>
  <si>
    <t>(T-387) BLACK</t>
  </si>
  <si>
    <t>20251212104522</t>
  </si>
  <si>
    <t>Pocketing</t>
  </si>
  <si>
    <t>S25-85134</t>
  </si>
  <si>
    <t>(ZIPPER) #Y1686 BLACK</t>
  </si>
  <si>
    <t>20250516005448</t>
  </si>
  <si>
    <t>Zipper</t>
  </si>
  <si>
    <t>S21-39454</t>
  </si>
  <si>
    <t>(VELCRO) BLACK</t>
  </si>
  <si>
    <t>20260330024132</t>
  </si>
  <si>
    <t>Velcro</t>
  </si>
  <si>
    <t>T-62451</t>
  </si>
  <si>
    <t>(WAPPEN)</t>
  </si>
  <si>
    <t>20211122114730</t>
  </si>
  <si>
    <t>Wappen</t>
  </si>
  <si>
    <t>S24-70108</t>
  </si>
  <si>
    <t>(MAIN LABEL) BK</t>
  </si>
  <si>
    <t>20250910182651</t>
  </si>
  <si>
    <t>Main label</t>
  </si>
  <si>
    <t>S25-85146</t>
  </si>
  <si>
    <t>(1X1 POLY SPUN YARN) BLACK</t>
  </si>
  <si>
    <t>20250418153616</t>
  </si>
  <si>
    <t>bo tay</t>
  </si>
  <si>
    <t>S25-85147</t>
  </si>
  <si>
    <t>(NATIONAL GEOGRAPHIC POINT LABEL) BK</t>
  </si>
  <si>
    <t>NATIONAL GEOGRAPHIC POINT LABEL</t>
  </si>
  <si>
    <t>S-45589</t>
  </si>
  <si>
    <t>20251202150648</t>
  </si>
  <si>
    <t>kep tang</t>
  </si>
  <si>
    <t>S25-84860</t>
  </si>
  <si>
    <t>NATIONAL GEOGRAPHIC EMBROIDERY</t>
  </si>
  <si>
    <t xml:space="preserve">#1188(YELLOW) + #1179(WHITE) </t>
  </si>
  <si>
    <t>5.3 CM</t>
  </si>
  <si>
    <t>20260421114856</t>
  </si>
  <si>
    <t>left chest, back right top</t>
  </si>
  <si>
    <t>FACTORY(COST)</t>
  </si>
  <si>
    <t>S23-60879</t>
  </si>
  <si>
    <t>75D/2 VISCOS (MARATHON)</t>
  </si>
  <si>
    <t>#1188</t>
  </si>
  <si>
    <t>20240722133755</t>
  </si>
  <si>
    <t>left chest emb #1188</t>
  </si>
  <si>
    <t>FACTORY(HAE SEOUNG TEXTILE Co.,Ltd-free)</t>
  </si>
  <si>
    <t>S25-84861</t>
  </si>
  <si>
    <t>#1179</t>
  </si>
  <si>
    <t>20250513155015</t>
  </si>
  <si>
    <t>left chest emb #1179</t>
  </si>
  <si>
    <t>S25-82662</t>
  </si>
  <si>
    <t>NATIONAL GEOGRAPHIC WAPPEN</t>
  </si>
  <si>
    <t>A-BK</t>
  </si>
  <si>
    <t>WP-42(小)</t>
  </si>
  <si>
    <t>20251121104141</t>
  </si>
  <si>
    <t>Left sleeve</t>
  </si>
  <si>
    <t>S25-75603</t>
  </si>
  <si>
    <t>B-BK</t>
  </si>
  <si>
    <t>(G) Left sleeve</t>
  </si>
  <si>
    <t>S26-08559</t>
  </si>
  <si>
    <t>BK</t>
  </si>
  <si>
    <t>25MM PL-112</t>
  </si>
  <si>
    <t>20260211171206</t>
  </si>
  <si>
    <t>Right side seam</t>
  </si>
  <si>
    <t>S25-05841</t>
  </si>
  <si>
    <t>PL-53-2</t>
  </si>
  <si>
    <t>20250527155308</t>
  </si>
  <si>
    <t>Inside right pocket</t>
  </si>
  <si>
    <t>S25-02744</t>
  </si>
  <si>
    <t>NATIONAL GEOGRAPHIC MAIN/SIZE LABEL</t>
  </si>
  <si>
    <t>100, L (ML-07 for WOM TOP)</t>
  </si>
  <si>
    <t>20250311093913</t>
  </si>
  <si>
    <t>Back lining</t>
  </si>
  <si>
    <t>S26-07348</t>
  </si>
  <si>
    <t>NATIONAL GEOGRAPHIC CARE LABEL</t>
  </si>
  <si>
    <t>-</t>
  </si>
  <si>
    <t>N264WDW160-1, BLACK, 100 (3pages)</t>
  </si>
  <si>
    <t>20260205180112</t>
  </si>
  <si>
    <t>Inside left seam</t>
  </si>
  <si>
    <t>(YS)유에스소프트</t>
  </si>
  <si>
    <t>S24-69794</t>
  </si>
  <si>
    <t xml:space="preserve">NATIONAL GEOGRAPHIC CAUTION LABEL </t>
  </si>
  <si>
    <t>50X15 이염주의라벨</t>
  </si>
  <si>
    <t>20250122111415</t>
  </si>
  <si>
    <t>only for BLACK colorway</t>
  </si>
  <si>
    <t>S24-69956</t>
  </si>
  <si>
    <t>NATIONAL GEOGRAPHIC CAUTION TAG</t>
  </si>
  <si>
    <t>단독세탁택</t>
  </si>
  <si>
    <t>S25-80007</t>
  </si>
  <si>
    <t>50X15 취급주의라벨(FUR,DOWN)</t>
  </si>
  <si>
    <t>20250306230814</t>
  </si>
  <si>
    <t>S25-89743</t>
  </si>
  <si>
    <t>53X81 DOWN&amp;FUR 취급주의택(국내-KOR)</t>
  </si>
  <si>
    <t>20250611151017</t>
  </si>
  <si>
    <t>KR(001)</t>
  </si>
  <si>
    <t>S25-89747</t>
  </si>
  <si>
    <t>53X81 DOWN&amp;FUR 취급주의택(해외-KOR/ENG)</t>
  </si>
  <si>
    <t>HK(100)</t>
  </si>
  <si>
    <t>CN(200)</t>
  </si>
  <si>
    <t>TW(300)</t>
  </si>
  <si>
    <t>MY(600)</t>
  </si>
  <si>
    <t>PH(700)</t>
  </si>
  <si>
    <t>S24-66373</t>
  </si>
  <si>
    <t>NATIONAL GEOGRAPHIC MAIN TAG</t>
  </si>
  <si>
    <t>(국내)</t>
  </si>
  <si>
    <t>S24-66327</t>
  </si>
  <si>
    <t>(100,300~800, GLOBAL)</t>
  </si>
  <si>
    <t>S24-69321</t>
  </si>
  <si>
    <t>(200-CHINA)</t>
  </si>
  <si>
    <t>20241126183251</t>
  </si>
  <si>
    <t>TH(500)</t>
  </si>
  <si>
    <t>ID(800)</t>
  </si>
  <si>
    <t>S24-66374</t>
  </si>
  <si>
    <t>NATIONAL GEOGRAPHIC TAG PIN</t>
  </si>
  <si>
    <t>S26-07354</t>
  </si>
  <si>
    <t>NATIONAL GEOGRAPHIC PRICE STICKER</t>
  </si>
  <si>
    <t>N264WDW160-1, BLACK, 100</t>
  </si>
  <si>
    <t>20260205180330</t>
  </si>
  <si>
    <t>On the main tag</t>
  </si>
  <si>
    <t>S25-80164</t>
  </si>
  <si>
    <t>NATIONAL GEOGRAPHIC POLY BAG</t>
  </si>
  <si>
    <t>70X100 오픈형 (NG-P5, For LONG JKT, DOWN)</t>
  </si>
  <si>
    <t>20250704161248</t>
  </si>
  <si>
    <t>(BW)부원산업</t>
  </si>
  <si>
    <t>S24-69327</t>
  </si>
  <si>
    <t>NATIONAL GEOGRAPHIC POLYBAG SIZE STICKER</t>
  </si>
  <si>
    <t>GREEN</t>
  </si>
  <si>
    <t>L (100, 81, 76)</t>
  </si>
  <si>
    <t>20241219110957</t>
  </si>
  <si>
    <t>S24-69313</t>
  </si>
  <si>
    <t>NATIONAL GEOGRAPHIC SECURITY SEAL</t>
  </si>
  <si>
    <t>only for GLOBAL order</t>
  </si>
  <si>
    <t>20250114150627</t>
  </si>
  <si>
    <t>2pcs/1carton (only for global order)</t>
  </si>
  <si>
    <t>S-07339</t>
  </si>
  <si>
    <t>OPP BOX TAPE PLAIN</t>
  </si>
  <si>
    <t>BROWN</t>
  </si>
  <si>
    <t>50MMx70yd(Changed from 60mm)</t>
  </si>
  <si>
    <t>RL</t>
  </si>
  <si>
    <t>20241223040051</t>
  </si>
  <si>
    <t>VND</t>
  </si>
  <si>
    <t>2/3 Brow to Korean</t>
  </si>
  <si>
    <t>FACTORY(MINHHONG-free)</t>
  </si>
  <si>
    <t>S22-29537</t>
  </si>
  <si>
    <t>RED</t>
  </si>
  <si>
    <t>50MMx70yd</t>
  </si>
  <si>
    <t>20250801045207</t>
  </si>
  <si>
    <t>Red to china</t>
  </si>
  <si>
    <t>S16-01532</t>
  </si>
  <si>
    <t>yellow to hong kong</t>
  </si>
  <si>
    <t>S14-32563</t>
  </si>
  <si>
    <t>20141210172331</t>
  </si>
  <si>
    <t>Green to Taiwan</t>
  </si>
  <si>
    <t>T-37554</t>
  </si>
  <si>
    <t>CLEAR</t>
  </si>
  <si>
    <t>50MMX70YD(Changed from 60mm)</t>
  </si>
  <si>
    <t>20250331110520</t>
  </si>
  <si>
    <t>Clear to Barcode all collorway,1/3 to korea</t>
  </si>
  <si>
    <t>T-103450</t>
  </si>
  <si>
    <t>OPP TAPE PLAIN</t>
  </si>
  <si>
    <t>12MMx80YD</t>
  </si>
  <si>
    <t>20241026135207</t>
  </si>
  <si>
    <t>poly bag</t>
  </si>
  <si>
    <t>S18-05073</t>
  </si>
  <si>
    <t>BOX</t>
  </si>
  <si>
    <t>630x410x450 (5 layers)</t>
  </si>
  <si>
    <t>20180307074655</t>
  </si>
  <si>
    <t>FACTORY(TOAN PHAT-free)</t>
  </si>
  <si>
    <t>S18-05074</t>
  </si>
  <si>
    <t>PAD</t>
  </si>
  <si>
    <t>440x290 (2layers)</t>
  </si>
  <si>
    <t>20241227191906</t>
  </si>
  <si>
    <t>S25-105035</t>
  </si>
  <si>
    <t>SILICAGEL</t>
  </si>
  <si>
    <t>10G</t>
  </si>
  <si>
    <t>20250801041742</t>
  </si>
  <si>
    <t>FACTORY(MINH NHAT CO.,LTD-FREE)</t>
  </si>
  <si>
    <t>S25-05616</t>
  </si>
  <si>
    <t>Box Corner Reinforcement Squares</t>
  </si>
  <si>
    <t>70x70x430mm</t>
  </si>
  <si>
    <t>20250219182059</t>
  </si>
  <si>
    <t>box corner</t>
  </si>
  <si>
    <t>S24-49119</t>
  </si>
  <si>
    <t>TISSUE PAPER</t>
  </si>
  <si>
    <t>85 X 45CM</t>
  </si>
  <si>
    <t>20240904100552</t>
  </si>
  <si>
    <t>packing</t>
  </si>
  <si>
    <t>FACTORY(TRUONG THANH-free)(tissue paper)</t>
  </si>
  <si>
    <t>S22-04632</t>
  </si>
  <si>
    <t>48 X 35CM</t>
  </si>
  <si>
    <t>20220310185539</t>
  </si>
  <si>
    <t>S25-81856</t>
  </si>
  <si>
    <t>HYPER CLEAN TAG</t>
  </si>
  <si>
    <t>20250513110350</t>
  </si>
  <si>
    <t>S25-81855</t>
  </si>
  <si>
    <t>ANTI-BACTERIA DOWN TAG</t>
  </si>
  <si>
    <t>S25-79134</t>
  </si>
  <si>
    <t>EUROPEAN GOOSE DOWN TAG</t>
  </si>
  <si>
    <t>S25-85159</t>
  </si>
  <si>
    <t>RDS DOWN TAG</t>
  </si>
  <si>
    <t>53X81</t>
  </si>
  <si>
    <t>20250422094708</t>
  </si>
  <si>
    <t>S25-87852</t>
  </si>
  <si>
    <t>NATIONAL GEOGRAPHIC DOWN REPAIR KIT</t>
  </si>
  <si>
    <t>국내(KOREAN VERSION)</t>
  </si>
  <si>
    <t>20250515121020</t>
  </si>
  <si>
    <t>(TL)태광엘앤티</t>
  </si>
  <si>
    <t>S25-87855</t>
  </si>
  <si>
    <t>해외(ENGLISH VERSION)</t>
  </si>
  <si>
    <t>Curr</t>
  </si>
  <si>
    <t>$Rate</t>
  </si>
  <si>
    <t>$chgAmount</t>
  </si>
  <si>
    <t>Sum</t>
  </si>
  <si>
    <t>Price($)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</si>
</sst>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"/>
    <numFmt numFmtId="165" formatCode="0.0000"/>
    <numFmt numFmtId="166" formatCode="#,##0.00_ "/>
    <numFmt numFmtId="167" formatCode="#,##0.0000_ "/>
    <numFmt numFmtId="168" formatCode="0_ "/>
  </numFmts>
  <fonts count="7" x14ac:knownFonts="1">
    <font>
      <color theme="1"/>
      <family val="2"/>
      <scheme val="minor"/>
      <sz val="11"/>
      <name val="Calibri"/>
    </font>
    <font>
      <charset val="129"/>
      <family val="3"/>
      <sz val="10"/>
      <name val="돋움"/>
    </font>
    <font>
      <charset val="129"/>
      <family val="3"/>
      <sz val="14"/>
      <name val="돋움"/>
    </font>
    <font>
      <charset val="129"/>
      <family val="3"/>
      <sz val="11"/>
      <name val="돋움"/>
    </font>
    <font>
      <charset val="129"/>
      <color theme="1"/>
      <family val="3"/>
      <sz val="11"/>
      <name val="돋움"/>
    </font>
    <font>
      <b/>
      <charset val="129"/>
      <family val="3"/>
      <sz val="10"/>
      <name val="돋움"/>
    </font>
    <font>
      <color rgb="FFFF0000"/>
      <sz val="10"/>
      <name val="Dotum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168" fontId="1" fillId="0" borderId="2" xfId="0" applyNumberFormat="1" applyFont="1" applyBorder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 applyProtection="1">
      <alignment horizontal="center" vertical="center"/>
      <protection locked="0"/>
    </xf>
    <xf numFmtId="168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 applyProtection="1">
      <alignment horizontal="left" vertical="center"/>
      <protection locked="0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167" fontId="5" fillId="0" borderId="3" xfId="0" applyNumberFormat="1" applyFont="1" applyBorder="1" applyAlignment="1">
      <alignment horizontal="left"/>
    </xf>
    <xf numFmtId="165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1"/>
  <sheetViews>
    <sheetView workbookViewId="0" showGridLines="0" zoomScale="100" zoomScaleNormal="100">
      <selection activeCell="E11" sqref="E11"/>
    </sheetView>
  </sheetViews>
  <sheetFormatPr defaultRowHeight="12" outlineLevelRow="0" outlineLevelCol="0" x14ac:dyDescent="0.15" customHeight="1"/>
  <cols>
    <col min="1" max="1" width="6.44140625" style="1" customWidth="1"/>
    <col min="2" max="2" width="7.77734375" style="2" customWidth="1"/>
    <col min="3" max="3" width="2.5546875" style="2" customWidth="1"/>
    <col min="4" max="4" width="7.77734375" style="2" customWidth="1"/>
    <col min="5" max="5" width="12.33203125" style="2" customWidth="1"/>
    <col min="6" max="6" width="7.77734375" style="2" customWidth="1"/>
    <col min="7" max="8" width="8.109375" style="2" customWidth="1"/>
    <col min="9" max="9" width="8.109375" style="3" customWidth="1"/>
    <col min="10" max="14" width="8.109375" style="2" customWidth="1"/>
    <col min="15" max="16" width="8.109375" style="4" customWidth="1"/>
    <col min="17" max="17" width="7.44140625" style="2" customWidth="1"/>
    <col min="18" max="19" width="7.88671875" style="2" customWidth="1"/>
    <col min="20" max="20" width="6.6640625" style="2" customWidth="1"/>
    <col min="21" max="21" width="6.6640625" style="5" customWidth="1"/>
    <col min="22" max="22" width="6.6640625" style="2" customWidth="1"/>
    <col min="23" max="23" width="7.77734375" style="3" customWidth="1"/>
    <col min="24" max="25" width="10.21875" style="6" customWidth="1"/>
    <col min="26" max="26" width="10.21875" style="7" customWidth="1"/>
    <col min="27" max="27" width="9.6640625" style="2" customWidth="1"/>
    <col min="28" max="28" width="7.77734375" style="2" customWidth="1"/>
    <col min="29" max="29" width="16.33203125" style="2" customWidth="1"/>
    <col min="30" max="30" width="10.5546875" style="7" customWidth="1"/>
    <col min="31" max="16384" width="8.88671875" style="2" customWidth="1"/>
  </cols>
  <sheetData>
    <row r="1" ht="18.75" customHeight="1" spans="1:26" x14ac:dyDescent="0.25">
      <c r="A1" s="8"/>
      <c r="D1" s="8" t="s">
        <v>0</v>
      </c>
      <c r="G1" s="9"/>
      <c r="H1" s="10"/>
      <c r="I1" s="2"/>
      <c r="J1" s="11"/>
      <c r="K1" s="12"/>
      <c r="L1" s="12"/>
      <c r="M1" s="10"/>
      <c r="N1" s="13"/>
      <c r="O1" s="13"/>
      <c r="P1" s="2"/>
      <c r="U1" s="2"/>
      <c r="W1" s="2"/>
      <c r="Z1" s="6"/>
    </row>
    <row r="2" ht="13.5" customHeight="1" spans="4:41" s="14" customFormat="1" x14ac:dyDescent="0.25">
      <c r="D2" s="14"/>
      <c r="G2" s="14"/>
      <c r="J2" s="15"/>
      <c r="K2" s="15"/>
      <c r="M2" s="9"/>
      <c r="N2" s="15"/>
      <c r="Q2" s="2"/>
      <c r="R2" s="2"/>
      <c r="S2" s="2"/>
      <c r="T2" s="2"/>
      <c r="U2" s="2"/>
      <c r="V2" s="2"/>
      <c r="W2" s="2"/>
      <c r="X2" s="6"/>
      <c r="Y2" s="6"/>
      <c r="Z2" s="6"/>
      <c r="AA2" s="2" t="s">
        <v>1</v>
      </c>
      <c r="AB2" s="2"/>
      <c r="AC2" s="2"/>
      <c r="AD2" s="7"/>
      <c r="AE2" s="2"/>
      <c r="AF2" s="2"/>
      <c r="AG2" s="2"/>
      <c r="AH2" s="14"/>
      <c r="AI2" s="14"/>
      <c r="AJ2" s="14"/>
      <c r="AK2" s="14"/>
      <c r="AL2" s="14"/>
      <c r="AM2" s="14"/>
      <c r="AN2" s="14"/>
      <c r="AO2" s="14"/>
    </row>
    <row r="3" ht="7.5" customHeight="1" spans="6:41" s="14" customFormat="1" x14ac:dyDescent="0.25">
      <c r="F3" s="14"/>
      <c r="G3" s="16"/>
      <c r="H3" s="14"/>
      <c r="I3" s="14"/>
      <c r="J3" s="14"/>
      <c r="K3" s="14"/>
      <c r="L3" s="14"/>
      <c r="M3" s="16"/>
      <c r="P3" s="9"/>
      <c r="Q3" s="2"/>
      <c r="R3" s="2"/>
      <c r="S3" s="2"/>
      <c r="T3" s="2"/>
      <c r="U3" s="2"/>
      <c r="V3" s="2"/>
      <c r="W3" s="17"/>
      <c r="X3" s="18"/>
      <c r="Y3" s="18"/>
      <c r="Z3" s="18"/>
      <c r="AA3" s="2"/>
      <c r="AB3" s="2"/>
      <c r="AC3" s="2"/>
      <c r="AD3" s="7"/>
      <c r="AE3" s="17"/>
      <c r="AF3" s="2"/>
      <c r="AG3" s="2"/>
      <c r="AH3" s="14"/>
      <c r="AI3" s="14"/>
      <c r="AJ3" s="14"/>
      <c r="AK3" s="14"/>
      <c r="AL3" s="14"/>
      <c r="AM3" s="14"/>
      <c r="AN3" s="14"/>
      <c r="AO3" s="14"/>
    </row>
    <row r="4" spans="4:30" s="19" customFormat="1" x14ac:dyDescent="0.25">
      <c r="D4" s="20" t="s">
        <v>2</v>
      </c>
      <c r="E4" s="20" t="s">
        <v>3</v>
      </c>
      <c r="F4" s="20" t="s">
        <v>4</v>
      </c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2"/>
      <c r="Y4" s="22"/>
      <c r="Z4" s="22"/>
      <c r="AA4" s="21"/>
      <c r="AB4" s="21"/>
      <c r="AD4" s="23"/>
    </row>
    <row r="5" spans="4:30" s="2" customFormat="1" x14ac:dyDescent="0.25">
      <c r="D5" s="24">
        <v>1</v>
      </c>
      <c r="E5" s="25" t="s">
        <v>5</v>
      </c>
      <c r="F5" s="26" t="s">
        <v>6</v>
      </c>
      <c r="G5" s="27" t="s">
        <v>6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2"/>
      <c r="Y5" s="22"/>
      <c r="Z5" s="22"/>
      <c r="AA5" s="27"/>
      <c r="AB5" s="28"/>
      <c r="AD5" s="7"/>
    </row>
    <row r="6" spans="4:30" s="2" customFormat="1" x14ac:dyDescent="0.25">
      <c r="D6" s="24"/>
      <c r="E6" s="2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9"/>
      <c r="R6" s="29"/>
      <c r="S6" s="29"/>
      <c r="T6" s="29"/>
      <c r="U6" s="29"/>
      <c r="V6" s="29"/>
      <c r="W6" s="29"/>
      <c r="X6" s="30"/>
      <c r="Y6" s="30"/>
      <c r="Z6" s="30"/>
      <c r="AA6" s="29"/>
      <c r="AB6" s="31"/>
      <c r="AC6" s="4"/>
      <c r="AD6" s="7"/>
    </row>
    <row r="7" ht="13.5" customHeight="1" spans="4:33" s="32" customFormat="1" x14ac:dyDescent="0.25">
      <c r="D7" s="33"/>
      <c r="E7" s="33"/>
      <c r="F7" s="34">
        <f>SUM(F5:F6)</f>
        <v>0</v>
      </c>
      <c r="G7" s="34">
        <f>SUM(G5:G6)</f>
        <v>0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2"/>
      <c r="Y7" s="22"/>
      <c r="Z7" s="22"/>
      <c r="AA7" s="27"/>
      <c r="AB7" s="21"/>
      <c r="AC7" s="35"/>
      <c r="AD7" s="23"/>
      <c r="AE7" s="35"/>
      <c r="AF7" s="35"/>
      <c r="AG7" s="35"/>
    </row>
    <row r="8" spans="1:29" x14ac:dyDescent="0.25">
      <c r="A8" s="36"/>
      <c r="B8" s="17"/>
      <c r="C8" s="36"/>
      <c r="D8" s="17"/>
      <c r="E8" s="36"/>
      <c r="F8" s="17"/>
      <c r="G8" s="36"/>
      <c r="H8" s="17"/>
      <c r="I8" s="36"/>
      <c r="J8" s="17"/>
      <c r="K8" s="36"/>
      <c r="L8" s="17"/>
      <c r="M8" s="36"/>
      <c r="N8" s="17"/>
      <c r="O8" s="36"/>
      <c r="P8" s="17"/>
      <c r="Q8" s="36"/>
      <c r="R8" s="36"/>
      <c r="S8" s="36"/>
      <c r="T8" s="17"/>
      <c r="U8" s="17"/>
      <c r="V8" s="17"/>
      <c r="W8" s="36"/>
      <c r="X8" s="18"/>
      <c r="Y8" s="18"/>
      <c r="Z8" s="18"/>
      <c r="AA8" s="36"/>
      <c r="AB8" s="17"/>
      <c r="AC8" s="25"/>
    </row>
    <row r="9" ht="12.75" customHeight="1" spans="1:33" s="17" customFormat="1" x14ac:dyDescent="0.25">
      <c r="A9" s="37" t="s">
        <v>7</v>
      </c>
      <c r="B9" s="37" t="s">
        <v>8</v>
      </c>
      <c r="C9" s="38">
        <v>1</v>
      </c>
      <c r="D9" s="37" t="s">
        <v>9</v>
      </c>
      <c r="E9" s="37"/>
      <c r="F9" s="37"/>
      <c r="G9" s="37" t="s">
        <v>10</v>
      </c>
      <c r="H9" s="37"/>
      <c r="I9" s="37" t="s">
        <v>11</v>
      </c>
      <c r="J9" s="37"/>
      <c r="K9" s="37" t="s">
        <v>12</v>
      </c>
      <c r="L9" s="39" t="s">
        <v>13</v>
      </c>
      <c r="M9" s="39" t="s">
        <v>14</v>
      </c>
      <c r="N9" s="39" t="s">
        <v>15</v>
      </c>
      <c r="O9" s="37" t="s">
        <v>16</v>
      </c>
      <c r="P9" s="37" t="s">
        <v>17</v>
      </c>
      <c r="Q9" s="37" t="s">
        <v>18</v>
      </c>
      <c r="R9" s="37" t="s">
        <v>19</v>
      </c>
      <c r="S9" s="37" t="s">
        <v>20</v>
      </c>
      <c r="T9" s="37" t="s">
        <v>21</v>
      </c>
      <c r="U9" s="37" t="s">
        <v>22</v>
      </c>
      <c r="V9" s="37"/>
      <c r="W9" s="37" t="s">
        <v>23</v>
      </c>
      <c r="X9" s="40" t="s">
        <v>24</v>
      </c>
      <c r="Y9" s="40" t="s">
        <v>25</v>
      </c>
      <c r="Z9" s="40" t="s">
        <v>26</v>
      </c>
      <c r="AA9" s="37" t="s">
        <v>27</v>
      </c>
      <c r="AB9" s="37"/>
      <c r="AC9" s="41" t="s">
        <v>28</v>
      </c>
      <c r="AD9" s="42" t="s">
        <v>29</v>
      </c>
      <c r="AE9" s="17" t="s">
        <v>30</v>
      </c>
      <c r="AF9" s="17" t="s">
        <v>31</v>
      </c>
      <c r="AG9" s="17" t="s">
        <v>32</v>
      </c>
    </row>
    <row r="10" ht="12.75" customHeight="1" spans="1:33" x14ac:dyDescent="0.25">
      <c r="A10" s="1">
        <v>1</v>
      </c>
      <c r="B10" s="2" t="s">
        <v>33</v>
      </c>
      <c r="C10" s="2" t="s">
        <v>34</v>
      </c>
      <c r="D10" s="2" t="s">
        <v>35</v>
      </c>
      <c r="G10" s="2" t="s">
        <v>36</v>
      </c>
      <c r="I10" s="3" t="s">
        <v>37</v>
      </c>
      <c r="K10" s="2" t="s">
        <v>38</v>
      </c>
      <c r="L10" s="5">
        <v>3.2</v>
      </c>
      <c r="M10" s="5">
        <v>0.3</v>
      </c>
      <c r="N10" s="5">
        <f>L10*(1+(M10/100))</f>
      </c>
      <c r="O10" s="4">
        <v>100</v>
      </c>
      <c r="P10" s="4">
        <f>ROUNDUP(N10*O10,0)</f>
      </c>
      <c r="Q10" s="43">
        <v>0</v>
      </c>
      <c r="R10" s="2" t="s">
        <v>39</v>
      </c>
      <c r="S10" s="2">
        <v>4</v>
      </c>
      <c r="T10" s="2">
        <v>0</v>
      </c>
      <c r="U10" s="5">
        <v>0</v>
      </c>
      <c r="V10" s="2" t="s">
        <v>40</v>
      </c>
      <c r="W10" s="3" t="s">
        <v>41</v>
      </c>
      <c r="X10" s="6">
        <f>P10*(Q10+U10)*(1+S10/100)*(1+T10/100)</f>
      </c>
      <c r="Y10" s="6">
        <f>X10 / VLOOKUP(V10,$W$109:$Y$111,3)</f>
      </c>
      <c r="Z10" s="7">
        <f>Y10/O10</f>
      </c>
      <c r="AA10" s="2" t="s">
        <v>42</v>
      </c>
      <c r="AC10" s="2" t="s">
        <v>43</v>
      </c>
      <c r="AD10" s="7">
        <f t="shared" ref="AD10:AD73" si="0">IF(P10 = "", "", Y10/P10)</f>
      </c>
      <c r="AE10" s="2">
        <v>0</v>
      </c>
      <c r="AF10" s="2">
        <v>0</v>
      </c>
      <c r="AG10" s="2">
        <v>2.2</v>
      </c>
    </row>
    <row r="11" spans="1:33" x14ac:dyDescent="0.25">
      <c r="A11" s="1">
        <v>2</v>
      </c>
      <c r="B11" s="2" t="s">
        <v>44</v>
      </c>
      <c r="C11" s="2" t="s">
        <v>34</v>
      </c>
      <c r="D11" s="2" t="s">
        <v>35</v>
      </c>
      <c r="G11" s="2" t="s">
        <v>36</v>
      </c>
      <c r="I11" s="3" t="s">
        <v>45</v>
      </c>
      <c r="K11" s="2" t="s">
        <v>38</v>
      </c>
      <c r="L11" s="5">
        <v>0.01</v>
      </c>
      <c r="M11" s="2">
        <v>0</v>
      </c>
      <c r="N11" s="5">
        <f>L11*(1+(M11/100))</f>
      </c>
      <c r="O11" s="4">
        <v>100</v>
      </c>
      <c r="P11" s="4">
        <f>ROUNDUP(N11*O11,0)</f>
      </c>
      <c r="Q11" s="43">
        <v>0</v>
      </c>
      <c r="R11" s="2" t="s">
        <v>46</v>
      </c>
      <c r="S11" s="2">
        <v>4</v>
      </c>
      <c r="T11" s="2">
        <v>0</v>
      </c>
      <c r="U11" s="5">
        <v>0</v>
      </c>
      <c r="V11" s="2" t="s">
        <v>40</v>
      </c>
      <c r="W11" s="3" t="s">
        <v>41</v>
      </c>
      <c r="X11" s="6">
        <f>P11*(Q11+U11)*(1+S11/100)*(1+T11/100)</f>
      </c>
      <c r="Y11" s="6">
        <f>X11 / VLOOKUP(V11,$W$109:$Y$111,3)</f>
      </c>
      <c r="Z11" s="7">
        <f>Y11/O11</f>
      </c>
      <c r="AA11" s="2" t="s">
        <v>47</v>
      </c>
      <c r="AC11" s="2" t="s">
        <v>43</v>
      </c>
      <c r="AD11" s="7">
        <f t="shared" si="0"/>
      </c>
      <c r="AE11" s="2">
        <v>0</v>
      </c>
      <c r="AF11" s="2">
        <v>0</v>
      </c>
      <c r="AG11" s="2">
        <v>2.2</v>
      </c>
    </row>
    <row r="12" spans="1:33" x14ac:dyDescent="0.25">
      <c r="A12" s="1">
        <v>3</v>
      </c>
      <c r="B12" s="2" t="s">
        <v>48</v>
      </c>
      <c r="C12" s="2" t="s">
        <v>34</v>
      </c>
      <c r="D12" s="2" t="s">
        <v>49</v>
      </c>
      <c r="G12" s="2" t="s">
        <v>36</v>
      </c>
      <c r="I12" s="3" t="s">
        <v>50</v>
      </c>
      <c r="K12" s="2" t="s">
        <v>38</v>
      </c>
      <c r="L12" s="5">
        <v>1.92</v>
      </c>
      <c r="M12" s="2">
        <v>0.3</v>
      </c>
      <c r="N12" s="5">
        <f>L12*(1+(M12/100))</f>
      </c>
      <c r="O12" s="4">
        <v>100</v>
      </c>
      <c r="P12" s="4">
        <f>ROUNDUP(N12*O12,0)</f>
      </c>
      <c r="Q12" s="5">
        <v>1.17</v>
      </c>
      <c r="R12" s="2" t="s">
        <v>51</v>
      </c>
      <c r="S12" s="2">
        <v>4</v>
      </c>
      <c r="T12" s="2">
        <v>0</v>
      </c>
      <c r="U12" s="5">
        <v>0</v>
      </c>
      <c r="V12" s="2" t="s">
        <v>40</v>
      </c>
      <c r="W12" s="3" t="s">
        <v>41</v>
      </c>
      <c r="X12" s="6">
        <f>P12*(Q12+U12)*(1+S12/100)*(1+T12/100)</f>
      </c>
      <c r="Y12" s="6">
        <f>X12 / VLOOKUP(V12,$W$109:$Y$111,3)</f>
      </c>
      <c r="Z12" s="7">
        <f>Y12/O12</f>
      </c>
      <c r="AA12" s="2" t="s">
        <v>52</v>
      </c>
      <c r="AC12" s="2" t="s">
        <v>53</v>
      </c>
      <c r="AD12" s="7">
        <f t="shared" si="0"/>
      </c>
      <c r="AE12" s="2">
        <v>1.17</v>
      </c>
      <c r="AF12" s="2">
        <v>1.17</v>
      </c>
      <c r="AG12" s="2">
        <v>1.17</v>
      </c>
    </row>
    <row r="13" spans="1:33" x14ac:dyDescent="0.25">
      <c r="A13" s="1">
        <v>4</v>
      </c>
      <c r="B13" s="2" t="s">
        <v>54</v>
      </c>
      <c r="C13" s="2" t="s">
        <v>34</v>
      </c>
      <c r="D13" s="2" t="s">
        <v>55</v>
      </c>
      <c r="G13" s="2" t="s">
        <v>56</v>
      </c>
      <c r="I13" s="3" t="s">
        <v>57</v>
      </c>
      <c r="K13" s="2" t="s">
        <v>38</v>
      </c>
      <c r="L13" s="5">
        <v>0.393</v>
      </c>
      <c r="M13" s="2">
        <v>0.3</v>
      </c>
      <c r="N13" s="5">
        <f>L13*(1+(M13/100))</f>
      </c>
      <c r="O13" s="4">
        <v>100</v>
      </c>
      <c r="P13" s="4">
        <f>ROUNDUP(N13*O13,0)</f>
      </c>
      <c r="Q13" s="5">
        <v>1.4500000000000002</v>
      </c>
      <c r="R13" s="2" t="s">
        <v>58</v>
      </c>
      <c r="S13" s="2">
        <v>4</v>
      </c>
      <c r="T13" s="2">
        <v>0</v>
      </c>
      <c r="U13" s="5">
        <v>0</v>
      </c>
      <c r="V13" s="2" t="s">
        <v>40</v>
      </c>
      <c r="W13" s="3" t="s">
        <v>41</v>
      </c>
      <c r="X13" s="6">
        <f>P13*(Q13+U13)*(1+S13/100)*(1+T13/100)</f>
      </c>
      <c r="Y13" s="6">
        <f>X13 / VLOOKUP(V13,$W$109:$Y$111,3)</f>
      </c>
      <c r="Z13" s="7">
        <f>Y13/O13</f>
      </c>
      <c r="AA13" s="2" t="s">
        <v>59</v>
      </c>
      <c r="AC13" s="2" t="s">
        <v>60</v>
      </c>
      <c r="AD13" s="7">
        <f t="shared" si="0"/>
      </c>
      <c r="AE13" s="2">
        <v>1.4500000000000002</v>
      </c>
      <c r="AF13" s="2">
        <v>1.4500000000000002</v>
      </c>
      <c r="AG13" s="2">
        <v>1700</v>
      </c>
    </row>
    <row r="14" spans="1:33" x14ac:dyDescent="0.25">
      <c r="A14" s="1">
        <v>5</v>
      </c>
      <c r="B14" s="2" t="s">
        <v>54</v>
      </c>
      <c r="C14" s="2" t="s">
        <v>34</v>
      </c>
      <c r="D14" s="2" t="s">
        <v>55</v>
      </c>
      <c r="G14" s="2" t="s">
        <v>56</v>
      </c>
      <c r="I14" s="3" t="s">
        <v>57</v>
      </c>
      <c r="K14" s="2" t="s">
        <v>38</v>
      </c>
      <c r="L14" s="5">
        <v>0.01</v>
      </c>
      <c r="M14" s="2">
        <v>0.3</v>
      </c>
      <c r="N14" s="5">
        <f>L14*(1+(M14/100))</f>
      </c>
      <c r="O14" s="4">
        <v>100</v>
      </c>
      <c r="P14" s="4">
        <f>ROUNDUP(N14*O14,0)</f>
      </c>
      <c r="Q14" s="5">
        <v>1.4500000000000002</v>
      </c>
      <c r="R14" s="2" t="s">
        <v>58</v>
      </c>
      <c r="S14" s="2">
        <v>4</v>
      </c>
      <c r="T14" s="2">
        <v>0</v>
      </c>
      <c r="U14" s="5">
        <v>0</v>
      </c>
      <c r="V14" s="2" t="s">
        <v>40</v>
      </c>
      <c r="W14" s="3" t="s">
        <v>41</v>
      </c>
      <c r="X14" s="6">
        <f>P14*(Q14+U14)*(1+S14/100)*(1+T14/100)</f>
      </c>
      <c r="Y14" s="6">
        <f>X14 / VLOOKUP(V14,$W$109:$Y$111,3)</f>
      </c>
      <c r="Z14" s="7">
        <f>Y14/O14</f>
      </c>
      <c r="AA14" s="2" t="s">
        <v>61</v>
      </c>
      <c r="AC14" s="2" t="s">
        <v>60</v>
      </c>
      <c r="AD14" s="7">
        <f t="shared" si="0"/>
      </c>
      <c r="AE14" s="2">
        <v>1.4500000000000002</v>
      </c>
      <c r="AF14" s="2">
        <v>1.4500000000000002</v>
      </c>
      <c r="AG14" s="2">
        <v>1700</v>
      </c>
    </row>
    <row r="15" spans="1:33" x14ac:dyDescent="0.25">
      <c r="A15" s="1">
        <v>6</v>
      </c>
      <c r="B15" s="2" t="s">
        <v>62</v>
      </c>
      <c r="C15" s="2" t="s">
        <v>34</v>
      </c>
      <c r="D15" s="2" t="s">
        <v>63</v>
      </c>
      <c r="G15" s="2" t="s">
        <v>36</v>
      </c>
      <c r="I15" s="3" t="s">
        <v>64</v>
      </c>
      <c r="K15" s="2" t="s">
        <v>38</v>
      </c>
      <c r="L15" s="5">
        <v>0.056</v>
      </c>
      <c r="M15" s="2">
        <v>0.3</v>
      </c>
      <c r="N15" s="5">
        <f>L15*(1+(M15/100))</f>
      </c>
      <c r="O15" s="4">
        <v>100</v>
      </c>
      <c r="P15" s="4">
        <f>ROUNDUP(N15*O15,0)</f>
      </c>
      <c r="Q15" s="43">
        <v>0</v>
      </c>
      <c r="R15" s="2" t="s">
        <v>58</v>
      </c>
      <c r="S15" s="2">
        <v>4</v>
      </c>
      <c r="T15" s="2">
        <v>0</v>
      </c>
      <c r="U15" s="5">
        <v>0</v>
      </c>
      <c r="V15" s="2" t="s">
        <v>65</v>
      </c>
      <c r="W15" s="3" t="s">
        <v>41</v>
      </c>
      <c r="X15" s="6">
        <f>P15*(Q15+U15)*(1+S15/100)*(1+T15/100)</f>
      </c>
      <c r="Y15" s="6">
        <f>X15 / VLOOKUP(V15,$W$109:$Y$111,3)</f>
      </c>
      <c r="Z15" s="7">
        <f>Y15/O15</f>
      </c>
      <c r="AA15" s="2" t="s">
        <v>66</v>
      </c>
      <c r="AC15" s="2" t="s">
        <v>60</v>
      </c>
      <c r="AD15" s="7">
        <f t="shared" si="0"/>
      </c>
      <c r="AE15" s="2">
        <v>0</v>
      </c>
      <c r="AF15" s="2">
        <v>0</v>
      </c>
      <c r="AG15" s="2">
        <v>3900</v>
      </c>
    </row>
    <row r="16" spans="1:33" x14ac:dyDescent="0.25">
      <c r="A16" s="1">
        <v>7</v>
      </c>
      <c r="B16" s="2" t="s">
        <v>67</v>
      </c>
      <c r="C16" s="2" t="s">
        <v>34</v>
      </c>
      <c r="D16" s="2" t="s">
        <v>68</v>
      </c>
      <c r="G16" s="2" t="s">
        <v>36</v>
      </c>
      <c r="I16" s="3" t="s">
        <v>69</v>
      </c>
      <c r="K16" s="2" t="s">
        <v>70</v>
      </c>
      <c r="L16" s="5">
        <v>2</v>
      </c>
      <c r="M16" s="2">
        <v>0</v>
      </c>
      <c r="N16" s="5">
        <f>L16*(1+(M16/100))</f>
      </c>
      <c r="O16" s="4">
        <v>100</v>
      </c>
      <c r="P16" s="4">
        <f>ROUNDUP(N16*O16,0)</f>
      </c>
      <c r="Q16" s="43">
        <v>0</v>
      </c>
      <c r="R16" s="2" t="s">
        <v>71</v>
      </c>
      <c r="S16" s="2">
        <v>4</v>
      </c>
      <c r="T16" s="2">
        <v>0</v>
      </c>
      <c r="U16" s="5">
        <v>0</v>
      </c>
      <c r="V16" s="2" t="s">
        <v>65</v>
      </c>
      <c r="W16" s="3" t="s">
        <v>6</v>
      </c>
      <c r="X16" s="6">
        <f>P16*(Q16+U16)*(1+S16/100)*(1+T16/100)</f>
      </c>
      <c r="Y16" s="6">
        <f>X16 / VLOOKUP(V16,$W$109:$Y$111,3)</f>
      </c>
      <c r="Z16" s="7">
        <f>Y16/O16</f>
      </c>
      <c r="AA16" s="2" t="s">
        <v>72</v>
      </c>
      <c r="AC16" s="2" t="s">
        <v>73</v>
      </c>
      <c r="AD16" s="7">
        <f t="shared" si="0"/>
      </c>
      <c r="AE16" s="2">
        <v>0</v>
      </c>
      <c r="AF16" s="2">
        <v>0</v>
      </c>
      <c r="AG16" s="2">
        <v>950</v>
      </c>
    </row>
    <row r="17" spans="1:33" x14ac:dyDescent="0.25">
      <c r="A17" s="1">
        <v>8</v>
      </c>
      <c r="B17" s="2" t="s">
        <v>74</v>
      </c>
      <c r="C17" s="2" t="s">
        <v>34</v>
      </c>
      <c r="D17" s="2" t="s">
        <v>75</v>
      </c>
      <c r="G17" s="2" t="s">
        <v>76</v>
      </c>
      <c r="I17" s="2" t="s">
        <v>77</v>
      </c>
      <c r="K17" s="2" t="s">
        <v>78</v>
      </c>
      <c r="L17" s="5">
        <v>0.2873</v>
      </c>
      <c r="M17" s="2">
        <v>0</v>
      </c>
      <c r="N17" s="5">
        <f>L17*(1+(M17/100))</f>
      </c>
      <c r="O17" s="4">
        <v>100</v>
      </c>
      <c r="P17" s="2">
        <f>ROUNDUP(N17*O17,0)</f>
      </c>
      <c r="Q17" s="43">
        <v>0</v>
      </c>
      <c r="R17" s="2" t="s">
        <v>79</v>
      </c>
      <c r="S17" s="2">
        <v>4</v>
      </c>
      <c r="T17" s="2">
        <v>0</v>
      </c>
      <c r="U17" s="5">
        <v>0</v>
      </c>
      <c r="V17" s="2" t="s">
        <v>40</v>
      </c>
      <c r="W17" s="2" t="s">
        <v>41</v>
      </c>
      <c r="X17" s="2">
        <f>P17*(Q17+U17)*(1+S17/100)*(1+T17/100)</f>
      </c>
      <c r="Y17" s="2">
        <f>X17 / VLOOKUP(V17,$W$109:$Y$111,3)</f>
      </c>
      <c r="Z17" s="2">
        <f>Y17/O17</f>
      </c>
      <c r="AA17" s="2" t="s">
        <v>80</v>
      </c>
      <c r="AC17" s="2" t="s">
        <v>81</v>
      </c>
      <c r="AD17" s="7">
        <f t="shared" si="0"/>
      </c>
      <c r="AE17" s="2">
        <v>0</v>
      </c>
      <c r="AF17" s="2">
        <v>0</v>
      </c>
      <c r="AG17" s="2">
        <v>83.3</v>
      </c>
    </row>
    <row r="18" spans="1:33" x14ac:dyDescent="0.25">
      <c r="A18" s="1">
        <v>9</v>
      </c>
      <c r="B18" s="2" t="s">
        <v>82</v>
      </c>
      <c r="C18" s="2" t="s">
        <v>34</v>
      </c>
      <c r="D18" s="2" t="s">
        <v>83</v>
      </c>
      <c r="G18" s="2" t="s">
        <v>84</v>
      </c>
      <c r="I18" s="2" t="s">
        <v>85</v>
      </c>
      <c r="K18" s="2" t="s">
        <v>38</v>
      </c>
      <c r="L18" s="5">
        <v>4.705</v>
      </c>
      <c r="M18" s="2">
        <v>0.3</v>
      </c>
      <c r="N18" s="5">
        <f>L18*(1+(M18/100))</f>
      </c>
      <c r="O18" s="4">
        <v>100</v>
      </c>
      <c r="P18" s="2">
        <f>ROUNDUP(N18*O18,0)</f>
      </c>
      <c r="Q18" s="5">
        <v>0.35</v>
      </c>
      <c r="R18" s="2" t="s">
        <v>86</v>
      </c>
      <c r="S18" s="2">
        <v>4</v>
      </c>
      <c r="T18" s="2">
        <v>0</v>
      </c>
      <c r="U18" s="5">
        <v>0</v>
      </c>
      <c r="V18" s="2" t="s">
        <v>40</v>
      </c>
      <c r="W18" s="2" t="s">
        <v>41</v>
      </c>
      <c r="X18" s="2">
        <f>P18*(Q18+U18)*(1+S18/100)*(1+T18/100)</f>
      </c>
      <c r="Y18" s="2">
        <f>X18 / VLOOKUP(V18,$W$109:$Y$111,3)</f>
      </c>
      <c r="Z18" s="2">
        <f>Y18/O18</f>
      </c>
      <c r="AA18" s="2" t="s">
        <v>87</v>
      </c>
      <c r="AC18" s="2" t="s">
        <v>88</v>
      </c>
      <c r="AD18" s="7">
        <f t="shared" si="0"/>
      </c>
      <c r="AE18" s="2">
        <v>0.35</v>
      </c>
      <c r="AF18" s="2">
        <v>0.35</v>
      </c>
      <c r="AG18" s="2">
        <v>0.34</v>
      </c>
    </row>
    <row r="19" spans="1:33" x14ac:dyDescent="0.25">
      <c r="A19" s="1">
        <v>10</v>
      </c>
      <c r="B19" s="2" t="s">
        <v>89</v>
      </c>
      <c r="C19" s="2" t="s">
        <v>34</v>
      </c>
      <c r="D19" s="2" t="s">
        <v>90</v>
      </c>
      <c r="G19" s="2" t="s">
        <v>56</v>
      </c>
      <c r="I19" s="2" t="s">
        <v>91</v>
      </c>
      <c r="K19" s="2" t="s">
        <v>38</v>
      </c>
      <c r="L19" s="5">
        <v>0.798</v>
      </c>
      <c r="M19" s="2">
        <v>0.3</v>
      </c>
      <c r="N19" s="5">
        <f>L19*(1+(M19/100))</f>
      </c>
      <c r="O19" s="4">
        <v>100</v>
      </c>
      <c r="P19" s="2">
        <f>ROUNDUP(N19*O19,0)</f>
      </c>
      <c r="Q19" s="5">
        <v>0.185</v>
      </c>
      <c r="R19" s="2" t="s">
        <v>92</v>
      </c>
      <c r="S19" s="2">
        <v>0</v>
      </c>
      <c r="T19" s="2">
        <v>0</v>
      </c>
      <c r="U19" s="5">
        <v>0</v>
      </c>
      <c r="V19" s="2" t="s">
        <v>40</v>
      </c>
      <c r="W19" s="2" t="s">
        <v>41</v>
      </c>
      <c r="X19" s="2">
        <f>P19*(Q19+U19)*(1+S19/100)*(1+T19/100)</f>
      </c>
      <c r="Y19" s="2">
        <f>X19 / VLOOKUP(V19,$W$109:$Y$111,3)</f>
      </c>
      <c r="Z19" s="2">
        <f>Y19/O19</f>
      </c>
      <c r="AA19" s="2" t="s">
        <v>93</v>
      </c>
      <c r="AC19" s="2" t="s">
        <v>94</v>
      </c>
      <c r="AD19" s="7">
        <f t="shared" si="0"/>
      </c>
      <c r="AE19" s="2">
        <v>0.185</v>
      </c>
      <c r="AF19" s="2">
        <v>0.185</v>
      </c>
      <c r="AG19" s="2">
        <v>4827</v>
      </c>
    </row>
    <row r="20" spans="1:33" x14ac:dyDescent="0.25">
      <c r="A20" s="1">
        <v>11</v>
      </c>
      <c r="B20" s="2" t="s">
        <v>95</v>
      </c>
      <c r="C20" s="2" t="s">
        <v>34</v>
      </c>
      <c r="D20" s="2" t="s">
        <v>96</v>
      </c>
      <c r="G20" s="2" t="s">
        <v>97</v>
      </c>
      <c r="I20" s="2" t="s">
        <v>98</v>
      </c>
      <c r="K20" s="2" t="s">
        <v>38</v>
      </c>
      <c r="L20" s="5">
        <v>0.12</v>
      </c>
      <c r="M20" s="2">
        <v>0.3</v>
      </c>
      <c r="N20" s="5">
        <f>L20*(1+(M20/100))</f>
      </c>
      <c r="O20" s="4">
        <v>100</v>
      </c>
      <c r="P20" s="2">
        <f>ROUNDUP(N20*O20,0)</f>
      </c>
      <c r="Q20" s="5">
        <v>0.44</v>
      </c>
      <c r="R20" s="2" t="s">
        <v>99</v>
      </c>
      <c r="S20" s="2">
        <v>0</v>
      </c>
      <c r="T20" s="2">
        <v>0</v>
      </c>
      <c r="U20" s="5">
        <v>0</v>
      </c>
      <c r="V20" s="2" t="s">
        <v>40</v>
      </c>
      <c r="W20" s="2" t="s">
        <v>41</v>
      </c>
      <c r="X20" s="2">
        <f>P20*(Q20+U20)*(1+S20/100)*(1+T20/100)</f>
      </c>
      <c r="Y20" s="2">
        <f>X20 / VLOOKUP(V20,$W$109:$Y$111,3)</f>
      </c>
      <c r="Z20" s="2">
        <f>Y20/O20</f>
      </c>
      <c r="AA20" s="2" t="s">
        <v>100</v>
      </c>
      <c r="AC20" s="2" t="s">
        <v>101</v>
      </c>
      <c r="AD20" s="7">
        <f t="shared" si="0"/>
      </c>
      <c r="AE20" s="2">
        <v>0.44</v>
      </c>
      <c r="AF20" s="2">
        <v>0.44</v>
      </c>
      <c r="AG20" s="2">
        <v>10660</v>
      </c>
    </row>
    <row r="21" spans="1:33" x14ac:dyDescent="0.25">
      <c r="A21" s="1">
        <v>12</v>
      </c>
      <c r="B21" s="2" t="s">
        <v>102</v>
      </c>
      <c r="C21" s="2" t="s">
        <v>34</v>
      </c>
      <c r="D21" s="2" t="s">
        <v>103</v>
      </c>
      <c r="G21" s="2" t="s">
        <v>97</v>
      </c>
      <c r="I21" s="2" t="s">
        <v>104</v>
      </c>
      <c r="K21" s="2" t="s">
        <v>38</v>
      </c>
      <c r="L21" s="5">
        <v>0.124</v>
      </c>
      <c r="M21" s="2">
        <v>0.3</v>
      </c>
      <c r="N21" s="5">
        <f>L21*(1+(M21/100))</f>
      </c>
      <c r="O21" s="4">
        <v>100</v>
      </c>
      <c r="P21" s="2">
        <f>ROUNDUP(N21*O21,0)</f>
      </c>
      <c r="Q21" s="5">
        <v>1.14</v>
      </c>
      <c r="R21" s="2" t="s">
        <v>105</v>
      </c>
      <c r="S21" s="2">
        <v>0</v>
      </c>
      <c r="T21" s="2">
        <v>0</v>
      </c>
      <c r="U21" s="5">
        <v>0</v>
      </c>
      <c r="V21" s="2" t="s">
        <v>40</v>
      </c>
      <c r="W21" s="2" t="s">
        <v>41</v>
      </c>
      <c r="X21" s="2">
        <f>P21*(Q21+U21)*(1+S21/100)*(1+T21/100)</f>
      </c>
      <c r="Y21" s="2">
        <f>X21 / VLOOKUP(V21,$W$109:$Y$111,3)</f>
      </c>
      <c r="Z21" s="2">
        <f>Y21/O21</f>
      </c>
      <c r="AA21" s="2" t="s">
        <v>106</v>
      </c>
      <c r="AC21" s="2" t="s">
        <v>101</v>
      </c>
      <c r="AD21" s="7">
        <f t="shared" si="0"/>
      </c>
      <c r="AE21" s="2">
        <v>1.14</v>
      </c>
      <c r="AF21" s="2">
        <v>1.14</v>
      </c>
      <c r="AG21" s="2">
        <v>29640</v>
      </c>
    </row>
    <row r="22" spans="1:33" x14ac:dyDescent="0.25">
      <c r="A22" s="1">
        <v>13</v>
      </c>
      <c r="B22" s="2" t="s">
        <v>107</v>
      </c>
      <c r="C22" s="2" t="s">
        <v>34</v>
      </c>
      <c r="D22" s="2" t="s">
        <v>103</v>
      </c>
      <c r="G22" s="2" t="s">
        <v>97</v>
      </c>
      <c r="I22" s="2" t="s">
        <v>108</v>
      </c>
      <c r="K22" s="2" t="s">
        <v>38</v>
      </c>
      <c r="L22" s="5">
        <v>0.087</v>
      </c>
      <c r="M22" s="2">
        <v>0.3</v>
      </c>
      <c r="N22" s="5">
        <f>L22*(1+(M22/100))</f>
      </c>
      <c r="O22" s="4">
        <v>100</v>
      </c>
      <c r="P22" s="2">
        <f>ROUNDUP(N22*O22,0)</f>
      </c>
      <c r="Q22" s="5">
        <v>0.76</v>
      </c>
      <c r="R22" s="2" t="s">
        <v>109</v>
      </c>
      <c r="S22" s="2">
        <v>0</v>
      </c>
      <c r="T22" s="2">
        <v>0</v>
      </c>
      <c r="U22" s="5">
        <v>0</v>
      </c>
      <c r="V22" s="2" t="s">
        <v>40</v>
      </c>
      <c r="W22" s="2" t="s">
        <v>41</v>
      </c>
      <c r="X22" s="2">
        <f>P22*(Q22+U22)*(1+S22/100)*(1+T22/100)</f>
      </c>
      <c r="Y22" s="2">
        <f>X22 / VLOOKUP(V22,$W$109:$Y$111,3)</f>
      </c>
      <c r="Z22" s="2">
        <f>Y22/O22</f>
      </c>
      <c r="AA22" s="2" t="s">
        <v>110</v>
      </c>
      <c r="AC22" s="2" t="s">
        <v>101</v>
      </c>
      <c r="AD22" s="7">
        <f t="shared" si="0"/>
      </c>
      <c r="AE22" s="2">
        <v>0.76</v>
      </c>
      <c r="AF22" s="2">
        <v>0.76</v>
      </c>
      <c r="AG22" s="2">
        <v>19760</v>
      </c>
    </row>
    <row r="23" spans="1:33" x14ac:dyDescent="0.25">
      <c r="A23" s="1">
        <v>14</v>
      </c>
      <c r="B23" s="2" t="s">
        <v>111</v>
      </c>
      <c r="C23" s="2" t="s">
        <v>34</v>
      </c>
      <c r="D23" s="2" t="s">
        <v>103</v>
      </c>
      <c r="G23" s="2" t="s">
        <v>97</v>
      </c>
      <c r="I23" s="2" t="s">
        <v>98</v>
      </c>
      <c r="K23" s="2" t="s">
        <v>38</v>
      </c>
      <c r="L23" s="5">
        <v>0.144</v>
      </c>
      <c r="M23" s="2">
        <v>0.3</v>
      </c>
      <c r="N23" s="5">
        <f>L23*(1+(M23/100))</f>
      </c>
      <c r="O23" s="4">
        <v>100</v>
      </c>
      <c r="P23" s="2">
        <f>ROUNDUP(N23*O23,0)</f>
      </c>
      <c r="Q23" s="5">
        <v>0.39</v>
      </c>
      <c r="R23" s="2" t="s">
        <v>112</v>
      </c>
      <c r="S23" s="2">
        <v>0</v>
      </c>
      <c r="T23" s="2">
        <v>0</v>
      </c>
      <c r="U23" s="5">
        <v>0</v>
      </c>
      <c r="V23" s="2" t="s">
        <v>40</v>
      </c>
      <c r="W23" s="2" t="s">
        <v>41</v>
      </c>
      <c r="X23" s="2">
        <f>P23*(Q23+U23)*(1+S23/100)*(1+T23/100)</f>
      </c>
      <c r="Y23" s="2">
        <f>X23 / VLOOKUP(V23,$W$109:$Y$111,3)</f>
      </c>
      <c r="Z23" s="2">
        <f>Y23/O23</f>
      </c>
      <c r="AA23" s="2" t="s">
        <v>113</v>
      </c>
      <c r="AC23" s="2" t="s">
        <v>101</v>
      </c>
      <c r="AD23" s="7">
        <f t="shared" si="0"/>
      </c>
      <c r="AE23" s="2">
        <v>0.39</v>
      </c>
      <c r="AF23" s="2">
        <v>0.39</v>
      </c>
      <c r="AG23" s="2">
        <v>10140</v>
      </c>
    </row>
    <row r="24" spans="1:33" x14ac:dyDescent="0.25">
      <c r="A24" s="1">
        <v>15</v>
      </c>
      <c r="B24" s="2" t="s">
        <v>114</v>
      </c>
      <c r="C24" s="2" t="s">
        <v>34</v>
      </c>
      <c r="D24" s="2" t="s">
        <v>103</v>
      </c>
      <c r="G24" s="2" t="s">
        <v>97</v>
      </c>
      <c r="I24" s="2" t="s">
        <v>115</v>
      </c>
      <c r="K24" s="2" t="s">
        <v>38</v>
      </c>
      <c r="L24" s="5">
        <v>0.029</v>
      </c>
      <c r="M24" s="2">
        <v>0</v>
      </c>
      <c r="N24" s="5">
        <f>L24*(1+(M24/100))</f>
      </c>
      <c r="O24" s="4">
        <v>100</v>
      </c>
      <c r="P24" s="2">
        <f>ROUNDUP(N24*O24,0)</f>
      </c>
      <c r="Q24" s="5">
        <v>0.67</v>
      </c>
      <c r="R24" s="2" t="s">
        <v>116</v>
      </c>
      <c r="S24" s="2">
        <v>0</v>
      </c>
      <c r="T24" s="2">
        <v>0</v>
      </c>
      <c r="U24" s="5">
        <v>0</v>
      </c>
      <c r="V24" s="2" t="s">
        <v>40</v>
      </c>
      <c r="W24" s="2" t="s">
        <v>41</v>
      </c>
      <c r="X24" s="2">
        <f>P24*(Q24+U24)*(1+S24/100)*(1+T24/100)</f>
      </c>
      <c r="Y24" s="2">
        <f>X24 / VLOOKUP(V24,$W$109:$Y$111,3)</f>
      </c>
      <c r="Z24" s="2">
        <f>Y24/O24</f>
      </c>
      <c r="AA24" s="2" t="s">
        <v>117</v>
      </c>
      <c r="AC24" s="2" t="s">
        <v>101</v>
      </c>
      <c r="AD24" s="7">
        <f t="shared" si="0"/>
      </c>
      <c r="AE24" s="2">
        <v>0.67</v>
      </c>
      <c r="AF24" s="2">
        <v>0.67</v>
      </c>
      <c r="AG24" s="2">
        <v>15600</v>
      </c>
    </row>
    <row r="25" spans="1:33" x14ac:dyDescent="0.25">
      <c r="A25" s="1">
        <v>16</v>
      </c>
      <c r="B25" s="2" t="s">
        <v>118</v>
      </c>
      <c r="C25" s="2" t="s">
        <v>34</v>
      </c>
      <c r="D25" s="2" t="s">
        <v>119</v>
      </c>
      <c r="G25" s="2" t="s">
        <v>120</v>
      </c>
      <c r="I25" s="2" t="s">
        <v>121</v>
      </c>
      <c r="K25" s="2" t="s">
        <v>70</v>
      </c>
      <c r="L25" s="5">
        <v>1</v>
      </c>
      <c r="M25" s="2">
        <v>0</v>
      </c>
      <c r="N25" s="5">
        <f>L25*(1+(M25/100))</f>
      </c>
      <c r="O25" s="4">
        <v>100</v>
      </c>
      <c r="P25" s="2">
        <f>ROUNDUP(N25*O25,0)</f>
      </c>
      <c r="Q25" s="43">
        <v>0</v>
      </c>
      <c r="R25" s="2" t="s">
        <v>122</v>
      </c>
      <c r="S25" s="2">
        <v>4</v>
      </c>
      <c r="T25" s="2">
        <v>0</v>
      </c>
      <c r="U25" s="5">
        <v>0</v>
      </c>
      <c r="V25" s="2" t="s">
        <v>65</v>
      </c>
      <c r="W25" s="2" t="s">
        <v>6</v>
      </c>
      <c r="X25" s="2">
        <f>P25*(Q25+U25)*(1+S25/100)*(1+T25/100)</f>
      </c>
      <c r="Y25" s="2">
        <f>X25 / VLOOKUP(V25,$W$109:$Y$111,3)</f>
      </c>
      <c r="Z25" s="2">
        <f>Y25/O25</f>
      </c>
      <c r="AA25" s="2" t="s">
        <v>123</v>
      </c>
      <c r="AC25" s="2" t="s">
        <v>124</v>
      </c>
      <c r="AD25" s="7">
        <f t="shared" si="0"/>
      </c>
      <c r="AE25" s="2">
        <v>0</v>
      </c>
      <c r="AF25" s="2">
        <v>0</v>
      </c>
      <c r="AG25" s="2">
        <v>1486.74</v>
      </c>
    </row>
    <row r="26" spans="1:33" x14ac:dyDescent="0.25">
      <c r="A26" s="1">
        <v>17</v>
      </c>
      <c r="B26" s="2" t="s">
        <v>125</v>
      </c>
      <c r="C26" s="2" t="s">
        <v>34</v>
      </c>
      <c r="D26" s="2" t="s">
        <v>126</v>
      </c>
      <c r="G26" s="2" t="s">
        <v>120</v>
      </c>
      <c r="I26" s="2" t="s">
        <v>127</v>
      </c>
      <c r="K26" s="2" t="s">
        <v>70</v>
      </c>
      <c r="L26" s="5">
        <v>1</v>
      </c>
      <c r="M26" s="2">
        <v>0</v>
      </c>
      <c r="N26" s="5">
        <f>L26*(1+(M26/100))</f>
      </c>
      <c r="O26" s="4">
        <v>100</v>
      </c>
      <c r="P26" s="2">
        <f>ROUNDUP(N26*O26,0)</f>
      </c>
      <c r="Q26" s="5">
        <v>351.58</v>
      </c>
      <c r="R26" s="2" t="s">
        <v>128</v>
      </c>
      <c r="S26" s="2">
        <v>4</v>
      </c>
      <c r="T26" s="2">
        <v>0</v>
      </c>
      <c r="U26" s="5">
        <v>0</v>
      </c>
      <c r="V26" s="2" t="s">
        <v>65</v>
      </c>
      <c r="W26" s="2" t="s">
        <v>6</v>
      </c>
      <c r="X26" s="2">
        <f>P26*(Q26+U26)*(1+S26/100)*(1+T26/100)</f>
      </c>
      <c r="Y26" s="2">
        <f>X26 / VLOOKUP(V26,$W$109:$Y$111,3)</f>
      </c>
      <c r="Z26" s="2">
        <f>Y26/O26</f>
      </c>
      <c r="AA26" s="2" t="s">
        <v>129</v>
      </c>
      <c r="AC26" s="2" t="s">
        <v>124</v>
      </c>
      <c r="AD26" s="7">
        <f t="shared" si="0"/>
      </c>
      <c r="AE26" s="2">
        <v>0.30439796399999997</v>
      </c>
      <c r="AF26" s="2">
        <v>0.23232757979999996</v>
      </c>
      <c r="AG26" s="2">
        <v>351.58</v>
      </c>
    </row>
    <row r="27" spans="1:33" x14ac:dyDescent="0.25">
      <c r="A27" s="1">
        <v>18</v>
      </c>
      <c r="B27" s="2" t="s">
        <v>130</v>
      </c>
      <c r="C27" s="2" t="s">
        <v>34</v>
      </c>
      <c r="D27" s="2" t="s">
        <v>131</v>
      </c>
      <c r="G27" s="2" t="s">
        <v>132</v>
      </c>
      <c r="I27" s="2" t="s">
        <v>133</v>
      </c>
      <c r="K27" s="2" t="s">
        <v>70</v>
      </c>
      <c r="L27" s="5">
        <v>1</v>
      </c>
      <c r="M27" s="2">
        <v>0</v>
      </c>
      <c r="N27" s="5">
        <f>L27*(1+(M27/100))</f>
      </c>
      <c r="O27" s="4">
        <v>100</v>
      </c>
      <c r="P27" s="2">
        <f>ROUNDUP(N27*O27,0)</f>
      </c>
      <c r="Q27" s="43">
        <v>0</v>
      </c>
      <c r="R27" s="2" t="s">
        <v>134</v>
      </c>
      <c r="S27" s="2">
        <v>0</v>
      </c>
      <c r="T27" s="2">
        <v>0</v>
      </c>
      <c r="U27" s="5">
        <v>0</v>
      </c>
      <c r="V27" s="2" t="s">
        <v>65</v>
      </c>
      <c r="W27" s="2" t="s">
        <v>41</v>
      </c>
      <c r="X27" s="2">
        <f>P27*(Q27+U27)*(1+S27/100)*(1+T27/100)</f>
      </c>
      <c r="Y27" s="2">
        <f>X27 / VLOOKUP(V27,$W$109:$Y$111,3)</f>
      </c>
      <c r="Z27" s="2">
        <f>Y27/O27</f>
      </c>
      <c r="AA27" s="2" t="s">
        <v>135</v>
      </c>
      <c r="AC27" s="2" t="s">
        <v>136</v>
      </c>
      <c r="AD27" s="7">
        <f t="shared" si="0"/>
      </c>
      <c r="AE27" s="2">
        <v>0</v>
      </c>
      <c r="AF27" s="2">
        <v>0</v>
      </c>
      <c r="AG27" s="2">
        <v>600</v>
      </c>
    </row>
    <row r="28" spans="1:33" x14ac:dyDescent="0.25">
      <c r="A28" s="1">
        <v>19</v>
      </c>
      <c r="B28" s="2" t="s">
        <v>137</v>
      </c>
      <c r="C28" s="2" t="s">
        <v>34</v>
      </c>
      <c r="D28" s="2" t="s">
        <v>131</v>
      </c>
      <c r="G28" s="2" t="s">
        <v>132</v>
      </c>
      <c r="I28" s="2" t="s">
        <v>138</v>
      </c>
      <c r="K28" s="2" t="s">
        <v>70</v>
      </c>
      <c r="L28" s="5">
        <v>1</v>
      </c>
      <c r="M28" s="2">
        <v>0</v>
      </c>
      <c r="N28" s="5">
        <f>L28*(1+(M28/100))</f>
      </c>
      <c r="O28" s="4">
        <v>100</v>
      </c>
      <c r="P28" s="2">
        <f>ROUNDUP(N28*O28,0)</f>
      </c>
      <c r="Q28" s="43">
        <v>0</v>
      </c>
      <c r="R28" s="2" t="s">
        <v>139</v>
      </c>
      <c r="S28" s="2">
        <v>0</v>
      </c>
      <c r="T28" s="2">
        <v>0</v>
      </c>
      <c r="U28" s="5">
        <v>0</v>
      </c>
      <c r="V28" s="2" t="s">
        <v>65</v>
      </c>
      <c r="W28" s="2" t="s">
        <v>41</v>
      </c>
      <c r="X28" s="2">
        <f>P28*(Q28+U28)*(1+S28/100)*(1+T28/100)</f>
      </c>
      <c r="Y28" s="2">
        <f>X28 / VLOOKUP(V28,$W$109:$Y$111,3)</f>
      </c>
      <c r="Z28" s="2">
        <f>Y28/O28</f>
      </c>
      <c r="AA28" s="2" t="s">
        <v>140</v>
      </c>
      <c r="AC28" s="2" t="s">
        <v>136</v>
      </c>
      <c r="AD28" s="7">
        <f t="shared" si="0"/>
      </c>
      <c r="AE28" s="2">
        <v>0</v>
      </c>
      <c r="AF28" s="2">
        <v>0</v>
      </c>
      <c r="AG28" s="2">
        <v>590</v>
      </c>
    </row>
    <row r="29" spans="1:33" x14ac:dyDescent="0.25">
      <c r="A29" s="1">
        <v>20</v>
      </c>
      <c r="B29" s="2" t="s">
        <v>141</v>
      </c>
      <c r="C29" s="2" t="s">
        <v>34</v>
      </c>
      <c r="D29" s="2" t="s">
        <v>142</v>
      </c>
      <c r="G29" s="2" t="s">
        <v>36</v>
      </c>
      <c r="I29" s="2" t="s">
        <v>143</v>
      </c>
      <c r="K29" s="2" t="s">
        <v>70</v>
      </c>
      <c r="L29" s="5">
        <v>1</v>
      </c>
      <c r="M29" s="2">
        <v>0</v>
      </c>
      <c r="N29" s="5">
        <f>L29*(1+(M29/100))</f>
      </c>
      <c r="O29" s="4">
        <v>100</v>
      </c>
      <c r="P29" s="2">
        <f>ROUNDUP(N29*O29,0)</f>
      </c>
      <c r="Q29" s="43">
        <v>0</v>
      </c>
      <c r="R29" s="2" t="s">
        <v>144</v>
      </c>
      <c r="S29" s="2">
        <v>4</v>
      </c>
      <c r="T29" s="2">
        <v>0</v>
      </c>
      <c r="U29" s="5">
        <v>0</v>
      </c>
      <c r="V29" s="2" t="s">
        <v>40</v>
      </c>
      <c r="W29" s="2" t="s">
        <v>41</v>
      </c>
      <c r="X29" s="2">
        <f>P29*(Q29+U29)*(1+S29/100)*(1+T29/100)</f>
      </c>
      <c r="Y29" s="2">
        <f>X29 / VLOOKUP(V29,$W$109:$Y$111,3)</f>
      </c>
      <c r="Z29" s="2">
        <f>Y29/O29</f>
      </c>
      <c r="AA29" s="2" t="s">
        <v>145</v>
      </c>
      <c r="AC29" s="2" t="s">
        <v>146</v>
      </c>
      <c r="AD29" s="7">
        <f t="shared" si="0"/>
      </c>
      <c r="AE29" s="2">
        <v>0</v>
      </c>
      <c r="AF29" s="2">
        <v>0</v>
      </c>
      <c r="AG29" s="2">
        <v>280</v>
      </c>
    </row>
    <row r="30" spans="1:33" x14ac:dyDescent="0.25">
      <c r="A30" s="1">
        <v>21</v>
      </c>
      <c r="B30" s="2" t="s">
        <v>147</v>
      </c>
      <c r="C30" s="2" t="s">
        <v>34</v>
      </c>
      <c r="D30" s="2" t="s">
        <v>148</v>
      </c>
      <c r="G30" s="2" t="s">
        <v>149</v>
      </c>
      <c r="I30" s="2" t="s">
        <v>150</v>
      </c>
      <c r="K30" s="2" t="s">
        <v>151</v>
      </c>
      <c r="L30" s="5">
        <v>10</v>
      </c>
      <c r="M30" s="2">
        <v>0</v>
      </c>
      <c r="N30" s="5">
        <f>L30*(1+(M30/100))</f>
      </c>
      <c r="O30" s="4">
        <v>100</v>
      </c>
      <c r="P30" s="2">
        <f>ROUNDUP(N30*O30,0)</f>
      </c>
      <c r="Q30" s="43">
        <v>0</v>
      </c>
      <c r="R30" s="2" t="s">
        <v>152</v>
      </c>
      <c r="S30" s="2">
        <v>0</v>
      </c>
      <c r="T30" s="2">
        <v>0</v>
      </c>
      <c r="U30" s="5">
        <v>0</v>
      </c>
      <c r="V30" s="2" t="s">
        <v>65</v>
      </c>
      <c r="W30" s="2" t="s">
        <v>41</v>
      </c>
      <c r="X30" s="2">
        <f>P30*(Q30+U30)*(1+S30/100)*(1+T30/100)</f>
      </c>
      <c r="Y30" s="2">
        <f>X30 / VLOOKUP(V30,$W$109:$Y$111,3)</f>
      </c>
      <c r="Z30" s="2">
        <f>Y30/O30</f>
      </c>
      <c r="AA30" s="2" t="s">
        <v>153</v>
      </c>
      <c r="AC30" s="2" t="s">
        <v>154</v>
      </c>
      <c r="AD30" s="7">
        <f t="shared" si="0"/>
      </c>
      <c r="AE30" s="2">
        <v>0</v>
      </c>
      <c r="AF30" s="2">
        <v>0</v>
      </c>
      <c r="AG30" s="2">
        <v>100</v>
      </c>
    </row>
    <row r="31" spans="1:33" x14ac:dyDescent="0.25">
      <c r="A31" s="1">
        <v>22</v>
      </c>
      <c r="B31" s="2" t="s">
        <v>155</v>
      </c>
      <c r="C31" s="2" t="s">
        <v>34</v>
      </c>
      <c r="D31" s="2" t="s">
        <v>156</v>
      </c>
      <c r="G31" s="2" t="s">
        <v>157</v>
      </c>
      <c r="I31" s="2" t="s">
        <v>158</v>
      </c>
      <c r="K31" s="2" t="s">
        <v>70</v>
      </c>
      <c r="L31" s="5">
        <v>1</v>
      </c>
      <c r="M31" s="2">
        <v>0</v>
      </c>
      <c r="N31" s="5">
        <f>L31*(1+(M31/100))</f>
      </c>
      <c r="O31" s="4">
        <v>100</v>
      </c>
      <c r="P31" s="2">
        <f>ROUNDUP(N31*O31,0)</f>
      </c>
      <c r="Q31" s="43">
        <v>0</v>
      </c>
      <c r="R31" s="2" t="s">
        <v>159</v>
      </c>
      <c r="S31" s="2">
        <v>0</v>
      </c>
      <c r="T31" s="2">
        <v>0</v>
      </c>
      <c r="U31" s="5">
        <v>0</v>
      </c>
      <c r="V31" s="2" t="s">
        <v>65</v>
      </c>
      <c r="W31" s="2" t="s">
        <v>41</v>
      </c>
      <c r="X31" s="2">
        <f>P31*(Q31+U31)*(1+S31/100)*(1+T31/100)</f>
      </c>
      <c r="Y31" s="2">
        <f>X31 / VLOOKUP(V31,$W$109:$Y$111,3)</f>
      </c>
      <c r="Z31" s="2">
        <f>Y31/O31</f>
      </c>
      <c r="AA31" s="2" t="s">
        <v>160</v>
      </c>
      <c r="AC31" s="2" t="s">
        <v>146</v>
      </c>
      <c r="AD31" s="7">
        <f t="shared" si="0"/>
      </c>
      <c r="AE31" s="2">
        <v>0</v>
      </c>
      <c r="AF31" s="2">
        <v>0</v>
      </c>
      <c r="AG31" s="2">
        <v>230</v>
      </c>
    </row>
    <row r="32" spans="1:33" x14ac:dyDescent="0.25">
      <c r="A32" s="1">
        <v>23</v>
      </c>
      <c r="B32" s="2" t="s">
        <v>161</v>
      </c>
      <c r="C32" s="2" t="s">
        <v>34</v>
      </c>
      <c r="D32" s="2" t="s">
        <v>162</v>
      </c>
      <c r="G32" s="2" t="s">
        <v>36</v>
      </c>
      <c r="I32" s="2" t="s">
        <v>163</v>
      </c>
      <c r="K32" s="2" t="s">
        <v>151</v>
      </c>
      <c r="L32" s="5">
        <v>4</v>
      </c>
      <c r="M32" s="2">
        <v>0</v>
      </c>
      <c r="N32" s="5">
        <f>L32*(1+(M32/100))</f>
      </c>
      <c r="O32" s="4">
        <v>100</v>
      </c>
      <c r="P32" s="2">
        <f>ROUNDUP(N32*O32,0)</f>
      </c>
      <c r="Q32" s="5">
        <v>30</v>
      </c>
      <c r="R32" s="2" t="s">
        <v>164</v>
      </c>
      <c r="S32" s="2">
        <v>0</v>
      </c>
      <c r="T32" s="2">
        <v>1</v>
      </c>
      <c r="U32" s="5">
        <v>0</v>
      </c>
      <c r="V32" s="2" t="s">
        <v>65</v>
      </c>
      <c r="W32" s="2" t="s">
        <v>41</v>
      </c>
      <c r="X32" s="2">
        <f>P32*(Q32+U32)*(1+S32/100)*(1+T32/100)</f>
      </c>
      <c r="Y32" s="2">
        <f>X32 / VLOOKUP(V32,$W$109:$Y$111,3)</f>
      </c>
      <c r="Z32" s="2">
        <f>Y32/O32</f>
      </c>
      <c r="AA32" s="2" t="s">
        <v>165</v>
      </c>
      <c r="AC32" s="2" t="s">
        <v>154</v>
      </c>
      <c r="AD32" s="7">
        <f t="shared" si="0"/>
      </c>
      <c r="AE32" s="2">
        <v>0.025974</v>
      </c>
      <c r="AF32" s="2">
        <v>0.0198243</v>
      </c>
      <c r="AG32" s="2">
        <v>33</v>
      </c>
    </row>
    <row r="33" spans="1:33" x14ac:dyDescent="0.25">
      <c r="A33" s="1">
        <v>24</v>
      </c>
      <c r="B33" s="2" t="s">
        <v>166</v>
      </c>
      <c r="C33" s="2" t="s">
        <v>34</v>
      </c>
      <c r="D33" s="2" t="s">
        <v>167</v>
      </c>
      <c r="G33" s="2" t="s">
        <v>36</v>
      </c>
      <c r="I33" s="2" t="s">
        <v>168</v>
      </c>
      <c r="K33" s="2" t="s">
        <v>70</v>
      </c>
      <c r="L33" s="5">
        <v>2</v>
      </c>
      <c r="M33" s="2">
        <v>0</v>
      </c>
      <c r="N33" s="5">
        <f>L33*(1+(M33/100))</f>
      </c>
      <c r="O33" s="4">
        <v>100</v>
      </c>
      <c r="P33" s="2">
        <f>ROUNDUP(N33*O33,0)</f>
      </c>
      <c r="Q33" s="5">
        <v>0.1</v>
      </c>
      <c r="R33" s="2" t="s">
        <v>169</v>
      </c>
      <c r="S33" s="2">
        <v>0</v>
      </c>
      <c r="T33" s="2">
        <v>0</v>
      </c>
      <c r="U33" s="5">
        <v>0</v>
      </c>
      <c r="V33" s="2" t="s">
        <v>65</v>
      </c>
      <c r="W33" s="2" t="s">
        <v>41</v>
      </c>
      <c r="X33" s="2">
        <f>P33*(Q33+U33)*(1+S33/100)*(1+T33/100)</f>
      </c>
      <c r="Y33" s="2">
        <f>X33 / VLOOKUP(V33,$W$109:$Y$111,3)</f>
      </c>
      <c r="Z33" s="2">
        <f>Y33/O33</f>
      </c>
      <c r="AA33" s="2" t="s">
        <v>165</v>
      </c>
      <c r="AC33" s="2" t="s">
        <v>146</v>
      </c>
      <c r="AD33" s="7">
        <f t="shared" si="0"/>
      </c>
      <c r="AE33" s="2">
        <v>0.00008658</v>
      </c>
      <c r="AF33" s="2">
        <v>0.00006608099999999999</v>
      </c>
      <c r="AG33" s="2">
        <v>150</v>
      </c>
    </row>
    <row r="34" spans="1:33" x14ac:dyDescent="0.25">
      <c r="A34" s="1">
        <v>25</v>
      </c>
      <c r="B34" s="2" t="s">
        <v>170</v>
      </c>
      <c r="C34" s="2" t="s">
        <v>34</v>
      </c>
      <c r="D34" s="2" t="s">
        <v>171</v>
      </c>
      <c r="G34" s="2" t="s">
        <v>36</v>
      </c>
      <c r="I34" s="2" t="s">
        <v>172</v>
      </c>
      <c r="K34" s="2" t="s">
        <v>70</v>
      </c>
      <c r="L34" s="5">
        <v>2</v>
      </c>
      <c r="M34" s="2">
        <v>0</v>
      </c>
      <c r="N34" s="5">
        <f>L34*(1+(M34/100))</f>
      </c>
      <c r="O34" s="4">
        <v>100</v>
      </c>
      <c r="P34" s="2">
        <f>ROUNDUP(N34*O34,0)</f>
      </c>
      <c r="Q34" s="5">
        <v>15</v>
      </c>
      <c r="R34" s="2" t="s">
        <v>173</v>
      </c>
      <c r="S34" s="2">
        <v>0</v>
      </c>
      <c r="T34" s="2">
        <v>0</v>
      </c>
      <c r="U34" s="5">
        <v>0</v>
      </c>
      <c r="V34" s="2" t="s">
        <v>65</v>
      </c>
      <c r="W34" s="2" t="s">
        <v>41</v>
      </c>
      <c r="X34" s="2">
        <f>P34*(Q34+U34)*(1+S34/100)*(1+T34/100)</f>
      </c>
      <c r="Y34" s="2">
        <f>X34 / VLOOKUP(V34,$W$109:$Y$111,3)</f>
      </c>
      <c r="Z34" s="2">
        <f>Y34/O34</f>
      </c>
      <c r="AA34" s="2" t="s">
        <v>165</v>
      </c>
      <c r="AC34" s="2" t="s">
        <v>146</v>
      </c>
      <c r="AD34" s="7">
        <f t="shared" si="0"/>
      </c>
      <c r="AE34" s="2">
        <v>0.012987</v>
      </c>
      <c r="AF34" s="2">
        <v>0.00991215</v>
      </c>
      <c r="AG34" s="2">
        <v>15</v>
      </c>
    </row>
    <row r="35" spans="1:33" x14ac:dyDescent="0.25">
      <c r="A35" s="1">
        <v>26</v>
      </c>
      <c r="B35" s="2" t="s">
        <v>174</v>
      </c>
      <c r="C35" s="2" t="s">
        <v>34</v>
      </c>
      <c r="D35" s="2" t="s">
        <v>175</v>
      </c>
      <c r="G35" s="2" t="s">
        <v>36</v>
      </c>
      <c r="I35" s="2" t="s">
        <v>176</v>
      </c>
      <c r="K35" s="2" t="s">
        <v>38</v>
      </c>
      <c r="L35" s="5">
        <v>1.05</v>
      </c>
      <c r="M35" s="2">
        <v>2</v>
      </c>
      <c r="N35" s="5">
        <f>L35*(1+(M35/100))</f>
      </c>
      <c r="O35" s="4">
        <v>100</v>
      </c>
      <c r="P35" s="2">
        <f>ROUNDUP(N35*O35,0)</f>
      </c>
      <c r="Q35" s="5">
        <v>90</v>
      </c>
      <c r="R35" s="2" t="s">
        <v>177</v>
      </c>
      <c r="S35" s="2">
        <v>0</v>
      </c>
      <c r="T35" s="2">
        <v>0</v>
      </c>
      <c r="U35" s="5">
        <v>0</v>
      </c>
      <c r="V35" s="2" t="s">
        <v>65</v>
      </c>
      <c r="W35" s="2" t="s">
        <v>41</v>
      </c>
      <c r="X35" s="2">
        <f>P35*(Q35+U35)*(1+S35/100)*(1+T35/100)</f>
      </c>
      <c r="Y35" s="2">
        <f>X35 / VLOOKUP(V35,$W$109:$Y$111,3)</f>
      </c>
      <c r="Z35" s="2">
        <f>Y35/O35</f>
      </c>
      <c r="AA35" s="2" t="s">
        <v>165</v>
      </c>
      <c r="AC35" s="2" t="s">
        <v>146</v>
      </c>
      <c r="AD35" s="7">
        <f t="shared" si="0"/>
      </c>
      <c r="AE35" s="2">
        <v>0.077922</v>
      </c>
      <c r="AF35" s="2">
        <v>0.059472899999999995</v>
      </c>
      <c r="AG35" s="2">
        <v>90</v>
      </c>
    </row>
    <row r="36" spans="1:33" x14ac:dyDescent="0.25">
      <c r="A36" s="1">
        <v>27</v>
      </c>
      <c r="B36" s="2" t="s">
        <v>178</v>
      </c>
      <c r="C36" s="2" t="s">
        <v>34</v>
      </c>
      <c r="D36" s="2" t="s">
        <v>179</v>
      </c>
      <c r="G36" s="2" t="s">
        <v>36</v>
      </c>
      <c r="I36" s="2" t="s">
        <v>180</v>
      </c>
      <c r="K36" s="2" t="s">
        <v>70</v>
      </c>
      <c r="L36" s="5">
        <v>2</v>
      </c>
      <c r="M36" s="2">
        <v>0</v>
      </c>
      <c r="N36" s="5">
        <f>L36*(1+(M36/100))</f>
      </c>
      <c r="O36" s="4">
        <v>100</v>
      </c>
      <c r="P36" s="2">
        <f>ROUNDUP(N36*O36,0)</f>
      </c>
      <c r="Q36" s="43">
        <v>0</v>
      </c>
      <c r="R36" s="2" t="s">
        <v>181</v>
      </c>
      <c r="S36" s="2">
        <v>0</v>
      </c>
      <c r="T36" s="2">
        <v>0</v>
      </c>
      <c r="U36" s="5">
        <v>0</v>
      </c>
      <c r="V36" s="2" t="s">
        <v>65</v>
      </c>
      <c r="W36" s="2" t="s">
        <v>41</v>
      </c>
      <c r="X36" s="2">
        <f>P36*(Q36+U36)*(1+S36/100)*(1+T36/100)</f>
      </c>
      <c r="Y36" s="2">
        <f>X36 / VLOOKUP(V36,$W$109:$Y$111,3)</f>
      </c>
      <c r="Z36" s="2">
        <f>Y36/O36</f>
      </c>
      <c r="AA36" s="2" t="s">
        <v>72</v>
      </c>
      <c r="AC36" s="2" t="s">
        <v>146</v>
      </c>
      <c r="AD36" s="7">
        <f t="shared" si="0"/>
      </c>
      <c r="AE36" s="2">
        <v>0</v>
      </c>
      <c r="AF36" s="2">
        <v>0</v>
      </c>
      <c r="AG36" s="2">
        <v>115</v>
      </c>
    </row>
    <row r="37" spans="1:33" x14ac:dyDescent="0.25">
      <c r="A37" s="1">
        <v>28</v>
      </c>
      <c r="B37" s="2" t="s">
        <v>182</v>
      </c>
      <c r="C37" s="2" t="s">
        <v>34</v>
      </c>
      <c r="D37" s="2" t="s">
        <v>183</v>
      </c>
      <c r="G37" s="2" t="s">
        <v>36</v>
      </c>
      <c r="I37" s="2" t="s">
        <v>184</v>
      </c>
      <c r="K37" s="2" t="s">
        <v>70</v>
      </c>
      <c r="L37" s="5">
        <v>2</v>
      </c>
      <c r="M37" s="2">
        <v>0</v>
      </c>
      <c r="N37" s="5">
        <f>L37*(1+(M37/100))</f>
      </c>
      <c r="O37" s="4">
        <v>100</v>
      </c>
      <c r="P37" s="2">
        <f>ROUNDUP(N37*O37,0)</f>
      </c>
      <c r="Q37" s="5">
        <v>550</v>
      </c>
      <c r="R37" s="2" t="s">
        <v>185</v>
      </c>
      <c r="S37" s="2">
        <v>4</v>
      </c>
      <c r="T37" s="2">
        <v>0</v>
      </c>
      <c r="U37" s="5">
        <v>0</v>
      </c>
      <c r="V37" s="2" t="s">
        <v>65</v>
      </c>
      <c r="W37" s="2" t="s">
        <v>41</v>
      </c>
      <c r="X37" s="2">
        <f>P37*(Q37+U37)*(1+S37/100)*(1+T37/100)</f>
      </c>
      <c r="Y37" s="2">
        <f>X37 / VLOOKUP(V37,$W$109:$Y$111,3)</f>
      </c>
      <c r="Z37" s="2">
        <f>Y37/O37</f>
      </c>
      <c r="AA37" s="2" t="s">
        <v>72</v>
      </c>
      <c r="AC37" s="2" t="s">
        <v>146</v>
      </c>
      <c r="AD37" s="7">
        <f t="shared" si="0"/>
      </c>
      <c r="AE37" s="2">
        <v>0.47619</v>
      </c>
      <c r="AF37" s="2">
        <v>0.3634455</v>
      </c>
      <c r="AG37" s="2">
        <v>550</v>
      </c>
    </row>
    <row r="38" spans="1:33" x14ac:dyDescent="0.25">
      <c r="A38" s="1">
        <v>29</v>
      </c>
      <c r="B38" s="2" t="s">
        <v>186</v>
      </c>
      <c r="C38" s="2" t="s">
        <v>34</v>
      </c>
      <c r="D38" s="2" t="s">
        <v>187</v>
      </c>
      <c r="G38" s="2" t="s">
        <v>84</v>
      </c>
      <c r="I38" s="2" t="s">
        <v>188</v>
      </c>
      <c r="K38" s="2" t="s">
        <v>38</v>
      </c>
      <c r="L38" s="5">
        <v>0.53</v>
      </c>
      <c r="M38" s="2">
        <v>0</v>
      </c>
      <c r="N38" s="5">
        <f>L38*(1+(M38/100))</f>
      </c>
      <c r="O38" s="4">
        <v>100</v>
      </c>
      <c r="P38" s="2">
        <f>ROUNDUP(N38*O38,0)</f>
      </c>
      <c r="Q38" s="5">
        <v>56</v>
      </c>
      <c r="R38" s="2" t="s">
        <v>189</v>
      </c>
      <c r="S38" s="2">
        <v>4</v>
      </c>
      <c r="T38" s="2">
        <v>0</v>
      </c>
      <c r="U38" s="5">
        <v>0</v>
      </c>
      <c r="V38" s="2" t="s">
        <v>65</v>
      </c>
      <c r="W38" s="2" t="s">
        <v>41</v>
      </c>
      <c r="X38" s="2">
        <f>P38*(Q38+U38)*(1+S38/100)*(1+T38/100)</f>
      </c>
      <c r="Y38" s="2">
        <f>X38 / VLOOKUP(V38,$W$109:$Y$111,3)</f>
      </c>
      <c r="Z38" s="2">
        <f>Y38/O38</f>
      </c>
      <c r="AA38" s="2" t="s">
        <v>190</v>
      </c>
      <c r="AC38" s="2" t="s">
        <v>146</v>
      </c>
      <c r="AD38" s="7">
        <f t="shared" si="0"/>
      </c>
      <c r="AE38" s="2">
        <v>0.0484848</v>
      </c>
      <c r="AF38" s="2">
        <v>0.03700536</v>
      </c>
      <c r="AG38" s="2">
        <v>40</v>
      </c>
    </row>
    <row r="39" spans="1:33" x14ac:dyDescent="0.25">
      <c r="A39" s="1">
        <v>30</v>
      </c>
      <c r="B39" s="2" t="s">
        <v>191</v>
      </c>
      <c r="C39" s="2" t="s">
        <v>34</v>
      </c>
      <c r="D39" s="2" t="s">
        <v>192</v>
      </c>
      <c r="G39" s="2" t="s">
        <v>193</v>
      </c>
      <c r="I39" s="2" t="s">
        <v>194</v>
      </c>
      <c r="K39" s="2" t="s">
        <v>70</v>
      </c>
      <c r="L39" s="5">
        <v>1</v>
      </c>
      <c r="M39" s="2">
        <v>0</v>
      </c>
      <c r="N39" s="5">
        <f>L39*(1+(M39/100))</f>
      </c>
      <c r="O39" s="4">
        <v>100</v>
      </c>
      <c r="P39" s="2">
        <f>ROUNDUP(N39*O39,0)</f>
      </c>
      <c r="Q39" s="5">
        <v>55</v>
      </c>
      <c r="R39" s="2" t="s">
        <v>195</v>
      </c>
      <c r="S39" s="2">
        <v>4</v>
      </c>
      <c r="T39" s="2">
        <v>0</v>
      </c>
      <c r="U39" s="5">
        <v>0</v>
      </c>
      <c r="V39" s="2" t="s">
        <v>65</v>
      </c>
      <c r="W39" s="2" t="s">
        <v>41</v>
      </c>
      <c r="X39" s="2">
        <f>P39*(Q39+U39)*(1+S39/100)*(1+T39/100)</f>
      </c>
      <c r="Y39" s="2">
        <f>X39 / VLOOKUP(V39,$W$109:$Y$111,3)</f>
      </c>
      <c r="Z39" s="2">
        <f>Y39/O39</f>
      </c>
      <c r="AA39" s="2" t="s">
        <v>196</v>
      </c>
      <c r="AC39" s="2" t="s">
        <v>146</v>
      </c>
      <c r="AD39" s="7">
        <f t="shared" si="0"/>
      </c>
      <c r="AE39" s="2">
        <v>0.047619</v>
      </c>
      <c r="AF39" s="2">
        <v>0.036344549999999996</v>
      </c>
      <c r="AG39" s="2">
        <v>100</v>
      </c>
    </row>
    <row r="40" spans="1:33" x14ac:dyDescent="0.25">
      <c r="A40" s="1">
        <v>31</v>
      </c>
      <c r="B40" s="2" t="s">
        <v>197</v>
      </c>
      <c r="C40" s="2" t="s">
        <v>34</v>
      </c>
      <c r="D40" s="2" t="s">
        <v>198</v>
      </c>
      <c r="G40" s="2" t="s">
        <v>199</v>
      </c>
      <c r="I40" s="2" t="s">
        <v>200</v>
      </c>
      <c r="K40" s="2" t="s">
        <v>201</v>
      </c>
      <c r="L40" s="5">
        <v>0</v>
      </c>
      <c r="M40" s="2">
        <v>0</v>
      </c>
      <c r="N40" s="5">
        <f>L40*(1+(M40/100))</f>
      </c>
      <c r="O40" s="4">
        <v>100</v>
      </c>
      <c r="P40" s="2">
        <f>ROUNDUP(N40*O40,0)</f>
      </c>
      <c r="Q40" s="43">
        <v>0</v>
      </c>
      <c r="R40" s="2" t="s">
        <v>202</v>
      </c>
      <c r="S40" s="2">
        <v>0</v>
      </c>
      <c r="T40" s="2">
        <v>0</v>
      </c>
      <c r="U40" s="5">
        <v>0</v>
      </c>
      <c r="V40" s="2" t="s">
        <v>40</v>
      </c>
      <c r="W40" s="2" t="s">
        <v>41</v>
      </c>
      <c r="X40" s="2">
        <f>P40*(Q40+U40)*(1+S40/100)*(1+T40/100)</f>
      </c>
      <c r="Y40" s="2">
        <f>X40 / VLOOKUP(V40,$W$109:$Y$111,3)</f>
      </c>
      <c r="Z40" s="2">
        <f>Y40/O40</f>
      </c>
      <c r="AA40" s="2" t="s">
        <v>203</v>
      </c>
      <c r="AC40" s="2" t="s">
        <v>204</v>
      </c>
      <c r="AD40" s="7">
        <f t="shared" si="0"/>
      </c>
      <c r="AE40" s="2">
        <v>0</v>
      </c>
      <c r="AF40" s="2">
        <v>0</v>
      </c>
      <c r="AG40" s="2">
        <v>0.9</v>
      </c>
    </row>
    <row r="41" spans="1:33" x14ac:dyDescent="0.25">
      <c r="A41" s="1">
        <v>32</v>
      </c>
      <c r="B41" s="2" t="s">
        <v>197</v>
      </c>
      <c r="C41" s="2" t="s">
        <v>34</v>
      </c>
      <c r="D41" s="2" t="s">
        <v>198</v>
      </c>
      <c r="G41" s="2" t="s">
        <v>199</v>
      </c>
      <c r="I41" s="2" t="s">
        <v>200</v>
      </c>
      <c r="K41" s="2" t="s">
        <v>201</v>
      </c>
      <c r="L41" s="5">
        <v>0</v>
      </c>
      <c r="M41" s="2">
        <v>0</v>
      </c>
      <c r="N41" s="5">
        <f>L41*(1+(M41/100))</f>
      </c>
      <c r="O41" s="4">
        <v>100</v>
      </c>
      <c r="P41" s="2">
        <f>ROUNDUP(N41*O41,0)</f>
      </c>
      <c r="Q41" s="43">
        <v>0</v>
      </c>
      <c r="R41" s="2" t="s">
        <v>202</v>
      </c>
      <c r="S41" s="2">
        <v>0</v>
      </c>
      <c r="T41" s="2">
        <v>0</v>
      </c>
      <c r="U41" s="5">
        <v>0</v>
      </c>
      <c r="V41" s="2" t="s">
        <v>40</v>
      </c>
      <c r="W41" s="2" t="s">
        <v>41</v>
      </c>
      <c r="X41" s="2">
        <f>P41*(Q41+U41)*(1+S41/100)*(1+T41/100)</f>
      </c>
      <c r="Y41" s="2">
        <f>X41 / VLOOKUP(V41,$W$109:$Y$111,3)</f>
      </c>
      <c r="Z41" s="2">
        <f>Y41/O41</f>
      </c>
      <c r="AA41" s="2" t="s">
        <v>205</v>
      </c>
      <c r="AC41" s="2" t="s">
        <v>204</v>
      </c>
      <c r="AD41" s="7">
        <f t="shared" si="0"/>
      </c>
      <c r="AE41" s="2">
        <v>0</v>
      </c>
      <c r="AF41" s="2">
        <v>0</v>
      </c>
      <c r="AG41" s="2">
        <v>0.9</v>
      </c>
    </row>
    <row r="42" spans="1:33" x14ac:dyDescent="0.25">
      <c r="A42" s="1">
        <v>33</v>
      </c>
      <c r="B42" s="2" t="s">
        <v>206</v>
      </c>
      <c r="C42" s="2" t="s">
        <v>34</v>
      </c>
      <c r="D42" s="2" t="s">
        <v>207</v>
      </c>
      <c r="G42" s="2" t="s">
        <v>199</v>
      </c>
      <c r="I42" s="2" t="s">
        <v>208</v>
      </c>
      <c r="K42" s="2" t="s">
        <v>201</v>
      </c>
      <c r="L42" s="5">
        <v>0</v>
      </c>
      <c r="M42" s="2">
        <v>0</v>
      </c>
      <c r="N42" s="5">
        <f>L42*(1+(M42/100))</f>
      </c>
      <c r="O42" s="4">
        <v>100</v>
      </c>
      <c r="P42" s="2">
        <f>ROUNDUP(N42*O42,0)</f>
      </c>
      <c r="Q42" s="43">
        <v>0</v>
      </c>
      <c r="R42" s="2" t="s">
        <v>209</v>
      </c>
      <c r="S42" s="2">
        <v>0</v>
      </c>
      <c r="T42" s="2">
        <v>0</v>
      </c>
      <c r="U42" s="5">
        <v>0</v>
      </c>
      <c r="V42" s="2" t="s">
        <v>40</v>
      </c>
      <c r="W42" s="2" t="s">
        <v>41</v>
      </c>
      <c r="X42" s="2">
        <f>P42*(Q42+U42)*(1+S42/100)*(1+T42/100)</f>
      </c>
      <c r="Y42" s="2">
        <f>X42 / VLOOKUP(V42,$W$109:$Y$111,3)</f>
      </c>
      <c r="Z42" s="2">
        <f>Y42/O42</f>
      </c>
      <c r="AA42" s="2" t="s">
        <v>210</v>
      </c>
      <c r="AC42" s="2" t="s">
        <v>204</v>
      </c>
      <c r="AD42" s="7">
        <f t="shared" si="0"/>
      </c>
      <c r="AE42" s="2">
        <v>0</v>
      </c>
      <c r="AF42" s="2">
        <v>0</v>
      </c>
      <c r="AG42" s="2">
        <v>0.97</v>
      </c>
    </row>
    <row r="43" spans="1:33" x14ac:dyDescent="0.25">
      <c r="A43" s="1">
        <v>34</v>
      </c>
      <c r="B43" s="2" t="s">
        <v>211</v>
      </c>
      <c r="C43" s="2" t="s">
        <v>34</v>
      </c>
      <c r="D43" s="2" t="s">
        <v>212</v>
      </c>
      <c r="G43" s="2" t="s">
        <v>213</v>
      </c>
      <c r="I43" s="2" t="s">
        <v>200</v>
      </c>
      <c r="K43" s="2" t="s">
        <v>201</v>
      </c>
      <c r="L43" s="5">
        <v>0</v>
      </c>
      <c r="M43" s="2">
        <v>0</v>
      </c>
      <c r="N43" s="5">
        <f>L43*(1+(M43/100))</f>
      </c>
      <c r="O43" s="4">
        <v>100</v>
      </c>
      <c r="P43" s="2">
        <f>ROUNDUP(N43*O43,0)</f>
      </c>
      <c r="Q43" s="5">
        <v>0.95</v>
      </c>
      <c r="R43" s="2" t="s">
        <v>214</v>
      </c>
      <c r="S43" s="2">
        <v>0</v>
      </c>
      <c r="T43" s="2">
        <v>-2</v>
      </c>
      <c r="U43" s="5">
        <v>0</v>
      </c>
      <c r="V43" s="2" t="s">
        <v>40</v>
      </c>
      <c r="W43" s="2" t="s">
        <v>41</v>
      </c>
      <c r="X43" s="2">
        <f>P43*(Q43+U43)*(1+S43/100)*(1+T43/100)</f>
      </c>
      <c r="Y43" s="2">
        <f>X43 / VLOOKUP(V43,$W$109:$Y$111,3)</f>
      </c>
      <c r="Z43" s="2">
        <f>Y43/O43</f>
      </c>
      <c r="AA43" s="2" t="s">
        <v>215</v>
      </c>
      <c r="AC43" s="2" t="s">
        <v>204</v>
      </c>
      <c r="AD43" s="7">
        <f t="shared" si="0"/>
      </c>
      <c r="AE43" s="2">
        <v>0.95</v>
      </c>
      <c r="AF43" s="2">
        <v>0.95</v>
      </c>
      <c r="AG43" s="2">
        <v>0.9</v>
      </c>
    </row>
    <row r="44" spans="1:33" x14ac:dyDescent="0.25">
      <c r="A44" s="1">
        <v>35</v>
      </c>
      <c r="B44" s="2" t="s">
        <v>216</v>
      </c>
      <c r="C44" s="2" t="s">
        <v>34</v>
      </c>
      <c r="D44" s="2" t="s">
        <v>207</v>
      </c>
      <c r="G44" s="2" t="s">
        <v>217</v>
      </c>
      <c r="I44" s="2" t="s">
        <v>208</v>
      </c>
      <c r="K44" s="2" t="s">
        <v>201</v>
      </c>
      <c r="L44" s="5">
        <v>0</v>
      </c>
      <c r="M44" s="2">
        <v>0</v>
      </c>
      <c r="N44" s="5">
        <f>L44*(1+(M44/100))</f>
      </c>
      <c r="O44" s="4">
        <v>100</v>
      </c>
      <c r="P44" s="2">
        <f>ROUNDUP(N44*O44,0)</f>
      </c>
      <c r="Q44" s="5">
        <v>0.97</v>
      </c>
      <c r="R44" s="2" t="s">
        <v>218</v>
      </c>
      <c r="S44" s="2">
        <v>0</v>
      </c>
      <c r="T44" s="2">
        <v>-1</v>
      </c>
      <c r="U44" s="5">
        <v>0</v>
      </c>
      <c r="V44" s="2" t="s">
        <v>40</v>
      </c>
      <c r="W44" s="2" t="s">
        <v>41</v>
      </c>
      <c r="X44" s="2">
        <f>P44*(Q44+U44)*(1+S44/100)*(1+T44/100)</f>
      </c>
      <c r="Y44" s="2">
        <f>X44 / VLOOKUP(V44,$W$109:$Y$111,3)</f>
      </c>
      <c r="Z44" s="2">
        <f>Y44/O44</f>
      </c>
      <c r="AA44" s="2" t="s">
        <v>219</v>
      </c>
      <c r="AC44" s="2" t="s">
        <v>204</v>
      </c>
      <c r="AD44" s="7">
        <f t="shared" si="0"/>
      </c>
      <c r="AE44" s="2">
        <v>0.97</v>
      </c>
      <c r="AF44" s="2">
        <v>0.97</v>
      </c>
      <c r="AG44" s="2">
        <v>0.97</v>
      </c>
    </row>
    <row r="45" spans="1:33" x14ac:dyDescent="0.25">
      <c r="A45" s="1">
        <v>36</v>
      </c>
      <c r="B45" s="2" t="s">
        <v>220</v>
      </c>
      <c r="C45" s="2" t="s">
        <v>34</v>
      </c>
      <c r="D45" s="2" t="s">
        <v>207</v>
      </c>
      <c r="G45" s="2" t="s">
        <v>221</v>
      </c>
      <c r="I45" s="2" t="s">
        <v>208</v>
      </c>
      <c r="K45" s="2" t="s">
        <v>201</v>
      </c>
      <c r="L45" s="5">
        <v>0</v>
      </c>
      <c r="M45" s="2">
        <v>0</v>
      </c>
      <c r="N45" s="5">
        <f>L45*(1+(M45/100))</f>
      </c>
      <c r="O45" s="4">
        <v>100</v>
      </c>
      <c r="P45" s="2">
        <f>ROUNDUP(N45*O45,0)</f>
      </c>
      <c r="Q45" s="43">
        <v>0</v>
      </c>
      <c r="R45" s="2" t="s">
        <v>222</v>
      </c>
      <c r="S45" s="2">
        <v>0</v>
      </c>
      <c r="T45" s="2">
        <v>0</v>
      </c>
      <c r="U45" s="5">
        <v>0</v>
      </c>
      <c r="V45" s="2" t="s">
        <v>40</v>
      </c>
      <c r="W45" s="2" t="s">
        <v>41</v>
      </c>
      <c r="X45" s="2">
        <f>P45*(Q45+U45)*(1+S45/100)*(1+T45/100)</f>
      </c>
      <c r="Y45" s="2">
        <f>X45 / VLOOKUP(V45,$W$109:$Y$111,3)</f>
      </c>
      <c r="Z45" s="2">
        <f>Y45/O45</f>
      </c>
      <c r="AA45" s="2" t="s">
        <v>223</v>
      </c>
      <c r="AC45" s="2" t="s">
        <v>204</v>
      </c>
      <c r="AD45" s="7">
        <f t="shared" si="0"/>
      </c>
      <c r="AE45" s="2">
        <v>0</v>
      </c>
      <c r="AF45" s="2">
        <v>0</v>
      </c>
      <c r="AG45" s="2">
        <v>0.97</v>
      </c>
    </row>
    <row r="46" spans="1:33" x14ac:dyDescent="0.25">
      <c r="A46" s="1">
        <v>37</v>
      </c>
      <c r="B46" s="2" t="s">
        <v>224</v>
      </c>
      <c r="C46" s="2" t="s">
        <v>34</v>
      </c>
      <c r="D46" s="2" t="s">
        <v>207</v>
      </c>
      <c r="G46" s="2" t="s">
        <v>225</v>
      </c>
      <c r="I46" s="2" t="s">
        <v>208</v>
      </c>
      <c r="K46" s="2" t="s">
        <v>201</v>
      </c>
      <c r="L46" s="5">
        <v>0</v>
      </c>
      <c r="M46" s="2">
        <v>0</v>
      </c>
      <c r="N46" s="5">
        <f>L46*(1+(M46/100))</f>
      </c>
      <c r="O46" s="4">
        <v>100</v>
      </c>
      <c r="P46" s="2">
        <f>ROUNDUP(N46*O46,0)</f>
      </c>
      <c r="Q46" s="43">
        <v>0</v>
      </c>
      <c r="R46" s="2" t="s">
        <v>226</v>
      </c>
      <c r="S46" s="2">
        <v>0</v>
      </c>
      <c r="T46" s="2">
        <v>0</v>
      </c>
      <c r="U46" s="5">
        <v>0</v>
      </c>
      <c r="V46" s="2" t="s">
        <v>40</v>
      </c>
      <c r="W46" s="2" t="s">
        <v>41</v>
      </c>
      <c r="X46" s="2">
        <f>P46*(Q46+U46)*(1+S46/100)*(1+T46/100)</f>
      </c>
      <c r="Y46" s="2">
        <f>X46 / VLOOKUP(V46,$W$109:$Y$111,3)</f>
      </c>
      <c r="Z46" s="2">
        <f>Y46/O46</f>
      </c>
      <c r="AA46" s="2" t="s">
        <v>227</v>
      </c>
      <c r="AC46" s="2" t="s">
        <v>204</v>
      </c>
      <c r="AD46" s="7">
        <f t="shared" si="0"/>
      </c>
      <c r="AE46" s="2">
        <v>0</v>
      </c>
      <c r="AF46" s="2">
        <v>0</v>
      </c>
      <c r="AG46" s="2">
        <v>0.97</v>
      </c>
    </row>
    <row r="47" spans="1:33" x14ac:dyDescent="0.25">
      <c r="A47" s="1">
        <v>38</v>
      </c>
      <c r="B47" s="2" t="s">
        <v>228</v>
      </c>
      <c r="C47" s="2" t="s">
        <v>34</v>
      </c>
      <c r="D47" s="2" t="s">
        <v>207</v>
      </c>
      <c r="G47" s="2" t="s">
        <v>229</v>
      </c>
      <c r="I47" s="2" t="s">
        <v>208</v>
      </c>
      <c r="K47" s="2" t="s">
        <v>201</v>
      </c>
      <c r="L47" s="5">
        <v>0</v>
      </c>
      <c r="M47" s="2">
        <v>0</v>
      </c>
      <c r="N47" s="5">
        <f>L47*(1+(M47/100))</f>
      </c>
      <c r="O47" s="4">
        <v>100</v>
      </c>
      <c r="P47" s="2">
        <f>ROUNDUP(N47*O47,0)</f>
      </c>
      <c r="Q47" s="5">
        <v>1.1</v>
      </c>
      <c r="R47" s="2" t="s">
        <v>230</v>
      </c>
      <c r="S47" s="2">
        <v>0</v>
      </c>
      <c r="T47" s="2">
        <v>-1</v>
      </c>
      <c r="U47" s="5">
        <v>0</v>
      </c>
      <c r="V47" s="2" t="s">
        <v>40</v>
      </c>
      <c r="W47" s="2" t="s">
        <v>41</v>
      </c>
      <c r="X47" s="2">
        <f>P47*(Q47+U47)*(1+S47/100)*(1+T47/100)</f>
      </c>
      <c r="Y47" s="2">
        <f>X47 / VLOOKUP(V47,$W$109:$Y$111,3)</f>
      </c>
      <c r="Z47" s="2">
        <f>Y47/O47</f>
      </c>
      <c r="AA47" s="2" t="s">
        <v>231</v>
      </c>
      <c r="AC47" s="2" t="s">
        <v>204</v>
      </c>
      <c r="AD47" s="7">
        <f t="shared" si="0"/>
      </c>
      <c r="AE47" s="2">
        <v>1.1</v>
      </c>
      <c r="AF47" s="2">
        <v>1.1</v>
      </c>
      <c r="AG47" s="2">
        <v>0.97</v>
      </c>
    </row>
    <row r="48" spans="1:33" x14ac:dyDescent="0.25">
      <c r="A48" s="1">
        <v>39</v>
      </c>
      <c r="B48" s="2" t="s">
        <v>232</v>
      </c>
      <c r="C48" s="2" t="s">
        <v>34</v>
      </c>
      <c r="D48" s="2" t="s">
        <v>207</v>
      </c>
      <c r="G48" s="2" t="s">
        <v>233</v>
      </c>
      <c r="I48" s="2" t="s">
        <v>208</v>
      </c>
      <c r="K48" s="2" t="s">
        <v>201</v>
      </c>
      <c r="L48" s="5">
        <v>0</v>
      </c>
      <c r="M48" s="2">
        <v>0</v>
      </c>
      <c r="N48" s="5">
        <f>L48*(1+(M48/100))</f>
      </c>
      <c r="O48" s="4">
        <v>100</v>
      </c>
      <c r="P48" s="2">
        <f>ROUNDUP(N48*O48,0)</f>
      </c>
      <c r="Q48" s="5">
        <v>1.1</v>
      </c>
      <c r="R48" s="2" t="s">
        <v>234</v>
      </c>
      <c r="S48" s="2">
        <v>0</v>
      </c>
      <c r="T48" s="2">
        <v>-1</v>
      </c>
      <c r="U48" s="5">
        <v>0</v>
      </c>
      <c r="V48" s="2" t="s">
        <v>40</v>
      </c>
      <c r="W48" s="2" t="s">
        <v>41</v>
      </c>
      <c r="X48" s="2">
        <f>P48*(Q48+U48)*(1+S48/100)*(1+T48/100)</f>
      </c>
      <c r="Y48" s="2">
        <f>X48 / VLOOKUP(V48,$W$109:$Y$111,3)</f>
      </c>
      <c r="Z48" s="2">
        <f>Y48/O48</f>
      </c>
      <c r="AA48" s="2" t="s">
        <v>235</v>
      </c>
      <c r="AC48" s="2" t="s">
        <v>204</v>
      </c>
      <c r="AD48" s="7">
        <f t="shared" si="0"/>
      </c>
      <c r="AE48" s="2">
        <v>1.1</v>
      </c>
      <c r="AF48" s="2">
        <v>1.1</v>
      </c>
      <c r="AG48" s="2">
        <v>1.02</v>
      </c>
    </row>
    <row r="49" spans="1:33" x14ac:dyDescent="0.25">
      <c r="A49" s="1">
        <v>40</v>
      </c>
      <c r="B49" s="2" t="s">
        <v>236</v>
      </c>
      <c r="C49" s="2" t="s">
        <v>34</v>
      </c>
      <c r="D49" s="2" t="s">
        <v>207</v>
      </c>
      <c r="G49" s="2" t="s">
        <v>237</v>
      </c>
      <c r="I49" s="2" t="s">
        <v>208</v>
      </c>
      <c r="K49" s="2" t="s">
        <v>201</v>
      </c>
      <c r="L49" s="5">
        <v>0</v>
      </c>
      <c r="M49" s="2">
        <v>0</v>
      </c>
      <c r="N49" s="5">
        <f>L49*(1+(M49/100))</f>
      </c>
      <c r="O49" s="4">
        <v>100</v>
      </c>
      <c r="P49" s="2">
        <f>ROUNDUP(N49*O49,0)</f>
      </c>
      <c r="Q49" s="43">
        <v>0</v>
      </c>
      <c r="R49" s="2" t="s">
        <v>238</v>
      </c>
      <c r="S49" s="2">
        <v>0</v>
      </c>
      <c r="T49" s="2">
        <v>0</v>
      </c>
      <c r="U49" s="5">
        <v>0</v>
      </c>
      <c r="V49" s="2" t="s">
        <v>40</v>
      </c>
      <c r="W49" s="2" t="s">
        <v>41</v>
      </c>
      <c r="X49" s="2">
        <f>P49*(Q49+U49)*(1+S49/100)*(1+T49/100)</f>
      </c>
      <c r="Y49" s="2">
        <f>X49 / VLOOKUP(V49,$W$109:$Y$111,3)</f>
      </c>
      <c r="Z49" s="2">
        <f>Y49/O49</f>
      </c>
      <c r="AA49" s="2" t="s">
        <v>239</v>
      </c>
      <c r="AC49" s="2" t="s">
        <v>204</v>
      </c>
      <c r="AD49" s="7">
        <f t="shared" si="0"/>
      </c>
      <c r="AE49" s="2">
        <v>0</v>
      </c>
      <c r="AF49" s="2">
        <v>0</v>
      </c>
      <c r="AG49" s="2">
        <v>0.97</v>
      </c>
    </row>
    <row r="50" spans="1:33" x14ac:dyDescent="0.25">
      <c r="A50" s="1">
        <v>41</v>
      </c>
      <c r="B50" s="2" t="s">
        <v>240</v>
      </c>
      <c r="C50" s="2" t="s">
        <v>34</v>
      </c>
      <c r="D50" s="2" t="s">
        <v>207</v>
      </c>
      <c r="G50" s="2" t="s">
        <v>241</v>
      </c>
      <c r="I50" s="2" t="s">
        <v>208</v>
      </c>
      <c r="K50" s="2" t="s">
        <v>201</v>
      </c>
      <c r="L50" s="5">
        <v>0</v>
      </c>
      <c r="M50" s="2">
        <v>0</v>
      </c>
      <c r="N50" s="5">
        <f>L50*(1+(M50/100))</f>
      </c>
      <c r="O50" s="4">
        <v>100</v>
      </c>
      <c r="P50" s="2">
        <f>ROUNDUP(N50*O50,0)</f>
      </c>
      <c r="Q50" s="43">
        <v>0</v>
      </c>
      <c r="R50" s="2" t="s">
        <v>242</v>
      </c>
      <c r="S50" s="2">
        <v>0</v>
      </c>
      <c r="T50" s="2">
        <v>-1</v>
      </c>
      <c r="U50" s="5">
        <v>0</v>
      </c>
      <c r="V50" s="2" t="s">
        <v>40</v>
      </c>
      <c r="W50" s="2" t="s">
        <v>41</v>
      </c>
      <c r="X50" s="2">
        <f>P50*(Q50+U50)*(1+S50/100)*(1+T50/100)</f>
      </c>
      <c r="Y50" s="2">
        <f>X50 / VLOOKUP(V50,$W$109:$Y$111,3)</f>
      </c>
      <c r="Z50" s="2">
        <f>Y50/O50</f>
      </c>
      <c r="AA50" s="2" t="s">
        <v>243</v>
      </c>
      <c r="AC50" s="2" t="s">
        <v>204</v>
      </c>
      <c r="AD50" s="7">
        <f t="shared" si="0"/>
      </c>
      <c r="AE50" s="2">
        <v>0</v>
      </c>
      <c r="AF50" s="2">
        <v>0</v>
      </c>
      <c r="AG50" s="2">
        <v>0.97</v>
      </c>
    </row>
    <row r="51" spans="1:33" x14ac:dyDescent="0.25">
      <c r="A51" s="1">
        <v>42</v>
      </c>
      <c r="B51" s="2" t="s">
        <v>244</v>
      </c>
      <c r="C51" s="2" t="s">
        <v>34</v>
      </c>
      <c r="D51" s="2" t="s">
        <v>207</v>
      </c>
      <c r="G51" s="2" t="s">
        <v>245</v>
      </c>
      <c r="I51" s="2" t="s">
        <v>208</v>
      </c>
      <c r="K51" s="2" t="s">
        <v>201</v>
      </c>
      <c r="L51" s="5">
        <v>0</v>
      </c>
      <c r="M51" s="2">
        <v>0</v>
      </c>
      <c r="N51" s="5">
        <f>L51*(1+(M51/100))</f>
      </c>
      <c r="O51" s="4">
        <v>100</v>
      </c>
      <c r="P51" s="2">
        <f>ROUNDUP(N51*O51,0)</f>
      </c>
      <c r="Q51" s="43">
        <v>0</v>
      </c>
      <c r="R51" s="2" t="s">
        <v>218</v>
      </c>
      <c r="S51" s="2">
        <v>0</v>
      </c>
      <c r="T51" s="2">
        <v>0</v>
      </c>
      <c r="U51" s="5">
        <v>0</v>
      </c>
      <c r="V51" s="2" t="s">
        <v>40</v>
      </c>
      <c r="W51" s="2" t="s">
        <v>41</v>
      </c>
      <c r="X51" s="2">
        <f>P51*(Q51+U51)*(1+S51/100)*(1+T51/100)</f>
      </c>
      <c r="Y51" s="2">
        <f>X51 / VLOOKUP(V51,$W$109:$Y$111,3)</f>
      </c>
      <c r="Z51" s="2">
        <f>Y51/O51</f>
      </c>
      <c r="AA51" s="2" t="s">
        <v>246</v>
      </c>
      <c r="AC51" s="2" t="s">
        <v>204</v>
      </c>
      <c r="AD51" s="7">
        <f t="shared" si="0"/>
      </c>
      <c r="AE51" s="2">
        <v>0</v>
      </c>
      <c r="AF51" s="2">
        <v>0</v>
      </c>
      <c r="AG51" s="2">
        <v>0.97</v>
      </c>
    </row>
    <row r="52" spans="1:33" x14ac:dyDescent="0.25">
      <c r="A52" s="1">
        <v>43</v>
      </c>
      <c r="B52" s="2" t="s">
        <v>247</v>
      </c>
      <c r="C52" s="2" t="s">
        <v>34</v>
      </c>
      <c r="D52" s="2" t="s">
        <v>207</v>
      </c>
      <c r="G52" s="2" t="s">
        <v>213</v>
      </c>
      <c r="I52" s="2" t="s">
        <v>208</v>
      </c>
      <c r="K52" s="2" t="s">
        <v>201</v>
      </c>
      <c r="L52" s="5">
        <v>0</v>
      </c>
      <c r="M52" s="2">
        <v>0</v>
      </c>
      <c r="N52" s="5">
        <f>L52*(1+(M52/100))</f>
      </c>
      <c r="O52" s="4">
        <v>100</v>
      </c>
      <c r="P52" s="2">
        <f>ROUNDUP(N52*O52,0)</f>
      </c>
      <c r="Q52" s="5">
        <v>1.1</v>
      </c>
      <c r="R52" s="2" t="s">
        <v>248</v>
      </c>
      <c r="S52" s="2">
        <v>0</v>
      </c>
      <c r="T52" s="2">
        <v>-2</v>
      </c>
      <c r="U52" s="5">
        <v>0</v>
      </c>
      <c r="V52" s="2" t="s">
        <v>40</v>
      </c>
      <c r="W52" s="2" t="s">
        <v>41</v>
      </c>
      <c r="X52" s="2">
        <f>P52*(Q52+U52)*(1+S52/100)*(1+T52/100)</f>
      </c>
      <c r="Y52" s="2">
        <f>X52 / VLOOKUP(V52,$W$109:$Y$111,3)</f>
      </c>
      <c r="Z52" s="2">
        <f>Y52/O52</f>
      </c>
      <c r="AA52" s="2" t="s">
        <v>249</v>
      </c>
      <c r="AC52" s="2" t="s">
        <v>204</v>
      </c>
      <c r="AD52" s="7">
        <f t="shared" si="0"/>
      </c>
      <c r="AE52" s="2">
        <v>1.1</v>
      </c>
      <c r="AF52" s="2">
        <v>1.1</v>
      </c>
      <c r="AG52" s="2">
        <v>0.97</v>
      </c>
    </row>
    <row r="53" spans="1:33" x14ac:dyDescent="0.25">
      <c r="A53" s="1">
        <v>44</v>
      </c>
      <c r="B53" s="2" t="s">
        <v>250</v>
      </c>
      <c r="C53" s="2" t="s">
        <v>34</v>
      </c>
      <c r="D53" s="2" t="s">
        <v>251</v>
      </c>
      <c r="G53" s="2" t="s">
        <v>252</v>
      </c>
      <c r="I53" s="2" t="s">
        <v>253</v>
      </c>
      <c r="K53" s="2" t="s">
        <v>70</v>
      </c>
      <c r="L53" s="5">
        <v>2</v>
      </c>
      <c r="M53" s="2">
        <v>0</v>
      </c>
      <c r="N53" s="5">
        <f>L53*(1+(M53/100))</f>
      </c>
      <c r="O53" s="4">
        <v>100</v>
      </c>
      <c r="P53" s="2">
        <f>ROUNDUP(N53*O53,0)</f>
      </c>
      <c r="Q53" s="5">
        <v>0.23</v>
      </c>
      <c r="R53" s="2" t="s">
        <v>254</v>
      </c>
      <c r="S53" s="2">
        <v>4</v>
      </c>
      <c r="T53" s="2">
        <v>0</v>
      </c>
      <c r="U53" s="5">
        <v>0</v>
      </c>
      <c r="V53" s="2" t="s">
        <v>40</v>
      </c>
      <c r="W53" s="2" t="s">
        <v>41</v>
      </c>
      <c r="X53" s="2">
        <f>P53*(Q53+U53)*(1+S53/100)*(1+T53/100)</f>
      </c>
      <c r="Y53" s="2">
        <f>X53 / VLOOKUP(V53,$W$109:$Y$111,3)</f>
      </c>
      <c r="Z53" s="2">
        <f>Y53/O53</f>
      </c>
      <c r="AA53" s="2" t="s">
        <v>255</v>
      </c>
      <c r="AC53" s="2" t="s">
        <v>256</v>
      </c>
      <c r="AD53" s="7">
        <f t="shared" si="0"/>
      </c>
      <c r="AE53" s="2">
        <v>0.23</v>
      </c>
      <c r="AF53" s="2">
        <v>0.23</v>
      </c>
      <c r="AG53" s="2">
        <v>0.23</v>
      </c>
    </row>
    <row r="54" spans="1:33" x14ac:dyDescent="0.25">
      <c r="A54" s="1">
        <v>45</v>
      </c>
      <c r="B54" s="2" t="s">
        <v>257</v>
      </c>
      <c r="C54" s="2" t="s">
        <v>34</v>
      </c>
      <c r="D54" s="2" t="s">
        <v>258</v>
      </c>
      <c r="G54" s="2" t="s">
        <v>259</v>
      </c>
      <c r="I54" s="2" t="s">
        <v>208</v>
      </c>
      <c r="K54" s="2" t="s">
        <v>201</v>
      </c>
      <c r="L54" s="5">
        <v>0</v>
      </c>
      <c r="M54" s="2">
        <v>0</v>
      </c>
      <c r="N54" s="5">
        <f>L54*(1+(M54/100))</f>
      </c>
      <c r="O54" s="4">
        <v>100</v>
      </c>
      <c r="P54" s="2">
        <f>ROUNDUP(N54*O54,0)</f>
      </c>
      <c r="Q54" s="5">
        <v>3.8</v>
      </c>
      <c r="R54" s="2" t="s">
        <v>260</v>
      </c>
      <c r="S54" s="2">
        <v>0</v>
      </c>
      <c r="T54" s="2">
        <v>0</v>
      </c>
      <c r="U54" s="5">
        <v>0</v>
      </c>
      <c r="V54" s="2" t="s">
        <v>40</v>
      </c>
      <c r="W54" s="2" t="s">
        <v>41</v>
      </c>
      <c r="X54" s="2">
        <f>P54*(Q54+U54)*(1+S54/100)*(1+T54/100)</f>
      </c>
      <c r="Y54" s="2">
        <f>X54 / VLOOKUP(V54,$W$109:$Y$111,3)</f>
      </c>
      <c r="Z54" s="2">
        <f>Y54/O54</f>
      </c>
      <c r="AA54" s="2" t="s">
        <v>261</v>
      </c>
      <c r="AC54" s="2" t="s">
        <v>262</v>
      </c>
      <c r="AD54" s="7">
        <f t="shared" si="0"/>
      </c>
      <c r="AE54" s="2">
        <v>3.8</v>
      </c>
      <c r="AF54" s="2">
        <v>3.8</v>
      </c>
      <c r="AG54" s="2">
        <v>3.8</v>
      </c>
    </row>
    <row r="55" spans="1:33" x14ac:dyDescent="0.25">
      <c r="A55" s="1">
        <v>46</v>
      </c>
      <c r="B55" s="2" t="s">
        <v>263</v>
      </c>
      <c r="C55" s="2" t="s">
        <v>34</v>
      </c>
      <c r="D55" s="2" t="s">
        <v>258</v>
      </c>
      <c r="G55" s="2" t="s">
        <v>264</v>
      </c>
      <c r="I55" s="2" t="s">
        <v>208</v>
      </c>
      <c r="K55" s="2" t="s">
        <v>201</v>
      </c>
      <c r="L55" s="5">
        <v>0</v>
      </c>
      <c r="M55" s="2">
        <v>0</v>
      </c>
      <c r="N55" s="5">
        <f>L55*(1+(M55/100))</f>
      </c>
      <c r="O55" s="4">
        <v>100</v>
      </c>
      <c r="P55" s="2">
        <f>ROUNDUP(N55*O55,0)</f>
      </c>
      <c r="Q55" s="5">
        <v>3.3</v>
      </c>
      <c r="R55" s="2" t="s">
        <v>265</v>
      </c>
      <c r="S55" s="2">
        <v>0</v>
      </c>
      <c r="T55" s="2">
        <v>0</v>
      </c>
      <c r="U55" s="5">
        <v>0</v>
      </c>
      <c r="V55" s="2" t="s">
        <v>40</v>
      </c>
      <c r="W55" s="2" t="s">
        <v>41</v>
      </c>
      <c r="X55" s="2">
        <f>P55*(Q55+U55)*(1+S55/100)*(1+T55/100)</f>
      </c>
      <c r="Y55" s="2">
        <f>X55 / VLOOKUP(V55,$W$109:$Y$111,3)</f>
      </c>
      <c r="Z55" s="2">
        <f>Y55/O55</f>
      </c>
      <c r="AA55" s="2" t="s">
        <v>266</v>
      </c>
      <c r="AC55" s="2" t="s">
        <v>262</v>
      </c>
      <c r="AD55" s="7">
        <f t="shared" si="0"/>
      </c>
      <c r="AE55" s="2">
        <v>3.3</v>
      </c>
      <c r="AF55" s="2">
        <v>3.3</v>
      </c>
      <c r="AG55" s="2">
        <v>3.3</v>
      </c>
    </row>
    <row r="56" spans="1:33" x14ac:dyDescent="0.25">
      <c r="A56" s="1">
        <v>47</v>
      </c>
      <c r="B56" s="2" t="s">
        <v>267</v>
      </c>
      <c r="C56" s="2" t="s">
        <v>34</v>
      </c>
      <c r="D56" s="2" t="s">
        <v>268</v>
      </c>
      <c r="G56" s="2" t="s">
        <v>269</v>
      </c>
      <c r="I56" s="2" t="s">
        <v>270</v>
      </c>
      <c r="K56" s="2" t="s">
        <v>70</v>
      </c>
      <c r="L56" s="5">
        <v>1</v>
      </c>
      <c r="M56" s="2">
        <v>0</v>
      </c>
      <c r="N56" s="5">
        <f>L56*(1+(M56/100))</f>
      </c>
      <c r="O56" s="4">
        <v>100</v>
      </c>
      <c r="P56" s="2">
        <f>ROUNDUP(N56*O56,0)</f>
      </c>
      <c r="Q56" s="5">
        <v>1500</v>
      </c>
      <c r="R56" s="2" t="s">
        <v>271</v>
      </c>
      <c r="S56" s="2">
        <v>4</v>
      </c>
      <c r="T56" s="2">
        <v>0</v>
      </c>
      <c r="U56" s="5">
        <v>0</v>
      </c>
      <c r="V56" s="2" t="s">
        <v>65</v>
      </c>
      <c r="W56" s="2" t="s">
        <v>41</v>
      </c>
      <c r="X56" s="2">
        <f>P56*(Q56+U56)*(1+S56/100)*(1+T56/100)</f>
      </c>
      <c r="Y56" s="2">
        <f>X56 / VLOOKUP(V56,$W$109:$Y$111,3)</f>
      </c>
      <c r="Z56" s="2">
        <f>Y56/O56</f>
      </c>
      <c r="AA56" s="2" t="s">
        <v>272</v>
      </c>
      <c r="AC56" s="2" t="s">
        <v>154</v>
      </c>
      <c r="AD56" s="7">
        <f t="shared" si="0"/>
      </c>
      <c r="AE56" s="2">
        <v>1.2987</v>
      </c>
      <c r="AF56" s="2">
        <v>0.991215</v>
      </c>
      <c r="AG56" s="2">
        <v>450</v>
      </c>
    </row>
    <row r="57" spans="1:33" x14ac:dyDescent="0.25">
      <c r="A57" s="1">
        <v>48</v>
      </c>
      <c r="B57" s="2" t="s">
        <v>273</v>
      </c>
      <c r="C57" s="2" t="s">
        <v>34</v>
      </c>
      <c r="D57" s="2" t="s">
        <v>268</v>
      </c>
      <c r="G57" s="2" t="s">
        <v>274</v>
      </c>
      <c r="I57" s="2" t="s">
        <v>270</v>
      </c>
      <c r="K57" s="2" t="s">
        <v>70</v>
      </c>
      <c r="L57" s="5">
        <v>1</v>
      </c>
      <c r="M57" s="2">
        <v>0</v>
      </c>
      <c r="N57" s="5">
        <f>L57*(1+(M57/100))</f>
      </c>
      <c r="O57" s="4">
        <v>100</v>
      </c>
      <c r="P57" s="2">
        <f>ROUNDUP(N57*O57,0)</f>
      </c>
      <c r="Q57" s="5">
        <v>80</v>
      </c>
      <c r="R57" s="2" t="s">
        <v>271</v>
      </c>
      <c r="S57" s="2">
        <v>4</v>
      </c>
      <c r="T57" s="2">
        <v>0</v>
      </c>
      <c r="U57" s="5">
        <v>0</v>
      </c>
      <c r="V57" s="2" t="s">
        <v>65</v>
      </c>
      <c r="W57" s="2" t="s">
        <v>41</v>
      </c>
      <c r="X57" s="2">
        <f>P57*(Q57+U57)*(1+S57/100)*(1+T57/100)</f>
      </c>
      <c r="Y57" s="2">
        <f>X57 / VLOOKUP(V57,$W$109:$Y$111,3)</f>
      </c>
      <c r="Z57" s="2">
        <f>Y57/O57</f>
      </c>
      <c r="AA57" s="2" t="s">
        <v>275</v>
      </c>
      <c r="AC57" s="2" t="s">
        <v>154</v>
      </c>
      <c r="AD57" s="7">
        <f t="shared" si="0"/>
      </c>
      <c r="AE57" s="2">
        <v>0.069264</v>
      </c>
      <c r="AF57" s="2">
        <v>0.052864799999999997</v>
      </c>
      <c r="AG57" s="2">
        <v>450</v>
      </c>
    </row>
    <row r="58" spans="1:33" x14ac:dyDescent="0.25">
      <c r="A58" s="1">
        <v>49</v>
      </c>
      <c r="B58" s="2" t="s">
        <v>276</v>
      </c>
      <c r="C58" s="2" t="s">
        <v>34</v>
      </c>
      <c r="D58" s="2" t="s">
        <v>246</v>
      </c>
      <c r="G58" s="2" t="s">
        <v>277</v>
      </c>
      <c r="I58" s="2" t="s">
        <v>278</v>
      </c>
      <c r="K58" s="2" t="s">
        <v>70</v>
      </c>
      <c r="L58" s="5">
        <v>1</v>
      </c>
      <c r="M58" s="2">
        <v>0</v>
      </c>
      <c r="N58" s="5">
        <f>L58*(1+(M58/100))</f>
      </c>
      <c r="O58" s="4">
        <v>100</v>
      </c>
      <c r="P58" s="2">
        <f>ROUNDUP(N58*O58,0)</f>
      </c>
      <c r="Q58" s="5">
        <v>130</v>
      </c>
      <c r="R58" s="2" t="s">
        <v>279</v>
      </c>
      <c r="S58" s="2">
        <v>4</v>
      </c>
      <c r="T58" s="2">
        <v>0</v>
      </c>
      <c r="U58" s="5">
        <v>0</v>
      </c>
      <c r="V58" s="2" t="s">
        <v>65</v>
      </c>
      <c r="W58" s="2" t="s">
        <v>41</v>
      </c>
      <c r="X58" s="2">
        <f>P58*(Q58+U58)*(1+S58/100)*(1+T58/100)</f>
      </c>
      <c r="Y58" s="2">
        <f>X58 / VLOOKUP(V58,$W$109:$Y$111,3)</f>
      </c>
      <c r="Z58" s="2">
        <f>Y58/O58</f>
      </c>
      <c r="AA58" s="2" t="s">
        <v>280</v>
      </c>
      <c r="AC58" s="2" t="s">
        <v>136</v>
      </c>
      <c r="AD58" s="7">
        <f t="shared" si="0"/>
      </c>
      <c r="AE58" s="2">
        <v>0.112554</v>
      </c>
      <c r="AF58" s="2">
        <v>0.08590529999999999</v>
      </c>
      <c r="AG58" s="2">
        <v>130</v>
      </c>
    </row>
    <row r="59" spans="1:33" x14ac:dyDescent="0.25">
      <c r="A59" s="1">
        <v>50</v>
      </c>
      <c r="B59" s="2" t="s">
        <v>281</v>
      </c>
      <c r="C59" s="2" t="s">
        <v>34</v>
      </c>
      <c r="D59" s="2" t="s">
        <v>246</v>
      </c>
      <c r="G59" s="2" t="s">
        <v>277</v>
      </c>
      <c r="I59" s="2" t="s">
        <v>282</v>
      </c>
      <c r="K59" s="2" t="s">
        <v>70</v>
      </c>
      <c r="L59" s="5">
        <v>1</v>
      </c>
      <c r="M59" s="2">
        <v>0</v>
      </c>
      <c r="N59" s="5">
        <f>L59*(1+(M59/100))</f>
      </c>
      <c r="O59" s="4">
        <v>100</v>
      </c>
      <c r="P59" s="2">
        <f>ROUNDUP(N59*O59,0)</f>
      </c>
      <c r="Q59" s="43">
        <v>0</v>
      </c>
      <c r="R59" s="2" t="s">
        <v>283</v>
      </c>
      <c r="S59" s="2">
        <v>4</v>
      </c>
      <c r="T59" s="2">
        <v>0</v>
      </c>
      <c r="U59" s="5">
        <v>0</v>
      </c>
      <c r="V59" s="2" t="s">
        <v>65</v>
      </c>
      <c r="W59" s="2" t="s">
        <v>41</v>
      </c>
      <c r="X59" s="2">
        <f>P59*(Q59+U59)*(1+S59/100)*(1+T59/100)</f>
      </c>
      <c r="Y59" s="2">
        <f>X59 / VLOOKUP(V59,$W$109:$Y$111,3)</f>
      </c>
      <c r="Z59" s="2">
        <f>Y59/O59</f>
      </c>
      <c r="AA59" s="2" t="s">
        <v>284</v>
      </c>
      <c r="AC59" s="2" t="s">
        <v>136</v>
      </c>
      <c r="AD59" s="7">
        <f t="shared" si="0"/>
      </c>
      <c r="AE59" s="2">
        <v>0</v>
      </c>
      <c r="AF59" s="2">
        <v>0</v>
      </c>
      <c r="AG59" s="2">
        <v>350</v>
      </c>
    </row>
    <row r="60" spans="1:33" x14ac:dyDescent="0.25">
      <c r="A60" s="1">
        <v>51</v>
      </c>
      <c r="B60" s="2" t="s">
        <v>285</v>
      </c>
      <c r="C60" s="2" t="s">
        <v>34</v>
      </c>
      <c r="D60" s="2" t="s">
        <v>286</v>
      </c>
      <c r="G60" s="2" t="s">
        <v>277</v>
      </c>
      <c r="I60" s="2" t="s">
        <v>287</v>
      </c>
      <c r="K60" s="2" t="s">
        <v>70</v>
      </c>
      <c r="L60" s="5">
        <v>1</v>
      </c>
      <c r="M60" s="2">
        <v>0</v>
      </c>
      <c r="N60" s="5">
        <f>L60*(1+(M60/100))</f>
      </c>
      <c r="O60" s="4">
        <v>100</v>
      </c>
      <c r="P60" s="2">
        <f>ROUNDUP(N60*O60,0)</f>
      </c>
      <c r="Q60" s="43">
        <v>0</v>
      </c>
      <c r="R60" s="2" t="s">
        <v>288</v>
      </c>
      <c r="S60" s="2">
        <v>4</v>
      </c>
      <c r="T60" s="2">
        <v>0</v>
      </c>
      <c r="U60" s="5">
        <v>0</v>
      </c>
      <c r="V60" s="2" t="s">
        <v>65</v>
      </c>
      <c r="W60" s="2" t="s">
        <v>6</v>
      </c>
      <c r="X60" s="2">
        <f>P60*(Q60+U60)*(1+S60/100)*(1+T60/100)</f>
      </c>
      <c r="Y60" s="2">
        <f>X60 / VLOOKUP(V60,$W$109:$Y$111,3)</f>
      </c>
      <c r="Z60" s="2">
        <f>Y60/O60</f>
      </c>
      <c r="AA60" s="2" t="s">
        <v>289</v>
      </c>
      <c r="AC60" s="2" t="s">
        <v>136</v>
      </c>
      <c r="AD60" s="7">
        <f t="shared" si="0"/>
      </c>
      <c r="AE60" s="2">
        <v>0</v>
      </c>
      <c r="AF60" s="2">
        <v>0</v>
      </c>
      <c r="AG60" s="2">
        <v>90</v>
      </c>
    </row>
    <row r="61" spans="1:33" x14ac:dyDescent="0.25">
      <c r="A61" s="1">
        <v>52</v>
      </c>
      <c r="B61" s="2" t="s">
        <v>290</v>
      </c>
      <c r="C61" s="2" t="s">
        <v>34</v>
      </c>
      <c r="D61" s="2" t="s">
        <v>291</v>
      </c>
      <c r="G61" s="2" t="s">
        <v>292</v>
      </c>
      <c r="I61" s="2" t="s">
        <v>293</v>
      </c>
      <c r="K61" s="2" t="s">
        <v>151</v>
      </c>
      <c r="L61" s="5">
        <v>1</v>
      </c>
      <c r="M61" s="2">
        <v>0</v>
      </c>
      <c r="N61" s="5">
        <f>L61*(1+(M61/100))</f>
      </c>
      <c r="O61" s="4">
        <v>100</v>
      </c>
      <c r="P61" s="2">
        <f>ROUNDUP(N61*O61,0)</f>
      </c>
      <c r="Q61" s="5">
        <v>181</v>
      </c>
      <c r="R61" s="2" t="s">
        <v>294</v>
      </c>
      <c r="S61" s="2">
        <v>4</v>
      </c>
      <c r="T61" s="2">
        <v>0</v>
      </c>
      <c r="U61" s="5">
        <v>0</v>
      </c>
      <c r="V61" s="2" t="s">
        <v>65</v>
      </c>
      <c r="W61" s="2" t="s">
        <v>6</v>
      </c>
      <c r="X61" s="2">
        <f>P61*(Q61+U61)*(1+S61/100)*(1+T61/100)</f>
      </c>
      <c r="Y61" s="2">
        <f>X61 / VLOOKUP(V61,$W$109:$Y$111,3)</f>
      </c>
      <c r="Z61" s="2">
        <f>Y61/O61</f>
      </c>
      <c r="AA61" s="2" t="s">
        <v>295</v>
      </c>
      <c r="AC61" s="2" t="s">
        <v>296</v>
      </c>
      <c r="AD61" s="7">
        <f t="shared" si="0"/>
      </c>
      <c r="AE61" s="2">
        <v>0.1567098</v>
      </c>
      <c r="AF61" s="2">
        <v>0.11960660999999999</v>
      </c>
      <c r="AG61" s="2">
        <v>181</v>
      </c>
    </row>
    <row r="62" spans="1:33" x14ac:dyDescent="0.25">
      <c r="A62" s="1">
        <v>53</v>
      </c>
      <c r="B62" s="2" t="s">
        <v>297</v>
      </c>
      <c r="C62" s="2" t="s">
        <v>34</v>
      </c>
      <c r="D62" s="2" t="s">
        <v>298</v>
      </c>
      <c r="G62" s="2" t="s">
        <v>292</v>
      </c>
      <c r="I62" s="2" t="s">
        <v>299</v>
      </c>
      <c r="K62" s="2" t="s">
        <v>70</v>
      </c>
      <c r="L62" s="5">
        <v>1</v>
      </c>
      <c r="M62" s="2">
        <v>0</v>
      </c>
      <c r="N62" s="5">
        <f>L62*(1+(M62/100))</f>
      </c>
      <c r="O62" s="4">
        <v>100</v>
      </c>
      <c r="P62" s="2">
        <f>ROUNDUP(N62*O62,0)</f>
      </c>
      <c r="Q62" s="43">
        <v>0</v>
      </c>
      <c r="R62" s="2" t="s">
        <v>300</v>
      </c>
      <c r="S62" s="2">
        <v>4</v>
      </c>
      <c r="T62" s="2">
        <v>0</v>
      </c>
      <c r="U62" s="5">
        <v>0</v>
      </c>
      <c r="V62" s="2" t="s">
        <v>65</v>
      </c>
      <c r="W62" s="2" t="s">
        <v>41</v>
      </c>
      <c r="X62" s="2">
        <f>P62*(Q62+U62)*(1+S62/100)*(1+T62/100)</f>
      </c>
      <c r="Y62" s="2">
        <f>X62 / VLOOKUP(V62,$W$109:$Y$111,3)</f>
      </c>
      <c r="Z62" s="2">
        <f>Y62/O62</f>
      </c>
      <c r="AA62" s="2" t="s">
        <v>301</v>
      </c>
      <c r="AC62" s="2" t="s">
        <v>296</v>
      </c>
      <c r="AD62" s="7">
        <f t="shared" si="0"/>
      </c>
      <c r="AE62" s="2">
        <v>0</v>
      </c>
      <c r="AF62" s="2">
        <v>0</v>
      </c>
      <c r="AG62" s="2">
        <v>15</v>
      </c>
    </row>
    <row r="63" spans="1:33" x14ac:dyDescent="0.25">
      <c r="A63" s="1">
        <v>54</v>
      </c>
      <c r="B63" s="2" t="s">
        <v>302</v>
      </c>
      <c r="C63" s="2" t="s">
        <v>34</v>
      </c>
      <c r="D63" s="2" t="s">
        <v>303</v>
      </c>
      <c r="G63" s="2" t="s">
        <v>292</v>
      </c>
      <c r="I63" s="2" t="s">
        <v>304</v>
      </c>
      <c r="K63" s="2" t="s">
        <v>70</v>
      </c>
      <c r="L63" s="5">
        <v>1</v>
      </c>
      <c r="M63" s="2">
        <v>0</v>
      </c>
      <c r="N63" s="5">
        <f>L63*(1+(M63/100))</f>
      </c>
      <c r="O63" s="4">
        <v>100</v>
      </c>
      <c r="P63" s="2">
        <f>ROUNDUP(N63*O63,0)</f>
      </c>
      <c r="Q63" s="43">
        <v>0</v>
      </c>
      <c r="R63" s="2" t="s">
        <v>300</v>
      </c>
      <c r="S63" s="2">
        <v>4</v>
      </c>
      <c r="T63" s="2">
        <v>0</v>
      </c>
      <c r="U63" s="5">
        <v>0</v>
      </c>
      <c r="V63" s="2" t="s">
        <v>65</v>
      </c>
      <c r="W63" s="2" t="s">
        <v>41</v>
      </c>
      <c r="X63" s="2">
        <f>P63*(Q63+U63)*(1+S63/100)*(1+T63/100)</f>
      </c>
      <c r="Y63" s="2">
        <f>X63 / VLOOKUP(V63,$W$109:$Y$111,3)</f>
      </c>
      <c r="Z63" s="2">
        <f>Y63/O63</f>
      </c>
      <c r="AA63" s="2" t="s">
        <v>301</v>
      </c>
      <c r="AC63" s="2" t="s">
        <v>296</v>
      </c>
      <c r="AD63" s="7">
        <f t="shared" si="0"/>
      </c>
      <c r="AE63" s="2">
        <v>0</v>
      </c>
      <c r="AF63" s="2">
        <v>0</v>
      </c>
      <c r="AG63" s="2">
        <v>15</v>
      </c>
    </row>
    <row r="64" spans="1:33" x14ac:dyDescent="0.25">
      <c r="A64" s="1">
        <v>55</v>
      </c>
      <c r="B64" s="2" t="s">
        <v>305</v>
      </c>
      <c r="C64" s="2" t="s">
        <v>34</v>
      </c>
      <c r="D64" s="2" t="s">
        <v>298</v>
      </c>
      <c r="G64" s="2" t="s">
        <v>292</v>
      </c>
      <c r="I64" s="2" t="s">
        <v>306</v>
      </c>
      <c r="K64" s="2" t="s">
        <v>70</v>
      </c>
      <c r="L64" s="5">
        <v>1</v>
      </c>
      <c r="M64" s="2">
        <v>0</v>
      </c>
      <c r="N64" s="5">
        <f>L64*(1+(M64/100))</f>
      </c>
      <c r="O64" s="4">
        <v>100</v>
      </c>
      <c r="P64" s="2">
        <f>ROUNDUP(N64*O64,0)</f>
      </c>
      <c r="Q64" s="5">
        <v>15</v>
      </c>
      <c r="R64" s="2" t="s">
        <v>307</v>
      </c>
      <c r="S64" s="2">
        <v>4</v>
      </c>
      <c r="T64" s="2">
        <v>0</v>
      </c>
      <c r="U64" s="5">
        <v>0</v>
      </c>
      <c r="V64" s="2" t="s">
        <v>65</v>
      </c>
      <c r="W64" s="2" t="s">
        <v>41</v>
      </c>
      <c r="X64" s="2">
        <f>P64*(Q64+U64)*(1+S64/100)*(1+T64/100)</f>
      </c>
      <c r="Y64" s="2">
        <f>X64 / VLOOKUP(V64,$W$109:$Y$111,3)</f>
      </c>
      <c r="Z64" s="2">
        <f>Y64/O64</f>
      </c>
      <c r="AA64" s="2" t="s">
        <v>41</v>
      </c>
      <c r="AC64" s="2" t="s">
        <v>296</v>
      </c>
      <c r="AD64" s="7">
        <f t="shared" si="0"/>
      </c>
      <c r="AE64" s="2">
        <v>0.012987</v>
      </c>
      <c r="AF64" s="2">
        <v>0.00991215</v>
      </c>
      <c r="AG64" s="2">
        <v>15</v>
      </c>
    </row>
    <row r="65" spans="1:33" x14ac:dyDescent="0.25">
      <c r="A65" s="1">
        <v>56</v>
      </c>
      <c r="B65" s="2" t="s">
        <v>308</v>
      </c>
      <c r="C65" s="2" t="s">
        <v>34</v>
      </c>
      <c r="D65" s="2" t="s">
        <v>303</v>
      </c>
      <c r="G65" s="2" t="s">
        <v>292</v>
      </c>
      <c r="I65" s="2" t="s">
        <v>309</v>
      </c>
      <c r="K65" s="2" t="s">
        <v>70</v>
      </c>
      <c r="L65" s="5">
        <v>1</v>
      </c>
      <c r="M65" s="2">
        <v>0</v>
      </c>
      <c r="N65" s="5">
        <f>L65*(1+(M65/100))</f>
      </c>
      <c r="O65" s="4">
        <v>100</v>
      </c>
      <c r="P65" s="2">
        <f>ROUNDUP(N65*O65,0)</f>
      </c>
      <c r="Q65" s="5">
        <v>40</v>
      </c>
      <c r="R65" s="2" t="s">
        <v>310</v>
      </c>
      <c r="S65" s="2">
        <v>4</v>
      </c>
      <c r="T65" s="2">
        <v>0</v>
      </c>
      <c r="U65" s="5">
        <v>0</v>
      </c>
      <c r="V65" s="2" t="s">
        <v>65</v>
      </c>
      <c r="W65" s="2" t="s">
        <v>41</v>
      </c>
      <c r="X65" s="2">
        <f>P65*(Q65+U65)*(1+S65/100)*(1+T65/100)</f>
      </c>
      <c r="Y65" s="2">
        <f>X65 / VLOOKUP(V65,$W$109:$Y$111,3)</f>
      </c>
      <c r="Z65" s="2">
        <f>Y65/O65</f>
      </c>
      <c r="AA65" s="2" t="s">
        <v>311</v>
      </c>
      <c r="AC65" s="2" t="s">
        <v>296</v>
      </c>
      <c r="AD65" s="7">
        <f t="shared" si="0"/>
      </c>
      <c r="AE65" s="2">
        <v>0.034632</v>
      </c>
      <c r="AF65" s="2">
        <v>0.026432399999999998</v>
      </c>
      <c r="AG65" s="2">
        <v>15</v>
      </c>
    </row>
    <row r="66" spans="1:33" x14ac:dyDescent="0.25">
      <c r="A66" s="1">
        <v>57</v>
      </c>
      <c r="B66" s="2" t="s">
        <v>312</v>
      </c>
      <c r="C66" s="2" t="s">
        <v>34</v>
      </c>
      <c r="D66" s="2" t="s">
        <v>303</v>
      </c>
      <c r="G66" s="2" t="s">
        <v>292</v>
      </c>
      <c r="I66" s="2" t="s">
        <v>313</v>
      </c>
      <c r="K66" s="2" t="s">
        <v>70</v>
      </c>
      <c r="L66" s="5">
        <v>1</v>
      </c>
      <c r="M66" s="2">
        <v>0</v>
      </c>
      <c r="N66" s="5">
        <f>L66*(1+(M66/100))</f>
      </c>
      <c r="O66" s="4">
        <v>100</v>
      </c>
      <c r="P66" s="2">
        <f>ROUNDUP(N66*O66,0)</f>
      </c>
      <c r="Q66" s="5">
        <v>40</v>
      </c>
      <c r="R66" s="2" t="s">
        <v>310</v>
      </c>
      <c r="S66" s="2">
        <v>4</v>
      </c>
      <c r="T66" s="2">
        <v>0</v>
      </c>
      <c r="U66" s="5">
        <v>0</v>
      </c>
      <c r="V66" s="2" t="s">
        <v>65</v>
      </c>
      <c r="W66" s="2" t="s">
        <v>41</v>
      </c>
      <c r="X66" s="2">
        <f>P66*(Q66+U66)*(1+S66/100)*(1+T66/100)</f>
      </c>
      <c r="Y66" s="2">
        <f>X66 / VLOOKUP(V66,$W$109:$Y$111,3)</f>
      </c>
      <c r="Z66" s="2">
        <f>Y66/O66</f>
      </c>
      <c r="AA66" s="2" t="s">
        <v>314</v>
      </c>
      <c r="AC66" s="2" t="s">
        <v>296</v>
      </c>
      <c r="AD66" s="7">
        <f t="shared" si="0"/>
      </c>
      <c r="AE66" s="2">
        <v>0.034632</v>
      </c>
      <c r="AF66" s="2">
        <v>0.026432399999999998</v>
      </c>
      <c r="AG66" s="2">
        <v>15</v>
      </c>
    </row>
    <row r="67" spans="1:33" x14ac:dyDescent="0.25">
      <c r="A67" s="1">
        <v>58</v>
      </c>
      <c r="B67" s="2" t="s">
        <v>312</v>
      </c>
      <c r="C67" s="2" t="s">
        <v>34</v>
      </c>
      <c r="D67" s="2" t="s">
        <v>303</v>
      </c>
      <c r="G67" s="2" t="s">
        <v>292</v>
      </c>
      <c r="I67" s="2" t="s">
        <v>313</v>
      </c>
      <c r="K67" s="2" t="s">
        <v>70</v>
      </c>
      <c r="L67" s="5">
        <v>1</v>
      </c>
      <c r="M67" s="2">
        <v>0</v>
      </c>
      <c r="N67" s="5">
        <f>L67*(1+(M67/100))</f>
      </c>
      <c r="O67" s="4">
        <v>100</v>
      </c>
      <c r="P67" s="2">
        <f>ROUNDUP(N67*O67,0)</f>
      </c>
      <c r="Q67" s="5">
        <v>40</v>
      </c>
      <c r="R67" s="2" t="s">
        <v>310</v>
      </c>
      <c r="S67" s="2">
        <v>4</v>
      </c>
      <c r="T67" s="2">
        <v>0</v>
      </c>
      <c r="U67" s="5">
        <v>0</v>
      </c>
      <c r="V67" s="2" t="s">
        <v>65</v>
      </c>
      <c r="W67" s="2" t="s">
        <v>41</v>
      </c>
      <c r="X67" s="2">
        <f>P67*(Q67+U67)*(1+S67/100)*(1+T67/100)</f>
      </c>
      <c r="Y67" s="2">
        <f>X67 / VLOOKUP(V67,$W$109:$Y$111,3)</f>
      </c>
      <c r="Z67" s="2">
        <f>Y67/O67</f>
      </c>
      <c r="AA67" s="2" t="s">
        <v>315</v>
      </c>
      <c r="AC67" s="2" t="s">
        <v>296</v>
      </c>
      <c r="AD67" s="7">
        <f t="shared" si="0"/>
      </c>
      <c r="AE67" s="2">
        <v>0.034632</v>
      </c>
      <c r="AF67" s="2">
        <v>0.026432399999999998</v>
      </c>
      <c r="AG67" s="2">
        <v>15</v>
      </c>
    </row>
    <row r="68" spans="1:33" x14ac:dyDescent="0.25">
      <c r="A68" s="1">
        <v>59</v>
      </c>
      <c r="B68" s="2" t="s">
        <v>312</v>
      </c>
      <c r="C68" s="2" t="s">
        <v>34</v>
      </c>
      <c r="D68" s="2" t="s">
        <v>303</v>
      </c>
      <c r="G68" s="2" t="s">
        <v>292</v>
      </c>
      <c r="I68" s="2" t="s">
        <v>313</v>
      </c>
      <c r="K68" s="2" t="s">
        <v>70</v>
      </c>
      <c r="L68" s="5">
        <v>1</v>
      </c>
      <c r="M68" s="2">
        <v>0</v>
      </c>
      <c r="N68" s="5">
        <f>L68*(1+(M68/100))</f>
      </c>
      <c r="O68" s="4">
        <v>100</v>
      </c>
      <c r="P68" s="2">
        <f>ROUNDUP(N68*O68,0)</f>
      </c>
      <c r="Q68" s="5">
        <v>40</v>
      </c>
      <c r="R68" s="2" t="s">
        <v>310</v>
      </c>
      <c r="S68" s="2">
        <v>4</v>
      </c>
      <c r="T68" s="2">
        <v>0</v>
      </c>
      <c r="U68" s="5">
        <v>0</v>
      </c>
      <c r="V68" s="2" t="s">
        <v>65</v>
      </c>
      <c r="W68" s="2" t="s">
        <v>41</v>
      </c>
      <c r="X68" s="2">
        <f>P68*(Q68+U68)*(1+S68/100)*(1+T68/100)</f>
      </c>
      <c r="Y68" s="2">
        <f>X68 / VLOOKUP(V68,$W$109:$Y$111,3)</f>
      </c>
      <c r="Z68" s="2">
        <f>Y68/O68</f>
      </c>
      <c r="AA68" s="2" t="s">
        <v>316</v>
      </c>
      <c r="AC68" s="2" t="s">
        <v>296</v>
      </c>
      <c r="AD68" s="7">
        <f t="shared" si="0"/>
      </c>
      <c r="AE68" s="2">
        <v>0.034632</v>
      </c>
      <c r="AF68" s="2">
        <v>0.026432399999999998</v>
      </c>
      <c r="AG68" s="2">
        <v>15</v>
      </c>
    </row>
    <row r="69" spans="1:33" x14ac:dyDescent="0.25">
      <c r="A69" s="1">
        <v>60</v>
      </c>
      <c r="B69" s="2" t="s">
        <v>312</v>
      </c>
      <c r="C69" s="2" t="s">
        <v>34</v>
      </c>
      <c r="D69" s="2" t="s">
        <v>303</v>
      </c>
      <c r="G69" s="2" t="s">
        <v>292</v>
      </c>
      <c r="I69" s="2" t="s">
        <v>313</v>
      </c>
      <c r="K69" s="2" t="s">
        <v>70</v>
      </c>
      <c r="L69" s="5">
        <v>1</v>
      </c>
      <c r="M69" s="2">
        <v>0</v>
      </c>
      <c r="N69" s="5">
        <f>L69*(1+(M69/100))</f>
      </c>
      <c r="O69" s="4">
        <v>100</v>
      </c>
      <c r="P69" s="2">
        <f>ROUNDUP(N69*O69,0)</f>
      </c>
      <c r="Q69" s="5">
        <v>40</v>
      </c>
      <c r="R69" s="2" t="s">
        <v>310</v>
      </c>
      <c r="S69" s="2">
        <v>4</v>
      </c>
      <c r="T69" s="2">
        <v>0</v>
      </c>
      <c r="U69" s="5">
        <v>0</v>
      </c>
      <c r="V69" s="2" t="s">
        <v>65</v>
      </c>
      <c r="W69" s="2" t="s">
        <v>41</v>
      </c>
      <c r="X69" s="2">
        <f>P69*(Q69+U69)*(1+S69/100)*(1+T69/100)</f>
      </c>
      <c r="Y69" s="2">
        <f>X69 / VLOOKUP(V69,$W$109:$Y$111,3)</f>
      </c>
      <c r="Z69" s="2">
        <f>Y69/O69</f>
      </c>
      <c r="AA69" s="2" t="s">
        <v>317</v>
      </c>
      <c r="AC69" s="2" t="s">
        <v>296</v>
      </c>
      <c r="AD69" s="7">
        <f t="shared" si="0"/>
      </c>
      <c r="AE69" s="2">
        <v>0.034632</v>
      </c>
      <c r="AF69" s="2">
        <v>0.026432399999999998</v>
      </c>
      <c r="AG69" s="2">
        <v>15</v>
      </c>
    </row>
    <row r="70" spans="1:33" x14ac:dyDescent="0.25">
      <c r="A70" s="1">
        <v>61</v>
      </c>
      <c r="B70" s="2" t="s">
        <v>312</v>
      </c>
      <c r="C70" s="2" t="s">
        <v>34</v>
      </c>
      <c r="D70" s="2" t="s">
        <v>303</v>
      </c>
      <c r="G70" s="2" t="s">
        <v>292</v>
      </c>
      <c r="I70" s="2" t="s">
        <v>313</v>
      </c>
      <c r="K70" s="2" t="s">
        <v>70</v>
      </c>
      <c r="L70" s="5">
        <v>1</v>
      </c>
      <c r="M70" s="2">
        <v>0</v>
      </c>
      <c r="N70" s="5">
        <f>L70*(1+(M70/100))</f>
      </c>
      <c r="O70" s="4">
        <v>100</v>
      </c>
      <c r="P70" s="2">
        <f>ROUNDUP(N70*O70,0)</f>
      </c>
      <c r="Q70" s="5">
        <v>40</v>
      </c>
      <c r="R70" s="2" t="s">
        <v>310</v>
      </c>
      <c r="S70" s="2">
        <v>4</v>
      </c>
      <c r="T70" s="2">
        <v>0</v>
      </c>
      <c r="U70" s="5">
        <v>0</v>
      </c>
      <c r="V70" s="2" t="s">
        <v>65</v>
      </c>
      <c r="W70" s="2" t="s">
        <v>41</v>
      </c>
      <c r="X70" s="2">
        <f>P70*(Q70+U70)*(1+S70/100)*(1+T70/100)</f>
      </c>
      <c r="Y70" s="2">
        <f>X70 / VLOOKUP(V70,$W$109:$Y$111,3)</f>
      </c>
      <c r="Z70" s="2">
        <f>Y70/O70</f>
      </c>
      <c r="AA70" s="2" t="s">
        <v>318</v>
      </c>
      <c r="AC70" s="2" t="s">
        <v>296</v>
      </c>
      <c r="AD70" s="7">
        <f t="shared" si="0"/>
      </c>
      <c r="AE70" s="2">
        <v>0.034632</v>
      </c>
      <c r="AF70" s="2">
        <v>0.026432399999999998</v>
      </c>
      <c r="AG70" s="2">
        <v>15</v>
      </c>
    </row>
    <row r="71" spans="1:33" x14ac:dyDescent="0.25">
      <c r="A71" s="1">
        <v>62</v>
      </c>
      <c r="B71" s="2" t="s">
        <v>319</v>
      </c>
      <c r="C71" s="2" t="s">
        <v>34</v>
      </c>
      <c r="D71" s="2" t="s">
        <v>320</v>
      </c>
      <c r="G71" s="2" t="s">
        <v>41</v>
      </c>
      <c r="I71" s="2" t="s">
        <v>321</v>
      </c>
      <c r="K71" s="2" t="s">
        <v>70</v>
      </c>
      <c r="L71" s="5">
        <v>1</v>
      </c>
      <c r="M71" s="2">
        <v>0</v>
      </c>
      <c r="N71" s="5">
        <f>L71*(1+(M71/100))</f>
      </c>
      <c r="O71" s="4">
        <v>100</v>
      </c>
      <c r="P71" s="2">
        <f>ROUNDUP(N71*O71,0)</f>
      </c>
      <c r="Q71" s="5">
        <v>100</v>
      </c>
      <c r="R71" s="2" t="s">
        <v>300</v>
      </c>
      <c r="S71" s="2">
        <v>0</v>
      </c>
      <c r="T71" s="2">
        <v>0</v>
      </c>
      <c r="U71" s="5">
        <v>0</v>
      </c>
      <c r="V71" s="2" t="s">
        <v>65</v>
      </c>
      <c r="W71" s="2" t="s">
        <v>41</v>
      </c>
      <c r="X71" s="2">
        <f>P71*(Q71+U71)*(1+S71/100)*(1+T71/100)</f>
      </c>
      <c r="Y71" s="2">
        <f>X71 / VLOOKUP(V71,$W$109:$Y$111,3)</f>
      </c>
      <c r="Z71" s="2">
        <f>Y71/O71</f>
      </c>
      <c r="AA71" s="2" t="s">
        <v>311</v>
      </c>
      <c r="AC71" s="2" t="s">
        <v>296</v>
      </c>
      <c r="AD71" s="7">
        <f t="shared" si="0"/>
      </c>
      <c r="AE71" s="2">
        <v>0.08658</v>
      </c>
      <c r="AF71" s="2">
        <v>0.066081</v>
      </c>
      <c r="AG71" s="2">
        <v>38</v>
      </c>
    </row>
    <row r="72" spans="1:33" x14ac:dyDescent="0.25">
      <c r="A72" s="1">
        <v>63</v>
      </c>
      <c r="B72" s="2" t="s">
        <v>322</v>
      </c>
      <c r="C72" s="2" t="s">
        <v>34</v>
      </c>
      <c r="D72" s="2" t="s">
        <v>320</v>
      </c>
      <c r="G72" s="2" t="s">
        <v>41</v>
      </c>
      <c r="I72" s="2" t="s">
        <v>323</v>
      </c>
      <c r="K72" s="2" t="s">
        <v>70</v>
      </c>
      <c r="L72" s="5">
        <v>1</v>
      </c>
      <c r="M72" s="2">
        <v>0</v>
      </c>
      <c r="N72" s="5">
        <f>L72*(1+(M72/100))</f>
      </c>
      <c r="O72" s="4">
        <v>100</v>
      </c>
      <c r="P72" s="2">
        <f>ROUNDUP(N72*O72,0)</f>
      </c>
      <c r="Q72" s="5">
        <v>100</v>
      </c>
      <c r="R72" s="2" t="s">
        <v>300</v>
      </c>
      <c r="S72" s="2">
        <v>0</v>
      </c>
      <c r="T72" s="2">
        <v>0</v>
      </c>
      <c r="U72" s="5">
        <v>0</v>
      </c>
      <c r="V72" s="2" t="s">
        <v>65</v>
      </c>
      <c r="W72" s="2" t="s">
        <v>41</v>
      </c>
      <c r="X72" s="2">
        <f>P72*(Q72+U72)*(1+S72/100)*(1+T72/100)</f>
      </c>
      <c r="Y72" s="2">
        <f>X72 / VLOOKUP(V72,$W$109:$Y$111,3)</f>
      </c>
      <c r="Z72" s="2">
        <f>Y72/O72</f>
      </c>
      <c r="AA72" s="2" t="s">
        <v>314</v>
      </c>
      <c r="AC72" s="2" t="s">
        <v>296</v>
      </c>
      <c r="AD72" s="7">
        <f t="shared" si="0"/>
      </c>
      <c r="AE72" s="2">
        <v>0.08658</v>
      </c>
      <c r="AF72" s="2">
        <v>0.066081</v>
      </c>
      <c r="AG72" s="2">
        <v>38</v>
      </c>
    </row>
    <row r="73" spans="1:33" x14ac:dyDescent="0.25">
      <c r="A73" s="1">
        <v>64</v>
      </c>
      <c r="B73" s="2" t="s">
        <v>324</v>
      </c>
      <c r="C73" s="2" t="s">
        <v>34</v>
      </c>
      <c r="D73" s="2" t="s">
        <v>320</v>
      </c>
      <c r="G73" s="2" t="s">
        <v>292</v>
      </c>
      <c r="I73" s="2" t="s">
        <v>325</v>
      </c>
      <c r="K73" s="2" t="s">
        <v>70</v>
      </c>
      <c r="L73" s="5">
        <v>1</v>
      </c>
      <c r="M73" s="2">
        <v>0</v>
      </c>
      <c r="N73" s="5">
        <f>L73*(1+(M73/100))</f>
      </c>
      <c r="O73" s="4">
        <v>100</v>
      </c>
      <c r="P73" s="2">
        <f>ROUNDUP(N73*O73,0)</f>
      </c>
      <c r="Q73" s="5">
        <v>38</v>
      </c>
      <c r="R73" s="2" t="s">
        <v>326</v>
      </c>
      <c r="S73" s="2">
        <v>0</v>
      </c>
      <c r="T73" s="2">
        <v>0</v>
      </c>
      <c r="U73" s="5">
        <v>0</v>
      </c>
      <c r="V73" s="2" t="s">
        <v>65</v>
      </c>
      <c r="W73" s="2" t="s">
        <v>41</v>
      </c>
      <c r="X73" s="2">
        <f>P73*(Q73+U73)*(1+S73/100)*(1+T73/100)</f>
      </c>
      <c r="Y73" s="2">
        <f>X73 / VLOOKUP(V73,$W$109:$Y$111,3)</f>
      </c>
      <c r="Z73" s="2">
        <f>Y73/O73</f>
      </c>
      <c r="AA73" s="2" t="s">
        <v>315</v>
      </c>
      <c r="AC73" s="2" t="s">
        <v>296</v>
      </c>
      <c r="AD73" s="7">
        <f t="shared" si="0"/>
      </c>
      <c r="AE73" s="2">
        <v>0.0329004</v>
      </c>
      <c r="AF73" s="2">
        <v>0.02511078</v>
      </c>
      <c r="AG73" s="2">
        <v>38</v>
      </c>
    </row>
    <row r="74" spans="1:33" x14ac:dyDescent="0.25">
      <c r="A74" s="1">
        <v>65</v>
      </c>
      <c r="B74" s="2" t="s">
        <v>322</v>
      </c>
      <c r="C74" s="2" t="s">
        <v>34</v>
      </c>
      <c r="D74" s="2" t="s">
        <v>320</v>
      </c>
      <c r="G74" s="2" t="s">
        <v>41</v>
      </c>
      <c r="I74" s="2" t="s">
        <v>323</v>
      </c>
      <c r="K74" s="2" t="s">
        <v>70</v>
      </c>
      <c r="L74" s="5">
        <v>1</v>
      </c>
      <c r="M74" s="2">
        <v>0</v>
      </c>
      <c r="N74" s="5">
        <f>L74*(1+(M74/100))</f>
      </c>
      <c r="O74" s="4">
        <v>100</v>
      </c>
      <c r="P74" s="2">
        <f>ROUNDUP(N74*O74,0)</f>
      </c>
      <c r="Q74" s="5">
        <v>100</v>
      </c>
      <c r="R74" s="2" t="s">
        <v>300</v>
      </c>
      <c r="S74" s="2">
        <v>0</v>
      </c>
      <c r="T74" s="2">
        <v>0</v>
      </c>
      <c r="U74" s="5">
        <v>0</v>
      </c>
      <c r="V74" s="2" t="s">
        <v>65</v>
      </c>
      <c r="W74" s="2" t="s">
        <v>41</v>
      </c>
      <c r="X74" s="2">
        <f>P74*(Q74+U74)*(1+S74/100)*(1+T74/100)</f>
      </c>
      <c r="Y74" s="2">
        <f>X74 / VLOOKUP(V74,$W$109:$Y$111,3)</f>
      </c>
      <c r="Z74" s="2">
        <f>Y74/O74</f>
      </c>
      <c r="AA74" s="2" t="s">
        <v>316</v>
      </c>
      <c r="AC74" s="2" t="s">
        <v>296</v>
      </c>
      <c r="AD74" s="7">
        <f t="shared" ref="AD74:AD137" si="1">IF(P74 = "", "", Y74/P74)</f>
      </c>
      <c r="AE74" s="2">
        <v>0.08658</v>
      </c>
      <c r="AF74" s="2">
        <v>0.066081</v>
      </c>
      <c r="AG74" s="2">
        <v>38</v>
      </c>
    </row>
    <row r="75" spans="1:33" x14ac:dyDescent="0.25">
      <c r="A75" s="1">
        <v>66</v>
      </c>
      <c r="B75" s="2" t="s">
        <v>322</v>
      </c>
      <c r="C75" s="2" t="s">
        <v>34</v>
      </c>
      <c r="D75" s="2" t="s">
        <v>320</v>
      </c>
      <c r="G75" s="2" t="s">
        <v>41</v>
      </c>
      <c r="I75" s="2" t="s">
        <v>323</v>
      </c>
      <c r="K75" s="2" t="s">
        <v>70</v>
      </c>
      <c r="L75" s="5">
        <v>1</v>
      </c>
      <c r="M75" s="2">
        <v>0</v>
      </c>
      <c r="N75" s="5">
        <f>L75*(1+(M75/100))</f>
      </c>
      <c r="O75" s="4">
        <v>100</v>
      </c>
      <c r="P75" s="2">
        <f>ROUNDUP(N75*O75,0)</f>
      </c>
      <c r="Q75" s="5">
        <v>100</v>
      </c>
      <c r="R75" s="2" t="s">
        <v>300</v>
      </c>
      <c r="S75" s="2">
        <v>0</v>
      </c>
      <c r="T75" s="2">
        <v>0</v>
      </c>
      <c r="U75" s="5">
        <v>0</v>
      </c>
      <c r="V75" s="2" t="s">
        <v>65</v>
      </c>
      <c r="W75" s="2" t="s">
        <v>41</v>
      </c>
      <c r="X75" s="2">
        <f>P75*(Q75+U75)*(1+S75/100)*(1+T75/100)</f>
      </c>
      <c r="Y75" s="2">
        <f>X75 / VLOOKUP(V75,$W$109:$Y$111,3)</f>
      </c>
      <c r="Z75" s="2">
        <f>Y75/O75</f>
      </c>
      <c r="AA75" s="2" t="s">
        <v>327</v>
      </c>
      <c r="AC75" s="2" t="s">
        <v>296</v>
      </c>
      <c r="AD75" s="7">
        <f t="shared" si="1"/>
      </c>
      <c r="AE75" s="2">
        <v>0.08658</v>
      </c>
      <c r="AF75" s="2">
        <v>0.066081</v>
      </c>
      <c r="AG75" s="2">
        <v>38</v>
      </c>
    </row>
    <row r="76" spans="1:33" x14ac:dyDescent="0.25">
      <c r="A76" s="1">
        <v>67</v>
      </c>
      <c r="B76" s="2" t="s">
        <v>322</v>
      </c>
      <c r="C76" s="2" t="s">
        <v>34</v>
      </c>
      <c r="D76" s="2" t="s">
        <v>320</v>
      </c>
      <c r="G76" s="2" t="s">
        <v>41</v>
      </c>
      <c r="I76" s="2" t="s">
        <v>323</v>
      </c>
      <c r="K76" s="2" t="s">
        <v>70</v>
      </c>
      <c r="L76" s="5">
        <v>1</v>
      </c>
      <c r="M76" s="2">
        <v>0</v>
      </c>
      <c r="N76" s="5">
        <f>L76*(1+(M76/100))</f>
      </c>
      <c r="O76" s="4">
        <v>100</v>
      </c>
      <c r="P76" s="2">
        <f>ROUNDUP(N76*O76,0)</f>
      </c>
      <c r="Q76" s="5">
        <v>100</v>
      </c>
      <c r="R76" s="2" t="s">
        <v>300</v>
      </c>
      <c r="S76" s="2">
        <v>0</v>
      </c>
      <c r="T76" s="2">
        <v>0</v>
      </c>
      <c r="U76" s="5">
        <v>0</v>
      </c>
      <c r="V76" s="2" t="s">
        <v>65</v>
      </c>
      <c r="W76" s="2" t="s">
        <v>41</v>
      </c>
      <c r="X76" s="2">
        <f>P76*(Q76+U76)*(1+S76/100)*(1+T76/100)</f>
      </c>
      <c r="Y76" s="2">
        <f>X76 / VLOOKUP(V76,$W$109:$Y$111,3)</f>
      </c>
      <c r="Z76" s="2">
        <f>Y76/O76</f>
      </c>
      <c r="AA76" s="2" t="s">
        <v>317</v>
      </c>
      <c r="AC76" s="2" t="s">
        <v>296</v>
      </c>
      <c r="AD76" s="7">
        <f t="shared" si="1"/>
      </c>
      <c r="AE76" s="2">
        <v>0.08658</v>
      </c>
      <c r="AF76" s="2">
        <v>0.066081</v>
      </c>
      <c r="AG76" s="2">
        <v>38</v>
      </c>
    </row>
    <row r="77" spans="1:33" x14ac:dyDescent="0.25">
      <c r="A77" s="1">
        <v>68</v>
      </c>
      <c r="B77" s="2" t="s">
        <v>322</v>
      </c>
      <c r="C77" s="2" t="s">
        <v>34</v>
      </c>
      <c r="D77" s="2" t="s">
        <v>320</v>
      </c>
      <c r="G77" s="2" t="s">
        <v>41</v>
      </c>
      <c r="I77" s="2" t="s">
        <v>323</v>
      </c>
      <c r="K77" s="2" t="s">
        <v>70</v>
      </c>
      <c r="L77" s="5">
        <v>1</v>
      </c>
      <c r="M77" s="2">
        <v>0</v>
      </c>
      <c r="N77" s="5">
        <f>L77*(1+(M77/100))</f>
      </c>
      <c r="O77" s="4">
        <v>100</v>
      </c>
      <c r="P77" s="2">
        <f>ROUNDUP(N77*O77,0)</f>
      </c>
      <c r="Q77" s="5">
        <v>100</v>
      </c>
      <c r="R77" s="2" t="s">
        <v>300</v>
      </c>
      <c r="S77" s="2">
        <v>0</v>
      </c>
      <c r="T77" s="2">
        <v>0</v>
      </c>
      <c r="U77" s="5">
        <v>0</v>
      </c>
      <c r="V77" s="2" t="s">
        <v>65</v>
      </c>
      <c r="W77" s="2" t="s">
        <v>41</v>
      </c>
      <c r="X77" s="2">
        <f>P77*(Q77+U77)*(1+S77/100)*(1+T77/100)</f>
      </c>
      <c r="Y77" s="2">
        <f>X77 / VLOOKUP(V77,$W$109:$Y$111,3)</f>
      </c>
      <c r="Z77" s="2">
        <f>Y77/O77</f>
      </c>
      <c r="AA77" s="2" t="s">
        <v>318</v>
      </c>
      <c r="AC77" s="2" t="s">
        <v>296</v>
      </c>
      <c r="AD77" s="7">
        <f t="shared" si="1"/>
      </c>
      <c r="AE77" s="2">
        <v>0.08658</v>
      </c>
      <c r="AF77" s="2">
        <v>0.066081</v>
      </c>
      <c r="AG77" s="2">
        <v>38</v>
      </c>
    </row>
    <row r="78" spans="1:33" x14ac:dyDescent="0.25">
      <c r="A78" s="1">
        <v>69</v>
      </c>
      <c r="B78" s="2" t="s">
        <v>322</v>
      </c>
      <c r="C78" s="2" t="s">
        <v>34</v>
      </c>
      <c r="D78" s="2" t="s">
        <v>320</v>
      </c>
      <c r="G78" s="2" t="s">
        <v>41</v>
      </c>
      <c r="I78" s="2" t="s">
        <v>323</v>
      </c>
      <c r="K78" s="2" t="s">
        <v>70</v>
      </c>
      <c r="L78" s="5">
        <v>1</v>
      </c>
      <c r="M78" s="2">
        <v>0</v>
      </c>
      <c r="N78" s="5">
        <f>L78*(1+(M78/100))</f>
      </c>
      <c r="O78" s="4">
        <v>100</v>
      </c>
      <c r="P78" s="2">
        <f>ROUNDUP(N78*O78,0)</f>
      </c>
      <c r="Q78" s="5">
        <v>100</v>
      </c>
      <c r="R78" s="2" t="s">
        <v>300</v>
      </c>
      <c r="S78" s="2">
        <v>0</v>
      </c>
      <c r="T78" s="2">
        <v>0</v>
      </c>
      <c r="U78" s="5">
        <v>0</v>
      </c>
      <c r="V78" s="2" t="s">
        <v>65</v>
      </c>
      <c r="W78" s="2" t="s">
        <v>41</v>
      </c>
      <c r="X78" s="2">
        <f>P78*(Q78+U78)*(1+S78/100)*(1+T78/100)</f>
      </c>
      <c r="Y78" s="2">
        <f>X78 / VLOOKUP(V78,$W$109:$Y$111,3)</f>
      </c>
      <c r="Z78" s="2">
        <f>Y78/O78</f>
      </c>
      <c r="AA78" s="2" t="s">
        <v>328</v>
      </c>
      <c r="AC78" s="2" t="s">
        <v>296</v>
      </c>
      <c r="AD78" s="7">
        <f t="shared" si="1"/>
      </c>
      <c r="AE78" s="2">
        <v>0.08658</v>
      </c>
      <c r="AF78" s="2">
        <v>0.066081</v>
      </c>
      <c r="AG78" s="2">
        <v>38</v>
      </c>
    </row>
    <row r="79" spans="1:33" x14ac:dyDescent="0.25">
      <c r="A79" s="1">
        <v>70</v>
      </c>
      <c r="B79" s="2" t="s">
        <v>329</v>
      </c>
      <c r="C79" s="2" t="s">
        <v>34</v>
      </c>
      <c r="D79" s="2" t="s">
        <v>330</v>
      </c>
      <c r="G79" s="2" t="s">
        <v>41</v>
      </c>
      <c r="I79" s="2" t="s">
        <v>41</v>
      </c>
      <c r="K79" s="2" t="s">
        <v>70</v>
      </c>
      <c r="L79" s="5">
        <v>1</v>
      </c>
      <c r="M79" s="2">
        <v>0</v>
      </c>
      <c r="N79" s="5">
        <f>L79*(1+(M79/100))</f>
      </c>
      <c r="O79" s="4">
        <v>100</v>
      </c>
      <c r="P79" s="2">
        <f>ROUNDUP(N79*O79,0)</f>
      </c>
      <c r="Q79" s="5">
        <v>35</v>
      </c>
      <c r="R79" s="2" t="s">
        <v>300</v>
      </c>
      <c r="S79" s="2">
        <v>0</v>
      </c>
      <c r="T79" s="2">
        <v>0</v>
      </c>
      <c r="U79" s="5">
        <v>0</v>
      </c>
      <c r="V79" s="2" t="s">
        <v>65</v>
      </c>
      <c r="W79" s="2" t="s">
        <v>41</v>
      </c>
      <c r="X79" s="2">
        <f>P79*(Q79+U79)*(1+S79/100)*(1+T79/100)</f>
      </c>
      <c r="Y79" s="2">
        <f>X79 / VLOOKUP(V79,$W$109:$Y$111,3)</f>
      </c>
      <c r="Z79" s="2">
        <f>Y79/O79</f>
      </c>
      <c r="AA79" s="2" t="s">
        <v>41</v>
      </c>
      <c r="AC79" s="2" t="s">
        <v>296</v>
      </c>
      <c r="AD79" s="7">
        <f t="shared" si="1"/>
      </c>
      <c r="AE79" s="2">
        <v>0.030303</v>
      </c>
      <c r="AF79" s="2">
        <v>0.02312835</v>
      </c>
      <c r="AG79" s="2">
        <v>29</v>
      </c>
    </row>
    <row r="80" spans="1:33" x14ac:dyDescent="0.25">
      <c r="A80" s="1">
        <v>71</v>
      </c>
      <c r="B80" s="2" t="s">
        <v>331</v>
      </c>
      <c r="C80" s="2" t="s">
        <v>34</v>
      </c>
      <c r="D80" s="2" t="s">
        <v>332</v>
      </c>
      <c r="G80" s="2" t="s">
        <v>292</v>
      </c>
      <c r="I80" s="2" t="s">
        <v>333</v>
      </c>
      <c r="K80" s="2" t="s">
        <v>151</v>
      </c>
      <c r="L80" s="5">
        <v>1</v>
      </c>
      <c r="M80" s="2">
        <v>0</v>
      </c>
      <c r="N80" s="5">
        <f>L80*(1+(M80/100))</f>
      </c>
      <c r="O80" s="4">
        <v>100</v>
      </c>
      <c r="P80" s="2">
        <f>ROUNDUP(N80*O80,0)</f>
      </c>
      <c r="Q80" s="5">
        <v>28</v>
      </c>
      <c r="R80" s="2" t="s">
        <v>334</v>
      </c>
      <c r="S80" s="2">
        <v>4</v>
      </c>
      <c r="T80" s="2">
        <v>0</v>
      </c>
      <c r="U80" s="5">
        <v>0</v>
      </c>
      <c r="V80" s="2" t="s">
        <v>65</v>
      </c>
      <c r="W80" s="2" t="s">
        <v>6</v>
      </c>
      <c r="X80" s="2">
        <f>P80*(Q80+U80)*(1+S80/100)*(1+T80/100)</f>
      </c>
      <c r="Y80" s="2">
        <f>X80 / VLOOKUP(V80,$W$109:$Y$111,3)</f>
      </c>
      <c r="Z80" s="2">
        <f>Y80/O80</f>
      </c>
      <c r="AA80" s="2" t="s">
        <v>335</v>
      </c>
      <c r="AC80" s="2" t="s">
        <v>296</v>
      </c>
      <c r="AD80" s="7">
        <f t="shared" si="1"/>
      </c>
      <c r="AE80" s="2">
        <v>0.0242424</v>
      </c>
      <c r="AF80" s="2">
        <v>0.01850268</v>
      </c>
      <c r="AG80" s="2">
        <v>28</v>
      </c>
    </row>
    <row r="81" spans="1:33" x14ac:dyDescent="0.25">
      <c r="A81" s="1">
        <v>72</v>
      </c>
      <c r="B81" s="2" t="s">
        <v>336</v>
      </c>
      <c r="C81" s="2" t="s">
        <v>34</v>
      </c>
      <c r="D81" s="2" t="s">
        <v>337</v>
      </c>
      <c r="G81" s="2" t="s">
        <v>292</v>
      </c>
      <c r="I81" s="2" t="s">
        <v>338</v>
      </c>
      <c r="K81" s="2" t="s">
        <v>70</v>
      </c>
      <c r="L81" s="5">
        <v>1</v>
      </c>
      <c r="M81" s="2">
        <v>0</v>
      </c>
      <c r="N81" s="5">
        <f>L81*(1+(M81/100))</f>
      </c>
      <c r="O81" s="4">
        <v>100</v>
      </c>
      <c r="P81" s="2">
        <f>ROUNDUP(N81*O81,0)</f>
      </c>
      <c r="Q81" s="5">
        <v>172</v>
      </c>
      <c r="R81" s="2" t="s">
        <v>339</v>
      </c>
      <c r="S81" s="2">
        <v>0</v>
      </c>
      <c r="T81" s="2">
        <v>0</v>
      </c>
      <c r="U81" s="5">
        <v>0</v>
      </c>
      <c r="V81" s="2" t="s">
        <v>65</v>
      </c>
      <c r="W81" s="2" t="s">
        <v>41</v>
      </c>
      <c r="X81" s="2">
        <f>P81*(Q81+U81)*(1+S81/100)*(1+T81/100)</f>
      </c>
      <c r="Y81" s="2">
        <f>X81 / VLOOKUP(V81,$W$109:$Y$111,3)</f>
      </c>
      <c r="Z81" s="2">
        <f>Y81/O81</f>
      </c>
      <c r="AA81" s="2" t="s">
        <v>41</v>
      </c>
      <c r="AC81" s="2" t="s">
        <v>340</v>
      </c>
      <c r="AD81" s="7">
        <f t="shared" si="1"/>
      </c>
      <c r="AE81" s="2">
        <v>0.1489176</v>
      </c>
      <c r="AF81" s="2">
        <v>0.11365932</v>
      </c>
      <c r="AG81" s="2">
        <v>172</v>
      </c>
    </row>
    <row r="82" spans="1:33" x14ac:dyDescent="0.25">
      <c r="A82" s="1">
        <v>73</v>
      </c>
      <c r="B82" s="2" t="s">
        <v>341</v>
      </c>
      <c r="C82" s="2" t="s">
        <v>34</v>
      </c>
      <c r="D82" s="2" t="s">
        <v>342</v>
      </c>
      <c r="G82" s="2" t="s">
        <v>343</v>
      </c>
      <c r="I82" s="2" t="s">
        <v>344</v>
      </c>
      <c r="K82" s="2" t="s">
        <v>70</v>
      </c>
      <c r="L82" s="5">
        <v>1</v>
      </c>
      <c r="M82" s="2">
        <v>0</v>
      </c>
      <c r="N82" s="5">
        <f>L82*(1+(M82/100))</f>
      </c>
      <c r="O82" s="4">
        <v>100</v>
      </c>
      <c r="P82" s="2">
        <f>ROUNDUP(N82*O82,0)</f>
      </c>
      <c r="Q82" s="43">
        <v>0</v>
      </c>
      <c r="R82" s="2" t="s">
        <v>345</v>
      </c>
      <c r="S82" s="2">
        <v>0</v>
      </c>
      <c r="T82" s="2">
        <v>0</v>
      </c>
      <c r="U82" s="5">
        <v>0</v>
      </c>
      <c r="V82" s="2" t="s">
        <v>65</v>
      </c>
      <c r="W82" s="2" t="s">
        <v>6</v>
      </c>
      <c r="X82" s="2">
        <f>P82*(Q82+U82)*(1+S82/100)*(1+T82/100)</f>
      </c>
      <c r="Y82" s="2">
        <f>X82 / VLOOKUP(V82,$W$109:$Y$111,3)</f>
      </c>
      <c r="Z82" s="2">
        <f>Y82/O82</f>
      </c>
      <c r="AA82" s="2" t="s">
        <v>41</v>
      </c>
      <c r="AC82" s="2" t="s">
        <v>146</v>
      </c>
      <c r="AD82" s="7">
        <f t="shared" si="1"/>
      </c>
      <c r="AE82" s="2">
        <v>0</v>
      </c>
      <c r="AF82" s="2">
        <v>0</v>
      </c>
      <c r="AG82" s="2">
        <v>8</v>
      </c>
    </row>
    <row r="83" spans="1:33" x14ac:dyDescent="0.25">
      <c r="A83" s="1">
        <v>74</v>
      </c>
      <c r="B83" s="2" t="s">
        <v>346</v>
      </c>
      <c r="C83" s="2" t="s">
        <v>34</v>
      </c>
      <c r="D83" s="2" t="s">
        <v>347</v>
      </c>
      <c r="G83" s="2" t="s">
        <v>292</v>
      </c>
      <c r="I83" s="2" t="s">
        <v>348</v>
      </c>
      <c r="K83" s="2" t="s">
        <v>70</v>
      </c>
      <c r="L83" s="5">
        <v>0</v>
      </c>
      <c r="M83" s="2">
        <v>0</v>
      </c>
      <c r="N83" s="5">
        <f>L83*(1+(M83/100))</f>
      </c>
      <c r="O83" s="4">
        <v>100</v>
      </c>
      <c r="P83" s="2">
        <f>ROUNDUP(N83*O83,0)</f>
      </c>
      <c r="Q83" s="43">
        <v>0</v>
      </c>
      <c r="R83" s="2" t="s">
        <v>349</v>
      </c>
      <c r="S83" s="2">
        <v>0</v>
      </c>
      <c r="T83" s="2">
        <v>0</v>
      </c>
      <c r="U83" s="5">
        <v>0</v>
      </c>
      <c r="V83" s="2" t="s">
        <v>65</v>
      </c>
      <c r="W83" s="2" t="s">
        <v>41</v>
      </c>
      <c r="X83" s="2">
        <f>P83*(Q83+U83)*(1+S83/100)*(1+T83/100)</f>
      </c>
      <c r="Y83" s="2">
        <f>X83 / VLOOKUP(V83,$W$109:$Y$111,3)</f>
      </c>
      <c r="Z83" s="2">
        <f>Y83/O83</f>
      </c>
      <c r="AA83" s="2" t="s">
        <v>350</v>
      </c>
      <c r="AC83" s="2" t="s">
        <v>296</v>
      </c>
      <c r="AD83" s="7">
        <f t="shared" si="1"/>
      </c>
      <c r="AE83" s="2">
        <v>0</v>
      </c>
      <c r="AF83" s="2">
        <v>0</v>
      </c>
      <c r="AG83" s="2">
        <v>40</v>
      </c>
    </row>
    <row r="84" spans="1:33" x14ac:dyDescent="0.25">
      <c r="A84" s="1">
        <v>75</v>
      </c>
      <c r="B84" s="2" t="s">
        <v>351</v>
      </c>
      <c r="C84" s="2" t="s">
        <v>34</v>
      </c>
      <c r="D84" s="2" t="s">
        <v>352</v>
      </c>
      <c r="G84" s="2" t="s">
        <v>353</v>
      </c>
      <c r="I84" s="2" t="s">
        <v>354</v>
      </c>
      <c r="K84" s="2" t="s">
        <v>355</v>
      </c>
      <c r="L84" s="5">
        <v>0.0264</v>
      </c>
      <c r="M84" s="2">
        <v>0</v>
      </c>
      <c r="N84" s="5">
        <f>L84*(1+(M84/100))</f>
      </c>
      <c r="O84" s="4">
        <v>100</v>
      </c>
      <c r="P84" s="2">
        <f>ROUNDUP(N84*O84,0)</f>
      </c>
      <c r="Q84" s="5">
        <v>17500</v>
      </c>
      <c r="R84" s="2" t="s">
        <v>356</v>
      </c>
      <c r="S84" s="2">
        <v>0</v>
      </c>
      <c r="T84" s="2">
        <v>0</v>
      </c>
      <c r="U84" s="5">
        <v>0</v>
      </c>
      <c r="V84" s="2" t="s">
        <v>357</v>
      </c>
      <c r="W84" s="2" t="s">
        <v>41</v>
      </c>
      <c r="X84" s="2">
        <f>P84*(Q84+U84)*(1+S84/100)*(1+T84/100)</f>
      </c>
      <c r="Y84" s="2">
        <f>X84 / VLOOKUP(V84,$W$109:$Y$111,3)</f>
      </c>
      <c r="Z84" s="2">
        <f>Y84/O84</f>
      </c>
      <c r="AA84" s="2" t="s">
        <v>358</v>
      </c>
      <c r="AC84" s="2" t="s">
        <v>359</v>
      </c>
      <c r="AD84" s="7">
        <f t="shared" si="1"/>
      </c>
      <c r="AE84" s="2">
        <v>0.831075</v>
      </c>
      <c r="AF84" s="2">
        <v>0.663775</v>
      </c>
      <c r="AG84" s="2">
        <v>11009</v>
      </c>
    </row>
    <row r="85" spans="1:33" x14ac:dyDescent="0.25">
      <c r="A85" s="1">
        <v>76</v>
      </c>
      <c r="B85" s="2" t="s">
        <v>360</v>
      </c>
      <c r="C85" s="2" t="s">
        <v>34</v>
      </c>
      <c r="D85" s="2" t="s">
        <v>352</v>
      </c>
      <c r="G85" s="2" t="s">
        <v>361</v>
      </c>
      <c r="I85" s="2" t="s">
        <v>362</v>
      </c>
      <c r="K85" s="2" t="s">
        <v>355</v>
      </c>
      <c r="L85" s="5">
        <v>0.0044</v>
      </c>
      <c r="M85" s="2">
        <v>0</v>
      </c>
      <c r="N85" s="5">
        <f>L85*(1+(M85/100))</f>
      </c>
      <c r="O85" s="4">
        <v>100</v>
      </c>
      <c r="P85" s="2">
        <f>ROUNDUP(N85*O85,0)</f>
      </c>
      <c r="Q85" s="5">
        <v>10000</v>
      </c>
      <c r="R85" s="2" t="s">
        <v>363</v>
      </c>
      <c r="S85" s="2">
        <v>0</v>
      </c>
      <c r="T85" s="2">
        <v>0</v>
      </c>
      <c r="U85" s="5">
        <v>0</v>
      </c>
      <c r="V85" s="2" t="s">
        <v>357</v>
      </c>
      <c r="W85" s="2" t="s">
        <v>41</v>
      </c>
      <c r="X85" s="2">
        <f>P85*(Q85+U85)*(1+S85/100)*(1+T85/100)</f>
      </c>
      <c r="Y85" s="2">
        <f>X85 / VLOOKUP(V85,$W$109:$Y$111,3)</f>
      </c>
      <c r="Z85" s="2">
        <f>Y85/O85</f>
      </c>
      <c r="AA85" s="2" t="s">
        <v>364</v>
      </c>
      <c r="AC85" s="2" t="s">
        <v>359</v>
      </c>
      <c r="AD85" s="7">
        <f t="shared" si="1"/>
      </c>
      <c r="AE85" s="2">
        <v>0.4749</v>
      </c>
      <c r="AF85" s="2">
        <v>0.37929999999999997</v>
      </c>
      <c r="AG85" s="2">
        <v>17500</v>
      </c>
    </row>
    <row r="86" spans="1:33" x14ac:dyDescent="0.25">
      <c r="A86" s="1">
        <v>77</v>
      </c>
      <c r="B86" s="2" t="s">
        <v>365</v>
      </c>
      <c r="C86" s="2" t="s">
        <v>34</v>
      </c>
      <c r="D86" s="2" t="s">
        <v>352</v>
      </c>
      <c r="G86" s="2" t="s">
        <v>193</v>
      </c>
      <c r="I86" s="2" t="s">
        <v>362</v>
      </c>
      <c r="K86" s="2" t="s">
        <v>355</v>
      </c>
      <c r="L86" s="5">
        <v>0.0015</v>
      </c>
      <c r="M86" s="2">
        <v>0</v>
      </c>
      <c r="N86" s="5">
        <f>L86*(1+(M86/100))</f>
      </c>
      <c r="O86" s="4">
        <v>100</v>
      </c>
      <c r="P86" s="2">
        <f>ROUNDUP(N86*O86,0)</f>
      </c>
      <c r="Q86" s="5">
        <v>17500</v>
      </c>
      <c r="R86" s="2" t="s">
        <v>363</v>
      </c>
      <c r="S86" s="2">
        <v>0</v>
      </c>
      <c r="T86" s="2">
        <v>0</v>
      </c>
      <c r="U86" s="5">
        <v>0</v>
      </c>
      <c r="V86" s="2" t="s">
        <v>357</v>
      </c>
      <c r="W86" s="2" t="s">
        <v>41</v>
      </c>
      <c r="X86" s="2">
        <f>P86*(Q86+U86)*(1+S86/100)*(1+T86/100)</f>
      </c>
      <c r="Y86" s="2">
        <f>X86 / VLOOKUP(V86,$W$109:$Y$111,3)</f>
      </c>
      <c r="Z86" s="2">
        <f>Y86/O86</f>
      </c>
      <c r="AA86" s="2" t="s">
        <v>366</v>
      </c>
      <c r="AC86" s="2" t="s">
        <v>359</v>
      </c>
      <c r="AD86" s="7">
        <f t="shared" si="1"/>
      </c>
      <c r="AE86" s="2">
        <v>0.831075</v>
      </c>
      <c r="AF86" s="2">
        <v>0.663775</v>
      </c>
      <c r="AG86" s="2">
        <v>17500</v>
      </c>
    </row>
    <row r="87" spans="1:33" x14ac:dyDescent="0.25">
      <c r="A87" s="1">
        <v>78</v>
      </c>
      <c r="B87" s="2" t="s">
        <v>367</v>
      </c>
      <c r="C87" s="2" t="s">
        <v>34</v>
      </c>
      <c r="D87" s="2" t="s">
        <v>352</v>
      </c>
      <c r="G87" s="2" t="s">
        <v>343</v>
      </c>
      <c r="I87" s="2" t="s">
        <v>362</v>
      </c>
      <c r="K87" s="2" t="s">
        <v>355</v>
      </c>
      <c r="L87" s="5">
        <v>0.0023</v>
      </c>
      <c r="M87" s="2">
        <v>0</v>
      </c>
      <c r="N87" s="5">
        <f>L87*(1+(M87/100))</f>
      </c>
      <c r="O87" s="4">
        <v>100</v>
      </c>
      <c r="P87" s="2">
        <f>ROUNDUP(N87*O87,0)</f>
      </c>
      <c r="Q87" s="5">
        <v>17500</v>
      </c>
      <c r="R87" s="2" t="s">
        <v>368</v>
      </c>
      <c r="S87" s="2">
        <v>0</v>
      </c>
      <c r="T87" s="2">
        <v>0</v>
      </c>
      <c r="U87" s="5">
        <v>0</v>
      </c>
      <c r="V87" s="2" t="s">
        <v>357</v>
      </c>
      <c r="W87" s="2" t="s">
        <v>41</v>
      </c>
      <c r="X87" s="2">
        <f>P87*(Q87+U87)*(1+S87/100)*(1+T87/100)</f>
      </c>
      <c r="Y87" s="2">
        <f>X87 / VLOOKUP(V87,$W$109:$Y$111,3)</f>
      </c>
      <c r="Z87" s="2">
        <f>Y87/O87</f>
      </c>
      <c r="AA87" s="2" t="s">
        <v>369</v>
      </c>
      <c r="AC87" s="2" t="s">
        <v>359</v>
      </c>
      <c r="AD87" s="7">
        <f t="shared" si="1"/>
      </c>
      <c r="AE87" s="2">
        <v>0.831075</v>
      </c>
      <c r="AF87" s="2">
        <v>0.663775</v>
      </c>
      <c r="AG87" s="2">
        <v>17500</v>
      </c>
    </row>
    <row r="88" spans="1:33" x14ac:dyDescent="0.25">
      <c r="A88" s="1">
        <v>79</v>
      </c>
      <c r="B88" s="2" t="s">
        <v>370</v>
      </c>
      <c r="C88" s="2" t="s">
        <v>34</v>
      </c>
      <c r="D88" s="2" t="s">
        <v>352</v>
      </c>
      <c r="G88" s="2" t="s">
        <v>371</v>
      </c>
      <c r="I88" s="2" t="s">
        <v>372</v>
      </c>
      <c r="K88" s="2" t="s">
        <v>355</v>
      </c>
      <c r="L88" s="5">
        <v>0.0213</v>
      </c>
      <c r="M88" s="2">
        <v>0</v>
      </c>
      <c r="N88" s="5">
        <f>L88*(1+(M88/100))</f>
      </c>
      <c r="O88" s="4">
        <v>100</v>
      </c>
      <c r="P88" s="2">
        <f>ROUNDUP(N88*O88,0)</f>
      </c>
      <c r="Q88" s="5">
        <v>11009</v>
      </c>
      <c r="R88" s="2" t="s">
        <v>373</v>
      </c>
      <c r="S88" s="2">
        <v>0</v>
      </c>
      <c r="T88" s="2">
        <v>0</v>
      </c>
      <c r="U88" s="5">
        <v>0</v>
      </c>
      <c r="V88" s="2" t="s">
        <v>357</v>
      </c>
      <c r="W88" s="2" t="s">
        <v>41</v>
      </c>
      <c r="X88" s="2">
        <f>P88*(Q88+U88)*(1+S88/100)*(1+T88/100)</f>
      </c>
      <c r="Y88" s="2">
        <f>X88 / VLOOKUP(V88,$W$109:$Y$111,3)</f>
      </c>
      <c r="Z88" s="2">
        <f>Y88/O88</f>
      </c>
      <c r="AA88" s="2" t="s">
        <v>374</v>
      </c>
      <c r="AC88" s="2" t="s">
        <v>359</v>
      </c>
      <c r="AD88" s="7">
        <f t="shared" si="1"/>
      </c>
      <c r="AE88" s="2">
        <v>0.52281741</v>
      </c>
      <c r="AF88" s="2">
        <v>0.41757137</v>
      </c>
      <c r="AG88" s="2">
        <v>11009</v>
      </c>
    </row>
    <row r="89" spans="1:33" x14ac:dyDescent="0.25">
      <c r="A89" s="1">
        <v>80</v>
      </c>
      <c r="B89" s="2" t="s">
        <v>375</v>
      </c>
      <c r="C89" s="2" t="s">
        <v>34</v>
      </c>
      <c r="D89" s="2" t="s">
        <v>376</v>
      </c>
      <c r="G89" s="2" t="s">
        <v>371</v>
      </c>
      <c r="I89" s="2" t="s">
        <v>377</v>
      </c>
      <c r="K89" s="2" t="s">
        <v>355</v>
      </c>
      <c r="L89" s="5">
        <v>0.003</v>
      </c>
      <c r="M89" s="2">
        <v>0</v>
      </c>
      <c r="N89" s="5">
        <f>L89*(1+(M89/100))</f>
      </c>
      <c r="O89" s="4">
        <v>100</v>
      </c>
      <c r="P89" s="2">
        <f>ROUNDUP(N89*O89,0)</f>
      </c>
      <c r="Q89" s="5">
        <v>3500</v>
      </c>
      <c r="R89" s="2" t="s">
        <v>378</v>
      </c>
      <c r="S89" s="2">
        <v>0</v>
      </c>
      <c r="T89" s="2">
        <v>0</v>
      </c>
      <c r="U89" s="5">
        <v>0</v>
      </c>
      <c r="V89" s="2" t="s">
        <v>357</v>
      </c>
      <c r="W89" s="2" t="s">
        <v>41</v>
      </c>
      <c r="X89" s="2">
        <f>P89*(Q89+U89)*(1+S89/100)*(1+T89/100)</f>
      </c>
      <c r="Y89" s="2">
        <f>X89 / VLOOKUP(V89,$W$109:$Y$111,3)</f>
      </c>
      <c r="Z89" s="2">
        <f>Y89/O89</f>
      </c>
      <c r="AA89" s="2" t="s">
        <v>379</v>
      </c>
      <c r="AC89" s="2" t="s">
        <v>359</v>
      </c>
      <c r="AD89" s="7">
        <f t="shared" si="1"/>
      </c>
      <c r="AE89" s="2">
        <v>0.166215</v>
      </c>
      <c r="AF89" s="2">
        <v>0.13275499999999998</v>
      </c>
      <c r="AG89" s="2">
        <v>3000</v>
      </c>
    </row>
    <row r="90" spans="1:33" x14ac:dyDescent="0.25">
      <c r="A90" s="1">
        <v>81</v>
      </c>
      <c r="B90" s="2" t="s">
        <v>380</v>
      </c>
      <c r="C90" s="2" t="s">
        <v>34</v>
      </c>
      <c r="D90" s="2" t="s">
        <v>381</v>
      </c>
      <c r="G90" s="2" t="s">
        <v>292</v>
      </c>
      <c r="I90" s="2" t="s">
        <v>382</v>
      </c>
      <c r="K90" s="2" t="s">
        <v>70</v>
      </c>
      <c r="L90" s="5">
        <v>0.2397</v>
      </c>
      <c r="M90" s="2">
        <v>0</v>
      </c>
      <c r="N90" s="5">
        <f>L90*(1+(M90/100))</f>
      </c>
      <c r="O90" s="4">
        <v>100</v>
      </c>
      <c r="P90" s="2">
        <f>ROUNDUP(N90*O90,0)</f>
      </c>
      <c r="Q90" s="5">
        <v>26672</v>
      </c>
      <c r="R90" s="2" t="s">
        <v>383</v>
      </c>
      <c r="S90" s="2">
        <v>0</v>
      </c>
      <c r="T90" s="2">
        <v>0</v>
      </c>
      <c r="U90" s="5">
        <v>0</v>
      </c>
      <c r="V90" s="2" t="s">
        <v>357</v>
      </c>
      <c r="W90" s="2" t="s">
        <v>41</v>
      </c>
      <c r="X90" s="2">
        <f>P90*(Q90+U90)*(1+S90/100)*(1+T90/100)</f>
      </c>
      <c r="Y90" s="2">
        <f>X90 / VLOOKUP(V90,$W$109:$Y$111,3)</f>
      </c>
      <c r="Z90" s="2">
        <f>Y90/O90</f>
      </c>
      <c r="AA90" s="2" t="s">
        <v>41</v>
      </c>
      <c r="AC90" s="2" t="s">
        <v>384</v>
      </c>
      <c r="AD90" s="7">
        <f t="shared" si="1"/>
      </c>
      <c r="AE90" s="2">
        <v>1.26665328</v>
      </c>
      <c r="AF90" s="2">
        <v>1.01166896</v>
      </c>
      <c r="AG90" s="2">
        <v>26672</v>
      </c>
    </row>
    <row r="91" spans="1:33" x14ac:dyDescent="0.25">
      <c r="A91" s="1">
        <v>82</v>
      </c>
      <c r="B91" s="2" t="s">
        <v>385</v>
      </c>
      <c r="C91" s="2" t="s">
        <v>34</v>
      </c>
      <c r="D91" s="2" t="s">
        <v>386</v>
      </c>
      <c r="G91" s="2" t="s">
        <v>292</v>
      </c>
      <c r="I91" s="2" t="s">
        <v>387</v>
      </c>
      <c r="K91" s="2" t="s">
        <v>70</v>
      </c>
      <c r="L91" s="5">
        <v>0.4795</v>
      </c>
      <c r="M91" s="2">
        <v>0</v>
      </c>
      <c r="N91" s="5">
        <f>L91*(1+(M91/100))</f>
      </c>
      <c r="O91" s="4">
        <v>100</v>
      </c>
      <c r="P91" s="2">
        <f>ROUNDUP(N91*O91,0)</f>
      </c>
      <c r="Q91" s="5">
        <v>638</v>
      </c>
      <c r="R91" s="2" t="s">
        <v>388</v>
      </c>
      <c r="S91" s="2">
        <v>0</v>
      </c>
      <c r="T91" s="2">
        <v>0</v>
      </c>
      <c r="U91" s="5">
        <v>0</v>
      </c>
      <c r="V91" s="2" t="s">
        <v>357</v>
      </c>
      <c r="W91" s="2" t="s">
        <v>41</v>
      </c>
      <c r="X91" s="2">
        <f>P91*(Q91+U91)*(1+S91/100)*(1+T91/100)</f>
      </c>
      <c r="Y91" s="2">
        <f>X91 / VLOOKUP(V91,$W$109:$Y$111,3)</f>
      </c>
      <c r="Z91" s="2">
        <f>Y91/O91</f>
      </c>
      <c r="AA91" s="2" t="s">
        <v>41</v>
      </c>
      <c r="AC91" s="2" t="s">
        <v>384</v>
      </c>
      <c r="AD91" s="7">
        <f t="shared" si="1"/>
      </c>
      <c r="AE91" s="2">
        <v>0.030298620000000002</v>
      </c>
      <c r="AF91" s="2">
        <v>0.02419934</v>
      </c>
      <c r="AG91" s="2">
        <v>638</v>
      </c>
    </row>
    <row r="92" spans="1:33" x14ac:dyDescent="0.25">
      <c r="A92" s="1">
        <v>83</v>
      </c>
      <c r="B92" s="2" t="s">
        <v>389</v>
      </c>
      <c r="C92" s="2" t="s">
        <v>34</v>
      </c>
      <c r="D92" s="2" t="s">
        <v>390</v>
      </c>
      <c r="G92" s="2" t="s">
        <v>292</v>
      </c>
      <c r="I92" s="2" t="s">
        <v>391</v>
      </c>
      <c r="K92" s="2" t="s">
        <v>70</v>
      </c>
      <c r="L92" s="5">
        <v>1.7863</v>
      </c>
      <c r="M92" s="2">
        <v>0</v>
      </c>
      <c r="N92" s="5">
        <f>L92*(1+(M92/100))</f>
      </c>
      <c r="O92" s="4">
        <v>100</v>
      </c>
      <c r="P92" s="2">
        <f>ROUNDUP(N92*O92,0)</f>
      </c>
      <c r="Q92" s="43">
        <v>0</v>
      </c>
      <c r="R92" s="2" t="s">
        <v>392</v>
      </c>
      <c r="S92" s="2">
        <v>0</v>
      </c>
      <c r="T92" s="2">
        <v>0</v>
      </c>
      <c r="U92" s="5">
        <v>0</v>
      </c>
      <c r="V92" s="2" t="s">
        <v>357</v>
      </c>
      <c r="W92" s="2" t="s">
        <v>41</v>
      </c>
      <c r="X92" s="2">
        <f>P92*(Q92+U92)*(1+S92/100)*(1+T92/100)</f>
      </c>
      <c r="Y92" s="2">
        <f>X92 / VLOOKUP(V92,$W$109:$Y$111,3)</f>
      </c>
      <c r="Z92" s="2">
        <f>Y92/O92</f>
      </c>
      <c r="AA92" s="2" t="s">
        <v>41</v>
      </c>
      <c r="AC92" s="2" t="s">
        <v>393</v>
      </c>
      <c r="AD92" s="7">
        <f t="shared" si="1"/>
      </c>
      <c r="AE92" s="2">
        <v>0</v>
      </c>
      <c r="AF92" s="2">
        <v>0</v>
      </c>
      <c r="AG92" s="2">
        <v>451</v>
      </c>
    </row>
    <row r="93" spans="1:33" x14ac:dyDescent="0.25">
      <c r="A93" s="1">
        <v>84</v>
      </c>
      <c r="B93" s="2" t="s">
        <v>394</v>
      </c>
      <c r="C93" s="2" t="s">
        <v>34</v>
      </c>
      <c r="D93" s="2" t="s">
        <v>395</v>
      </c>
      <c r="G93" s="2" t="s">
        <v>292</v>
      </c>
      <c r="I93" s="2" t="s">
        <v>396</v>
      </c>
      <c r="K93" s="2" t="s">
        <v>70</v>
      </c>
      <c r="L93" s="5">
        <v>0.9589</v>
      </c>
      <c r="M93" s="2">
        <v>0</v>
      </c>
      <c r="N93" s="5">
        <f>L93*(1+(M93/100))</f>
      </c>
      <c r="O93" s="4">
        <v>100</v>
      </c>
      <c r="P93" s="2">
        <f>ROUNDUP(N93*O93,0)</f>
      </c>
      <c r="Q93" s="43">
        <v>0</v>
      </c>
      <c r="R93" s="2" t="s">
        <v>397</v>
      </c>
      <c r="S93" s="2">
        <v>0</v>
      </c>
      <c r="T93" s="2">
        <v>0</v>
      </c>
      <c r="U93" s="5">
        <v>0</v>
      </c>
      <c r="V93" s="2" t="s">
        <v>357</v>
      </c>
      <c r="W93" s="2" t="s">
        <v>41</v>
      </c>
      <c r="X93" s="2">
        <f>P93*(Q93+U93)*(1+S93/100)*(1+T93/100)</f>
      </c>
      <c r="Y93" s="2">
        <f>X93 / VLOOKUP(V93,$W$109:$Y$111,3)</f>
      </c>
      <c r="Z93" s="2">
        <f>Y93/O93</f>
      </c>
      <c r="AA93" s="2" t="s">
        <v>398</v>
      </c>
      <c r="AC93" s="2" t="s">
        <v>384</v>
      </c>
      <c r="AD93" s="7">
        <f t="shared" si="1"/>
      </c>
      <c r="AE93" s="2">
        <v>0</v>
      </c>
      <c r="AF93" s="2">
        <v>0</v>
      </c>
      <c r="AG93" s="2">
        <v>2100</v>
      </c>
    </row>
    <row r="94" spans="1:33" x14ac:dyDescent="0.25">
      <c r="A94" s="1">
        <v>85</v>
      </c>
      <c r="B94" s="2" t="s">
        <v>399</v>
      </c>
      <c r="C94" s="2" t="s">
        <v>34</v>
      </c>
      <c r="D94" s="2" t="s">
        <v>400</v>
      </c>
      <c r="G94" s="2" t="s">
        <v>292</v>
      </c>
      <c r="I94" s="2" t="s">
        <v>401</v>
      </c>
      <c r="K94" s="2" t="s">
        <v>70</v>
      </c>
      <c r="L94" s="5">
        <v>0.1716</v>
      </c>
      <c r="M94" s="2">
        <v>0</v>
      </c>
      <c r="N94" s="5">
        <f>L94*(1+(M94/100))</f>
      </c>
      <c r="O94" s="4">
        <v>100</v>
      </c>
      <c r="P94" s="2">
        <f>ROUNDUP(N94*O94,0)</f>
      </c>
      <c r="Q94" s="5">
        <v>900</v>
      </c>
      <c r="R94" s="2" t="s">
        <v>402</v>
      </c>
      <c r="S94" s="2">
        <v>0</v>
      </c>
      <c r="T94" s="2">
        <v>0</v>
      </c>
      <c r="U94" s="5">
        <v>0</v>
      </c>
      <c r="V94" s="2" t="s">
        <v>357</v>
      </c>
      <c r="W94" s="2" t="s">
        <v>41</v>
      </c>
      <c r="X94" s="2">
        <f>P94*(Q94+U94)*(1+S94/100)*(1+T94/100)</f>
      </c>
      <c r="Y94" s="2">
        <f>X94 / VLOOKUP(V94,$W$109:$Y$111,3)</f>
      </c>
      <c r="Z94" s="2">
        <f>Y94/O94</f>
      </c>
      <c r="AA94" s="2" t="s">
        <v>403</v>
      </c>
      <c r="AC94" s="2" t="s">
        <v>404</v>
      </c>
      <c r="AD94" s="7">
        <f t="shared" si="1"/>
      </c>
      <c r="AE94" s="2">
        <v>0.042741</v>
      </c>
      <c r="AF94" s="2">
        <v>0.034137</v>
      </c>
      <c r="AG94" s="2">
        <v>900</v>
      </c>
    </row>
    <row r="95" spans="1:33" x14ac:dyDescent="0.25">
      <c r="A95" s="1">
        <v>86</v>
      </c>
      <c r="B95" s="2" t="s">
        <v>405</v>
      </c>
      <c r="C95" s="2" t="s">
        <v>34</v>
      </c>
      <c r="D95" s="2" t="s">
        <v>400</v>
      </c>
      <c r="G95" s="2" t="s">
        <v>292</v>
      </c>
      <c r="I95" s="2" t="s">
        <v>406</v>
      </c>
      <c r="K95" s="2" t="s">
        <v>70</v>
      </c>
      <c r="L95" s="5">
        <v>1.8284</v>
      </c>
      <c r="M95" s="2">
        <v>0</v>
      </c>
      <c r="N95" s="5">
        <f>L95*(1+(M95/100))</f>
      </c>
      <c r="O95" s="4">
        <v>100</v>
      </c>
      <c r="P95" s="2">
        <f>ROUNDUP(N95*O95,0)</f>
      </c>
      <c r="Q95" s="5">
        <v>295</v>
      </c>
      <c r="R95" s="2" t="s">
        <v>407</v>
      </c>
      <c r="S95" s="2">
        <v>0</v>
      </c>
      <c r="T95" s="2">
        <v>0</v>
      </c>
      <c r="U95" s="5">
        <v>0</v>
      </c>
      <c r="V95" s="2" t="s">
        <v>357</v>
      </c>
      <c r="W95" s="2" t="s">
        <v>41</v>
      </c>
      <c r="X95" s="2">
        <f>P95*(Q95+U95)*(1+S95/100)*(1+T95/100)</f>
      </c>
      <c r="Y95" s="2">
        <f>X95 / VLOOKUP(V95,$W$109:$Y$111,3)</f>
      </c>
      <c r="Z95" s="2">
        <f>Y95/O95</f>
      </c>
      <c r="AA95" s="2" t="s">
        <v>403</v>
      </c>
      <c r="AC95" s="2" t="s">
        <v>404</v>
      </c>
      <c r="AD95" s="7">
        <f t="shared" si="1"/>
      </c>
      <c r="AE95" s="2">
        <v>0.01400955</v>
      </c>
      <c r="AF95" s="2">
        <v>0.011189349999999999</v>
      </c>
      <c r="AG95" s="2">
        <v>295</v>
      </c>
    </row>
    <row r="96" spans="1:33" x14ac:dyDescent="0.25">
      <c r="A96" s="1">
        <v>87</v>
      </c>
      <c r="B96" s="2" t="s">
        <v>408</v>
      </c>
      <c r="C96" s="2" t="s">
        <v>34</v>
      </c>
      <c r="D96" s="2" t="s">
        <v>409</v>
      </c>
      <c r="G96" s="2" t="s">
        <v>292</v>
      </c>
      <c r="I96" s="2" t="s">
        <v>292</v>
      </c>
      <c r="K96" s="2" t="s">
        <v>70</v>
      </c>
      <c r="L96" s="5">
        <v>1</v>
      </c>
      <c r="M96" s="2">
        <v>0</v>
      </c>
      <c r="N96" s="5">
        <f>L96*(1+(M96/100))</f>
      </c>
      <c r="O96" s="4">
        <v>100</v>
      </c>
      <c r="P96" s="2">
        <f>ROUNDUP(N96*O96,0)</f>
      </c>
      <c r="Q96" s="43">
        <v>0</v>
      </c>
      <c r="R96" s="2" t="s">
        <v>410</v>
      </c>
      <c r="S96" s="2">
        <v>4</v>
      </c>
      <c r="T96" s="2">
        <v>0</v>
      </c>
      <c r="U96" s="5">
        <v>0</v>
      </c>
      <c r="V96" s="2" t="s">
        <v>40</v>
      </c>
      <c r="W96" s="2" t="s">
        <v>41</v>
      </c>
      <c r="X96" s="2">
        <f>P96*(Q96+U96)*(1+S96/100)*(1+T96/100)</f>
      </c>
      <c r="Y96" s="2">
        <f>X96 / VLOOKUP(V96,$W$109:$Y$111,3)</f>
      </c>
      <c r="Z96" s="2">
        <f>Y96/O96</f>
      </c>
      <c r="AA96" s="2" t="s">
        <v>41</v>
      </c>
      <c r="AC96" s="2" t="s">
        <v>81</v>
      </c>
      <c r="AD96" s="7">
        <f t="shared" si="1"/>
      </c>
      <c r="AE96" s="2">
        <v>0</v>
      </c>
      <c r="AF96" s="2">
        <v>0</v>
      </c>
      <c r="AG96" s="2">
        <v>0.0001</v>
      </c>
    </row>
    <row r="97" spans="1:33" x14ac:dyDescent="0.25">
      <c r="A97" s="1">
        <v>88</v>
      </c>
      <c r="B97" s="2" t="s">
        <v>411</v>
      </c>
      <c r="C97" s="2" t="s">
        <v>34</v>
      </c>
      <c r="D97" s="2" t="s">
        <v>412</v>
      </c>
      <c r="G97" s="2" t="s">
        <v>292</v>
      </c>
      <c r="I97" s="2" t="s">
        <v>292</v>
      </c>
      <c r="K97" s="2" t="s">
        <v>70</v>
      </c>
      <c r="L97" s="5">
        <v>1</v>
      </c>
      <c r="M97" s="2">
        <v>1</v>
      </c>
      <c r="N97" s="5">
        <f>L97*(1+(M97/100))</f>
      </c>
      <c r="O97" s="4">
        <v>100</v>
      </c>
      <c r="P97" s="2">
        <f>ROUNDUP(N97*O97,0)</f>
      </c>
      <c r="Q97" s="43">
        <v>0</v>
      </c>
      <c r="R97" s="2" t="s">
        <v>410</v>
      </c>
      <c r="S97" s="2">
        <v>4</v>
      </c>
      <c r="T97" s="2">
        <v>0</v>
      </c>
      <c r="U97" s="5">
        <v>0</v>
      </c>
      <c r="V97" s="2" t="s">
        <v>40</v>
      </c>
      <c r="W97" s="2" t="s">
        <v>41</v>
      </c>
      <c r="X97" s="2">
        <f>P97*(Q97+U97)*(1+S97/100)*(1+T97/100)</f>
      </c>
      <c r="Y97" s="2">
        <f>X97 / VLOOKUP(V97,$W$109:$Y$111,3)</f>
      </c>
      <c r="Z97" s="2">
        <f>Y97/O97</f>
      </c>
      <c r="AA97" s="2" t="s">
        <v>41</v>
      </c>
      <c r="AC97" s="2" t="s">
        <v>81</v>
      </c>
      <c r="AD97" s="7">
        <f t="shared" si="1"/>
      </c>
      <c r="AE97" s="2">
        <v>0</v>
      </c>
      <c r="AF97" s="2">
        <v>0</v>
      </c>
      <c r="AG97" s="2">
        <v>0.0001</v>
      </c>
    </row>
    <row r="98" spans="1:33" x14ac:dyDescent="0.25">
      <c r="A98" s="1">
        <v>89</v>
      </c>
      <c r="B98" s="2" t="s">
        <v>413</v>
      </c>
      <c r="C98" s="2" t="s">
        <v>34</v>
      </c>
      <c r="D98" s="2" t="s">
        <v>414</v>
      </c>
      <c r="G98" s="2" t="s">
        <v>292</v>
      </c>
      <c r="I98" s="2" t="s">
        <v>292</v>
      </c>
      <c r="K98" s="2" t="s">
        <v>70</v>
      </c>
      <c r="L98" s="5">
        <v>1</v>
      </c>
      <c r="M98" s="2">
        <v>1</v>
      </c>
      <c r="N98" s="5">
        <f>L98*(1+(M98/100))</f>
      </c>
      <c r="O98" s="4">
        <v>100</v>
      </c>
      <c r="P98" s="2">
        <f>ROUNDUP(N98*O98,0)</f>
      </c>
      <c r="Q98" s="43">
        <v>0</v>
      </c>
      <c r="R98" s="2" t="s">
        <v>410</v>
      </c>
      <c r="S98" s="2">
        <v>4</v>
      </c>
      <c r="T98" s="2">
        <v>0</v>
      </c>
      <c r="U98" s="5">
        <v>0</v>
      </c>
      <c r="V98" s="2" t="s">
        <v>40</v>
      </c>
      <c r="W98" s="2" t="s">
        <v>41</v>
      </c>
      <c r="X98" s="2">
        <f>P98*(Q98+U98)*(1+S98/100)*(1+T98/100)</f>
      </c>
      <c r="Y98" s="2">
        <f>X98 / VLOOKUP(V98,$W$109:$Y$111,3)</f>
      </c>
      <c r="Z98" s="2">
        <f>Y98/O98</f>
      </c>
      <c r="AA98" s="2" t="s">
        <v>41</v>
      </c>
      <c r="AC98" s="2" t="s">
        <v>81</v>
      </c>
      <c r="AD98" s="7">
        <f t="shared" si="1"/>
      </c>
      <c r="AE98" s="2">
        <v>0</v>
      </c>
      <c r="AF98" s="2">
        <v>0</v>
      </c>
      <c r="AG98" s="2">
        <v>0.0001</v>
      </c>
    </row>
    <row r="99" spans="1:33" x14ac:dyDescent="0.25">
      <c r="A99" s="1">
        <v>90</v>
      </c>
      <c r="B99" s="2" t="s">
        <v>415</v>
      </c>
      <c r="C99" s="2" t="s">
        <v>34</v>
      </c>
      <c r="D99" s="2" t="s">
        <v>416</v>
      </c>
      <c r="G99" s="2" t="s">
        <v>292</v>
      </c>
      <c r="I99" s="2" t="s">
        <v>417</v>
      </c>
      <c r="K99" s="2" t="s">
        <v>70</v>
      </c>
      <c r="L99" s="5">
        <v>1</v>
      </c>
      <c r="M99" s="2">
        <v>0</v>
      </c>
      <c r="N99" s="5">
        <f>L99*(1+(M99/100))</f>
      </c>
      <c r="O99" s="4">
        <v>100</v>
      </c>
      <c r="P99" s="2">
        <f>ROUNDUP(N99*O99,0)</f>
      </c>
      <c r="Q99" s="43">
        <v>0</v>
      </c>
      <c r="R99" s="2" t="s">
        <v>418</v>
      </c>
      <c r="S99" s="2">
        <v>4</v>
      </c>
      <c r="T99" s="2">
        <v>0</v>
      </c>
      <c r="U99" s="5">
        <v>0</v>
      </c>
      <c r="V99" s="2" t="s">
        <v>40</v>
      </c>
      <c r="W99" s="2" t="s">
        <v>41</v>
      </c>
      <c r="X99" s="2">
        <f>P99*(Q99+U99)*(1+S99/100)*(1+T99/100)</f>
      </c>
      <c r="Y99" s="2">
        <f>X99 / VLOOKUP(V99,$W$109:$Y$111,3)</f>
      </c>
      <c r="Z99" s="2">
        <f>Y99/O99</f>
      </c>
      <c r="AA99" s="2" t="s">
        <v>41</v>
      </c>
      <c r="AC99" s="2" t="s">
        <v>296</v>
      </c>
      <c r="AD99" s="7">
        <f t="shared" si="1"/>
      </c>
      <c r="AE99" s="2">
        <v>0</v>
      </c>
      <c r="AF99" s="2">
        <v>0</v>
      </c>
      <c r="AG99" s="2">
        <v>15</v>
      </c>
    </row>
    <row r="100" spans="1:33" x14ac:dyDescent="0.25">
      <c r="A100" s="1">
        <v>91</v>
      </c>
      <c r="B100" s="2" t="s">
        <v>419</v>
      </c>
      <c r="C100" s="2" t="s">
        <v>34</v>
      </c>
      <c r="D100" s="2" t="s">
        <v>420</v>
      </c>
      <c r="G100" s="2" t="s">
        <v>36</v>
      </c>
      <c r="I100" s="2" t="s">
        <v>421</v>
      </c>
      <c r="K100" s="2" t="s">
        <v>151</v>
      </c>
      <c r="L100" s="5">
        <v>1</v>
      </c>
      <c r="M100" s="2">
        <v>0</v>
      </c>
      <c r="N100" s="5">
        <f>L100*(1+(M100/100))</f>
      </c>
      <c r="O100" s="4">
        <v>100</v>
      </c>
      <c r="P100" s="2">
        <f>ROUNDUP(N100*O100,0)</f>
      </c>
      <c r="Q100" s="43">
        <v>0</v>
      </c>
      <c r="R100" s="2" t="s">
        <v>422</v>
      </c>
      <c r="S100" s="2">
        <v>4</v>
      </c>
      <c r="T100" s="2">
        <v>0</v>
      </c>
      <c r="U100" s="5">
        <v>0</v>
      </c>
      <c r="V100" s="2" t="s">
        <v>40</v>
      </c>
      <c r="W100" s="2" t="s">
        <v>41</v>
      </c>
      <c r="X100" s="2">
        <f>P100*(Q100+U100)*(1+S100/100)*(1+T100/100)</f>
      </c>
      <c r="Y100" s="2">
        <f>X100 / VLOOKUP(V100,$W$109:$Y$111,3)</f>
      </c>
      <c r="Z100" s="2">
        <f>Y100/O100</f>
      </c>
      <c r="AA100" s="2" t="s">
        <v>311</v>
      </c>
      <c r="AC100" s="2" t="s">
        <v>423</v>
      </c>
      <c r="AD100" s="7">
        <f t="shared" si="1"/>
      </c>
      <c r="AE100" s="2">
        <v>0</v>
      </c>
      <c r="AF100" s="2">
        <v>0</v>
      </c>
      <c r="AG100" s="2">
        <v>250</v>
      </c>
    </row>
    <row r="101" spans="1:33" x14ac:dyDescent="0.25">
      <c r="A101" s="1">
        <v>92</v>
      </c>
      <c r="B101" s="2" t="s">
        <v>424</v>
      </c>
      <c r="C101" s="2" t="s">
        <v>34</v>
      </c>
      <c r="D101" s="2" t="s">
        <v>420</v>
      </c>
      <c r="G101" s="2" t="s">
        <v>36</v>
      </c>
      <c r="I101" s="2" t="s">
        <v>425</v>
      </c>
      <c r="K101" s="2" t="s">
        <v>151</v>
      </c>
      <c r="L101" s="5">
        <v>1</v>
      </c>
      <c r="M101" s="2">
        <v>0</v>
      </c>
      <c r="N101" s="5">
        <f>L101*(1+(M101/100))</f>
      </c>
      <c r="O101" s="4">
        <v>100</v>
      </c>
      <c r="P101" s="2">
        <f>ROUNDUP(N101*O101,0)</f>
      </c>
      <c r="Q101" s="43">
        <v>0</v>
      </c>
      <c r="R101" s="2" t="s">
        <v>422</v>
      </c>
      <c r="S101" s="2">
        <v>4</v>
      </c>
      <c r="T101" s="2">
        <v>0</v>
      </c>
      <c r="U101" s="5">
        <v>0</v>
      </c>
      <c r="V101" s="2" t="s">
        <v>40</v>
      </c>
      <c r="W101" s="2" t="s">
        <v>41</v>
      </c>
      <c r="X101" s="2">
        <f>P101*(Q101+U101)*(1+S101/100)*(1+T101/100)</f>
      </c>
      <c r="Y101" s="2">
        <f>X101 / VLOOKUP(V101,$W$109:$Y$111,3)</f>
      </c>
      <c r="Z101" s="2">
        <f>Y101/O101</f>
      </c>
      <c r="AA101" s="2" t="s">
        <v>314</v>
      </c>
      <c r="AC101" s="2" t="s">
        <v>423</v>
      </c>
      <c r="AD101" s="7">
        <f t="shared" si="1"/>
      </c>
      <c r="AE101" s="2">
        <v>0</v>
      </c>
      <c r="AF101" s="2">
        <v>0</v>
      </c>
      <c r="AG101" s="2">
        <v>250</v>
      </c>
    </row>
    <row r="102" spans="1:33" x14ac:dyDescent="0.25">
      <c r="A102" s="1">
        <v>93</v>
      </c>
      <c r="B102" s="2" t="s">
        <v>424</v>
      </c>
      <c r="C102" s="2" t="s">
        <v>34</v>
      </c>
      <c r="D102" s="2" t="s">
        <v>420</v>
      </c>
      <c r="G102" s="2" t="s">
        <v>36</v>
      </c>
      <c r="I102" s="2" t="s">
        <v>425</v>
      </c>
      <c r="K102" s="2" t="s">
        <v>151</v>
      </c>
      <c r="L102" s="5">
        <v>1</v>
      </c>
      <c r="M102" s="2">
        <v>2</v>
      </c>
      <c r="N102" s="5">
        <f>L102*(1+(M102/100))</f>
      </c>
      <c r="O102" s="4">
        <v>100</v>
      </c>
      <c r="P102" s="2">
        <f>ROUNDUP(N102*O102,0)</f>
      </c>
      <c r="Q102" s="43">
        <v>0</v>
      </c>
      <c r="R102" s="2" t="s">
        <v>422</v>
      </c>
      <c r="S102" s="2">
        <v>4</v>
      </c>
      <c r="T102" s="2">
        <v>0</v>
      </c>
      <c r="U102" s="5">
        <v>0</v>
      </c>
      <c r="V102" s="2" t="s">
        <v>40</v>
      </c>
      <c r="W102" s="2" t="s">
        <v>41</v>
      </c>
      <c r="X102" s="2">
        <f>P102*(Q102+U102)*(1+S102/100)*(1+T102/100)</f>
      </c>
      <c r="Y102" s="2">
        <f>X102 / VLOOKUP(V102,$W$109:$Y$111,3)</f>
      </c>
      <c r="Z102" s="2">
        <f>Y102/O102</f>
      </c>
      <c r="AA102" s="2" t="s">
        <v>315</v>
      </c>
      <c r="AC102" s="2" t="s">
        <v>423</v>
      </c>
      <c r="AD102" s="7">
        <f t="shared" si="1"/>
      </c>
      <c r="AE102" s="2">
        <v>0</v>
      </c>
      <c r="AF102" s="2">
        <v>0</v>
      </c>
      <c r="AG102" s="2">
        <v>250</v>
      </c>
    </row>
    <row r="103" spans="1:33" x14ac:dyDescent="0.25">
      <c r="A103" s="1">
        <v>94</v>
      </c>
      <c r="B103" s="2" t="s">
        <v>424</v>
      </c>
      <c r="C103" s="2" t="s">
        <v>34</v>
      </c>
      <c r="D103" s="2" t="s">
        <v>420</v>
      </c>
      <c r="G103" s="2" t="s">
        <v>36</v>
      </c>
      <c r="I103" s="2" t="s">
        <v>425</v>
      </c>
      <c r="K103" s="2" t="s">
        <v>151</v>
      </c>
      <c r="L103" s="5">
        <v>1</v>
      </c>
      <c r="M103" s="2">
        <v>0</v>
      </c>
      <c r="N103" s="5">
        <f>L103*(1+(M103/100))</f>
      </c>
      <c r="O103" s="4">
        <v>100</v>
      </c>
      <c r="P103" s="2">
        <f>ROUNDUP(N103*O103,0)</f>
      </c>
      <c r="Q103" s="43">
        <v>0</v>
      </c>
      <c r="R103" s="2" t="s">
        <v>422</v>
      </c>
      <c r="S103" s="2">
        <v>4</v>
      </c>
      <c r="T103" s="2">
        <v>0</v>
      </c>
      <c r="U103" s="5">
        <v>0</v>
      </c>
      <c r="V103" s="2" t="s">
        <v>40</v>
      </c>
      <c r="W103" s="2" t="s">
        <v>41</v>
      </c>
      <c r="X103" s="2">
        <f>P103*(Q103+U103)*(1+S103/100)*(1+T103/100)</f>
      </c>
      <c r="Y103" s="2">
        <f>X103 / VLOOKUP(V103,$W$109:$Y$111,3)</f>
      </c>
      <c r="Z103" s="2">
        <f>Y103/O103</f>
      </c>
      <c r="AA103" s="2" t="s">
        <v>316</v>
      </c>
      <c r="AC103" s="2" t="s">
        <v>423</v>
      </c>
      <c r="AD103" s="7">
        <f t="shared" si="1"/>
      </c>
      <c r="AE103" s="2">
        <v>0</v>
      </c>
      <c r="AF103" s="2">
        <v>0</v>
      </c>
      <c r="AG103" s="2">
        <v>250</v>
      </c>
    </row>
    <row r="104" spans="1:33" x14ac:dyDescent="0.25">
      <c r="A104" s="1">
        <v>95</v>
      </c>
      <c r="B104" s="2" t="s">
        <v>424</v>
      </c>
      <c r="C104" s="2" t="s">
        <v>34</v>
      </c>
      <c r="D104" s="2" t="s">
        <v>420</v>
      </c>
      <c r="G104" s="2" t="s">
        <v>36</v>
      </c>
      <c r="I104" s="2" t="s">
        <v>425</v>
      </c>
      <c r="K104" s="2" t="s">
        <v>151</v>
      </c>
      <c r="L104" s="5">
        <v>1</v>
      </c>
      <c r="M104" s="2">
        <v>0</v>
      </c>
      <c r="N104" s="5">
        <f>L104*(1+(M104/100))</f>
      </c>
      <c r="O104" s="4">
        <v>100</v>
      </c>
      <c r="P104" s="2">
        <f>ROUNDUP(N104*O104,0)</f>
      </c>
      <c r="Q104" s="43">
        <v>0</v>
      </c>
      <c r="R104" s="2" t="s">
        <v>422</v>
      </c>
      <c r="S104" s="2">
        <v>4</v>
      </c>
      <c r="T104" s="2">
        <v>0</v>
      </c>
      <c r="U104" s="5">
        <v>0</v>
      </c>
      <c r="V104" s="2" t="s">
        <v>40</v>
      </c>
      <c r="W104" s="2" t="s">
        <v>41</v>
      </c>
      <c r="X104" s="2">
        <f>P104*(Q104+U104)*(1+S104/100)*(1+T104/100)</f>
      </c>
      <c r="Y104" s="2">
        <f>X104 / VLOOKUP(V104,$W$109:$Y$111,3)</f>
      </c>
      <c r="Z104" s="2">
        <f>Y104/O104</f>
      </c>
      <c r="AA104" s="2" t="s">
        <v>317</v>
      </c>
      <c r="AC104" s="2" t="s">
        <v>423</v>
      </c>
      <c r="AD104" s="7">
        <f t="shared" si="1"/>
      </c>
      <c r="AE104" s="2">
        <v>0</v>
      </c>
      <c r="AF104" s="2">
        <v>0</v>
      </c>
      <c r="AG104" s="2">
        <v>250</v>
      </c>
    </row>
    <row r="105" spans="1:33" x14ac:dyDescent="0.25">
      <c r="A105" s="1">
        <v>96</v>
      </c>
      <c r="B105" s="2" t="s">
        <v>424</v>
      </c>
      <c r="C105" s="2" t="s">
        <v>34</v>
      </c>
      <c r="D105" s="2" t="s">
        <v>420</v>
      </c>
      <c r="G105" s="2" t="s">
        <v>36</v>
      </c>
      <c r="I105" s="2" t="s">
        <v>425</v>
      </c>
      <c r="K105" s="2" t="s">
        <v>151</v>
      </c>
      <c r="L105" s="5">
        <v>1</v>
      </c>
      <c r="M105" s="2">
        <v>0</v>
      </c>
      <c r="N105" s="5">
        <f>L105*(1+(M105/100))</f>
      </c>
      <c r="O105" s="4">
        <v>100</v>
      </c>
      <c r="P105" s="2">
        <f>ROUNDUP(N105*O105,0)</f>
      </c>
      <c r="Q105" s="43">
        <v>0</v>
      </c>
      <c r="R105" s="2" t="s">
        <v>422</v>
      </c>
      <c r="S105" s="2">
        <v>4</v>
      </c>
      <c r="T105" s="2">
        <v>0</v>
      </c>
      <c r="U105" s="5">
        <v>0</v>
      </c>
      <c r="V105" s="2" t="s">
        <v>40</v>
      </c>
      <c r="W105" s="2" t="s">
        <v>41</v>
      </c>
      <c r="X105" s="2">
        <f>P105*(Q105+U105)*(1+S105/100)*(1+T105/100)</f>
      </c>
      <c r="Y105" s="2">
        <f>X105 / VLOOKUP(V105,$W$109:$Y$111,3)</f>
      </c>
      <c r="Z105" s="2">
        <f>Y105/O105</f>
      </c>
      <c r="AA105" s="2" t="s">
        <v>318</v>
      </c>
      <c r="AC105" s="2" t="s">
        <v>423</v>
      </c>
      <c r="AD105" s="7">
        <f t="shared" si="1"/>
      </c>
      <c r="AE105" s="2">
        <v>0</v>
      </c>
      <c r="AF105" s="2">
        <v>0</v>
      </c>
      <c r="AG105" s="2">
        <v>250</v>
      </c>
    </row>
    <row r="106" spans="9:30" x14ac:dyDescent="0.25">
      <c r="I106" s="2"/>
      <c r="P106" s="2"/>
      <c r="W106" s="2"/>
      <c r="X106" s="2"/>
      <c r="Y106" s="2"/>
      <c r="Z106" s="2">
        <f>SUM(Z10:Z105)</f>
      </c>
      <c r="AD106" s="7">
        <f t="shared" si="1"/>
      </c>
    </row>
    <row r="107" spans="9:30" x14ac:dyDescent="0.25">
      <c r="I107" s="2"/>
      <c r="P107" s="2"/>
      <c r="W107" s="2"/>
      <c r="X107" s="2"/>
      <c r="Y107" s="2"/>
      <c r="Z107" s="2"/>
      <c r="AD107" s="7">
        <f t="shared" si="1"/>
      </c>
    </row>
    <row r="108" spans="9:30" x14ac:dyDescent="0.25">
      <c r="I108" s="2"/>
      <c r="P108" s="2"/>
      <c r="W108" s="2" t="s">
        <v>426</v>
      </c>
      <c r="X108" s="2" t="s">
        <v>24</v>
      </c>
      <c r="Y108" s="2" t="s">
        <v>427</v>
      </c>
      <c r="Z108" s="2" t="s">
        <v>428</v>
      </c>
      <c r="AD108" s="7">
        <f t="shared" si="1"/>
      </c>
    </row>
    <row r="109" spans="9:30" x14ac:dyDescent="0.25">
      <c r="I109" s="2"/>
      <c r="P109" s="2"/>
      <c r="W109" s="2" t="s">
        <v>65</v>
      </c>
      <c r="X109" s="2">
        <f>SUMIF($V$10:$V$105,W109,$X$10:$X$105)</f>
      </c>
      <c r="Y109" s="2">
        <v>1155</v>
      </c>
      <c r="Z109" s="2">
        <f>X109/Y109</f>
      </c>
      <c r="AD109" s="7">
        <f t="shared" si="1"/>
      </c>
    </row>
    <row r="110" spans="9:30" x14ac:dyDescent="0.25">
      <c r="I110" s="2"/>
      <c r="P110" s="2"/>
      <c r="W110" s="2" t="s">
        <v>40</v>
      </c>
      <c r="X110" s="2">
        <f>SUMIF($V$10:$V$105,W110,$X$10:$X$105)</f>
      </c>
      <c r="Y110" s="2">
        <v>1</v>
      </c>
      <c r="Z110" s="2">
        <f>X110/Y110</f>
      </c>
      <c r="AD110" s="7">
        <f t="shared" si="1"/>
      </c>
    </row>
    <row r="111" spans="9:30" x14ac:dyDescent="0.25">
      <c r="I111" s="2"/>
      <c r="P111" s="2"/>
      <c r="W111" s="2" t="s">
        <v>357</v>
      </c>
      <c r="X111" s="2">
        <f>SUMIF($V$10:$V$105,W111,$X$10:$X$105)</f>
      </c>
      <c r="Y111" s="2">
        <v>21059</v>
      </c>
      <c r="Z111" s="2">
        <f>X111/Y111</f>
      </c>
      <c r="AD111" s="7">
        <f t="shared" si="1"/>
      </c>
    </row>
    <row r="112" spans="9:30" x14ac:dyDescent="0.25">
      <c r="I112" s="2"/>
      <c r="P112" s="2"/>
      <c r="W112" s="2"/>
      <c r="X112" s="2"/>
      <c r="Y112" s="2" t="s">
        <v>429</v>
      </c>
      <c r="Z112" s="2">
        <f>SUM(Z109:Z111)</f>
      </c>
      <c r="AD112" s="7">
        <f t="shared" si="1"/>
      </c>
    </row>
    <row r="113" spans="9:30" x14ac:dyDescent="0.25">
      <c r="I113" s="2"/>
      <c r="P113" s="2"/>
      <c r="W113" s="2"/>
      <c r="X113" s="2"/>
      <c r="Y113" s="2"/>
      <c r="Z113" s="2"/>
      <c r="AD113" s="7">
        <f t="shared" si="1"/>
      </c>
    </row>
    <row r="114" spans="9:30" x14ac:dyDescent="0.25">
      <c r="I114" s="2"/>
      <c r="P114" s="2"/>
      <c r="W114" s="2"/>
      <c r="X114" s="2"/>
      <c r="Y114" s="2" t="s">
        <v>17</v>
      </c>
      <c r="Z114" s="2" t="s">
        <v>430</v>
      </c>
      <c r="AD114" s="7">
        <f t="shared" si="1"/>
      </c>
    </row>
    <row r="115" spans="9:30" x14ac:dyDescent="0.25">
      <c r="I115" s="2"/>
      <c r="P115" s="2"/>
      <c r="W115" s="2"/>
      <c r="X115" s="2"/>
      <c r="Y115" s="2">
        <v>100</v>
      </c>
      <c r="Z115" s="2">
        <f>Z112 / Y115</f>
      </c>
      <c r="AD115" s="7">
        <f t="shared" si="1"/>
      </c>
    </row>
    <row r="116" spans="9:30" x14ac:dyDescent="0.25">
      <c r="I116" s="2"/>
      <c r="P116" s="2"/>
      <c r="W116" s="2"/>
      <c r="X116" s="2"/>
      <c r="Y116" s="2"/>
      <c r="Z116" s="2"/>
      <c r="AD116" s="7">
        <f t="shared" si="1"/>
      </c>
    </row>
    <row r="117" spans="9:30" x14ac:dyDescent="0.25">
      <c r="I117" s="2"/>
      <c r="P117" s="2"/>
      <c r="W117" s="2"/>
      <c r="X117" s="2"/>
      <c r="Y117" s="2"/>
      <c r="Z117" s="2"/>
      <c r="AD117" s="7">
        <f t="shared" si="1"/>
      </c>
    </row>
    <row r="118" spans="9:30" x14ac:dyDescent="0.25">
      <c r="I118" s="2"/>
      <c r="P118" s="2"/>
      <c r="W118" s="2"/>
      <c r="X118" s="2"/>
      <c r="Y118" s="2"/>
      <c r="Z118" s="2"/>
      <c r="AD118" s="7">
        <f t="shared" si="1"/>
      </c>
    </row>
    <row r="119" spans="9:30" x14ac:dyDescent="0.25">
      <c r="I119" s="2"/>
      <c r="P119" s="2"/>
      <c r="W119" s="2"/>
      <c r="X119" s="2"/>
      <c r="Y119" s="2"/>
      <c r="Z119" s="2"/>
      <c r="AD119" s="7">
        <f t="shared" si="1"/>
      </c>
    </row>
    <row r="120" spans="9:30" x14ac:dyDescent="0.25">
      <c r="I120" s="2"/>
      <c r="P120" s="2"/>
      <c r="W120" s="2"/>
      <c r="X120" s="2"/>
      <c r="Y120" s="2"/>
      <c r="Z120" s="2"/>
      <c r="AD120" s="7">
        <f t="shared" si="1"/>
      </c>
    </row>
    <row r="121" spans="9:30" x14ac:dyDescent="0.25">
      <c r="I121" s="2"/>
      <c r="P121" s="2"/>
      <c r="W121" s="2"/>
      <c r="X121" s="2"/>
      <c r="Y121" s="2"/>
      <c r="Z121" s="2"/>
      <c r="AD121" s="7">
        <f t="shared" si="1"/>
      </c>
    </row>
    <row r="122" spans="9:30" x14ac:dyDescent="0.25">
      <c r="I122" s="2"/>
      <c r="P122" s="2"/>
      <c r="W122" s="2"/>
      <c r="X122" s="2"/>
      <c r="Y122" s="2"/>
      <c r="Z122" s="2"/>
      <c r="AD122" s="7">
        <f t="shared" si="1"/>
      </c>
    </row>
    <row r="123" spans="9:30" x14ac:dyDescent="0.25">
      <c r="I123" s="2"/>
      <c r="P123" s="2"/>
      <c r="W123" s="2"/>
      <c r="X123" s="2"/>
      <c r="Y123" s="2"/>
      <c r="Z123" s="2"/>
      <c r="AD123" s="7">
        <f t="shared" si="1"/>
      </c>
    </row>
    <row r="124" spans="9:30" x14ac:dyDescent="0.25">
      <c r="I124" s="2"/>
      <c r="P124" s="2"/>
      <c r="W124" s="2"/>
      <c r="X124" s="2"/>
      <c r="Y124" s="2"/>
      <c r="Z124" s="2"/>
      <c r="AD124" s="7">
        <f t="shared" si="1"/>
      </c>
    </row>
    <row r="125" spans="9:30" x14ac:dyDescent="0.25">
      <c r="I125" s="2"/>
      <c r="P125" s="2"/>
      <c r="W125" s="2"/>
      <c r="X125" s="2"/>
      <c r="Y125" s="2"/>
      <c r="Z125" s="2"/>
      <c r="AD125" s="7">
        <f t="shared" si="1"/>
      </c>
    </row>
    <row r="126" spans="9:30" x14ac:dyDescent="0.25">
      <c r="I126" s="2"/>
      <c r="P126" s="2"/>
      <c r="W126" s="2"/>
      <c r="X126" s="2"/>
      <c r="Y126" s="2"/>
      <c r="Z126" s="2"/>
      <c r="AD126" s="7">
        <f t="shared" si="1"/>
      </c>
    </row>
    <row r="127" spans="9:30" x14ac:dyDescent="0.25">
      <c r="I127" s="2"/>
      <c r="P127" s="2"/>
      <c r="W127" s="2"/>
      <c r="X127" s="2"/>
      <c r="Y127" s="2"/>
      <c r="Z127" s="2"/>
      <c r="AD127" s="7">
        <f t="shared" si="1"/>
      </c>
    </row>
    <row r="128" spans="9:30" x14ac:dyDescent="0.25">
      <c r="I128" s="2"/>
      <c r="P128" s="2"/>
      <c r="W128" s="2"/>
      <c r="X128" s="2"/>
      <c r="Y128" s="2"/>
      <c r="Z128" s="2"/>
      <c r="AD128" s="7">
        <f t="shared" si="1"/>
      </c>
    </row>
    <row r="129" spans="9:30" x14ac:dyDescent="0.25">
      <c r="I129" s="2"/>
      <c r="P129" s="2"/>
      <c r="W129" s="2"/>
      <c r="X129" s="2"/>
      <c r="Y129" s="2"/>
      <c r="Z129" s="2"/>
      <c r="AD129" s="7">
        <f t="shared" si="1"/>
      </c>
    </row>
    <row r="130" spans="9:30" x14ac:dyDescent="0.25">
      <c r="I130" s="2"/>
      <c r="P130" s="2"/>
      <c r="W130" s="2"/>
      <c r="X130" s="2"/>
      <c r="Y130" s="2"/>
      <c r="Z130" s="2"/>
      <c r="AD130" s="7">
        <f t="shared" si="1"/>
      </c>
    </row>
    <row r="131" spans="9:30" x14ac:dyDescent="0.25">
      <c r="I131" s="2"/>
      <c r="P131" s="2"/>
      <c r="W131" s="2"/>
      <c r="X131" s="2"/>
      <c r="Y131" s="2"/>
      <c r="Z131" s="2"/>
      <c r="AD131" s="7">
        <f t="shared" si="1"/>
      </c>
    </row>
    <row r="132" spans="9:30" x14ac:dyDescent="0.25">
      <c r="I132" s="2"/>
      <c r="P132" s="2"/>
      <c r="W132" s="2"/>
      <c r="X132" s="2"/>
      <c r="Y132" s="2"/>
      <c r="Z132" s="2"/>
      <c r="AD132" s="7">
        <f t="shared" si="1"/>
      </c>
    </row>
    <row r="133" spans="9:30" x14ac:dyDescent="0.25">
      <c r="I133" s="2"/>
      <c r="P133" s="2"/>
      <c r="W133" s="2"/>
      <c r="X133" s="2"/>
      <c r="Y133" s="2"/>
      <c r="Z133" s="2"/>
      <c r="AD133" s="7">
        <f t="shared" si="1"/>
      </c>
    </row>
    <row r="134" spans="9:30" x14ac:dyDescent="0.25">
      <c r="I134" s="2"/>
      <c r="P134" s="2"/>
      <c r="W134" s="2"/>
      <c r="X134" s="2"/>
      <c r="Y134" s="2"/>
      <c r="Z134" s="2"/>
      <c r="AD134" s="7">
        <f t="shared" si="1"/>
      </c>
    </row>
    <row r="135" spans="9:30" x14ac:dyDescent="0.25">
      <c r="I135" s="2"/>
      <c r="P135" s="2"/>
      <c r="W135" s="2"/>
      <c r="X135" s="2"/>
      <c r="Y135" s="2"/>
      <c r="Z135" s="2"/>
      <c r="AD135" s="7">
        <f t="shared" si="1"/>
      </c>
    </row>
    <row r="136" spans="9:30" x14ac:dyDescent="0.25">
      <c r="I136" s="2"/>
      <c r="P136" s="2"/>
      <c r="W136" s="2"/>
      <c r="X136" s="2"/>
      <c r="Y136" s="2"/>
      <c r="Z136" s="2"/>
      <c r="AD136" s="7">
        <f t="shared" si="1"/>
      </c>
    </row>
    <row r="137" spans="9:30" x14ac:dyDescent="0.25">
      <c r="I137" s="2"/>
      <c r="P137" s="2"/>
      <c r="W137" s="2"/>
      <c r="X137" s="2"/>
      <c r="Y137" s="2"/>
      <c r="Z137" s="2"/>
      <c r="AD137" s="7">
        <f t="shared" si="1"/>
      </c>
    </row>
    <row r="138" spans="9:30" x14ac:dyDescent="0.25">
      <c r="I138" s="2"/>
      <c r="P138" s="2"/>
      <c r="W138" s="2"/>
      <c r="X138" s="2"/>
      <c r="Y138" s="2"/>
      <c r="Z138" s="2"/>
      <c r="AD138" s="7">
        <f t="shared" ref="AD138:AD201" si="2">IF(P138 = "", "", Y138/P138)</f>
      </c>
    </row>
    <row r="139" spans="9:30" x14ac:dyDescent="0.25">
      <c r="I139" s="2"/>
      <c r="P139" s="2"/>
      <c r="W139" s="2"/>
      <c r="X139" s="2"/>
      <c r="Y139" s="2"/>
      <c r="Z139" s="2"/>
      <c r="AD139" s="7">
        <f t="shared" si="2"/>
      </c>
    </row>
    <row r="140" spans="9:30" x14ac:dyDescent="0.25">
      <c r="I140" s="2"/>
      <c r="P140" s="2"/>
      <c r="W140" s="2"/>
      <c r="X140" s="2"/>
      <c r="Y140" s="2"/>
      <c r="Z140" s="2"/>
      <c r="AD140" s="7">
        <f t="shared" si="2"/>
      </c>
    </row>
    <row r="141" spans="9:30" x14ac:dyDescent="0.25">
      <c r="I141" s="2"/>
      <c r="P141" s="2"/>
      <c r="W141" s="2"/>
      <c r="X141" s="2"/>
      <c r="Y141" s="2"/>
      <c r="Z141" s="2"/>
      <c r="AD141" s="7">
        <f t="shared" si="2"/>
      </c>
    </row>
    <row r="142" spans="9:30" x14ac:dyDescent="0.25">
      <c r="I142" s="2"/>
      <c r="P142" s="2"/>
      <c r="W142" s="2"/>
      <c r="X142" s="2"/>
      <c r="Y142" s="2"/>
      <c r="Z142" s="2"/>
      <c r="AD142" s="7">
        <f t="shared" si="2"/>
      </c>
    </row>
    <row r="143" spans="9:30" x14ac:dyDescent="0.25">
      <c r="I143" s="2"/>
      <c r="P143" s="2"/>
      <c r="W143" s="2"/>
      <c r="X143" s="2"/>
      <c r="Y143" s="2"/>
      <c r="Z143" s="2"/>
      <c r="AD143" s="7">
        <f t="shared" si="2"/>
      </c>
    </row>
    <row r="144" spans="9:30" x14ac:dyDescent="0.25">
      <c r="I144" s="2"/>
      <c r="P144" s="2"/>
      <c r="W144" s="2"/>
      <c r="X144" s="2"/>
      <c r="Y144" s="2"/>
      <c r="Z144" s="2"/>
      <c r="AD144" s="7">
        <f t="shared" si="2"/>
      </c>
    </row>
    <row r="145" spans="9:30" x14ac:dyDescent="0.25">
      <c r="I145" s="2"/>
      <c r="P145" s="2"/>
      <c r="W145" s="2"/>
      <c r="X145" s="2"/>
      <c r="Y145" s="2"/>
      <c r="Z145" s="2"/>
      <c r="AD145" s="7">
        <f t="shared" si="2"/>
      </c>
    </row>
    <row r="146" spans="9:30" x14ac:dyDescent="0.25">
      <c r="I146" s="2"/>
      <c r="P146" s="2"/>
      <c r="W146" s="2"/>
      <c r="X146" s="2"/>
      <c r="Y146" s="2"/>
      <c r="Z146" s="2"/>
      <c r="AD146" s="7">
        <f t="shared" si="2"/>
      </c>
    </row>
    <row r="147" spans="9:30" x14ac:dyDescent="0.25">
      <c r="I147" s="2"/>
      <c r="P147" s="2"/>
      <c r="W147" s="2"/>
      <c r="X147" s="2"/>
      <c r="Y147" s="2"/>
      <c r="Z147" s="2"/>
      <c r="AD147" s="7">
        <f t="shared" si="2"/>
      </c>
    </row>
    <row r="148" spans="9:30" x14ac:dyDescent="0.25">
      <c r="I148" s="2"/>
      <c r="P148" s="2"/>
      <c r="W148" s="2"/>
      <c r="X148" s="2"/>
      <c r="Y148" s="2"/>
      <c r="Z148" s="2"/>
      <c r="AD148" s="7">
        <f t="shared" si="2"/>
      </c>
    </row>
    <row r="149" spans="9:30" x14ac:dyDescent="0.25">
      <c r="I149" s="2"/>
      <c r="P149" s="2"/>
      <c r="W149" s="2"/>
      <c r="X149" s="2"/>
      <c r="Y149" s="2"/>
      <c r="Z149" s="2"/>
      <c r="AD149" s="7">
        <f t="shared" si="2"/>
      </c>
    </row>
    <row r="150" spans="9:30" x14ac:dyDescent="0.25">
      <c r="I150" s="2"/>
      <c r="P150" s="2"/>
      <c r="W150" s="2"/>
      <c r="X150" s="2"/>
      <c r="Y150" s="2"/>
      <c r="Z150" s="2"/>
      <c r="AD150" s="7">
        <f t="shared" si="2"/>
      </c>
    </row>
    <row r="151" spans="9:30" x14ac:dyDescent="0.25">
      <c r="I151" s="2"/>
      <c r="P151" s="2"/>
      <c r="W151" s="2"/>
      <c r="X151" s="2"/>
      <c r="Y151" s="2"/>
      <c r="Z151" s="2"/>
      <c r="AD151" s="7">
        <f t="shared" si="2"/>
      </c>
    </row>
    <row r="152" spans="9:30" x14ac:dyDescent="0.25">
      <c r="I152" s="2"/>
      <c r="P152" s="2"/>
      <c r="W152" s="2"/>
      <c r="X152" s="2"/>
      <c r="Y152" s="2"/>
      <c r="Z152" s="2"/>
      <c r="AD152" s="7">
        <f t="shared" si="2"/>
      </c>
    </row>
    <row r="153" spans="9:30" x14ac:dyDescent="0.25">
      <c r="I153" s="2"/>
      <c r="P153" s="2"/>
      <c r="W153" s="2"/>
      <c r="X153" s="2"/>
      <c r="Y153" s="2"/>
      <c r="Z153" s="2"/>
      <c r="AD153" s="7">
        <f t="shared" si="2"/>
      </c>
    </row>
    <row r="154" spans="9:30" x14ac:dyDescent="0.25">
      <c r="I154" s="2"/>
      <c r="P154" s="2"/>
      <c r="W154" s="2"/>
      <c r="X154" s="2"/>
      <c r="Y154" s="2"/>
      <c r="Z154" s="2"/>
      <c r="AD154" s="7">
        <f t="shared" si="2"/>
      </c>
    </row>
    <row r="155" spans="9:30" x14ac:dyDescent="0.25">
      <c r="I155" s="2"/>
      <c r="P155" s="2"/>
      <c r="W155" s="2"/>
      <c r="X155" s="2"/>
      <c r="Y155" s="2"/>
      <c r="Z155" s="2"/>
      <c r="AD155" s="7">
        <f t="shared" si="2"/>
      </c>
    </row>
    <row r="156" spans="9:30" x14ac:dyDescent="0.25">
      <c r="I156" s="2"/>
      <c r="P156" s="2"/>
      <c r="W156" s="2"/>
      <c r="X156" s="2"/>
      <c r="Y156" s="2"/>
      <c r="Z156" s="2"/>
      <c r="AD156" s="7">
        <f t="shared" si="2"/>
      </c>
    </row>
    <row r="157" spans="9:30" x14ac:dyDescent="0.25">
      <c r="I157" s="2"/>
      <c r="P157" s="2"/>
      <c r="W157" s="2"/>
      <c r="X157" s="2"/>
      <c r="Y157" s="2"/>
      <c r="Z157" s="2"/>
      <c r="AD157" s="7">
        <f t="shared" si="2"/>
      </c>
    </row>
    <row r="158" spans="9:30" x14ac:dyDescent="0.25">
      <c r="I158" s="2"/>
      <c r="P158" s="2"/>
      <c r="W158" s="2"/>
      <c r="X158" s="2"/>
      <c r="Y158" s="2"/>
      <c r="Z158" s="2"/>
      <c r="AD158" s="7">
        <f t="shared" si="2"/>
      </c>
    </row>
    <row r="159" spans="9:30" x14ac:dyDescent="0.25">
      <c r="I159" s="2"/>
      <c r="P159" s="2"/>
      <c r="W159" s="2"/>
      <c r="X159" s="2"/>
      <c r="Y159" s="2"/>
      <c r="Z159" s="2"/>
      <c r="AD159" s="7">
        <f t="shared" si="2"/>
      </c>
    </row>
    <row r="160" spans="9:30" x14ac:dyDescent="0.25">
      <c r="I160" s="2"/>
      <c r="P160" s="2"/>
      <c r="W160" s="2"/>
      <c r="X160" s="2"/>
      <c r="Y160" s="2"/>
      <c r="Z160" s="2"/>
      <c r="AD160" s="7">
        <f t="shared" si="2"/>
      </c>
    </row>
    <row r="161" spans="9:30" x14ac:dyDescent="0.25">
      <c r="I161" s="2"/>
      <c r="P161" s="2"/>
      <c r="W161" s="2"/>
      <c r="X161" s="2"/>
      <c r="Y161" s="2"/>
      <c r="Z161" s="2"/>
      <c r="AD161" s="7">
        <f t="shared" si="2"/>
      </c>
    </row>
    <row r="162" spans="9:30" x14ac:dyDescent="0.25">
      <c r="I162" s="2"/>
      <c r="P162" s="2"/>
      <c r="W162" s="2"/>
      <c r="X162" s="2"/>
      <c r="Y162" s="2"/>
      <c r="Z162" s="2"/>
      <c r="AD162" s="7">
        <f t="shared" si="2"/>
      </c>
    </row>
    <row r="163" spans="9:30" x14ac:dyDescent="0.25">
      <c r="I163" s="2"/>
      <c r="P163" s="2"/>
      <c r="W163" s="2"/>
      <c r="X163" s="2"/>
      <c r="Y163" s="2"/>
      <c r="Z163" s="2"/>
      <c r="AD163" s="7">
        <f t="shared" si="2"/>
      </c>
    </row>
    <row r="164" spans="9:30" x14ac:dyDescent="0.25">
      <c r="I164" s="2"/>
      <c r="P164" s="2"/>
      <c r="W164" s="2"/>
      <c r="X164" s="2"/>
      <c r="Y164" s="2"/>
      <c r="Z164" s="2"/>
      <c r="AD164" s="7">
        <f t="shared" si="2"/>
      </c>
    </row>
    <row r="165" spans="9:30" x14ac:dyDescent="0.25">
      <c r="I165" s="2"/>
      <c r="P165" s="2"/>
      <c r="W165" s="2"/>
      <c r="X165" s="2"/>
      <c r="Y165" s="2"/>
      <c r="Z165" s="2"/>
      <c r="AD165" s="7">
        <f t="shared" si="2"/>
      </c>
    </row>
    <row r="166" spans="9:30" x14ac:dyDescent="0.25">
      <c r="I166" s="2"/>
      <c r="P166" s="2"/>
      <c r="W166" s="2"/>
      <c r="X166" s="2"/>
      <c r="Y166" s="2"/>
      <c r="Z166" s="2"/>
      <c r="AD166" s="7">
        <f t="shared" si="2"/>
      </c>
    </row>
    <row r="167" spans="9:30" x14ac:dyDescent="0.25">
      <c r="I167" s="2"/>
      <c r="P167" s="2"/>
      <c r="W167" s="2"/>
      <c r="X167" s="2"/>
      <c r="Y167" s="2"/>
      <c r="Z167" s="2"/>
      <c r="AD167" s="7">
        <f t="shared" si="2"/>
      </c>
    </row>
    <row r="168" spans="9:30" x14ac:dyDescent="0.25">
      <c r="I168" s="2"/>
      <c r="P168" s="2"/>
      <c r="W168" s="2"/>
      <c r="X168" s="2"/>
      <c r="Y168" s="2"/>
      <c r="Z168" s="2"/>
      <c r="AD168" s="7">
        <f t="shared" si="2"/>
      </c>
    </row>
    <row r="169" spans="9:30" x14ac:dyDescent="0.25">
      <c r="I169" s="2"/>
      <c r="P169" s="2"/>
      <c r="W169" s="2"/>
      <c r="X169" s="2"/>
      <c r="Y169" s="2"/>
      <c r="Z169" s="2"/>
      <c r="AD169" s="7">
        <f t="shared" si="2"/>
      </c>
    </row>
    <row r="170" spans="9:30" x14ac:dyDescent="0.25">
      <c r="I170" s="2"/>
      <c r="P170" s="2"/>
      <c r="W170" s="2"/>
      <c r="X170" s="2"/>
      <c r="Y170" s="2"/>
      <c r="Z170" s="2"/>
      <c r="AD170" s="7">
        <f t="shared" si="2"/>
      </c>
    </row>
    <row r="171" spans="9:30" x14ac:dyDescent="0.25">
      <c r="I171" s="2"/>
      <c r="P171" s="2"/>
      <c r="W171" s="2"/>
      <c r="X171" s="2"/>
      <c r="Y171" s="2"/>
      <c r="Z171" s="2"/>
      <c r="AD171" s="7">
        <f t="shared" si="2"/>
      </c>
    </row>
    <row r="172" spans="9:30" x14ac:dyDescent="0.25">
      <c r="I172" s="2"/>
      <c r="P172" s="2"/>
      <c r="W172" s="2"/>
      <c r="X172" s="2"/>
      <c r="Y172" s="2"/>
      <c r="Z172" s="2"/>
      <c r="AD172" s="7">
        <f t="shared" si="2"/>
      </c>
    </row>
    <row r="173" spans="9:30" x14ac:dyDescent="0.25">
      <c r="I173" s="2"/>
      <c r="P173" s="2"/>
      <c r="W173" s="2"/>
      <c r="X173" s="2"/>
      <c r="Y173" s="2"/>
      <c r="Z173" s="2"/>
      <c r="AD173" s="7">
        <f t="shared" si="2"/>
      </c>
    </row>
    <row r="174" spans="9:30" x14ac:dyDescent="0.25">
      <c r="I174" s="2"/>
      <c r="P174" s="2"/>
      <c r="W174" s="2"/>
      <c r="X174" s="2"/>
      <c r="Y174" s="2"/>
      <c r="Z174" s="2"/>
      <c r="AD174" s="7">
        <f t="shared" si="2"/>
      </c>
    </row>
    <row r="175" spans="9:30" x14ac:dyDescent="0.25">
      <c r="I175" s="2"/>
      <c r="P175" s="2"/>
      <c r="W175" s="2"/>
      <c r="X175" s="2"/>
      <c r="Y175" s="2"/>
      <c r="Z175" s="2"/>
      <c r="AD175" s="7">
        <f t="shared" si="2"/>
      </c>
    </row>
    <row r="176" spans="9:30" x14ac:dyDescent="0.25">
      <c r="I176" s="2"/>
      <c r="P176" s="2"/>
      <c r="W176" s="2"/>
      <c r="X176" s="2"/>
      <c r="Y176" s="2"/>
      <c r="Z176" s="2"/>
      <c r="AD176" s="7">
        <f t="shared" si="2"/>
      </c>
    </row>
    <row r="177" spans="9:30" x14ac:dyDescent="0.25">
      <c r="I177" s="2"/>
      <c r="P177" s="2"/>
      <c r="W177" s="2"/>
      <c r="X177" s="2"/>
      <c r="Y177" s="2"/>
      <c r="Z177" s="2"/>
      <c r="AD177" s="7">
        <f t="shared" si="2"/>
      </c>
    </row>
    <row r="178" spans="9:30" x14ac:dyDescent="0.25">
      <c r="I178" s="2"/>
      <c r="P178" s="2"/>
      <c r="W178" s="2"/>
      <c r="X178" s="2"/>
      <c r="Y178" s="2"/>
      <c r="Z178" s="2"/>
      <c r="AD178" s="7">
        <f t="shared" si="2"/>
      </c>
    </row>
    <row r="179" spans="9:30" x14ac:dyDescent="0.25">
      <c r="I179" s="2"/>
      <c r="P179" s="2"/>
      <c r="W179" s="2"/>
      <c r="X179" s="2"/>
      <c r="Y179" s="2"/>
      <c r="Z179" s="2"/>
      <c r="AD179" s="7">
        <f t="shared" si="2"/>
      </c>
    </row>
    <row r="180" spans="9:30" x14ac:dyDescent="0.25">
      <c r="I180" s="2"/>
      <c r="P180" s="2"/>
      <c r="W180" s="2"/>
      <c r="X180" s="2"/>
      <c r="Y180" s="2"/>
      <c r="Z180" s="2"/>
      <c r="AD180" s="7">
        <f t="shared" si="2"/>
      </c>
    </row>
    <row r="181" spans="9:30" x14ac:dyDescent="0.25">
      <c r="I181" s="2"/>
      <c r="P181" s="2"/>
      <c r="W181" s="2"/>
      <c r="X181" s="2"/>
      <c r="Y181" s="2"/>
      <c r="Z181" s="2"/>
      <c r="AD181" s="7">
        <f t="shared" si="2"/>
      </c>
    </row>
    <row r="182" spans="9:30" x14ac:dyDescent="0.25">
      <c r="I182" s="2"/>
      <c r="P182" s="2"/>
      <c r="W182" s="2"/>
      <c r="X182" s="2"/>
      <c r="Y182" s="2"/>
      <c r="Z182" s="2"/>
      <c r="AD182" s="7">
        <f t="shared" si="2"/>
      </c>
    </row>
    <row r="183" spans="9:30" x14ac:dyDescent="0.25">
      <c r="I183" s="2"/>
      <c r="P183" s="2"/>
      <c r="W183" s="2"/>
      <c r="X183" s="2"/>
      <c r="Y183" s="2"/>
      <c r="Z183" s="2"/>
      <c r="AD183" s="7">
        <f t="shared" si="2"/>
      </c>
    </row>
    <row r="184" spans="9:30" x14ac:dyDescent="0.25">
      <c r="I184" s="2"/>
      <c r="P184" s="2"/>
      <c r="W184" s="2"/>
      <c r="X184" s="2"/>
      <c r="Y184" s="2"/>
      <c r="Z184" s="2"/>
      <c r="AD184" s="7">
        <f t="shared" si="2"/>
      </c>
    </row>
    <row r="185" spans="9:30" x14ac:dyDescent="0.25">
      <c r="I185" s="2"/>
      <c r="P185" s="2"/>
      <c r="W185" s="2"/>
      <c r="X185" s="2"/>
      <c r="Y185" s="2"/>
      <c r="Z185" s="2"/>
      <c r="AD185" s="7">
        <f t="shared" si="2"/>
      </c>
    </row>
    <row r="186" spans="9:30" x14ac:dyDescent="0.25">
      <c r="I186" s="2"/>
      <c r="P186" s="2"/>
      <c r="W186" s="2"/>
      <c r="X186" s="2"/>
      <c r="Y186" s="2"/>
      <c r="Z186" s="2"/>
      <c r="AD186" s="7">
        <f t="shared" si="2"/>
      </c>
    </row>
    <row r="187" spans="9:30" x14ac:dyDescent="0.25">
      <c r="I187" s="2"/>
      <c r="P187" s="2"/>
      <c r="W187" s="2"/>
      <c r="X187" s="2"/>
      <c r="Y187" s="2"/>
      <c r="Z187" s="2"/>
      <c r="AD187" s="7">
        <f t="shared" si="2"/>
      </c>
    </row>
    <row r="188" spans="9:30" x14ac:dyDescent="0.25">
      <c r="I188" s="2"/>
      <c r="P188" s="2"/>
      <c r="W188" s="2"/>
      <c r="X188" s="2"/>
      <c r="Y188" s="2"/>
      <c r="Z188" s="2"/>
      <c r="AD188" s="7">
        <f t="shared" si="2"/>
      </c>
    </row>
    <row r="189" spans="9:30" x14ac:dyDescent="0.25">
      <c r="I189" s="2"/>
      <c r="P189" s="2"/>
      <c r="W189" s="2"/>
      <c r="X189" s="2"/>
      <c r="Y189" s="2"/>
      <c r="Z189" s="2"/>
      <c r="AD189" s="7">
        <f t="shared" si="2"/>
      </c>
    </row>
    <row r="190" spans="9:30" x14ac:dyDescent="0.25">
      <c r="I190" s="2"/>
      <c r="P190" s="2"/>
      <c r="W190" s="2"/>
      <c r="X190" s="2"/>
      <c r="Y190" s="2"/>
      <c r="Z190" s="2"/>
      <c r="AD190" s="7">
        <f t="shared" si="2"/>
      </c>
    </row>
    <row r="191" spans="9:30" x14ac:dyDescent="0.25">
      <c r="I191" s="2"/>
      <c r="P191" s="2"/>
      <c r="W191" s="2"/>
      <c r="X191" s="2"/>
      <c r="Y191" s="2"/>
      <c r="Z191" s="2"/>
      <c r="AD191" s="7">
        <f t="shared" si="2"/>
      </c>
    </row>
    <row r="192" spans="9:30" x14ac:dyDescent="0.25">
      <c r="I192" s="2"/>
      <c r="P192" s="2"/>
      <c r="W192" s="2"/>
      <c r="X192" s="2"/>
      <c r="Y192" s="2"/>
      <c r="Z192" s="2"/>
      <c r="AD192" s="7">
        <f t="shared" si="2"/>
      </c>
    </row>
    <row r="193" spans="9:30" x14ac:dyDescent="0.25">
      <c r="I193" s="2"/>
      <c r="P193" s="2"/>
      <c r="W193" s="2"/>
      <c r="X193" s="2"/>
      <c r="Y193" s="2"/>
      <c r="Z193" s="2"/>
      <c r="AD193" s="7">
        <f t="shared" si="2"/>
      </c>
    </row>
    <row r="194" spans="9:30" x14ac:dyDescent="0.25">
      <c r="I194" s="2"/>
      <c r="P194" s="2"/>
      <c r="W194" s="2"/>
      <c r="X194" s="2"/>
      <c r="Y194" s="2"/>
      <c r="Z194" s="2"/>
      <c r="AD194" s="7">
        <f t="shared" si="2"/>
      </c>
    </row>
    <row r="195" spans="9:30" x14ac:dyDescent="0.25">
      <c r="I195" s="2"/>
      <c r="P195" s="2"/>
      <c r="W195" s="2"/>
      <c r="X195" s="2"/>
      <c r="Y195" s="2"/>
      <c r="Z195" s="2"/>
      <c r="AD195" s="7">
        <f t="shared" si="2"/>
      </c>
    </row>
    <row r="196" spans="9:30" x14ac:dyDescent="0.25">
      <c r="I196" s="2"/>
      <c r="P196" s="2"/>
      <c r="W196" s="2"/>
      <c r="X196" s="2"/>
      <c r="Y196" s="2"/>
      <c r="Z196" s="2"/>
      <c r="AD196" s="7">
        <f t="shared" si="2"/>
      </c>
    </row>
    <row r="197" spans="9:30" x14ac:dyDescent="0.25">
      <c r="I197" s="2"/>
      <c r="P197" s="2"/>
      <c r="W197" s="2"/>
      <c r="X197" s="2"/>
      <c r="Y197" s="2"/>
      <c r="Z197" s="2"/>
      <c r="AD197" s="7">
        <f t="shared" si="2"/>
      </c>
    </row>
    <row r="198" spans="9:30" x14ac:dyDescent="0.25">
      <c r="I198" s="2"/>
      <c r="P198" s="2"/>
      <c r="W198" s="2"/>
      <c r="X198" s="2"/>
      <c r="Y198" s="2"/>
      <c r="Z198" s="2"/>
      <c r="AD198" s="7">
        <f t="shared" si="2"/>
      </c>
    </row>
    <row r="199" spans="9:30" x14ac:dyDescent="0.25">
      <c r="I199" s="2"/>
      <c r="P199" s="2"/>
      <c r="W199" s="2"/>
      <c r="X199" s="2"/>
      <c r="Y199" s="2"/>
      <c r="Z199" s="2"/>
      <c r="AD199" s="7">
        <f t="shared" si="2"/>
      </c>
    </row>
    <row r="200" spans="9:30" x14ac:dyDescent="0.25">
      <c r="I200" s="2"/>
      <c r="P200" s="2"/>
      <c r="W200" s="2"/>
      <c r="X200" s="2"/>
      <c r="Y200" s="2"/>
      <c r="Z200" s="2"/>
      <c r="AD200" s="7">
        <f t="shared" si="2"/>
      </c>
    </row>
    <row r="201" spans="9:30" x14ac:dyDescent="0.25">
      <c r="I201" s="2"/>
      <c r="P201" s="2"/>
      <c r="W201" s="2"/>
      <c r="X201" s="2"/>
      <c r="Y201" s="2"/>
      <c r="Z201" s="2"/>
      <c r="AD201" s="7">
        <f t="shared" si="2"/>
      </c>
    </row>
    <row r="202" spans="9:30" x14ac:dyDescent="0.25">
      <c r="I202" s="2"/>
      <c r="P202" s="2"/>
      <c r="W202" s="2"/>
      <c r="X202" s="2"/>
      <c r="Y202" s="2"/>
      <c r="Z202" s="2"/>
      <c r="AD202" s="7">
        <f t="shared" ref="AD202:AD265" si="3">IF(P202 = "", "", Y202/P202)</f>
      </c>
    </row>
    <row r="203" spans="9:30" x14ac:dyDescent="0.25">
      <c r="I203" s="2"/>
      <c r="P203" s="2"/>
      <c r="W203" s="2"/>
      <c r="X203" s="2"/>
      <c r="Y203" s="2"/>
      <c r="Z203" s="2"/>
      <c r="AD203" s="7">
        <f t="shared" si="3"/>
      </c>
    </row>
    <row r="204" spans="9:30" x14ac:dyDescent="0.25">
      <c r="I204" s="2"/>
      <c r="P204" s="2"/>
      <c r="W204" s="2"/>
      <c r="X204" s="2"/>
      <c r="Y204" s="2"/>
      <c r="Z204" s="2"/>
      <c r="AD204" s="7">
        <f t="shared" si="3"/>
      </c>
    </row>
    <row r="205" spans="9:30" x14ac:dyDescent="0.25">
      <c r="I205" s="2"/>
      <c r="P205" s="2"/>
      <c r="W205" s="2"/>
      <c r="X205" s="2"/>
      <c r="Y205" s="2"/>
      <c r="Z205" s="2"/>
      <c r="AD205" s="7">
        <f t="shared" si="3"/>
      </c>
    </row>
    <row r="206" spans="9:30" x14ac:dyDescent="0.25">
      <c r="I206" s="2"/>
      <c r="P206" s="2"/>
      <c r="W206" s="2"/>
      <c r="X206" s="2"/>
      <c r="Y206" s="2"/>
      <c r="Z206" s="2"/>
      <c r="AD206" s="7">
        <f t="shared" si="3"/>
      </c>
    </row>
    <row r="207" spans="9:30" x14ac:dyDescent="0.25">
      <c r="I207" s="2"/>
      <c r="P207" s="2"/>
      <c r="W207" s="2"/>
      <c r="X207" s="2"/>
      <c r="Y207" s="2"/>
      <c r="Z207" s="2"/>
      <c r="AD207" s="7">
        <f t="shared" si="3"/>
      </c>
    </row>
    <row r="208" spans="9:30" x14ac:dyDescent="0.25">
      <c r="I208" s="2"/>
      <c r="P208" s="2"/>
      <c r="W208" s="2"/>
      <c r="X208" s="2"/>
      <c r="Y208" s="2"/>
      <c r="Z208" s="2"/>
      <c r="AD208" s="7">
        <f t="shared" si="3"/>
      </c>
    </row>
    <row r="209" spans="9:30" x14ac:dyDescent="0.25">
      <c r="I209" s="2"/>
      <c r="P209" s="2"/>
      <c r="W209" s="2"/>
      <c r="X209" s="2"/>
      <c r="Y209" s="2"/>
      <c r="Z209" s="2"/>
      <c r="AD209" s="7">
        <f t="shared" si="3"/>
      </c>
    </row>
    <row r="210" spans="9:30" x14ac:dyDescent="0.25">
      <c r="I210" s="2"/>
      <c r="P210" s="2"/>
      <c r="W210" s="2"/>
      <c r="X210" s="2"/>
      <c r="Y210" s="2"/>
      <c r="Z210" s="2"/>
      <c r="AD210" s="7">
        <f t="shared" si="3"/>
      </c>
    </row>
    <row r="211" spans="9:30" x14ac:dyDescent="0.25">
      <c r="I211" s="2"/>
      <c r="P211" s="2"/>
      <c r="W211" s="2"/>
      <c r="X211" s="2"/>
      <c r="Y211" s="2"/>
      <c r="Z211" s="2"/>
      <c r="AD211" s="7">
        <f t="shared" si="3"/>
      </c>
    </row>
    <row r="212" spans="9:30" x14ac:dyDescent="0.25">
      <c r="I212" s="2"/>
      <c r="P212" s="2"/>
      <c r="W212" s="2"/>
      <c r="X212" s="2"/>
      <c r="Y212" s="2"/>
      <c r="Z212" s="2"/>
      <c r="AD212" s="7">
        <f t="shared" si="3"/>
      </c>
    </row>
    <row r="213" spans="9:30" x14ac:dyDescent="0.25">
      <c r="I213" s="2"/>
      <c r="P213" s="2"/>
      <c r="W213" s="2"/>
      <c r="X213" s="2"/>
      <c r="Y213" s="2"/>
      <c r="Z213" s="2"/>
      <c r="AD213" s="7">
        <f t="shared" si="3"/>
      </c>
    </row>
    <row r="214" spans="9:30" x14ac:dyDescent="0.25">
      <c r="I214" s="2"/>
      <c r="P214" s="2"/>
      <c r="W214" s="2"/>
      <c r="X214" s="2"/>
      <c r="Y214" s="2"/>
      <c r="Z214" s="2"/>
      <c r="AD214" s="7">
        <f t="shared" si="3"/>
      </c>
    </row>
    <row r="215" spans="9:30" x14ac:dyDescent="0.25">
      <c r="I215" s="2"/>
      <c r="P215" s="2"/>
      <c r="W215" s="2"/>
      <c r="X215" s="2"/>
      <c r="Y215" s="2"/>
      <c r="Z215" s="2"/>
      <c r="AD215" s="7">
        <f t="shared" si="3"/>
      </c>
    </row>
    <row r="216" spans="9:30" x14ac:dyDescent="0.25">
      <c r="I216" s="2"/>
      <c r="P216" s="2"/>
      <c r="W216" s="2"/>
      <c r="X216" s="2"/>
      <c r="Y216" s="2"/>
      <c r="Z216" s="2"/>
      <c r="AD216" s="7">
        <f t="shared" si="3"/>
      </c>
    </row>
    <row r="217" spans="9:30" x14ac:dyDescent="0.25">
      <c r="I217" s="2"/>
      <c r="P217" s="2"/>
      <c r="W217" s="2"/>
      <c r="X217" s="2"/>
      <c r="Y217" s="2"/>
      <c r="Z217" s="2"/>
      <c r="AD217" s="7">
        <f t="shared" si="3"/>
      </c>
    </row>
    <row r="218" spans="9:30" x14ac:dyDescent="0.25">
      <c r="I218" s="2"/>
      <c r="P218" s="2"/>
      <c r="W218" s="2"/>
      <c r="X218" s="2"/>
      <c r="Y218" s="2"/>
      <c r="Z218" s="2"/>
      <c r="AD218" s="7">
        <f t="shared" si="3"/>
      </c>
    </row>
    <row r="219" spans="9:30" x14ac:dyDescent="0.25">
      <c r="I219" s="2"/>
      <c r="P219" s="2"/>
      <c r="W219" s="2"/>
      <c r="X219" s="2"/>
      <c r="Y219" s="2"/>
      <c r="Z219" s="2"/>
      <c r="AD219" s="7">
        <f t="shared" si="3"/>
      </c>
    </row>
    <row r="220" spans="9:30" x14ac:dyDescent="0.25">
      <c r="I220" s="2"/>
      <c r="P220" s="2"/>
      <c r="W220" s="2"/>
      <c r="X220" s="2"/>
      <c r="Y220" s="2"/>
      <c r="Z220" s="2"/>
      <c r="AD220" s="7">
        <f t="shared" si="3"/>
      </c>
    </row>
    <row r="221" spans="9:30" x14ac:dyDescent="0.25">
      <c r="I221" s="2"/>
      <c r="P221" s="2"/>
      <c r="W221" s="2"/>
      <c r="X221" s="2"/>
      <c r="Y221" s="2"/>
      <c r="Z221" s="2"/>
      <c r="AD221" s="7">
        <f t="shared" si="3"/>
      </c>
    </row>
    <row r="222" spans="9:30" x14ac:dyDescent="0.25">
      <c r="I222" s="2"/>
      <c r="P222" s="2"/>
      <c r="W222" s="2"/>
      <c r="X222" s="2"/>
      <c r="Y222" s="2"/>
      <c r="Z222" s="2"/>
      <c r="AD222" s="7">
        <f t="shared" si="3"/>
      </c>
    </row>
    <row r="223" spans="9:30" x14ac:dyDescent="0.25">
      <c r="I223" s="2"/>
      <c r="P223" s="2"/>
      <c r="W223" s="2"/>
      <c r="X223" s="2"/>
      <c r="Y223" s="2"/>
      <c r="Z223" s="2"/>
      <c r="AD223" s="7">
        <f t="shared" si="3"/>
      </c>
    </row>
    <row r="224" spans="9:30" x14ac:dyDescent="0.25">
      <c r="I224" s="2"/>
      <c r="P224" s="2"/>
      <c r="W224" s="2"/>
      <c r="X224" s="2"/>
      <c r="Y224" s="2"/>
      <c r="Z224" s="2"/>
      <c r="AD224" s="7">
        <f t="shared" si="3"/>
      </c>
    </row>
    <row r="225" spans="9:30" x14ac:dyDescent="0.25">
      <c r="I225" s="2"/>
      <c r="P225" s="2"/>
      <c r="W225" s="2"/>
      <c r="X225" s="2"/>
      <c r="Y225" s="2"/>
      <c r="Z225" s="2"/>
      <c r="AD225" s="7">
        <f t="shared" si="3"/>
      </c>
    </row>
    <row r="226" spans="9:30" x14ac:dyDescent="0.25">
      <c r="I226" s="2"/>
      <c r="P226" s="2"/>
      <c r="W226" s="2"/>
      <c r="X226" s="2"/>
      <c r="Y226" s="2"/>
      <c r="Z226" s="2"/>
      <c r="AD226" s="7">
        <f t="shared" si="3"/>
      </c>
    </row>
    <row r="227" spans="9:30" x14ac:dyDescent="0.25">
      <c r="I227" s="2"/>
      <c r="P227" s="2"/>
      <c r="W227" s="2"/>
      <c r="X227" s="2"/>
      <c r="Y227" s="2"/>
      <c r="Z227" s="2"/>
      <c r="AD227" s="7">
        <f t="shared" si="3"/>
      </c>
    </row>
    <row r="228" spans="9:30" x14ac:dyDescent="0.25">
      <c r="I228" s="2"/>
      <c r="P228" s="2"/>
      <c r="W228" s="2"/>
      <c r="X228" s="2"/>
      <c r="Y228" s="2"/>
      <c r="Z228" s="2"/>
      <c r="AD228" s="7">
        <f t="shared" si="3"/>
      </c>
    </row>
    <row r="229" spans="9:30" x14ac:dyDescent="0.25">
      <c r="I229" s="2"/>
      <c r="P229" s="2"/>
      <c r="W229" s="2"/>
      <c r="X229" s="2"/>
      <c r="Y229" s="2"/>
      <c r="Z229" s="2"/>
      <c r="AD229" s="7">
        <f t="shared" si="3"/>
      </c>
    </row>
    <row r="230" spans="9:30" x14ac:dyDescent="0.25">
      <c r="I230" s="2"/>
      <c r="P230" s="2"/>
      <c r="W230" s="2"/>
      <c r="X230" s="2"/>
      <c r="Y230" s="2"/>
      <c r="Z230" s="2"/>
      <c r="AD230" s="7">
        <f t="shared" si="3"/>
      </c>
    </row>
    <row r="231" spans="9:30" x14ac:dyDescent="0.25">
      <c r="I231" s="2"/>
      <c r="P231" s="2"/>
      <c r="W231" s="2"/>
      <c r="X231" s="2"/>
      <c r="Y231" s="2"/>
      <c r="Z231" s="2"/>
      <c r="AD231" s="7">
        <f t="shared" si="3"/>
      </c>
    </row>
    <row r="232" spans="9:30" x14ac:dyDescent="0.25">
      <c r="I232" s="2"/>
      <c r="P232" s="2"/>
      <c r="W232" s="2"/>
      <c r="X232" s="2"/>
      <c r="Y232" s="2"/>
      <c r="Z232" s="2"/>
      <c r="AD232" s="7">
        <f t="shared" si="3"/>
      </c>
    </row>
    <row r="233" spans="9:30" x14ac:dyDescent="0.25">
      <c r="I233" s="2"/>
      <c r="P233" s="2"/>
      <c r="W233" s="2"/>
      <c r="X233" s="2"/>
      <c r="Y233" s="2"/>
      <c r="Z233" s="2"/>
      <c r="AD233" s="7">
        <f t="shared" si="3"/>
      </c>
    </row>
    <row r="234" spans="9:30" x14ac:dyDescent="0.25">
      <c r="I234" s="2"/>
      <c r="P234" s="2"/>
      <c r="W234" s="2"/>
      <c r="X234" s="2"/>
      <c r="Y234" s="2"/>
      <c r="Z234" s="2"/>
      <c r="AD234" s="7">
        <f t="shared" si="3"/>
      </c>
    </row>
    <row r="235" spans="9:30" x14ac:dyDescent="0.25">
      <c r="I235" s="2"/>
      <c r="P235" s="2"/>
      <c r="W235" s="2"/>
      <c r="X235" s="2"/>
      <c r="Y235" s="2"/>
      <c r="Z235" s="2"/>
      <c r="AD235" s="7">
        <f t="shared" si="3"/>
      </c>
    </row>
    <row r="236" spans="9:30" x14ac:dyDescent="0.25">
      <c r="I236" s="2"/>
      <c r="P236" s="2"/>
      <c r="W236" s="2"/>
      <c r="X236" s="2"/>
      <c r="Y236" s="2"/>
      <c r="Z236" s="2"/>
      <c r="AD236" s="7">
        <f t="shared" si="3"/>
      </c>
    </row>
    <row r="237" spans="9:30" x14ac:dyDescent="0.25">
      <c r="I237" s="2"/>
      <c r="P237" s="2"/>
      <c r="W237" s="2"/>
      <c r="X237" s="2"/>
      <c r="Y237" s="2"/>
      <c r="Z237" s="2"/>
      <c r="AD237" s="7">
        <f t="shared" si="3"/>
      </c>
    </row>
    <row r="238" spans="9:30" x14ac:dyDescent="0.25">
      <c r="I238" s="2"/>
      <c r="P238" s="2"/>
      <c r="W238" s="2"/>
      <c r="X238" s="2"/>
      <c r="Y238" s="2"/>
      <c r="Z238" s="2"/>
      <c r="AD238" s="7">
        <f t="shared" si="3"/>
      </c>
    </row>
    <row r="239" spans="9:30" x14ac:dyDescent="0.25">
      <c r="I239" s="2"/>
      <c r="P239" s="2"/>
      <c r="W239" s="2"/>
      <c r="X239" s="2"/>
      <c r="Y239" s="2"/>
      <c r="Z239" s="2"/>
      <c r="AD239" s="7">
        <f t="shared" si="3"/>
      </c>
    </row>
    <row r="240" spans="9:30" x14ac:dyDescent="0.25">
      <c r="I240" s="2"/>
      <c r="P240" s="2"/>
      <c r="W240" s="2"/>
      <c r="X240" s="2"/>
      <c r="Y240" s="2"/>
      <c r="Z240" s="2"/>
      <c r="AD240" s="7">
        <f t="shared" si="3"/>
      </c>
    </row>
    <row r="241" spans="9:30" x14ac:dyDescent="0.25">
      <c r="I241" s="2"/>
      <c r="P241" s="2"/>
      <c r="W241" s="2"/>
      <c r="X241" s="2"/>
      <c r="Y241" s="2"/>
      <c r="Z241" s="2"/>
      <c r="AD241" s="7">
        <f t="shared" si="3"/>
      </c>
    </row>
    <row r="242" spans="9:30" x14ac:dyDescent="0.25">
      <c r="I242" s="2"/>
      <c r="P242" s="2"/>
      <c r="W242" s="2"/>
      <c r="X242" s="2"/>
      <c r="Y242" s="2"/>
      <c r="Z242" s="2"/>
      <c r="AD242" s="7">
        <f t="shared" si="3"/>
      </c>
    </row>
    <row r="243" spans="9:30" x14ac:dyDescent="0.25">
      <c r="I243" s="2"/>
      <c r="P243" s="2"/>
      <c r="W243" s="2"/>
      <c r="X243" s="2"/>
      <c r="Y243" s="2"/>
      <c r="Z243" s="2"/>
      <c r="AD243" s="7">
        <f t="shared" si="3"/>
      </c>
    </row>
    <row r="244" spans="9:30" x14ac:dyDescent="0.25">
      <c r="I244" s="2"/>
      <c r="P244" s="2"/>
      <c r="W244" s="2"/>
      <c r="X244" s="2"/>
      <c r="Y244" s="2"/>
      <c r="Z244" s="2"/>
      <c r="AD244" s="7">
        <f t="shared" si="3"/>
      </c>
    </row>
    <row r="245" spans="9:30" x14ac:dyDescent="0.25">
      <c r="I245" s="2"/>
      <c r="P245" s="2"/>
      <c r="W245" s="2"/>
      <c r="X245" s="2"/>
      <c r="Y245" s="2"/>
      <c r="Z245" s="2"/>
      <c r="AD245" s="7">
        <f t="shared" si="3"/>
      </c>
    </row>
    <row r="246" spans="9:30" x14ac:dyDescent="0.25">
      <c r="I246" s="2"/>
      <c r="P246" s="2"/>
      <c r="W246" s="2"/>
      <c r="X246" s="2"/>
      <c r="Y246" s="2"/>
      <c r="Z246" s="2"/>
      <c r="AD246" s="7">
        <f t="shared" si="3"/>
      </c>
    </row>
    <row r="247" spans="9:30" x14ac:dyDescent="0.25">
      <c r="I247" s="2"/>
      <c r="P247" s="2"/>
      <c r="W247" s="2"/>
      <c r="X247" s="2"/>
      <c r="Y247" s="2"/>
      <c r="Z247" s="2"/>
      <c r="AD247" s="7">
        <f t="shared" si="3"/>
      </c>
    </row>
    <row r="248" spans="9:30" x14ac:dyDescent="0.25">
      <c r="I248" s="2"/>
      <c r="P248" s="2"/>
      <c r="W248" s="2"/>
      <c r="X248" s="2"/>
      <c r="Y248" s="2"/>
      <c r="Z248" s="2"/>
      <c r="AD248" s="7">
        <f t="shared" si="3"/>
      </c>
    </row>
    <row r="249" spans="9:30" x14ac:dyDescent="0.25">
      <c r="I249" s="2"/>
      <c r="P249" s="2"/>
      <c r="W249" s="2"/>
      <c r="X249" s="2"/>
      <c r="Y249" s="2"/>
      <c r="Z249" s="2"/>
      <c r="AD249" s="7">
        <f t="shared" si="3"/>
      </c>
    </row>
    <row r="250" spans="9:30" x14ac:dyDescent="0.25">
      <c r="I250" s="2"/>
      <c r="P250" s="2"/>
      <c r="W250" s="2"/>
      <c r="X250" s="2"/>
      <c r="Y250" s="2"/>
      <c r="Z250" s="2"/>
      <c r="AD250" s="7">
        <f t="shared" si="3"/>
      </c>
    </row>
    <row r="251" spans="9:30" x14ac:dyDescent="0.25">
      <c r="I251" s="2"/>
      <c r="P251" s="2"/>
      <c r="W251" s="2"/>
      <c r="X251" s="2"/>
      <c r="Y251" s="2"/>
      <c r="Z251" s="2"/>
      <c r="AD251" s="7">
        <f t="shared" si="3"/>
      </c>
    </row>
    <row r="252" spans="9:30" x14ac:dyDescent="0.25">
      <c r="I252" s="2"/>
      <c r="P252" s="2"/>
      <c r="W252" s="2"/>
      <c r="X252" s="2"/>
      <c r="Y252" s="2"/>
      <c r="Z252" s="2"/>
      <c r="AD252" s="7">
        <f t="shared" si="3"/>
      </c>
    </row>
    <row r="253" spans="9:30" x14ac:dyDescent="0.25">
      <c r="I253" s="2"/>
      <c r="P253" s="2"/>
      <c r="W253" s="2"/>
      <c r="X253" s="2"/>
      <c r="Y253" s="2"/>
      <c r="Z253" s="2"/>
      <c r="AD253" s="7">
        <f t="shared" si="3"/>
      </c>
    </row>
    <row r="254" spans="9:30" x14ac:dyDescent="0.25">
      <c r="I254" s="2"/>
      <c r="P254" s="2"/>
      <c r="W254" s="2"/>
      <c r="X254" s="2"/>
      <c r="Y254" s="2"/>
      <c r="Z254" s="2"/>
      <c r="AD254" s="7">
        <f t="shared" si="3"/>
      </c>
    </row>
    <row r="255" spans="9:30" x14ac:dyDescent="0.25">
      <c r="I255" s="2"/>
      <c r="P255" s="2"/>
      <c r="W255" s="2"/>
      <c r="X255" s="2"/>
      <c r="Y255" s="2"/>
      <c r="Z255" s="2"/>
      <c r="AD255" s="7">
        <f t="shared" si="3"/>
      </c>
    </row>
    <row r="256" spans="9:30" x14ac:dyDescent="0.25">
      <c r="I256" s="2"/>
      <c r="P256" s="2"/>
      <c r="W256" s="2"/>
      <c r="X256" s="2"/>
      <c r="Y256" s="2"/>
      <c r="Z256" s="2"/>
      <c r="AD256" s="7">
        <f t="shared" si="3"/>
      </c>
    </row>
    <row r="257" spans="9:30" x14ac:dyDescent="0.25">
      <c r="I257" s="2"/>
      <c r="P257" s="2"/>
      <c r="W257" s="2"/>
      <c r="X257" s="2"/>
      <c r="Y257" s="2"/>
      <c r="Z257" s="2"/>
      <c r="AD257" s="7">
        <f t="shared" si="3"/>
      </c>
    </row>
    <row r="258" spans="9:30" x14ac:dyDescent="0.25">
      <c r="I258" s="2"/>
      <c r="P258" s="2"/>
      <c r="W258" s="2"/>
      <c r="X258" s="2"/>
      <c r="Y258" s="2"/>
      <c r="Z258" s="2"/>
      <c r="AD258" s="7">
        <f t="shared" si="3"/>
      </c>
    </row>
    <row r="259" spans="9:30" x14ac:dyDescent="0.25">
      <c r="I259" s="2"/>
      <c r="P259" s="2"/>
      <c r="W259" s="2"/>
      <c r="X259" s="2"/>
      <c r="Y259" s="2"/>
      <c r="Z259" s="2"/>
      <c r="AD259" s="7">
        <f t="shared" si="3"/>
      </c>
    </row>
    <row r="260" spans="9:30" x14ac:dyDescent="0.25">
      <c r="I260" s="2"/>
      <c r="P260" s="2"/>
      <c r="W260" s="2"/>
      <c r="X260" s="2"/>
      <c r="Y260" s="2"/>
      <c r="Z260" s="2"/>
      <c r="AD260" s="7">
        <f t="shared" si="3"/>
      </c>
    </row>
    <row r="261" spans="9:30" x14ac:dyDescent="0.25">
      <c r="I261" s="2"/>
      <c r="P261" s="2"/>
      <c r="W261" s="2"/>
      <c r="X261" s="2"/>
      <c r="Y261" s="2"/>
      <c r="Z261" s="2"/>
      <c r="AD261" s="7">
        <f t="shared" si="3"/>
      </c>
    </row>
    <row r="262" spans="9:30" x14ac:dyDescent="0.25">
      <c r="I262" s="2"/>
      <c r="P262" s="2"/>
      <c r="W262" s="2"/>
      <c r="X262" s="2"/>
      <c r="Y262" s="2"/>
      <c r="Z262" s="2"/>
      <c r="AD262" s="7">
        <f t="shared" si="3"/>
      </c>
    </row>
    <row r="263" spans="9:30" x14ac:dyDescent="0.25">
      <c r="I263" s="2"/>
      <c r="P263" s="2"/>
      <c r="W263" s="2"/>
      <c r="X263" s="2"/>
      <c r="Y263" s="2"/>
      <c r="Z263" s="2"/>
      <c r="AD263" s="7">
        <f t="shared" si="3"/>
      </c>
    </row>
    <row r="264" spans="9:30" x14ac:dyDescent="0.25">
      <c r="I264" s="2"/>
      <c r="P264" s="2"/>
      <c r="W264" s="2"/>
      <c r="X264" s="2"/>
      <c r="Y264" s="2"/>
      <c r="Z264" s="2"/>
      <c r="AD264" s="7">
        <f t="shared" si="3"/>
      </c>
    </row>
    <row r="265" spans="9:30" x14ac:dyDescent="0.25">
      <c r="I265" s="2"/>
      <c r="P265" s="2"/>
      <c r="W265" s="2"/>
      <c r="X265" s="2"/>
      <c r="Y265" s="2"/>
      <c r="Z265" s="2"/>
      <c r="AD265" s="7">
        <f t="shared" si="3"/>
      </c>
    </row>
    <row r="266" spans="9:30" x14ac:dyDescent="0.25">
      <c r="I266" s="2"/>
      <c r="P266" s="2"/>
      <c r="W266" s="2"/>
      <c r="X266" s="2"/>
      <c r="Y266" s="2"/>
      <c r="Z266" s="2"/>
      <c r="AD266" s="7">
        <f t="shared" ref="AD266:AD329" si="4">IF(P266 = "", "", Y266/P266)</f>
      </c>
    </row>
    <row r="267" spans="9:30" x14ac:dyDescent="0.25">
      <c r="I267" s="2"/>
      <c r="P267" s="2"/>
      <c r="W267" s="2"/>
      <c r="X267" s="2"/>
      <c r="Y267" s="2"/>
      <c r="Z267" s="2"/>
      <c r="AD267" s="7">
        <f t="shared" si="4"/>
      </c>
    </row>
    <row r="268" spans="9:30" x14ac:dyDescent="0.25">
      <c r="I268" s="2"/>
      <c r="P268" s="2"/>
      <c r="W268" s="2"/>
      <c r="X268" s="2"/>
      <c r="Y268" s="2"/>
      <c r="Z268" s="2"/>
      <c r="AD268" s="7">
        <f t="shared" si="4"/>
      </c>
    </row>
    <row r="269" spans="9:30" x14ac:dyDescent="0.25">
      <c r="I269" s="2"/>
      <c r="P269" s="2"/>
      <c r="W269" s="2"/>
      <c r="X269" s="2"/>
      <c r="Y269" s="2"/>
      <c r="Z269" s="2"/>
      <c r="AD269" s="7">
        <f t="shared" si="4"/>
      </c>
    </row>
    <row r="270" spans="9:30" x14ac:dyDescent="0.25">
      <c r="I270" s="2"/>
      <c r="P270" s="2"/>
      <c r="W270" s="2"/>
      <c r="X270" s="2"/>
      <c r="Y270" s="2"/>
      <c r="Z270" s="2"/>
      <c r="AD270" s="7">
        <f t="shared" si="4"/>
      </c>
    </row>
    <row r="271" spans="9:30" x14ac:dyDescent="0.25">
      <c r="I271" s="2"/>
      <c r="P271" s="2"/>
      <c r="W271" s="2"/>
      <c r="X271" s="2"/>
      <c r="Y271" s="2"/>
      <c r="Z271" s="2"/>
      <c r="AD271" s="7">
        <f t="shared" si="4"/>
      </c>
    </row>
    <row r="272" spans="9:30" x14ac:dyDescent="0.25">
      <c r="I272" s="2"/>
      <c r="P272" s="2"/>
      <c r="W272" s="2"/>
      <c r="X272" s="2"/>
      <c r="Y272" s="2"/>
      <c r="Z272" s="2"/>
      <c r="AD272" s="7">
        <f t="shared" si="4"/>
      </c>
    </row>
    <row r="273" spans="9:30" x14ac:dyDescent="0.25">
      <c r="I273" s="2"/>
      <c r="P273" s="2"/>
      <c r="W273" s="2"/>
      <c r="X273" s="2"/>
      <c r="Y273" s="2"/>
      <c r="Z273" s="2"/>
      <c r="AD273" s="7">
        <f t="shared" si="4"/>
      </c>
    </row>
    <row r="274" spans="9:30" x14ac:dyDescent="0.25">
      <c r="I274" s="2"/>
      <c r="P274" s="2"/>
      <c r="W274" s="2"/>
      <c r="X274" s="2"/>
      <c r="Y274" s="2"/>
      <c r="Z274" s="2"/>
      <c r="AD274" s="7">
        <f t="shared" si="4"/>
      </c>
    </row>
    <row r="275" spans="9:30" x14ac:dyDescent="0.25">
      <c r="I275" s="2"/>
      <c r="P275" s="2"/>
      <c r="W275" s="2"/>
      <c r="X275" s="2"/>
      <c r="Y275" s="2"/>
      <c r="Z275" s="2"/>
      <c r="AD275" s="7">
        <f t="shared" si="4"/>
      </c>
    </row>
    <row r="276" spans="9:30" x14ac:dyDescent="0.25">
      <c r="I276" s="2"/>
      <c r="P276" s="2"/>
      <c r="W276" s="2"/>
      <c r="X276" s="2"/>
      <c r="Y276" s="2"/>
      <c r="Z276" s="2"/>
      <c r="AD276" s="7">
        <f t="shared" si="4"/>
      </c>
    </row>
    <row r="277" spans="9:30" x14ac:dyDescent="0.25">
      <c r="I277" s="2"/>
      <c r="P277" s="2"/>
      <c r="W277" s="2"/>
      <c r="X277" s="2"/>
      <c r="Y277" s="2"/>
      <c r="Z277" s="2"/>
      <c r="AD277" s="7">
        <f t="shared" si="4"/>
      </c>
    </row>
    <row r="278" spans="9:30" x14ac:dyDescent="0.25">
      <c r="I278" s="2"/>
      <c r="P278" s="2"/>
      <c r="W278" s="2"/>
      <c r="X278" s="2"/>
      <c r="Y278" s="2"/>
      <c r="Z278" s="2"/>
      <c r="AD278" s="7">
        <f t="shared" si="4"/>
      </c>
    </row>
    <row r="279" spans="9:30" x14ac:dyDescent="0.25">
      <c r="I279" s="2"/>
      <c r="P279" s="2"/>
      <c r="W279" s="2"/>
      <c r="X279" s="2"/>
      <c r="Y279" s="2"/>
      <c r="Z279" s="2"/>
      <c r="AD279" s="7">
        <f t="shared" si="4"/>
      </c>
    </row>
    <row r="280" spans="9:30" x14ac:dyDescent="0.25">
      <c r="I280" s="2"/>
      <c r="P280" s="2"/>
      <c r="W280" s="2"/>
      <c r="X280" s="2"/>
      <c r="Y280" s="2"/>
      <c r="Z280" s="2"/>
      <c r="AD280" s="7">
        <f t="shared" si="4"/>
      </c>
    </row>
    <row r="281" spans="9:30" x14ac:dyDescent="0.25">
      <c r="I281" s="2"/>
      <c r="P281" s="2"/>
      <c r="W281" s="2"/>
      <c r="X281" s="2"/>
      <c r="Y281" s="2"/>
      <c r="Z281" s="2"/>
      <c r="AD281" s="7">
        <f t="shared" si="4"/>
      </c>
    </row>
    <row r="282" spans="9:30" x14ac:dyDescent="0.25">
      <c r="I282" s="2"/>
      <c r="P282" s="2"/>
      <c r="W282" s="2"/>
      <c r="X282" s="2"/>
      <c r="Y282" s="2"/>
      <c r="Z282" s="2"/>
      <c r="AD282" s="7">
        <f t="shared" si="4"/>
      </c>
    </row>
    <row r="283" spans="9:30" x14ac:dyDescent="0.25">
      <c r="I283" s="2"/>
      <c r="P283" s="2"/>
      <c r="W283" s="2"/>
      <c r="X283" s="2"/>
      <c r="Y283" s="2"/>
      <c r="Z283" s="2"/>
      <c r="AD283" s="7">
        <f t="shared" si="4"/>
      </c>
    </row>
    <row r="284" spans="9:30" x14ac:dyDescent="0.25">
      <c r="I284" s="2"/>
      <c r="P284" s="2"/>
      <c r="W284" s="2"/>
      <c r="X284" s="2"/>
      <c r="Y284" s="2"/>
      <c r="Z284" s="2"/>
      <c r="AD284" s="7">
        <f t="shared" si="4"/>
      </c>
    </row>
    <row r="285" spans="9:30" x14ac:dyDescent="0.25">
      <c r="I285" s="2"/>
      <c r="P285" s="2"/>
      <c r="W285" s="2"/>
      <c r="X285" s="2"/>
      <c r="Y285" s="2"/>
      <c r="Z285" s="2"/>
      <c r="AD285" s="7">
        <f t="shared" si="4"/>
      </c>
    </row>
    <row r="286" spans="9:30" x14ac:dyDescent="0.25">
      <c r="I286" s="2"/>
      <c r="P286" s="2"/>
      <c r="W286" s="2"/>
      <c r="X286" s="2"/>
      <c r="Y286" s="2"/>
      <c r="Z286" s="2"/>
      <c r="AD286" s="7">
        <f t="shared" si="4"/>
      </c>
    </row>
    <row r="287" spans="9:30" x14ac:dyDescent="0.25">
      <c r="I287" s="2"/>
      <c r="P287" s="2"/>
      <c r="W287" s="2"/>
      <c r="X287" s="2"/>
      <c r="Y287" s="2"/>
      <c r="Z287" s="2"/>
      <c r="AD287" s="7">
        <f t="shared" si="4"/>
      </c>
    </row>
    <row r="288" spans="9:30" x14ac:dyDescent="0.25">
      <c r="I288" s="2"/>
      <c r="P288" s="2"/>
      <c r="W288" s="2"/>
      <c r="X288" s="2"/>
      <c r="Y288" s="2"/>
      <c r="Z288" s="2"/>
      <c r="AD288" s="7">
        <f t="shared" si="4"/>
      </c>
    </row>
    <row r="289" spans="9:30" x14ac:dyDescent="0.25">
      <c r="I289" s="2"/>
      <c r="P289" s="2"/>
      <c r="W289" s="2"/>
      <c r="X289" s="2"/>
      <c r="Y289" s="2"/>
      <c r="Z289" s="2"/>
      <c r="AD289" s="7">
        <f t="shared" si="4"/>
      </c>
    </row>
    <row r="290" spans="9:30" x14ac:dyDescent="0.25">
      <c r="I290" s="2"/>
      <c r="P290" s="2"/>
      <c r="W290" s="2"/>
      <c r="X290" s="2"/>
      <c r="Y290" s="2"/>
      <c r="Z290" s="2"/>
      <c r="AD290" s="7">
        <f t="shared" si="4"/>
      </c>
    </row>
    <row r="291" spans="9:30" x14ac:dyDescent="0.25">
      <c r="I291" s="2"/>
      <c r="P291" s="2"/>
      <c r="W291" s="2"/>
      <c r="X291" s="2"/>
      <c r="Y291" s="2"/>
      <c r="Z291" s="2"/>
      <c r="AD291" s="7">
        <f t="shared" si="4"/>
      </c>
    </row>
    <row r="292" spans="9:30" x14ac:dyDescent="0.25">
      <c r="I292" s="2"/>
      <c r="P292" s="2"/>
      <c r="W292" s="2"/>
      <c r="X292" s="2"/>
      <c r="Y292" s="2"/>
      <c r="Z292" s="2"/>
      <c r="AD292" s="7">
        <f t="shared" si="4"/>
      </c>
    </row>
    <row r="293" spans="9:30" x14ac:dyDescent="0.25">
      <c r="I293" s="2"/>
      <c r="P293" s="2"/>
      <c r="W293" s="2"/>
      <c r="X293" s="2"/>
      <c r="Y293" s="2"/>
      <c r="Z293" s="2"/>
      <c r="AD293" s="7">
        <f t="shared" si="4"/>
      </c>
    </row>
    <row r="294" spans="9:30" x14ac:dyDescent="0.25">
      <c r="I294" s="2"/>
      <c r="P294" s="2"/>
      <c r="W294" s="2"/>
      <c r="X294" s="2"/>
      <c r="Y294" s="2"/>
      <c r="Z294" s="2"/>
      <c r="AD294" s="7">
        <f t="shared" si="4"/>
      </c>
    </row>
    <row r="295" spans="9:30" x14ac:dyDescent="0.25">
      <c r="I295" s="2"/>
      <c r="P295" s="2"/>
      <c r="W295" s="2"/>
      <c r="X295" s="2"/>
      <c r="Y295" s="2"/>
      <c r="Z295" s="2"/>
      <c r="AD295" s="7">
        <f t="shared" si="4"/>
      </c>
    </row>
    <row r="296" spans="9:30" x14ac:dyDescent="0.25">
      <c r="I296" s="2"/>
      <c r="P296" s="2"/>
      <c r="W296" s="2"/>
      <c r="X296" s="2"/>
      <c r="Y296" s="2"/>
      <c r="Z296" s="2"/>
      <c r="AD296" s="7">
        <f t="shared" si="4"/>
      </c>
    </row>
    <row r="297" spans="9:30" x14ac:dyDescent="0.25">
      <c r="I297" s="2"/>
      <c r="P297" s="2"/>
      <c r="W297" s="2"/>
      <c r="X297" s="2"/>
      <c r="Y297" s="2"/>
      <c r="Z297" s="2"/>
      <c r="AD297" s="7">
        <f t="shared" si="4"/>
      </c>
    </row>
    <row r="298" spans="9:30" x14ac:dyDescent="0.25">
      <c r="I298" s="2"/>
      <c r="P298" s="2"/>
      <c r="W298" s="2"/>
      <c r="X298" s="2"/>
      <c r="Y298" s="2"/>
      <c r="Z298" s="2"/>
      <c r="AD298" s="7">
        <f t="shared" si="4"/>
      </c>
    </row>
    <row r="299" spans="9:30" x14ac:dyDescent="0.25">
      <c r="I299" s="2"/>
      <c r="P299" s="2"/>
      <c r="W299" s="2"/>
      <c r="X299" s="2"/>
      <c r="Y299" s="2"/>
      <c r="Z299" s="2"/>
      <c r="AD299" s="7">
        <f t="shared" si="4"/>
      </c>
    </row>
    <row r="300" spans="9:30" x14ac:dyDescent="0.25">
      <c r="I300" s="2"/>
      <c r="P300" s="2"/>
      <c r="W300" s="2"/>
      <c r="X300" s="2"/>
      <c r="Y300" s="2"/>
      <c r="Z300" s="2"/>
      <c r="AD300" s="7">
        <f t="shared" si="4"/>
      </c>
    </row>
    <row r="301" spans="9:30" x14ac:dyDescent="0.25">
      <c r="I301" s="2"/>
      <c r="P301" s="2"/>
      <c r="W301" s="2"/>
      <c r="X301" s="2"/>
      <c r="Y301" s="2"/>
      <c r="Z301" s="2"/>
      <c r="AD301" s="7">
        <f t="shared" si="4"/>
      </c>
    </row>
    <row r="302" spans="9:30" x14ac:dyDescent="0.25">
      <c r="I302" s="2"/>
      <c r="P302" s="2"/>
      <c r="W302" s="2"/>
      <c r="X302" s="2"/>
      <c r="Y302" s="2"/>
      <c r="Z302" s="2"/>
      <c r="AD302" s="7">
        <f t="shared" si="4"/>
      </c>
    </row>
    <row r="303" spans="9:30" x14ac:dyDescent="0.25">
      <c r="I303" s="2"/>
      <c r="P303" s="2"/>
      <c r="W303" s="2"/>
      <c r="X303" s="2"/>
      <c r="Y303" s="2"/>
      <c r="Z303" s="2"/>
      <c r="AD303" s="7">
        <f t="shared" si="4"/>
      </c>
    </row>
    <row r="304" spans="9:30" x14ac:dyDescent="0.25">
      <c r="I304" s="2"/>
      <c r="P304" s="2"/>
      <c r="W304" s="2"/>
      <c r="X304" s="2"/>
      <c r="Y304" s="2"/>
      <c r="Z304" s="2"/>
      <c r="AD304" s="7">
        <f t="shared" si="4"/>
      </c>
    </row>
    <row r="305" spans="9:30" x14ac:dyDescent="0.25">
      <c r="I305" s="2"/>
      <c r="P305" s="2"/>
      <c r="W305" s="2"/>
      <c r="X305" s="2"/>
      <c r="Y305" s="2"/>
      <c r="Z305" s="2"/>
      <c r="AD305" s="7">
        <f t="shared" si="4"/>
      </c>
    </row>
    <row r="306" spans="9:30" x14ac:dyDescent="0.25">
      <c r="I306" s="2"/>
      <c r="P306" s="2"/>
      <c r="W306" s="2"/>
      <c r="X306" s="2"/>
      <c r="Y306" s="2"/>
      <c r="Z306" s="2"/>
      <c r="AD306" s="7">
        <f t="shared" si="4"/>
      </c>
    </row>
    <row r="307" spans="9:30" x14ac:dyDescent="0.25">
      <c r="I307" s="2"/>
      <c r="P307" s="2"/>
      <c r="W307" s="2"/>
      <c r="X307" s="2"/>
      <c r="Y307" s="2"/>
      <c r="Z307" s="2"/>
      <c r="AD307" s="7">
        <f t="shared" si="4"/>
      </c>
    </row>
    <row r="308" spans="9:30" x14ac:dyDescent="0.25">
      <c r="I308" s="2"/>
      <c r="P308" s="2"/>
      <c r="W308" s="2"/>
      <c r="X308" s="2"/>
      <c r="Y308" s="2"/>
      <c r="Z308" s="2"/>
      <c r="AD308" s="7">
        <f t="shared" si="4"/>
      </c>
    </row>
    <row r="309" spans="9:30" x14ac:dyDescent="0.25">
      <c r="I309" s="2"/>
      <c r="P309" s="2"/>
      <c r="W309" s="2"/>
      <c r="X309" s="2"/>
      <c r="Y309" s="2"/>
      <c r="Z309" s="2"/>
      <c r="AD309" s="7">
        <f t="shared" si="4"/>
      </c>
    </row>
    <row r="310" spans="9:30" x14ac:dyDescent="0.25">
      <c r="I310" s="2"/>
      <c r="P310" s="2"/>
      <c r="W310" s="2"/>
      <c r="X310" s="2"/>
      <c r="Y310" s="2"/>
      <c r="Z310" s="2"/>
      <c r="AD310" s="7">
        <f t="shared" si="4"/>
      </c>
    </row>
    <row r="311" spans="9:30" x14ac:dyDescent="0.25">
      <c r="I311" s="2"/>
      <c r="P311" s="2"/>
      <c r="W311" s="2"/>
      <c r="X311" s="2"/>
      <c r="Y311" s="2"/>
      <c r="Z311" s="2"/>
      <c r="AD311" s="7">
        <f t="shared" si="4"/>
      </c>
    </row>
    <row r="312" spans="9:30" x14ac:dyDescent="0.25">
      <c r="I312" s="2"/>
      <c r="P312" s="2"/>
      <c r="W312" s="2"/>
      <c r="X312" s="2"/>
      <c r="Y312" s="2"/>
      <c r="Z312" s="2"/>
      <c r="AD312" s="7">
        <f t="shared" si="4"/>
      </c>
    </row>
    <row r="313" spans="9:30" x14ac:dyDescent="0.25">
      <c r="I313" s="2"/>
      <c r="P313" s="2"/>
      <c r="W313" s="2"/>
      <c r="X313" s="2"/>
      <c r="Y313" s="2"/>
      <c r="Z313" s="2"/>
      <c r="AD313" s="7">
        <f t="shared" si="4"/>
      </c>
    </row>
    <row r="314" spans="9:30" x14ac:dyDescent="0.25">
      <c r="I314" s="2"/>
      <c r="P314" s="2"/>
      <c r="W314" s="2"/>
      <c r="X314" s="2"/>
      <c r="Y314" s="2"/>
      <c r="Z314" s="2"/>
      <c r="AD314" s="7">
        <f t="shared" si="4"/>
      </c>
    </row>
    <row r="315" spans="9:30" x14ac:dyDescent="0.25">
      <c r="I315" s="2"/>
      <c r="P315" s="2"/>
      <c r="W315" s="2"/>
      <c r="X315" s="2"/>
      <c r="Y315" s="2"/>
      <c r="Z315" s="2"/>
      <c r="AD315" s="7">
        <f t="shared" si="4"/>
      </c>
    </row>
    <row r="316" spans="9:30" x14ac:dyDescent="0.25">
      <c r="I316" s="2"/>
      <c r="P316" s="2"/>
      <c r="W316" s="2"/>
      <c r="X316" s="2"/>
      <c r="Y316" s="2"/>
      <c r="Z316" s="2"/>
      <c r="AD316" s="7">
        <f t="shared" si="4"/>
      </c>
    </row>
    <row r="317" spans="9:30" x14ac:dyDescent="0.25">
      <c r="I317" s="2"/>
      <c r="P317" s="2"/>
      <c r="W317" s="2"/>
      <c r="X317" s="2"/>
      <c r="Y317" s="2"/>
      <c r="Z317" s="2"/>
      <c r="AD317" s="7">
        <f t="shared" si="4"/>
      </c>
    </row>
    <row r="318" spans="9:30" x14ac:dyDescent="0.25">
      <c r="I318" s="2"/>
      <c r="P318" s="2"/>
      <c r="W318" s="2"/>
      <c r="X318" s="2"/>
      <c r="Y318" s="2"/>
      <c r="Z318" s="2"/>
      <c r="AD318" s="7">
        <f t="shared" si="4"/>
      </c>
    </row>
    <row r="319" spans="9:30" x14ac:dyDescent="0.25">
      <c r="I319" s="2"/>
      <c r="P319" s="2"/>
      <c r="W319" s="2"/>
      <c r="X319" s="2"/>
      <c r="Y319" s="2"/>
      <c r="Z319" s="2"/>
      <c r="AD319" s="7">
        <f t="shared" si="4"/>
      </c>
    </row>
    <row r="320" spans="9:30" x14ac:dyDescent="0.25">
      <c r="I320" s="2"/>
      <c r="P320" s="2"/>
      <c r="W320" s="2"/>
      <c r="X320" s="2"/>
      <c r="Y320" s="2"/>
      <c r="Z320" s="2"/>
      <c r="AD320" s="7">
        <f t="shared" si="4"/>
      </c>
    </row>
    <row r="321" spans="9:30" x14ac:dyDescent="0.25">
      <c r="I321" s="2"/>
      <c r="P321" s="2"/>
      <c r="W321" s="2"/>
      <c r="X321" s="2"/>
      <c r="Y321" s="2"/>
      <c r="Z321" s="2"/>
      <c r="AD321" s="7">
        <f t="shared" si="4"/>
      </c>
    </row>
    <row r="322" spans="9:30" x14ac:dyDescent="0.25">
      <c r="I322" s="2"/>
      <c r="P322" s="2"/>
      <c r="W322" s="2"/>
      <c r="X322" s="2"/>
      <c r="Y322" s="2"/>
      <c r="Z322" s="2"/>
      <c r="AD322" s="7">
        <f t="shared" si="4"/>
      </c>
    </row>
    <row r="323" spans="9:30" x14ac:dyDescent="0.25">
      <c r="I323" s="2"/>
      <c r="P323" s="2"/>
      <c r="W323" s="2"/>
      <c r="X323" s="2"/>
      <c r="Y323" s="2"/>
      <c r="Z323" s="2"/>
      <c r="AD323" s="7">
        <f t="shared" si="4"/>
      </c>
    </row>
    <row r="324" spans="9:30" x14ac:dyDescent="0.25">
      <c r="I324" s="2"/>
      <c r="P324" s="2"/>
      <c r="W324" s="2"/>
      <c r="X324" s="2"/>
      <c r="Y324" s="2"/>
      <c r="Z324" s="2"/>
      <c r="AD324" s="7">
        <f t="shared" si="4"/>
      </c>
    </row>
    <row r="325" spans="9:30" x14ac:dyDescent="0.25">
      <c r="I325" s="2"/>
      <c r="P325" s="2"/>
      <c r="W325" s="2"/>
      <c r="X325" s="2"/>
      <c r="Y325" s="2"/>
      <c r="Z325" s="2"/>
      <c r="AD325" s="7">
        <f t="shared" si="4"/>
      </c>
    </row>
    <row r="326" spans="9:30" x14ac:dyDescent="0.25">
      <c r="I326" s="2"/>
      <c r="P326" s="2"/>
      <c r="W326" s="2"/>
      <c r="X326" s="2"/>
      <c r="Y326" s="2"/>
      <c r="Z326" s="2"/>
      <c r="AD326" s="7">
        <f t="shared" si="4"/>
      </c>
    </row>
    <row r="327" spans="9:30" x14ac:dyDescent="0.25">
      <c r="I327" s="2"/>
      <c r="P327" s="2"/>
      <c r="W327" s="2"/>
      <c r="X327" s="2"/>
      <c r="Y327" s="2"/>
      <c r="Z327" s="2"/>
      <c r="AD327" s="7">
        <f t="shared" si="4"/>
      </c>
    </row>
    <row r="328" spans="9:30" x14ac:dyDescent="0.25">
      <c r="I328" s="2"/>
      <c r="P328" s="2"/>
      <c r="W328" s="2"/>
      <c r="X328" s="2"/>
      <c r="Y328" s="2"/>
      <c r="Z328" s="2"/>
      <c r="AD328" s="7">
        <f t="shared" si="4"/>
      </c>
    </row>
    <row r="329" spans="9:30" x14ac:dyDescent="0.25">
      <c r="I329" s="2"/>
      <c r="P329" s="2"/>
      <c r="W329" s="2"/>
      <c r="X329" s="2"/>
      <c r="Y329" s="2"/>
      <c r="Z329" s="2"/>
      <c r="AD329" s="7">
        <f t="shared" si="4"/>
      </c>
    </row>
    <row r="330" spans="9:30" x14ac:dyDescent="0.25">
      <c r="I330" s="2"/>
      <c r="P330" s="2"/>
      <c r="W330" s="2"/>
      <c r="X330" s="2"/>
      <c r="Y330" s="2"/>
      <c r="Z330" s="2"/>
      <c r="AD330" s="7">
        <f t="shared" ref="AD330:AD393" si="5">IF(P330 = "", "", Y330/P330)</f>
      </c>
    </row>
    <row r="331" spans="9:30" x14ac:dyDescent="0.25">
      <c r="I331" s="2"/>
      <c r="P331" s="2"/>
      <c r="W331" s="2"/>
      <c r="X331" s="2"/>
      <c r="Y331" s="2"/>
      <c r="Z331" s="2"/>
      <c r="AD331" s="7">
        <f t="shared" si="5"/>
      </c>
    </row>
    <row r="332" spans="9:30" x14ac:dyDescent="0.25">
      <c r="I332" s="2"/>
      <c r="P332" s="2"/>
      <c r="W332" s="2"/>
      <c r="X332" s="2"/>
      <c r="Y332" s="2"/>
      <c r="Z332" s="2"/>
      <c r="AD332" s="7">
        <f t="shared" si="5"/>
      </c>
    </row>
    <row r="333" spans="9:30" x14ac:dyDescent="0.25">
      <c r="I333" s="2"/>
      <c r="P333" s="2"/>
      <c r="W333" s="2"/>
      <c r="X333" s="2"/>
      <c r="Y333" s="2"/>
      <c r="Z333" s="2"/>
      <c r="AD333" s="7">
        <f t="shared" si="5"/>
      </c>
    </row>
    <row r="334" spans="9:30" x14ac:dyDescent="0.25">
      <c r="I334" s="2"/>
      <c r="P334" s="2"/>
      <c r="W334" s="2"/>
      <c r="X334" s="2"/>
      <c r="Y334" s="2"/>
      <c r="Z334" s="2"/>
      <c r="AD334" s="7">
        <f t="shared" si="5"/>
      </c>
    </row>
    <row r="335" spans="9:30" x14ac:dyDescent="0.25">
      <c r="I335" s="2"/>
      <c r="P335" s="2"/>
      <c r="W335" s="2"/>
      <c r="X335" s="2"/>
      <c r="Y335" s="2"/>
      <c r="Z335" s="2"/>
      <c r="AD335" s="7">
        <f t="shared" si="5"/>
      </c>
    </row>
    <row r="336" spans="9:30" x14ac:dyDescent="0.25">
      <c r="I336" s="2"/>
      <c r="P336" s="2"/>
      <c r="W336" s="2"/>
      <c r="X336" s="2"/>
      <c r="Y336" s="2"/>
      <c r="Z336" s="2"/>
      <c r="AD336" s="7">
        <f t="shared" si="5"/>
      </c>
    </row>
    <row r="337" spans="9:30" x14ac:dyDescent="0.25">
      <c r="I337" s="2"/>
      <c r="P337" s="2"/>
      <c r="W337" s="2"/>
      <c r="X337" s="2"/>
      <c r="Y337" s="2"/>
      <c r="Z337" s="2"/>
      <c r="AD337" s="7">
        <f t="shared" si="5"/>
      </c>
    </row>
    <row r="338" spans="9:30" x14ac:dyDescent="0.25">
      <c r="I338" s="2"/>
      <c r="P338" s="2"/>
      <c r="W338" s="2"/>
      <c r="X338" s="2"/>
      <c r="Y338" s="2"/>
      <c r="Z338" s="2"/>
      <c r="AD338" s="7">
        <f t="shared" si="5"/>
      </c>
    </row>
    <row r="339" spans="9:30" x14ac:dyDescent="0.25">
      <c r="I339" s="2"/>
      <c r="P339" s="2"/>
      <c r="W339" s="2"/>
      <c r="X339" s="2"/>
      <c r="Y339" s="2"/>
      <c r="Z339" s="2"/>
      <c r="AD339" s="7">
        <f t="shared" si="5"/>
      </c>
    </row>
    <row r="340" spans="9:30" x14ac:dyDescent="0.25">
      <c r="I340" s="2"/>
      <c r="P340" s="2"/>
      <c r="W340" s="2"/>
      <c r="X340" s="2"/>
      <c r="Y340" s="2"/>
      <c r="Z340" s="2"/>
      <c r="AD340" s="7">
        <f t="shared" si="5"/>
      </c>
    </row>
    <row r="341" spans="9:30" x14ac:dyDescent="0.25">
      <c r="I341" s="2"/>
      <c r="P341" s="2"/>
      <c r="W341" s="2"/>
      <c r="X341" s="2"/>
      <c r="Y341" s="2"/>
      <c r="Z341" s="2"/>
      <c r="AD341" s="7">
        <f t="shared" si="5"/>
      </c>
    </row>
    <row r="342" spans="9:30" x14ac:dyDescent="0.25">
      <c r="I342" s="2"/>
      <c r="P342" s="2"/>
      <c r="W342" s="2"/>
      <c r="X342" s="2"/>
      <c r="Y342" s="2"/>
      <c r="Z342" s="2"/>
      <c r="AD342" s="7">
        <f t="shared" si="5"/>
      </c>
    </row>
    <row r="343" spans="9:30" x14ac:dyDescent="0.25">
      <c r="I343" s="2"/>
      <c r="P343" s="2"/>
      <c r="W343" s="2"/>
      <c r="X343" s="2"/>
      <c r="Y343" s="2"/>
      <c r="Z343" s="2"/>
      <c r="AD343" s="7">
        <f t="shared" si="5"/>
      </c>
    </row>
    <row r="344" spans="9:30" x14ac:dyDescent="0.25">
      <c r="I344" s="2"/>
      <c r="P344" s="2"/>
      <c r="W344" s="2"/>
      <c r="X344" s="2"/>
      <c r="Y344" s="2"/>
      <c r="Z344" s="2"/>
      <c r="AD344" s="7">
        <f t="shared" si="5"/>
      </c>
    </row>
    <row r="345" spans="9:30" x14ac:dyDescent="0.25">
      <c r="I345" s="2"/>
      <c r="P345" s="2"/>
      <c r="W345" s="2"/>
      <c r="X345" s="2"/>
      <c r="Y345" s="2"/>
      <c r="Z345" s="2"/>
      <c r="AD345" s="7">
        <f t="shared" si="5"/>
      </c>
    </row>
    <row r="346" spans="9:30" x14ac:dyDescent="0.25">
      <c r="I346" s="2"/>
      <c r="P346" s="2"/>
      <c r="W346" s="2"/>
      <c r="X346" s="2"/>
      <c r="Y346" s="2"/>
      <c r="Z346" s="2"/>
      <c r="AD346" s="7">
        <f t="shared" si="5"/>
      </c>
    </row>
    <row r="347" spans="9:30" x14ac:dyDescent="0.25">
      <c r="I347" s="2"/>
      <c r="P347" s="2"/>
      <c r="W347" s="2"/>
      <c r="X347" s="2"/>
      <c r="Y347" s="2"/>
      <c r="Z347" s="2"/>
      <c r="AD347" s="7">
        <f t="shared" si="5"/>
      </c>
    </row>
    <row r="348" spans="9:30" x14ac:dyDescent="0.25">
      <c r="I348" s="2"/>
      <c r="P348" s="2"/>
      <c r="W348" s="2"/>
      <c r="X348" s="2"/>
      <c r="Y348" s="2"/>
      <c r="Z348" s="2"/>
      <c r="AD348" s="7">
        <f t="shared" si="5"/>
      </c>
    </row>
    <row r="349" spans="9:30" x14ac:dyDescent="0.25">
      <c r="I349" s="2"/>
      <c r="P349" s="2"/>
      <c r="W349" s="2"/>
      <c r="X349" s="2"/>
      <c r="Y349" s="2"/>
      <c r="Z349" s="2"/>
      <c r="AD349" s="7">
        <f t="shared" si="5"/>
      </c>
    </row>
    <row r="350" spans="9:30" x14ac:dyDescent="0.25">
      <c r="I350" s="2"/>
      <c r="P350" s="2"/>
      <c r="W350" s="2"/>
      <c r="X350" s="2"/>
      <c r="Y350" s="2"/>
      <c r="Z350" s="2"/>
      <c r="AD350" s="7">
        <f t="shared" si="5"/>
      </c>
    </row>
    <row r="351" spans="9:30" x14ac:dyDescent="0.25">
      <c r="I351" s="2"/>
      <c r="P351" s="2"/>
      <c r="W351" s="2"/>
      <c r="X351" s="2"/>
      <c r="Y351" s="2"/>
      <c r="Z351" s="2"/>
      <c r="AD351" s="7">
        <f t="shared" si="5"/>
      </c>
    </row>
    <row r="352" spans="9:30" x14ac:dyDescent="0.25">
      <c r="I352" s="2"/>
      <c r="P352" s="2"/>
      <c r="W352" s="2"/>
      <c r="X352" s="2"/>
      <c r="Y352" s="2"/>
      <c r="Z352" s="2"/>
      <c r="AD352" s="7">
        <f t="shared" si="5"/>
      </c>
    </row>
    <row r="353" spans="9:30" x14ac:dyDescent="0.25">
      <c r="I353" s="2"/>
      <c r="P353" s="2"/>
      <c r="W353" s="2"/>
      <c r="X353" s="2"/>
      <c r="Y353" s="2"/>
      <c r="Z353" s="2"/>
      <c r="AD353" s="7">
        <f t="shared" si="5"/>
      </c>
    </row>
    <row r="354" spans="9:30" x14ac:dyDescent="0.25">
      <c r="I354" s="2"/>
      <c r="P354" s="2"/>
      <c r="W354" s="2"/>
      <c r="X354" s="2"/>
      <c r="Y354" s="2"/>
      <c r="Z354" s="2"/>
      <c r="AD354" s="7">
        <f t="shared" si="5"/>
      </c>
    </row>
    <row r="355" spans="9:30" x14ac:dyDescent="0.25">
      <c r="I355" s="2"/>
      <c r="P355" s="2"/>
      <c r="W355" s="2"/>
      <c r="X355" s="2"/>
      <c r="Y355" s="2"/>
      <c r="Z355" s="2"/>
      <c r="AD355" s="7">
        <f t="shared" si="5"/>
      </c>
    </row>
    <row r="356" spans="9:30" x14ac:dyDescent="0.25">
      <c r="I356" s="2"/>
      <c r="P356" s="2"/>
      <c r="W356" s="2"/>
      <c r="X356" s="2"/>
      <c r="Y356" s="2"/>
      <c r="Z356" s="2"/>
      <c r="AD356" s="7">
        <f t="shared" si="5"/>
      </c>
    </row>
    <row r="357" spans="9:30" x14ac:dyDescent="0.25">
      <c r="I357" s="2"/>
      <c r="P357" s="2"/>
      <c r="W357" s="2"/>
      <c r="X357" s="2"/>
      <c r="Y357" s="2"/>
      <c r="Z357" s="2"/>
      <c r="AD357" s="7">
        <f t="shared" si="5"/>
      </c>
    </row>
    <row r="358" spans="9:30" x14ac:dyDescent="0.25">
      <c r="I358" s="2"/>
      <c r="P358" s="2"/>
      <c r="W358" s="2"/>
      <c r="X358" s="2"/>
      <c r="Y358" s="2"/>
      <c r="Z358" s="2"/>
      <c r="AD358" s="7">
        <f t="shared" si="5"/>
      </c>
    </row>
    <row r="359" spans="9:30" x14ac:dyDescent="0.25">
      <c r="I359" s="2"/>
      <c r="P359" s="2"/>
      <c r="W359" s="2"/>
      <c r="X359" s="2"/>
      <c r="Y359" s="2"/>
      <c r="Z359" s="2"/>
      <c r="AD359" s="7">
        <f t="shared" si="5"/>
      </c>
    </row>
    <row r="360" spans="9:30" x14ac:dyDescent="0.25">
      <c r="I360" s="2"/>
      <c r="P360" s="2"/>
      <c r="W360" s="2"/>
      <c r="X360" s="2"/>
      <c r="Y360" s="2"/>
      <c r="Z360" s="2"/>
      <c r="AD360" s="7">
        <f t="shared" si="5"/>
      </c>
    </row>
    <row r="361" spans="9:30" x14ac:dyDescent="0.25">
      <c r="I361" s="2"/>
      <c r="P361" s="2"/>
      <c r="W361" s="2"/>
      <c r="X361" s="2"/>
      <c r="Y361" s="2"/>
      <c r="Z361" s="2"/>
      <c r="AD361" s="7">
        <f t="shared" si="5"/>
      </c>
    </row>
    <row r="362" spans="9:30" x14ac:dyDescent="0.25">
      <c r="I362" s="2"/>
      <c r="P362" s="2"/>
      <c r="W362" s="2"/>
      <c r="X362" s="2"/>
      <c r="Y362" s="2"/>
      <c r="Z362" s="2"/>
      <c r="AD362" s="7">
        <f t="shared" si="5"/>
      </c>
    </row>
    <row r="363" spans="9:30" x14ac:dyDescent="0.25">
      <c r="I363" s="2"/>
      <c r="P363" s="2"/>
      <c r="W363" s="2"/>
      <c r="X363" s="2"/>
      <c r="Y363" s="2"/>
      <c r="Z363" s="2"/>
      <c r="AD363" s="7">
        <f t="shared" si="5"/>
      </c>
    </row>
    <row r="364" spans="9:30" x14ac:dyDescent="0.25">
      <c r="I364" s="2"/>
      <c r="P364" s="2"/>
      <c r="W364" s="2"/>
      <c r="X364" s="2"/>
      <c r="Y364" s="2"/>
      <c r="Z364" s="2"/>
      <c r="AD364" s="7">
        <f t="shared" si="5"/>
      </c>
    </row>
    <row r="365" spans="9:30" x14ac:dyDescent="0.25">
      <c r="I365" s="2"/>
      <c r="P365" s="2"/>
      <c r="W365" s="2"/>
      <c r="X365" s="2"/>
      <c r="Y365" s="2"/>
      <c r="Z365" s="2"/>
      <c r="AD365" s="7">
        <f t="shared" si="5"/>
      </c>
    </row>
    <row r="366" spans="9:30" x14ac:dyDescent="0.25">
      <c r="I366" s="2"/>
      <c r="P366" s="2"/>
      <c r="W366" s="2"/>
      <c r="X366" s="2"/>
      <c r="Y366" s="2"/>
      <c r="Z366" s="2"/>
      <c r="AD366" s="7">
        <f t="shared" si="5"/>
      </c>
    </row>
    <row r="367" spans="9:30" x14ac:dyDescent="0.25">
      <c r="I367" s="2"/>
      <c r="P367" s="2"/>
      <c r="W367" s="2"/>
      <c r="X367" s="2"/>
      <c r="Y367" s="2"/>
      <c r="Z367" s="2"/>
      <c r="AD367" s="7">
        <f t="shared" si="5"/>
      </c>
    </row>
    <row r="368" spans="9:30" x14ac:dyDescent="0.25">
      <c r="I368" s="2"/>
      <c r="P368" s="2"/>
      <c r="W368" s="2"/>
      <c r="X368" s="2"/>
      <c r="Y368" s="2"/>
      <c r="Z368" s="2"/>
      <c r="AD368" s="7">
        <f t="shared" si="5"/>
      </c>
    </row>
    <row r="369" spans="9:30" x14ac:dyDescent="0.25">
      <c r="I369" s="2"/>
      <c r="P369" s="2"/>
      <c r="W369" s="2"/>
      <c r="X369" s="2"/>
      <c r="Y369" s="2"/>
      <c r="Z369" s="2"/>
      <c r="AD369" s="7">
        <f t="shared" si="5"/>
      </c>
    </row>
    <row r="370" spans="9:30" x14ac:dyDescent="0.25">
      <c r="I370" s="2"/>
      <c r="P370" s="2"/>
      <c r="W370" s="2"/>
      <c r="X370" s="2"/>
      <c r="Y370" s="2"/>
      <c r="Z370" s="2"/>
      <c r="AD370" s="7">
        <f t="shared" si="5"/>
      </c>
    </row>
    <row r="371" spans="9:30" x14ac:dyDescent="0.25">
      <c r="I371" s="2"/>
      <c r="P371" s="2"/>
      <c r="W371" s="2"/>
      <c r="X371" s="2"/>
      <c r="Y371" s="2"/>
      <c r="Z371" s="2"/>
      <c r="AD371" s="7">
        <f t="shared" si="5"/>
      </c>
    </row>
    <row r="372" spans="9:30" x14ac:dyDescent="0.25">
      <c r="I372" s="2"/>
      <c r="P372" s="2"/>
      <c r="W372" s="2"/>
      <c r="X372" s="2"/>
      <c r="Y372" s="2"/>
      <c r="Z372" s="2"/>
      <c r="AD372" s="7">
        <f t="shared" si="5"/>
      </c>
    </row>
    <row r="373" spans="9:30" x14ac:dyDescent="0.25">
      <c r="I373" s="2"/>
      <c r="P373" s="2"/>
      <c r="W373" s="2"/>
      <c r="X373" s="2"/>
      <c r="Y373" s="2"/>
      <c r="Z373" s="2"/>
      <c r="AD373" s="7">
        <f t="shared" si="5"/>
      </c>
    </row>
    <row r="374" spans="9:30" x14ac:dyDescent="0.25">
      <c r="I374" s="2"/>
      <c r="P374" s="2"/>
      <c r="W374" s="2"/>
      <c r="X374" s="2"/>
      <c r="Y374" s="2"/>
      <c r="Z374" s="2"/>
      <c r="AD374" s="7">
        <f t="shared" si="5"/>
      </c>
    </row>
    <row r="375" spans="9:30" x14ac:dyDescent="0.25">
      <c r="I375" s="2"/>
      <c r="P375" s="2"/>
      <c r="W375" s="2"/>
      <c r="X375" s="2"/>
      <c r="Y375" s="2"/>
      <c r="Z375" s="2"/>
      <c r="AD375" s="7">
        <f t="shared" si="5"/>
      </c>
    </row>
    <row r="376" spans="9:30" x14ac:dyDescent="0.25">
      <c r="I376" s="2"/>
      <c r="P376" s="2"/>
      <c r="W376" s="2"/>
      <c r="X376" s="2"/>
      <c r="Y376" s="2"/>
      <c r="Z376" s="2"/>
      <c r="AD376" s="7">
        <f t="shared" si="5"/>
      </c>
    </row>
    <row r="377" spans="9:30" x14ac:dyDescent="0.25">
      <c r="I377" s="2"/>
      <c r="P377" s="2"/>
      <c r="W377" s="2"/>
      <c r="X377" s="2"/>
      <c r="Y377" s="2"/>
      <c r="Z377" s="2"/>
      <c r="AD377" s="7">
        <f t="shared" si="5"/>
      </c>
    </row>
    <row r="378" spans="9:30" x14ac:dyDescent="0.25">
      <c r="I378" s="2"/>
      <c r="P378" s="2"/>
      <c r="W378" s="2"/>
      <c r="X378" s="2"/>
      <c r="Y378" s="2"/>
      <c r="Z378" s="2"/>
      <c r="AD378" s="7">
        <f t="shared" si="5"/>
      </c>
    </row>
    <row r="379" spans="9:30" x14ac:dyDescent="0.25">
      <c r="I379" s="2"/>
      <c r="P379" s="2"/>
      <c r="W379" s="2"/>
      <c r="X379" s="2"/>
      <c r="Y379" s="2"/>
      <c r="Z379" s="2"/>
      <c r="AD379" s="7">
        <f t="shared" si="5"/>
      </c>
    </row>
    <row r="380" spans="9:30" x14ac:dyDescent="0.25">
      <c r="I380" s="2"/>
      <c r="P380" s="2"/>
      <c r="W380" s="2"/>
      <c r="X380" s="2"/>
      <c r="Y380" s="2"/>
      <c r="Z380" s="2"/>
      <c r="AD380" s="7">
        <f t="shared" si="5"/>
      </c>
    </row>
    <row r="381" spans="9:30" x14ac:dyDescent="0.25">
      <c r="I381" s="2"/>
      <c r="P381" s="2"/>
      <c r="W381" s="2"/>
      <c r="X381" s="2"/>
      <c r="Y381" s="2"/>
      <c r="Z381" s="2"/>
      <c r="AD381" s="7">
        <f t="shared" si="5"/>
      </c>
    </row>
    <row r="382" spans="9:30" x14ac:dyDescent="0.25">
      <c r="I382" s="2"/>
      <c r="P382" s="2"/>
      <c r="W382" s="2"/>
      <c r="X382" s="2"/>
      <c r="Y382" s="2"/>
      <c r="Z382" s="2"/>
      <c r="AD382" s="7">
        <f t="shared" si="5"/>
      </c>
    </row>
    <row r="383" spans="9:30" x14ac:dyDescent="0.25">
      <c r="I383" s="2"/>
      <c r="P383" s="2"/>
      <c r="W383" s="2"/>
      <c r="X383" s="2"/>
      <c r="Y383" s="2"/>
      <c r="Z383" s="2"/>
      <c r="AD383" s="7">
        <f t="shared" si="5"/>
      </c>
    </row>
    <row r="384" spans="9:30" x14ac:dyDescent="0.25">
      <c r="I384" s="2"/>
      <c r="P384" s="2"/>
      <c r="W384" s="2"/>
      <c r="X384" s="2"/>
      <c r="Y384" s="2"/>
      <c r="Z384" s="2"/>
      <c r="AD384" s="7">
        <f t="shared" si="5"/>
      </c>
    </row>
    <row r="385" spans="9:30" x14ac:dyDescent="0.25">
      <c r="I385" s="2"/>
      <c r="P385" s="2"/>
      <c r="W385" s="2"/>
      <c r="X385" s="2"/>
      <c r="Y385" s="2"/>
      <c r="Z385" s="2"/>
      <c r="AD385" s="7">
        <f t="shared" si="5"/>
      </c>
    </row>
    <row r="386" spans="9:30" x14ac:dyDescent="0.25">
      <c r="I386" s="2"/>
      <c r="P386" s="2"/>
      <c r="W386" s="2"/>
      <c r="X386" s="2"/>
      <c r="Y386" s="2"/>
      <c r="Z386" s="2"/>
      <c r="AD386" s="7">
        <f t="shared" si="5"/>
      </c>
    </row>
    <row r="387" spans="9:30" x14ac:dyDescent="0.25">
      <c r="I387" s="2"/>
      <c r="P387" s="2"/>
      <c r="W387" s="2"/>
      <c r="X387" s="2"/>
      <c r="Y387" s="2"/>
      <c r="Z387" s="2"/>
      <c r="AD387" s="7">
        <f t="shared" si="5"/>
      </c>
    </row>
    <row r="388" spans="9:30" x14ac:dyDescent="0.25">
      <c r="I388" s="2"/>
      <c r="P388" s="2"/>
      <c r="W388" s="2"/>
      <c r="X388" s="2"/>
      <c r="Y388" s="2"/>
      <c r="Z388" s="2"/>
      <c r="AD388" s="7">
        <f t="shared" si="5"/>
      </c>
    </row>
    <row r="389" spans="9:30" x14ac:dyDescent="0.25">
      <c r="I389" s="2"/>
      <c r="P389" s="2"/>
      <c r="W389" s="2"/>
      <c r="X389" s="2"/>
      <c r="Y389" s="2"/>
      <c r="Z389" s="2"/>
      <c r="AD389" s="7">
        <f t="shared" si="5"/>
      </c>
    </row>
    <row r="390" spans="9:30" x14ac:dyDescent="0.25">
      <c r="I390" s="2"/>
      <c r="P390" s="2"/>
      <c r="W390" s="2"/>
      <c r="X390" s="2"/>
      <c r="Y390" s="2"/>
      <c r="Z390" s="2"/>
      <c r="AD390" s="7">
        <f t="shared" si="5"/>
      </c>
    </row>
    <row r="391" spans="9:30" x14ac:dyDescent="0.25">
      <c r="I391" s="2"/>
      <c r="P391" s="2"/>
      <c r="W391" s="2"/>
      <c r="X391" s="2"/>
      <c r="Y391" s="2"/>
      <c r="Z391" s="2"/>
      <c r="AD391" s="7">
        <f t="shared" si="5"/>
      </c>
    </row>
    <row r="392" spans="9:30" x14ac:dyDescent="0.25">
      <c r="I392" s="2"/>
      <c r="P392" s="2"/>
      <c r="W392" s="2"/>
      <c r="X392" s="2"/>
      <c r="Y392" s="2"/>
      <c r="Z392" s="2"/>
      <c r="AD392" s="7">
        <f t="shared" si="5"/>
      </c>
    </row>
    <row r="393" spans="9:30" x14ac:dyDescent="0.25">
      <c r="I393" s="2"/>
      <c r="P393" s="2"/>
      <c r="W393" s="2"/>
      <c r="X393" s="2"/>
      <c r="Y393" s="2"/>
      <c r="Z393" s="2"/>
      <c r="AD393" s="7">
        <f t="shared" si="5"/>
      </c>
    </row>
    <row r="394" spans="9:30" x14ac:dyDescent="0.25">
      <c r="I394" s="2"/>
      <c r="P394" s="2"/>
      <c r="W394" s="2"/>
      <c r="X394" s="2"/>
      <c r="Y394" s="2"/>
      <c r="Z394" s="2"/>
      <c r="AD394" s="7">
        <f t="shared" ref="AD394:AD457" si="6">IF(P394 = "", "", Y394/P394)</f>
      </c>
    </row>
    <row r="395" spans="9:30" x14ac:dyDescent="0.25">
      <c r="I395" s="2"/>
      <c r="P395" s="2"/>
      <c r="W395" s="2"/>
      <c r="X395" s="2"/>
      <c r="Y395" s="2"/>
      <c r="Z395" s="2"/>
      <c r="AD395" s="7">
        <f t="shared" si="6"/>
      </c>
    </row>
    <row r="396" spans="9:30" x14ac:dyDescent="0.25">
      <c r="I396" s="2"/>
      <c r="P396" s="2"/>
      <c r="W396" s="2"/>
      <c r="X396" s="2"/>
      <c r="Y396" s="2"/>
      <c r="Z396" s="2"/>
      <c r="AD396" s="7">
        <f t="shared" si="6"/>
      </c>
    </row>
    <row r="397" spans="9:30" x14ac:dyDescent="0.25">
      <c r="I397" s="2"/>
      <c r="P397" s="2"/>
      <c r="W397" s="2"/>
      <c r="X397" s="2"/>
      <c r="Y397" s="2"/>
      <c r="Z397" s="2"/>
      <c r="AD397" s="7">
        <f t="shared" si="6"/>
      </c>
    </row>
    <row r="398" spans="9:30" x14ac:dyDescent="0.25">
      <c r="I398" s="2"/>
      <c r="P398" s="2"/>
      <c r="W398" s="2"/>
      <c r="X398" s="2"/>
      <c r="Y398" s="2"/>
      <c r="Z398" s="2"/>
      <c r="AD398" s="7">
        <f t="shared" si="6"/>
      </c>
    </row>
    <row r="399" spans="9:30" x14ac:dyDescent="0.25">
      <c r="I399" s="2"/>
      <c r="P399" s="2"/>
      <c r="W399" s="2"/>
      <c r="X399" s="2"/>
      <c r="Y399" s="2"/>
      <c r="Z399" s="2"/>
      <c r="AD399" s="7">
        <f t="shared" si="6"/>
      </c>
    </row>
    <row r="400" spans="9:30" x14ac:dyDescent="0.25">
      <c r="I400" s="2"/>
      <c r="P400" s="2"/>
      <c r="W400" s="2"/>
      <c r="X400" s="2"/>
      <c r="Y400" s="2"/>
      <c r="Z400" s="2"/>
      <c r="AD400" s="7">
        <f t="shared" si="6"/>
      </c>
    </row>
    <row r="401" spans="9:30" x14ac:dyDescent="0.25">
      <c r="I401" s="2"/>
      <c r="P401" s="2"/>
      <c r="W401" s="2"/>
      <c r="X401" s="2"/>
      <c r="Y401" s="2"/>
      <c r="Z401" s="2"/>
      <c r="AD401" s="7">
        <f t="shared" si="6"/>
      </c>
    </row>
    <row r="402" spans="9:30" x14ac:dyDescent="0.25">
      <c r="I402" s="2"/>
      <c r="P402" s="2"/>
      <c r="W402" s="2"/>
      <c r="X402" s="2"/>
      <c r="Y402" s="2"/>
      <c r="Z402" s="2"/>
      <c r="AD402" s="7">
        <f t="shared" si="6"/>
      </c>
    </row>
    <row r="403" spans="9:30" x14ac:dyDescent="0.25">
      <c r="I403" s="2"/>
      <c r="P403" s="2"/>
      <c r="W403" s="2"/>
      <c r="X403" s="2"/>
      <c r="Y403" s="2"/>
      <c r="Z403" s="2"/>
      <c r="AD403" s="7">
        <f t="shared" si="6"/>
      </c>
    </row>
    <row r="404" spans="9:30" x14ac:dyDescent="0.25">
      <c r="I404" s="2"/>
      <c r="P404" s="2"/>
      <c r="W404" s="2"/>
      <c r="X404" s="2"/>
      <c r="Y404" s="2"/>
      <c r="Z404" s="2"/>
      <c r="AD404" s="7">
        <f t="shared" si="6"/>
      </c>
    </row>
    <row r="405" spans="9:30" x14ac:dyDescent="0.25">
      <c r="I405" s="2"/>
      <c r="P405" s="2"/>
      <c r="W405" s="2"/>
      <c r="X405" s="2"/>
      <c r="Y405" s="2"/>
      <c r="Z405" s="2"/>
      <c r="AD405" s="7">
        <f t="shared" si="6"/>
      </c>
    </row>
    <row r="406" spans="9:30" x14ac:dyDescent="0.25">
      <c r="I406" s="2"/>
      <c r="P406" s="2"/>
      <c r="W406" s="2"/>
      <c r="X406" s="2"/>
      <c r="Y406" s="2"/>
      <c r="Z406" s="2"/>
      <c r="AD406" s="7">
        <f t="shared" si="6"/>
      </c>
    </row>
    <row r="407" spans="9:30" x14ac:dyDescent="0.25">
      <c r="I407" s="2"/>
      <c r="P407" s="2"/>
      <c r="W407" s="2"/>
      <c r="X407" s="2"/>
      <c r="Y407" s="2"/>
      <c r="Z407" s="2"/>
      <c r="AD407" s="7">
        <f t="shared" si="6"/>
      </c>
    </row>
    <row r="408" spans="9:30" x14ac:dyDescent="0.25">
      <c r="I408" s="2"/>
      <c r="P408" s="2"/>
      <c r="W408" s="2"/>
      <c r="X408" s="2"/>
      <c r="Y408" s="2"/>
      <c r="Z408" s="2"/>
      <c r="AD408" s="7">
        <f t="shared" si="6"/>
      </c>
    </row>
    <row r="409" spans="9:30" x14ac:dyDescent="0.25">
      <c r="I409" s="2"/>
      <c r="P409" s="2"/>
      <c r="W409" s="2"/>
      <c r="X409" s="2"/>
      <c r="Y409" s="2"/>
      <c r="Z409" s="2"/>
      <c r="AD409" s="7">
        <f t="shared" si="6"/>
      </c>
    </row>
    <row r="410" spans="9:30" x14ac:dyDescent="0.25">
      <c r="I410" s="2"/>
      <c r="P410" s="2"/>
      <c r="W410" s="2"/>
      <c r="X410" s="2"/>
      <c r="Y410" s="2"/>
      <c r="Z410" s="2"/>
      <c r="AD410" s="7">
        <f t="shared" si="6"/>
      </c>
    </row>
    <row r="411" spans="9:30" x14ac:dyDescent="0.25">
      <c r="I411" s="2"/>
      <c r="P411" s="2"/>
      <c r="W411" s="2"/>
      <c r="X411" s="2"/>
      <c r="Y411" s="2"/>
      <c r="Z411" s="2"/>
      <c r="AD411" s="7">
        <f t="shared" si="6"/>
      </c>
    </row>
    <row r="412" spans="9:30" x14ac:dyDescent="0.25">
      <c r="I412" s="2"/>
      <c r="P412" s="2"/>
      <c r="W412" s="2"/>
      <c r="X412" s="2"/>
      <c r="Y412" s="2"/>
      <c r="Z412" s="2"/>
      <c r="AD412" s="7">
        <f t="shared" si="6"/>
      </c>
    </row>
    <row r="413" spans="9:30" x14ac:dyDescent="0.25">
      <c r="I413" s="2"/>
      <c r="P413" s="2"/>
      <c r="W413" s="2"/>
      <c r="X413" s="2"/>
      <c r="Y413" s="2"/>
      <c r="Z413" s="2"/>
      <c r="AD413" s="7">
        <f t="shared" si="6"/>
      </c>
    </row>
    <row r="414" spans="9:30" x14ac:dyDescent="0.25">
      <c r="I414" s="2"/>
      <c r="P414" s="2"/>
      <c r="W414" s="2"/>
      <c r="X414" s="2"/>
      <c r="Y414" s="2"/>
      <c r="Z414" s="2"/>
      <c r="AD414" s="7">
        <f t="shared" si="6"/>
      </c>
    </row>
    <row r="415" spans="9:30" x14ac:dyDescent="0.25">
      <c r="I415" s="2"/>
      <c r="P415" s="2"/>
      <c r="W415" s="2"/>
      <c r="X415" s="2"/>
      <c r="Y415" s="2"/>
      <c r="Z415" s="2"/>
      <c r="AD415" s="7">
        <f t="shared" si="6"/>
      </c>
    </row>
    <row r="416" spans="9:30" x14ac:dyDescent="0.25">
      <c r="I416" s="2"/>
      <c r="P416" s="2"/>
      <c r="W416" s="2"/>
      <c r="X416" s="2"/>
      <c r="Y416" s="2"/>
      <c r="Z416" s="2"/>
      <c r="AD416" s="7">
        <f t="shared" si="6"/>
      </c>
    </row>
    <row r="417" spans="9:30" x14ac:dyDescent="0.25">
      <c r="I417" s="2"/>
      <c r="P417" s="2"/>
      <c r="W417" s="2"/>
      <c r="X417" s="2"/>
      <c r="Y417" s="2"/>
      <c r="Z417" s="2"/>
      <c r="AD417" s="7">
        <f t="shared" si="6"/>
      </c>
    </row>
    <row r="418" spans="9:30" x14ac:dyDescent="0.25">
      <c r="I418" s="2"/>
      <c r="P418" s="2"/>
      <c r="W418" s="2"/>
      <c r="X418" s="2"/>
      <c r="Y418" s="2"/>
      <c r="Z418" s="2"/>
      <c r="AD418" s="7">
        <f t="shared" si="6"/>
      </c>
    </row>
    <row r="419" spans="9:30" x14ac:dyDescent="0.25">
      <c r="I419" s="2"/>
      <c r="P419" s="2"/>
      <c r="W419" s="2"/>
      <c r="X419" s="2"/>
      <c r="Y419" s="2"/>
      <c r="Z419" s="2"/>
      <c r="AD419" s="7">
        <f t="shared" si="6"/>
      </c>
    </row>
    <row r="420" spans="9:30" x14ac:dyDescent="0.25">
      <c r="I420" s="2"/>
      <c r="P420" s="2"/>
      <c r="W420" s="2"/>
      <c r="X420" s="2"/>
      <c r="Y420" s="2"/>
      <c r="Z420" s="2"/>
      <c r="AD420" s="7">
        <f t="shared" si="6"/>
      </c>
    </row>
    <row r="421" spans="9:30" x14ac:dyDescent="0.25">
      <c r="I421" s="2"/>
      <c r="P421" s="2"/>
      <c r="W421" s="2"/>
      <c r="X421" s="2"/>
      <c r="Y421" s="2"/>
      <c r="Z421" s="2"/>
      <c r="AD421" s="7">
        <f t="shared" si="6"/>
      </c>
    </row>
    <row r="422" spans="9:30" x14ac:dyDescent="0.25">
      <c r="I422" s="2"/>
      <c r="P422" s="2"/>
      <c r="W422" s="2"/>
      <c r="X422" s="2"/>
      <c r="Y422" s="2"/>
      <c r="Z422" s="2"/>
      <c r="AD422" s="7">
        <f t="shared" si="6"/>
      </c>
    </row>
    <row r="423" spans="9:30" x14ac:dyDescent="0.25">
      <c r="I423" s="2"/>
      <c r="P423" s="2"/>
      <c r="W423" s="2"/>
      <c r="X423" s="2"/>
      <c r="Y423" s="2"/>
      <c r="Z423" s="2"/>
      <c r="AD423" s="7">
        <f t="shared" si="6"/>
      </c>
    </row>
    <row r="424" spans="9:30" x14ac:dyDescent="0.25">
      <c r="I424" s="2"/>
      <c r="P424" s="2"/>
      <c r="W424" s="2"/>
      <c r="X424" s="2"/>
      <c r="Y424" s="2"/>
      <c r="Z424" s="2"/>
      <c r="AD424" s="7">
        <f t="shared" si="6"/>
      </c>
    </row>
    <row r="425" spans="9:30" x14ac:dyDescent="0.25">
      <c r="I425" s="2"/>
      <c r="P425" s="2"/>
      <c r="W425" s="2"/>
      <c r="X425" s="2"/>
      <c r="Y425" s="2"/>
      <c r="Z425" s="2"/>
      <c r="AD425" s="7">
        <f t="shared" si="6"/>
      </c>
    </row>
    <row r="426" spans="9:30" x14ac:dyDescent="0.25">
      <c r="I426" s="2"/>
      <c r="P426" s="2"/>
      <c r="W426" s="2"/>
      <c r="X426" s="2"/>
      <c r="Y426" s="2"/>
      <c r="Z426" s="2"/>
      <c r="AD426" s="7">
        <f t="shared" si="6"/>
      </c>
    </row>
    <row r="427" spans="9:30" x14ac:dyDescent="0.25">
      <c r="I427" s="2"/>
      <c r="P427" s="2"/>
      <c r="W427" s="2"/>
      <c r="X427" s="2"/>
      <c r="Y427" s="2"/>
      <c r="Z427" s="2"/>
      <c r="AD427" s="7">
        <f t="shared" si="6"/>
      </c>
    </row>
    <row r="428" spans="9:30" x14ac:dyDescent="0.25">
      <c r="I428" s="2"/>
      <c r="P428" s="2"/>
      <c r="W428" s="2"/>
      <c r="X428" s="2"/>
      <c r="Y428" s="2"/>
      <c r="Z428" s="2"/>
      <c r="AD428" s="7">
        <f t="shared" si="6"/>
      </c>
    </row>
    <row r="429" spans="9:30" x14ac:dyDescent="0.25">
      <c r="I429" s="2"/>
      <c r="P429" s="2"/>
      <c r="W429" s="2"/>
      <c r="X429" s="2"/>
      <c r="Y429" s="2"/>
      <c r="Z429" s="2"/>
      <c r="AD429" s="7">
        <f t="shared" si="6"/>
      </c>
    </row>
    <row r="430" spans="9:30" x14ac:dyDescent="0.25">
      <c r="I430" s="2"/>
      <c r="P430" s="2"/>
      <c r="W430" s="2"/>
      <c r="X430" s="2"/>
      <c r="Y430" s="2"/>
      <c r="Z430" s="2"/>
      <c r="AD430" s="7">
        <f t="shared" si="6"/>
      </c>
    </row>
    <row r="431" spans="9:30" x14ac:dyDescent="0.25">
      <c r="I431" s="2"/>
      <c r="P431" s="2"/>
      <c r="W431" s="2"/>
      <c r="X431" s="2"/>
      <c r="Y431" s="2"/>
      <c r="Z431" s="2"/>
      <c r="AD431" s="7">
        <f t="shared" si="6"/>
      </c>
    </row>
    <row r="432" spans="9:30" x14ac:dyDescent="0.25">
      <c r="I432" s="2"/>
      <c r="P432" s="2"/>
      <c r="W432" s="2"/>
      <c r="X432" s="2"/>
      <c r="Y432" s="2"/>
      <c r="Z432" s="2"/>
      <c r="AD432" s="7">
        <f t="shared" si="6"/>
      </c>
    </row>
    <row r="433" spans="9:30" x14ac:dyDescent="0.25">
      <c r="I433" s="2"/>
      <c r="P433" s="2"/>
      <c r="W433" s="2"/>
      <c r="X433" s="2"/>
      <c r="Y433" s="2"/>
      <c r="Z433" s="2"/>
      <c r="AD433" s="7">
        <f t="shared" si="6"/>
      </c>
    </row>
    <row r="434" spans="9:30" x14ac:dyDescent="0.25">
      <c r="I434" s="2"/>
      <c r="P434" s="2"/>
      <c r="W434" s="2"/>
      <c r="X434" s="2"/>
      <c r="Y434" s="2"/>
      <c r="Z434" s="2"/>
      <c r="AD434" s="7">
        <f t="shared" si="6"/>
      </c>
    </row>
    <row r="435" spans="9:30" x14ac:dyDescent="0.25">
      <c r="I435" s="2"/>
      <c r="P435" s="2"/>
      <c r="W435" s="2"/>
      <c r="X435" s="2"/>
      <c r="Y435" s="2"/>
      <c r="Z435" s="2"/>
      <c r="AD435" s="7">
        <f t="shared" si="6"/>
      </c>
    </row>
    <row r="436" spans="9:30" x14ac:dyDescent="0.25">
      <c r="I436" s="2"/>
      <c r="P436" s="2"/>
      <c r="W436" s="2"/>
      <c r="X436" s="2"/>
      <c r="Y436" s="2"/>
      <c r="Z436" s="2"/>
      <c r="AD436" s="7">
        <f t="shared" si="6"/>
      </c>
    </row>
    <row r="437" spans="9:30" x14ac:dyDescent="0.25">
      <c r="I437" s="2"/>
      <c r="P437" s="2"/>
      <c r="W437" s="2"/>
      <c r="X437" s="2"/>
      <c r="Y437" s="2"/>
      <c r="Z437" s="2"/>
      <c r="AD437" s="7">
        <f t="shared" si="6"/>
      </c>
    </row>
    <row r="438" spans="9:30" x14ac:dyDescent="0.25">
      <c r="I438" s="2"/>
      <c r="P438" s="2"/>
      <c r="W438" s="2"/>
      <c r="X438" s="2"/>
      <c r="Y438" s="2"/>
      <c r="Z438" s="2"/>
      <c r="AD438" s="7">
        <f t="shared" si="6"/>
      </c>
    </row>
    <row r="439" spans="9:30" x14ac:dyDescent="0.25">
      <c r="I439" s="2"/>
      <c r="P439" s="2"/>
      <c r="W439" s="2"/>
      <c r="X439" s="2"/>
      <c r="Y439" s="2"/>
      <c r="Z439" s="2"/>
      <c r="AD439" s="7">
        <f t="shared" si="6"/>
      </c>
    </row>
    <row r="440" spans="9:30" x14ac:dyDescent="0.25">
      <c r="I440" s="2"/>
      <c r="P440" s="2"/>
      <c r="W440" s="2"/>
      <c r="X440" s="2"/>
      <c r="Y440" s="2"/>
      <c r="Z440" s="2"/>
      <c r="AD440" s="7">
        <f t="shared" si="6"/>
      </c>
    </row>
    <row r="441" spans="9:30" x14ac:dyDescent="0.25">
      <c r="I441" s="2"/>
      <c r="P441" s="2"/>
      <c r="W441" s="2"/>
      <c r="X441" s="2"/>
      <c r="Y441" s="2"/>
      <c r="Z441" s="2"/>
      <c r="AD441" s="7">
        <f t="shared" si="6"/>
      </c>
    </row>
    <row r="442" spans="9:30" x14ac:dyDescent="0.25">
      <c r="I442" s="2"/>
      <c r="P442" s="2"/>
      <c r="W442" s="2"/>
      <c r="X442" s="2"/>
      <c r="Y442" s="2"/>
      <c r="Z442" s="2"/>
      <c r="AD442" s="7">
        <f t="shared" si="6"/>
      </c>
    </row>
    <row r="443" spans="9:30" x14ac:dyDescent="0.25">
      <c r="I443" s="2"/>
      <c r="P443" s="2"/>
      <c r="W443" s="2"/>
      <c r="X443" s="2"/>
      <c r="Y443" s="2"/>
      <c r="Z443" s="2"/>
      <c r="AD443" s="7">
        <f t="shared" si="6"/>
      </c>
    </row>
    <row r="444" spans="9:30" x14ac:dyDescent="0.25">
      <c r="I444" s="2"/>
      <c r="P444" s="2"/>
      <c r="W444" s="2"/>
      <c r="X444" s="2"/>
      <c r="Y444" s="2"/>
      <c r="Z444" s="2"/>
      <c r="AD444" s="7">
        <f t="shared" si="6"/>
      </c>
    </row>
    <row r="445" spans="9:30" x14ac:dyDescent="0.25">
      <c r="I445" s="2"/>
      <c r="P445" s="2"/>
      <c r="W445" s="2"/>
      <c r="X445" s="2"/>
      <c r="Y445" s="2"/>
      <c r="Z445" s="2"/>
      <c r="AD445" s="7">
        <f t="shared" si="6"/>
      </c>
    </row>
    <row r="446" spans="9:30" x14ac:dyDescent="0.25">
      <c r="I446" s="2"/>
      <c r="P446" s="2"/>
      <c r="W446" s="2"/>
      <c r="X446" s="2"/>
      <c r="Y446" s="2"/>
      <c r="Z446" s="2"/>
      <c r="AD446" s="7">
        <f t="shared" si="6"/>
      </c>
    </row>
    <row r="447" spans="9:30" x14ac:dyDescent="0.25">
      <c r="I447" s="2"/>
      <c r="P447" s="2"/>
      <c r="W447" s="2"/>
      <c r="X447" s="2"/>
      <c r="Y447" s="2"/>
      <c r="Z447" s="2"/>
      <c r="AD447" s="7">
        <f t="shared" si="6"/>
      </c>
    </row>
    <row r="448" spans="9:30" x14ac:dyDescent="0.25">
      <c r="I448" s="2"/>
      <c r="P448" s="2"/>
      <c r="W448" s="2"/>
      <c r="X448" s="2"/>
      <c r="Y448" s="2"/>
      <c r="Z448" s="2"/>
      <c r="AD448" s="7">
        <f t="shared" si="6"/>
      </c>
    </row>
    <row r="449" spans="9:30" x14ac:dyDescent="0.25">
      <c r="I449" s="2"/>
      <c r="P449" s="2"/>
      <c r="W449" s="2"/>
      <c r="X449" s="2"/>
      <c r="Y449" s="2"/>
      <c r="Z449" s="2"/>
      <c r="AD449" s="7">
        <f t="shared" si="6"/>
      </c>
    </row>
    <row r="450" spans="9:30" x14ac:dyDescent="0.25">
      <c r="I450" s="2"/>
      <c r="P450" s="2"/>
      <c r="W450" s="2"/>
      <c r="X450" s="2"/>
      <c r="Y450" s="2"/>
      <c r="Z450" s="2"/>
      <c r="AD450" s="7">
        <f t="shared" si="6"/>
      </c>
    </row>
    <row r="451" spans="9:30" x14ac:dyDescent="0.25">
      <c r="I451" s="2"/>
      <c r="P451" s="2"/>
      <c r="W451" s="2"/>
      <c r="X451" s="2"/>
      <c r="Y451" s="2"/>
      <c r="Z451" s="2"/>
      <c r="AD451" s="7">
        <f t="shared" si="6"/>
      </c>
    </row>
    <row r="452" spans="9:30" x14ac:dyDescent="0.25">
      <c r="I452" s="2"/>
      <c r="P452" s="2"/>
      <c r="W452" s="2"/>
      <c r="X452" s="2"/>
      <c r="Y452" s="2"/>
      <c r="Z452" s="2"/>
      <c r="AD452" s="7">
        <f t="shared" si="6"/>
      </c>
    </row>
    <row r="453" spans="9:30" x14ac:dyDescent="0.25">
      <c r="I453" s="2"/>
      <c r="P453" s="2"/>
      <c r="W453" s="2"/>
      <c r="X453" s="2"/>
      <c r="Y453" s="2"/>
      <c r="Z453" s="2"/>
      <c r="AD453" s="7">
        <f t="shared" si="6"/>
      </c>
    </row>
    <row r="454" spans="9:30" x14ac:dyDescent="0.25">
      <c r="I454" s="2"/>
      <c r="P454" s="2"/>
      <c r="W454" s="2"/>
      <c r="X454" s="2"/>
      <c r="Y454" s="2"/>
      <c r="Z454" s="2"/>
      <c r="AD454" s="7">
        <f t="shared" si="6"/>
      </c>
    </row>
    <row r="455" spans="9:30" x14ac:dyDescent="0.25">
      <c r="I455" s="2"/>
      <c r="P455" s="2"/>
      <c r="W455" s="2"/>
      <c r="X455" s="2"/>
      <c r="Y455" s="2"/>
      <c r="Z455" s="2"/>
      <c r="AD455" s="7">
        <f t="shared" si="6"/>
      </c>
    </row>
    <row r="456" spans="9:30" x14ac:dyDescent="0.25">
      <c r="I456" s="2"/>
      <c r="P456" s="2"/>
      <c r="W456" s="2"/>
      <c r="X456" s="2"/>
      <c r="Y456" s="2"/>
      <c r="Z456" s="2"/>
      <c r="AD456" s="7">
        <f t="shared" si="6"/>
      </c>
    </row>
    <row r="457" spans="9:30" x14ac:dyDescent="0.25">
      <c r="I457" s="2"/>
      <c r="P457" s="2"/>
      <c r="W457" s="2"/>
      <c r="X457" s="2"/>
      <c r="Y457" s="2"/>
      <c r="Z457" s="2"/>
      <c r="AD457" s="7">
        <f t="shared" si="6"/>
      </c>
    </row>
    <row r="458" spans="9:30" x14ac:dyDescent="0.25">
      <c r="I458" s="2"/>
      <c r="P458" s="2"/>
      <c r="W458" s="2"/>
      <c r="X458" s="2"/>
      <c r="Y458" s="2"/>
      <c r="Z458" s="2"/>
      <c r="AD458" s="7">
        <f t="shared" ref="AD458:AD501" si="7">IF(P458 = "", "", Y458/P458)</f>
      </c>
    </row>
    <row r="459" spans="9:30" x14ac:dyDescent="0.25">
      <c r="I459" s="2"/>
      <c r="P459" s="2"/>
      <c r="W459" s="2"/>
      <c r="X459" s="2"/>
      <c r="Y459" s="2"/>
      <c r="Z459" s="2"/>
      <c r="AD459" s="7">
        <f t="shared" si="7"/>
      </c>
    </row>
    <row r="460" spans="9:30" x14ac:dyDescent="0.25">
      <c r="I460" s="2"/>
      <c r="P460" s="2"/>
      <c r="W460" s="2"/>
      <c r="X460" s="2"/>
      <c r="Y460" s="2"/>
      <c r="Z460" s="2"/>
      <c r="AD460" s="7">
        <f t="shared" si="7"/>
      </c>
    </row>
    <row r="461" spans="9:30" x14ac:dyDescent="0.25">
      <c r="I461" s="2"/>
      <c r="P461" s="2"/>
      <c r="W461" s="2"/>
      <c r="X461" s="2"/>
      <c r="Y461" s="2"/>
      <c r="Z461" s="2"/>
      <c r="AD461" s="7">
        <f t="shared" si="7"/>
      </c>
    </row>
    <row r="462" spans="9:30" x14ac:dyDescent="0.25">
      <c r="I462" s="2"/>
      <c r="P462" s="2"/>
      <c r="W462" s="2"/>
      <c r="X462" s="2"/>
      <c r="Y462" s="2"/>
      <c r="Z462" s="2"/>
      <c r="AD462" s="7">
        <f t="shared" si="7"/>
      </c>
    </row>
    <row r="463" spans="9:30" x14ac:dyDescent="0.25">
      <c r="I463" s="2"/>
      <c r="P463" s="2"/>
      <c r="W463" s="2"/>
      <c r="X463" s="2"/>
      <c r="Y463" s="2"/>
      <c r="Z463" s="2"/>
      <c r="AD463" s="7">
        <f t="shared" si="7"/>
      </c>
    </row>
    <row r="464" spans="9:30" x14ac:dyDescent="0.25">
      <c r="I464" s="2"/>
      <c r="P464" s="2"/>
      <c r="W464" s="2"/>
      <c r="X464" s="2"/>
      <c r="Y464" s="2"/>
      <c r="Z464" s="2"/>
      <c r="AD464" s="7">
        <f t="shared" si="7"/>
      </c>
    </row>
    <row r="465" spans="9:30" x14ac:dyDescent="0.25">
      <c r="I465" s="2"/>
      <c r="P465" s="2"/>
      <c r="W465" s="2"/>
      <c r="X465" s="2"/>
      <c r="Y465" s="2"/>
      <c r="Z465" s="2"/>
      <c r="AD465" s="7">
        <f t="shared" si="7"/>
      </c>
    </row>
    <row r="466" spans="9:30" x14ac:dyDescent="0.25">
      <c r="I466" s="2"/>
      <c r="P466" s="2"/>
      <c r="W466" s="2"/>
      <c r="X466" s="2"/>
      <c r="Y466" s="2"/>
      <c r="Z466" s="2"/>
      <c r="AD466" s="7">
        <f t="shared" si="7"/>
      </c>
    </row>
    <row r="467" spans="9:30" x14ac:dyDescent="0.25">
      <c r="I467" s="2"/>
      <c r="P467" s="2"/>
      <c r="W467" s="2"/>
      <c r="X467" s="2"/>
      <c r="Y467" s="2"/>
      <c r="Z467" s="2"/>
      <c r="AD467" s="7">
        <f t="shared" si="7"/>
      </c>
    </row>
    <row r="468" spans="9:30" x14ac:dyDescent="0.25">
      <c r="I468" s="2"/>
      <c r="P468" s="2"/>
      <c r="W468" s="2"/>
      <c r="X468" s="2"/>
      <c r="Y468" s="2"/>
      <c r="Z468" s="2"/>
      <c r="AD468" s="7">
        <f t="shared" si="7"/>
      </c>
    </row>
    <row r="469" spans="9:30" x14ac:dyDescent="0.25">
      <c r="I469" s="2"/>
      <c r="P469" s="2"/>
      <c r="W469" s="2"/>
      <c r="X469" s="2"/>
      <c r="Y469" s="2"/>
      <c r="Z469" s="2"/>
      <c r="AD469" s="7">
        <f t="shared" si="7"/>
      </c>
    </row>
    <row r="470" spans="9:30" x14ac:dyDescent="0.25">
      <c r="I470" s="2"/>
      <c r="P470" s="2"/>
      <c r="W470" s="2"/>
      <c r="X470" s="2"/>
      <c r="Y470" s="2"/>
      <c r="Z470" s="2"/>
      <c r="AD470" s="7">
        <f t="shared" si="7"/>
      </c>
    </row>
    <row r="471" spans="9:30" x14ac:dyDescent="0.25">
      <c r="I471" s="2"/>
      <c r="P471" s="2"/>
      <c r="W471" s="2"/>
      <c r="X471" s="2"/>
      <c r="Y471" s="2"/>
      <c r="Z471" s="2"/>
      <c r="AD471" s="7">
        <f t="shared" si="7"/>
      </c>
    </row>
    <row r="472" spans="9:30" x14ac:dyDescent="0.25">
      <c r="I472" s="2"/>
      <c r="P472" s="2"/>
      <c r="W472" s="2"/>
      <c r="X472" s="2"/>
      <c r="Y472" s="2"/>
      <c r="Z472" s="2"/>
      <c r="AD472" s="7">
        <f t="shared" si="7"/>
      </c>
    </row>
    <row r="473" spans="9:30" x14ac:dyDescent="0.25">
      <c r="I473" s="2"/>
      <c r="P473" s="2"/>
      <c r="W473" s="2"/>
      <c r="X473" s="2"/>
      <c r="Y473" s="2"/>
      <c r="Z473" s="2"/>
      <c r="AD473" s="7">
        <f t="shared" si="7"/>
      </c>
    </row>
    <row r="474" spans="9:30" x14ac:dyDescent="0.25">
      <c r="I474" s="2"/>
      <c r="P474" s="2"/>
      <c r="W474" s="2"/>
      <c r="X474" s="2"/>
      <c r="Y474" s="2"/>
      <c r="Z474" s="2"/>
      <c r="AD474" s="7">
        <f t="shared" si="7"/>
      </c>
    </row>
    <row r="475" spans="9:30" x14ac:dyDescent="0.25">
      <c r="I475" s="2"/>
      <c r="P475" s="2"/>
      <c r="W475" s="2"/>
      <c r="X475" s="2"/>
      <c r="Y475" s="2"/>
      <c r="Z475" s="2"/>
      <c r="AD475" s="7">
        <f t="shared" si="7"/>
      </c>
    </row>
    <row r="476" spans="9:30" x14ac:dyDescent="0.25">
      <c r="I476" s="2"/>
      <c r="P476" s="2"/>
      <c r="W476" s="2"/>
      <c r="X476" s="2"/>
      <c r="Y476" s="2"/>
      <c r="Z476" s="2"/>
      <c r="AD476" s="7">
        <f t="shared" si="7"/>
      </c>
    </row>
    <row r="477" spans="9:30" x14ac:dyDescent="0.25">
      <c r="I477" s="2"/>
      <c r="P477" s="2"/>
      <c r="W477" s="2"/>
      <c r="X477" s="2"/>
      <c r="Y477" s="2"/>
      <c r="Z477" s="2"/>
      <c r="AD477" s="7">
        <f t="shared" si="7"/>
      </c>
    </row>
    <row r="478" spans="9:30" x14ac:dyDescent="0.25">
      <c r="I478" s="2"/>
      <c r="P478" s="2"/>
      <c r="W478" s="2"/>
      <c r="X478" s="2"/>
      <c r="Y478" s="2"/>
      <c r="Z478" s="2"/>
      <c r="AD478" s="7">
        <f t="shared" si="7"/>
      </c>
    </row>
    <row r="479" spans="9:30" x14ac:dyDescent="0.25">
      <c r="I479" s="2"/>
      <c r="P479" s="2"/>
      <c r="W479" s="2"/>
      <c r="X479" s="2"/>
      <c r="Y479" s="2"/>
      <c r="Z479" s="2"/>
      <c r="AD479" s="7">
        <f t="shared" si="7"/>
      </c>
    </row>
    <row r="480" spans="9:30" x14ac:dyDescent="0.25">
      <c r="I480" s="2"/>
      <c r="P480" s="2"/>
      <c r="W480" s="2"/>
      <c r="X480" s="2"/>
      <c r="Y480" s="2"/>
      <c r="Z480" s="2"/>
      <c r="AD480" s="7">
        <f t="shared" si="7"/>
      </c>
    </row>
    <row r="481" spans="9:30" x14ac:dyDescent="0.25">
      <c r="I481" s="2"/>
      <c r="P481" s="2"/>
      <c r="W481" s="2"/>
      <c r="X481" s="2"/>
      <c r="Y481" s="2"/>
      <c r="Z481" s="2"/>
      <c r="AD481" s="7">
        <f t="shared" si="7"/>
      </c>
    </row>
    <row r="482" spans="9:30" x14ac:dyDescent="0.25">
      <c r="I482" s="2"/>
      <c r="P482" s="2"/>
      <c r="W482" s="2"/>
      <c r="X482" s="2"/>
      <c r="Y482" s="2"/>
      <c r="Z482" s="2"/>
      <c r="AD482" s="7">
        <f t="shared" si="7"/>
      </c>
    </row>
    <row r="483" spans="9:30" x14ac:dyDescent="0.25">
      <c r="I483" s="2"/>
      <c r="P483" s="2"/>
      <c r="W483" s="2"/>
      <c r="X483" s="2"/>
      <c r="Y483" s="2"/>
      <c r="Z483" s="2"/>
      <c r="AD483" s="7">
        <f t="shared" si="7"/>
      </c>
    </row>
    <row r="484" spans="9:30" x14ac:dyDescent="0.25">
      <c r="I484" s="2"/>
      <c r="P484" s="2"/>
      <c r="W484" s="2"/>
      <c r="X484" s="2"/>
      <c r="Y484" s="2"/>
      <c r="Z484" s="2"/>
      <c r="AD484" s="7">
        <f t="shared" si="7"/>
      </c>
    </row>
    <row r="485" spans="9:30" x14ac:dyDescent="0.25">
      <c r="I485" s="2"/>
      <c r="P485" s="2"/>
      <c r="W485" s="2"/>
      <c r="X485" s="2"/>
      <c r="Y485" s="2"/>
      <c r="Z485" s="2"/>
      <c r="AD485" s="7">
        <f t="shared" si="7"/>
      </c>
    </row>
    <row r="486" spans="9:30" x14ac:dyDescent="0.25">
      <c r="I486" s="2"/>
      <c r="P486" s="2"/>
      <c r="W486" s="2"/>
      <c r="X486" s="2"/>
      <c r="Y486" s="2"/>
      <c r="Z486" s="2"/>
      <c r="AD486" s="7">
        <f t="shared" si="7"/>
      </c>
    </row>
    <row r="487" spans="9:30" x14ac:dyDescent="0.25">
      <c r="I487" s="2"/>
      <c r="P487" s="2"/>
      <c r="W487" s="2"/>
      <c r="X487" s="2"/>
      <c r="Y487" s="2"/>
      <c r="Z487" s="2"/>
      <c r="AD487" s="7">
        <f t="shared" si="7"/>
      </c>
    </row>
    <row r="488" spans="9:30" x14ac:dyDescent="0.25">
      <c r="I488" s="2"/>
      <c r="P488" s="2"/>
      <c r="W488" s="2"/>
      <c r="X488" s="2"/>
      <c r="Y488" s="2"/>
      <c r="Z488" s="2"/>
      <c r="AD488" s="7">
        <f t="shared" si="7"/>
      </c>
    </row>
    <row r="489" spans="9:30" x14ac:dyDescent="0.25">
      <c r="I489" s="2"/>
      <c r="P489" s="2"/>
      <c r="W489" s="2"/>
      <c r="X489" s="2"/>
      <c r="Y489" s="2"/>
      <c r="Z489" s="2"/>
      <c r="AD489" s="7">
        <f t="shared" si="7"/>
      </c>
    </row>
    <row r="490" spans="9:30" x14ac:dyDescent="0.25">
      <c r="I490" s="2"/>
      <c r="P490" s="2"/>
      <c r="W490" s="2"/>
      <c r="X490" s="2"/>
      <c r="Y490" s="2"/>
      <c r="Z490" s="2"/>
      <c r="AD490" s="7">
        <f t="shared" si="7"/>
      </c>
    </row>
    <row r="491" spans="9:30" x14ac:dyDescent="0.25">
      <c r="I491" s="2"/>
      <c r="P491" s="2"/>
      <c r="W491" s="2"/>
      <c r="X491" s="2"/>
      <c r="Y491" s="2"/>
      <c r="Z491" s="2"/>
      <c r="AD491" s="7">
        <f t="shared" si="7"/>
      </c>
    </row>
    <row r="492" spans="9:30" x14ac:dyDescent="0.25">
      <c r="I492" s="2"/>
      <c r="P492" s="2"/>
      <c r="W492" s="2"/>
      <c r="X492" s="2"/>
      <c r="Y492" s="2"/>
      <c r="Z492" s="2"/>
      <c r="AD492" s="7">
        <f t="shared" si="7"/>
      </c>
    </row>
    <row r="493" spans="9:30" x14ac:dyDescent="0.25">
      <c r="I493" s="2"/>
      <c r="P493" s="2"/>
      <c r="W493" s="2"/>
      <c r="X493" s="2"/>
      <c r="Y493" s="2"/>
      <c r="Z493" s="2"/>
      <c r="AD493" s="7">
        <f t="shared" si="7"/>
      </c>
    </row>
    <row r="494" spans="9:30" x14ac:dyDescent="0.25">
      <c r="I494" s="2"/>
      <c r="P494" s="2"/>
      <c r="W494" s="2"/>
      <c r="X494" s="2"/>
      <c r="Y494" s="2"/>
      <c r="Z494" s="2"/>
      <c r="AD494" s="7">
        <f t="shared" si="7"/>
      </c>
    </row>
    <row r="495" spans="9:30" x14ac:dyDescent="0.25">
      <c r="I495" s="2"/>
      <c r="P495" s="2"/>
      <c r="W495" s="2"/>
      <c r="X495" s="2"/>
      <c r="Y495" s="2"/>
      <c r="Z495" s="2"/>
      <c r="AD495" s="7">
        <f t="shared" si="7"/>
      </c>
    </row>
    <row r="496" spans="9:30" x14ac:dyDescent="0.25">
      <c r="I496" s="2"/>
      <c r="P496" s="2"/>
      <c r="W496" s="2"/>
      <c r="X496" s="2"/>
      <c r="Y496" s="2"/>
      <c r="Z496" s="2"/>
      <c r="AD496" s="7">
        <f t="shared" si="7"/>
      </c>
    </row>
    <row r="497" spans="9:30" x14ac:dyDescent="0.25">
      <c r="I497" s="2"/>
      <c r="P497" s="2"/>
      <c r="W497" s="2"/>
      <c r="X497" s="2"/>
      <c r="Y497" s="2"/>
      <c r="Z497" s="2"/>
      <c r="AD497" s="7">
        <f t="shared" si="7"/>
      </c>
    </row>
    <row r="498" spans="9:30" x14ac:dyDescent="0.25">
      <c r="I498" s="2"/>
      <c r="P498" s="2"/>
      <c r="W498" s="2"/>
      <c r="X498" s="2"/>
      <c r="Y498" s="2"/>
      <c r="Z498" s="2"/>
      <c r="AD498" s="7">
        <f t="shared" si="7"/>
      </c>
    </row>
    <row r="499" spans="9:30" x14ac:dyDescent="0.25">
      <c r="I499" s="2"/>
      <c r="P499" s="2"/>
      <c r="W499" s="2"/>
      <c r="X499" s="2"/>
      <c r="Y499" s="2"/>
      <c r="Z499" s="2"/>
      <c r="AD499" s="7">
        <f t="shared" si="7"/>
      </c>
    </row>
    <row r="500" spans="9:30" x14ac:dyDescent="0.25">
      <c r="I500" s="2"/>
      <c r="P500" s="2"/>
      <c r="W500" s="2"/>
      <c r="X500" s="2"/>
      <c r="Y500" s="2"/>
      <c r="Z500" s="2"/>
      <c r="AD500" s="7">
        <f t="shared" si="7"/>
      </c>
    </row>
    <row r="501" spans="9:30" x14ac:dyDescent="0.25">
      <c r="I501" s="2"/>
      <c r="P501" s="2"/>
      <c r="W501" s="2"/>
      <c r="X501" s="2"/>
      <c r="Y501" s="2"/>
      <c r="Z501" s="2"/>
      <c r="AD501" s="7">
        <f t="shared" si="7"/>
      </c>
    </row>
  </sheetData>
  <mergeCells count="2">
    <mergeCell ref="K1:L1"/>
    <mergeCell ref="M1:O1"/>
  </mergeCells>
  <pageMargins left="0.15748031496062992" right="0.15748031496062992" top="0.3" bottom="0.16" header="0.5118110236220472" footer="0.16"/>
  <pageSetup paperSize="9" orientation="landscape" horizontalDpi="4294967295" verticalDpi="4294967295" scale="55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1"/>
  <sheetViews>
    <sheetView workbookViewId="0" showGridLines="0" zoomScale="100" zoomScaleNormal="100">
      <selection activeCell="D38" sqref="D38"/>
    </sheetView>
  </sheetViews>
  <sheetFormatPr defaultRowHeight="12" outlineLevelRow="0" outlineLevelCol="0" x14ac:dyDescent="0.15" customHeight="1"/>
  <cols>
    <col min="1" max="1" width="6.44140625" style="1" customWidth="1"/>
    <col min="2" max="2" width="7.77734375" style="2" customWidth="1"/>
    <col min="3" max="3" width="2.5546875" style="2" customWidth="1"/>
    <col min="4" max="4" width="7.77734375" style="2" customWidth="1"/>
    <col min="5" max="5" width="12.33203125" style="2" customWidth="1"/>
    <col min="6" max="6" width="7.77734375" style="2" customWidth="1"/>
    <col min="7" max="8" width="8.109375" style="2" customWidth="1"/>
    <col min="9" max="9" width="8.109375" style="3" customWidth="1"/>
    <col min="10" max="14" width="8.109375" style="2" customWidth="1"/>
    <col min="15" max="16" width="8.109375" style="4" customWidth="1"/>
    <col min="17" max="17" width="7.44140625" style="2" customWidth="1"/>
    <col min="18" max="19" width="7.88671875" style="2" customWidth="1"/>
    <col min="20" max="20" width="6.6640625" style="2" customWidth="1"/>
    <col min="21" max="21" width="6.6640625" style="5" customWidth="1"/>
    <col min="22" max="22" width="6.6640625" style="2" customWidth="1"/>
    <col min="23" max="23" width="7.77734375" style="3" customWidth="1"/>
    <col min="24" max="25" width="10.21875" style="6" customWidth="1"/>
    <col min="26" max="26" width="10.21875" style="7" customWidth="1"/>
    <col min="27" max="27" width="9.6640625" style="2" customWidth="1"/>
    <col min="28" max="28" width="7.77734375" style="2" customWidth="1"/>
    <col min="29" max="29" width="16.33203125" style="2" customWidth="1"/>
    <col min="30" max="30" width="10.5546875" style="7" customWidth="1"/>
    <col min="31" max="16384" width="8.88671875" style="2" customWidth="1"/>
  </cols>
  <sheetData>
    <row r="1" ht="18.75" customHeight="1" spans="1:26" x14ac:dyDescent="0.25">
      <c r="A1" s="8"/>
      <c r="D1" s="8"/>
      <c r="G1" s="9"/>
      <c r="H1" s="10"/>
      <c r="I1" s="2"/>
      <c r="J1" s="11"/>
      <c r="K1" s="12"/>
      <c r="L1" s="12"/>
      <c r="M1" s="10"/>
      <c r="N1" s="13"/>
      <c r="O1" s="13"/>
      <c r="P1" s="2"/>
      <c r="U1" s="2"/>
      <c r="W1" s="2"/>
      <c r="Z1" s="6"/>
    </row>
    <row r="2" ht="13.5" customHeight="1" spans="4:41" s="14" customFormat="1" x14ac:dyDescent="0.25">
      <c r="D2" s="14"/>
      <c r="G2" s="14"/>
      <c r="J2" s="15"/>
      <c r="K2" s="15"/>
      <c r="M2" s="9"/>
      <c r="N2" s="15"/>
      <c r="Q2" s="2"/>
      <c r="R2" s="2"/>
      <c r="S2" s="2"/>
      <c r="T2" s="2"/>
      <c r="U2" s="2"/>
      <c r="V2" s="2"/>
      <c r="W2" s="2"/>
      <c r="X2" s="6"/>
      <c r="Y2" s="6"/>
      <c r="Z2" s="6"/>
      <c r="AA2" s="2"/>
      <c r="AB2" s="2"/>
      <c r="AC2" s="2"/>
      <c r="AD2" s="7"/>
      <c r="AE2" s="2"/>
      <c r="AF2" s="2"/>
      <c r="AG2" s="2"/>
      <c r="AH2" s="14"/>
      <c r="AI2" s="14"/>
      <c r="AJ2" s="14"/>
      <c r="AK2" s="14"/>
      <c r="AL2" s="14"/>
      <c r="AM2" s="14"/>
      <c r="AN2" s="14"/>
      <c r="AO2" s="14"/>
    </row>
    <row r="3" ht="7.5" customHeight="1" spans="6:41" s="14" customFormat="1" x14ac:dyDescent="0.25">
      <c r="F3" s="14"/>
      <c r="G3" s="16"/>
      <c r="H3" s="14"/>
      <c r="I3" s="14"/>
      <c r="J3" s="14"/>
      <c r="K3" s="14"/>
      <c r="L3" s="14"/>
      <c r="M3" s="16"/>
      <c r="P3" s="9"/>
      <c r="Q3" s="2"/>
      <c r="R3" s="2"/>
      <c r="S3" s="2"/>
      <c r="T3" s="2"/>
      <c r="U3" s="2"/>
      <c r="V3" s="2"/>
      <c r="W3" s="17"/>
      <c r="X3" s="18"/>
      <c r="Y3" s="18"/>
      <c r="Z3" s="18"/>
      <c r="AA3" s="2"/>
      <c r="AB3" s="2"/>
      <c r="AC3" s="2"/>
      <c r="AD3" s="7"/>
      <c r="AE3" s="17"/>
      <c r="AF3" s="2"/>
      <c r="AG3" s="2"/>
      <c r="AH3" s="14"/>
      <c r="AI3" s="14"/>
      <c r="AJ3" s="14"/>
      <c r="AK3" s="14"/>
      <c r="AL3" s="14"/>
      <c r="AM3" s="14"/>
      <c r="AN3" s="14"/>
      <c r="AO3" s="14"/>
    </row>
    <row r="4" spans="4:30" s="19" customFormat="1" x14ac:dyDescent="0.25">
      <c r="D4" s="20" t="s">
        <v>2</v>
      </c>
      <c r="E4" s="20" t="s">
        <v>3</v>
      </c>
      <c r="F4" s="20" t="s">
        <v>4</v>
      </c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2"/>
      <c r="Y4" s="22"/>
      <c r="Z4" s="22"/>
      <c r="AA4" s="21"/>
      <c r="AB4" s="21"/>
      <c r="AD4" s="23"/>
    </row>
    <row r="5" spans="4:30" s="2" customFormat="1" x14ac:dyDescent="0.25">
      <c r="D5" s="24">
        <v>1</v>
      </c>
      <c r="E5" s="25"/>
      <c r="F5" s="2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2"/>
      <c r="Y5" s="22"/>
      <c r="Z5" s="22"/>
      <c r="AA5" s="27"/>
      <c r="AB5" s="28"/>
      <c r="AD5" s="7"/>
    </row>
    <row r="6" spans="4:30" s="2" customFormat="1" x14ac:dyDescent="0.25">
      <c r="D6" s="24"/>
      <c r="E6" s="2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9"/>
      <c r="R6" s="29"/>
      <c r="S6" s="29"/>
      <c r="T6" s="29"/>
      <c r="U6" s="29"/>
      <c r="V6" s="29"/>
      <c r="W6" s="29"/>
      <c r="X6" s="30"/>
      <c r="Y6" s="30"/>
      <c r="Z6" s="30"/>
      <c r="AA6" s="29"/>
      <c r="AB6" s="31"/>
      <c r="AC6" s="4"/>
      <c r="AD6" s="7"/>
    </row>
    <row r="7" ht="13.5" customHeight="1" spans="4:33" s="32" customFormat="1" x14ac:dyDescent="0.25">
      <c r="D7" s="33"/>
      <c r="E7" s="33"/>
      <c r="F7" s="34">
        <f>SUM(F5:F6)</f>
        <v>0</v>
      </c>
      <c r="G7" s="34">
        <f>SUM(G5:G6)</f>
        <v>0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2"/>
      <c r="Y7" s="22"/>
      <c r="Z7" s="22"/>
      <c r="AA7" s="27"/>
      <c r="AB7" s="21"/>
      <c r="AC7" s="35"/>
      <c r="AD7" s="23"/>
      <c r="AE7" s="35"/>
      <c r="AF7" s="35"/>
      <c r="AG7" s="35"/>
    </row>
    <row r="8" spans="1:29" x14ac:dyDescent="0.25">
      <c r="A8" s="36"/>
      <c r="B8" s="17"/>
      <c r="C8" s="36"/>
      <c r="D8" s="17"/>
      <c r="E8" s="36"/>
      <c r="F8" s="17"/>
      <c r="G8" s="36"/>
      <c r="H8" s="17"/>
      <c r="I8" s="36"/>
      <c r="J8" s="17"/>
      <c r="K8" s="36"/>
      <c r="L8" s="17"/>
      <c r="M8" s="36"/>
      <c r="N8" s="17"/>
      <c r="O8" s="36"/>
      <c r="P8" s="17"/>
      <c r="Q8" s="36"/>
      <c r="R8" s="36"/>
      <c r="S8" s="36"/>
      <c r="T8" s="17"/>
      <c r="U8" s="17"/>
      <c r="V8" s="17"/>
      <c r="W8" s="36"/>
      <c r="X8" s="18"/>
      <c r="Y8" s="18"/>
      <c r="Z8" s="18"/>
      <c r="AA8" s="36"/>
      <c r="AB8" s="17"/>
      <c r="AC8" s="25"/>
    </row>
    <row r="9" ht="12.75" customHeight="1" spans="1:30" s="17" customFormat="1" x14ac:dyDescent="0.25">
      <c r="A9" s="37" t="s">
        <v>7</v>
      </c>
      <c r="B9" s="37" t="s">
        <v>8</v>
      </c>
      <c r="C9" s="38">
        <v>1</v>
      </c>
      <c r="D9" s="37" t="s">
        <v>9</v>
      </c>
      <c r="E9" s="37"/>
      <c r="F9" s="37"/>
      <c r="G9" s="37" t="s">
        <v>10</v>
      </c>
      <c r="H9" s="37"/>
      <c r="I9" s="37" t="s">
        <v>11</v>
      </c>
      <c r="J9" s="37"/>
      <c r="K9" s="37" t="s">
        <v>12</v>
      </c>
      <c r="L9" s="39" t="s">
        <v>13</v>
      </c>
      <c r="M9" s="39" t="s">
        <v>14</v>
      </c>
      <c r="N9" s="39" t="s">
        <v>15</v>
      </c>
      <c r="O9" s="37" t="s">
        <v>16</v>
      </c>
      <c r="P9" s="37" t="s">
        <v>17</v>
      </c>
      <c r="Q9" s="37" t="s">
        <v>18</v>
      </c>
      <c r="R9" s="37" t="s">
        <v>19</v>
      </c>
      <c r="S9" s="37" t="s">
        <v>20</v>
      </c>
      <c r="T9" s="37" t="s">
        <v>21</v>
      </c>
      <c r="U9" s="37" t="s">
        <v>22</v>
      </c>
      <c r="V9" s="37"/>
      <c r="W9" s="37" t="s">
        <v>23</v>
      </c>
      <c r="X9" s="40" t="s">
        <v>24</v>
      </c>
      <c r="Y9" s="40" t="s">
        <v>25</v>
      </c>
      <c r="Z9" s="40" t="s">
        <v>26</v>
      </c>
      <c r="AA9" s="37" t="s">
        <v>27</v>
      </c>
      <c r="AB9" s="37"/>
      <c r="AC9" s="41" t="s">
        <v>28</v>
      </c>
      <c r="AD9" s="42" t="s">
        <v>29</v>
      </c>
    </row>
    <row r="10" ht="12.75" customHeight="1" spans="12:30" x14ac:dyDescent="0.25">
      <c r="L10" s="5"/>
      <c r="M10" s="5"/>
      <c r="N10" s="5"/>
      <c r="AD10" s="7">
        <f t="shared" ref="AD10:AD73" si="0">IF(P10 = "", "", Y10/P10)</f>
      </c>
    </row>
    <row r="11" spans="30:30" x14ac:dyDescent="0.25">
      <c r="AD11" s="7">
        <f t="shared" si="0"/>
      </c>
    </row>
    <row r="12" spans="30:30" x14ac:dyDescent="0.25">
      <c r="AD12" s="7">
        <f t="shared" si="0"/>
      </c>
    </row>
    <row r="13" spans="30:30" x14ac:dyDescent="0.25">
      <c r="AD13" s="7">
        <f t="shared" si="0"/>
      </c>
    </row>
    <row r="14" spans="30:30" x14ac:dyDescent="0.25">
      <c r="AD14" s="7">
        <f t="shared" si="0"/>
      </c>
    </row>
    <row r="15" spans="30:30" x14ac:dyDescent="0.25">
      <c r="AD15" s="7">
        <f t="shared" si="0"/>
      </c>
    </row>
    <row r="16" spans="30:30" x14ac:dyDescent="0.25">
      <c r="AD16" s="7">
        <f t="shared" si="0"/>
      </c>
    </row>
    <row r="17" spans="9:30" x14ac:dyDescent="0.25">
      <c r="I17" s="2"/>
      <c r="P17" s="2"/>
      <c r="W17" s="2"/>
      <c r="X17" s="2"/>
      <c r="Y17" s="2"/>
      <c r="Z17" s="2"/>
      <c r="AD17" s="7">
        <f t="shared" si="0"/>
      </c>
    </row>
    <row r="18" spans="9:30" x14ac:dyDescent="0.25">
      <c r="I18" s="2"/>
      <c r="P18" s="2"/>
      <c r="W18" s="2"/>
      <c r="X18" s="2"/>
      <c r="Y18" s="2"/>
      <c r="Z18" s="2"/>
      <c r="AD18" s="7">
        <f t="shared" si="0"/>
      </c>
    </row>
    <row r="19" spans="9:30" x14ac:dyDescent="0.25">
      <c r="I19" s="2"/>
      <c r="P19" s="2"/>
      <c r="W19" s="2"/>
      <c r="X19" s="2"/>
      <c r="Y19" s="2"/>
      <c r="Z19" s="2"/>
      <c r="AD19" s="7">
        <f t="shared" si="0"/>
      </c>
    </row>
    <row r="20" spans="9:30" x14ac:dyDescent="0.25">
      <c r="I20" s="2"/>
      <c r="P20" s="2"/>
      <c r="W20" s="2"/>
      <c r="X20" s="2"/>
      <c r="Y20" s="2"/>
      <c r="Z20" s="2"/>
      <c r="AD20" s="7">
        <f t="shared" si="0"/>
      </c>
    </row>
    <row r="21" spans="9:30" x14ac:dyDescent="0.25">
      <c r="I21" s="2"/>
      <c r="P21" s="2"/>
      <c r="W21" s="2"/>
      <c r="X21" s="2"/>
      <c r="Y21" s="2"/>
      <c r="Z21" s="2"/>
      <c r="AD21" s="7">
        <f t="shared" si="0"/>
      </c>
    </row>
    <row r="22" spans="9:30" x14ac:dyDescent="0.25">
      <c r="I22" s="2"/>
      <c r="P22" s="2"/>
      <c r="W22" s="2"/>
      <c r="X22" s="2"/>
      <c r="Y22" s="2"/>
      <c r="Z22" s="2"/>
      <c r="AD22" s="7">
        <f t="shared" si="0"/>
      </c>
    </row>
    <row r="23" spans="9:30" x14ac:dyDescent="0.25">
      <c r="I23" s="2"/>
      <c r="P23" s="2"/>
      <c r="W23" s="2"/>
      <c r="X23" s="2"/>
      <c r="Y23" s="2"/>
      <c r="Z23" s="2"/>
      <c r="AD23" s="7">
        <f t="shared" si="0"/>
      </c>
    </row>
    <row r="24" spans="9:30" x14ac:dyDescent="0.25">
      <c r="I24" s="2"/>
      <c r="P24" s="2"/>
      <c r="W24" s="2"/>
      <c r="X24" s="2"/>
      <c r="Y24" s="2"/>
      <c r="Z24" s="2"/>
      <c r="AD24" s="7">
        <f t="shared" si="0"/>
      </c>
    </row>
    <row r="25" spans="9:30" x14ac:dyDescent="0.25">
      <c r="I25" s="2"/>
      <c r="P25" s="2"/>
      <c r="W25" s="2"/>
      <c r="X25" s="2"/>
      <c r="Y25" s="2"/>
      <c r="Z25" s="2"/>
      <c r="AD25" s="7">
        <f t="shared" si="0"/>
      </c>
    </row>
    <row r="26" spans="9:30" x14ac:dyDescent="0.25">
      <c r="I26" s="2"/>
      <c r="P26" s="2"/>
      <c r="W26" s="2"/>
      <c r="X26" s="2"/>
      <c r="Y26" s="2"/>
      <c r="Z26" s="2"/>
      <c r="AD26" s="7">
        <f t="shared" si="0"/>
      </c>
    </row>
    <row r="27" spans="9:30" x14ac:dyDescent="0.25">
      <c r="I27" s="2"/>
      <c r="P27" s="2"/>
      <c r="W27" s="2"/>
      <c r="X27" s="2"/>
      <c r="Y27" s="2"/>
      <c r="Z27" s="2"/>
      <c r="AD27" s="7">
        <f t="shared" si="0"/>
      </c>
    </row>
    <row r="28" spans="9:30" x14ac:dyDescent="0.25">
      <c r="I28" s="2"/>
      <c r="P28" s="2"/>
      <c r="W28" s="2"/>
      <c r="X28" s="2"/>
      <c r="Y28" s="2"/>
      <c r="Z28" s="2"/>
      <c r="AD28" s="7">
        <f t="shared" si="0"/>
      </c>
    </row>
    <row r="29" spans="9:30" x14ac:dyDescent="0.25">
      <c r="I29" s="2"/>
      <c r="P29" s="2"/>
      <c r="W29" s="2"/>
      <c r="X29" s="2"/>
      <c r="Y29" s="2"/>
      <c r="Z29" s="2"/>
      <c r="AD29" s="7">
        <f t="shared" si="0"/>
      </c>
    </row>
    <row r="30" spans="9:30" x14ac:dyDescent="0.25">
      <c r="I30" s="2"/>
      <c r="P30" s="2"/>
      <c r="W30" s="2"/>
      <c r="X30" s="2"/>
      <c r="Y30" s="2"/>
      <c r="Z30" s="2"/>
      <c r="AD30" s="7">
        <f t="shared" si="0"/>
      </c>
    </row>
    <row r="31" spans="9:30" x14ac:dyDescent="0.25">
      <c r="I31" s="2"/>
      <c r="P31" s="2"/>
      <c r="W31" s="2"/>
      <c r="X31" s="2"/>
      <c r="Y31" s="2"/>
      <c r="Z31" s="2"/>
      <c r="AD31" s="7">
        <f t="shared" si="0"/>
      </c>
    </row>
    <row r="32" spans="9:30" x14ac:dyDescent="0.25">
      <c r="I32" s="2"/>
      <c r="P32" s="2"/>
      <c r="W32" s="2"/>
      <c r="X32" s="2"/>
      <c r="Y32" s="2"/>
      <c r="Z32" s="2"/>
      <c r="AD32" s="7">
        <f t="shared" si="0"/>
      </c>
    </row>
    <row r="33" spans="9:30" x14ac:dyDescent="0.25">
      <c r="I33" s="2"/>
      <c r="P33" s="2"/>
      <c r="W33" s="2"/>
      <c r="X33" s="2"/>
      <c r="Y33" s="2"/>
      <c r="Z33" s="2"/>
      <c r="AD33" s="7">
        <f t="shared" si="0"/>
      </c>
    </row>
    <row r="34" spans="9:30" x14ac:dyDescent="0.25">
      <c r="I34" s="2"/>
      <c r="P34" s="2"/>
      <c r="W34" s="2"/>
      <c r="X34" s="2"/>
      <c r="Y34" s="2"/>
      <c r="Z34" s="2"/>
      <c r="AD34" s="7">
        <f t="shared" si="0"/>
      </c>
    </row>
    <row r="35" spans="9:30" x14ac:dyDescent="0.25">
      <c r="I35" s="2"/>
      <c r="P35" s="2"/>
      <c r="W35" s="2"/>
      <c r="X35" s="2"/>
      <c r="Y35" s="2"/>
      <c r="Z35" s="2"/>
      <c r="AD35" s="7">
        <f t="shared" si="0"/>
      </c>
    </row>
    <row r="36" spans="9:30" x14ac:dyDescent="0.25">
      <c r="I36" s="2"/>
      <c r="P36" s="2"/>
      <c r="W36" s="2"/>
      <c r="X36" s="2"/>
      <c r="Y36" s="2"/>
      <c r="Z36" s="2"/>
      <c r="AD36" s="7">
        <f t="shared" si="0"/>
      </c>
    </row>
    <row r="37" spans="9:30" x14ac:dyDescent="0.25">
      <c r="I37" s="2"/>
      <c r="P37" s="2"/>
      <c r="W37" s="2"/>
      <c r="X37" s="2"/>
      <c r="Y37" s="2"/>
      <c r="Z37" s="2"/>
      <c r="AD37" s="7">
        <f t="shared" si="0"/>
      </c>
    </row>
    <row r="38" spans="9:30" x14ac:dyDescent="0.25">
      <c r="I38" s="2"/>
      <c r="P38" s="2"/>
      <c r="W38" s="2"/>
      <c r="X38" s="2"/>
      <c r="Y38" s="2"/>
      <c r="Z38" s="2"/>
      <c r="AD38" s="7">
        <f t="shared" si="0"/>
      </c>
    </row>
    <row r="39" spans="9:30" x14ac:dyDescent="0.25">
      <c r="I39" s="2"/>
      <c r="P39" s="2"/>
      <c r="W39" s="2"/>
      <c r="X39" s="2"/>
      <c r="Y39" s="2"/>
      <c r="Z39" s="2"/>
      <c r="AD39" s="7">
        <f t="shared" si="0"/>
      </c>
    </row>
    <row r="40" spans="9:30" x14ac:dyDescent="0.25">
      <c r="I40" s="2"/>
      <c r="P40" s="2"/>
      <c r="W40" s="2"/>
      <c r="X40" s="2"/>
      <c r="Y40" s="2"/>
      <c r="Z40" s="2"/>
      <c r="AD40" s="7">
        <f t="shared" si="0"/>
      </c>
    </row>
    <row r="41" spans="9:30" x14ac:dyDescent="0.25">
      <c r="I41" s="2"/>
      <c r="P41" s="2"/>
      <c r="W41" s="2"/>
      <c r="X41" s="2"/>
      <c r="Y41" s="2"/>
      <c r="Z41" s="2"/>
      <c r="AD41" s="7">
        <f t="shared" si="0"/>
      </c>
    </row>
    <row r="42" spans="9:30" x14ac:dyDescent="0.25">
      <c r="I42" s="2"/>
      <c r="P42" s="2"/>
      <c r="W42" s="2"/>
      <c r="X42" s="2"/>
      <c r="Y42" s="2"/>
      <c r="Z42" s="2"/>
      <c r="AD42" s="7">
        <f t="shared" si="0"/>
      </c>
    </row>
    <row r="43" spans="9:30" x14ac:dyDescent="0.25">
      <c r="I43" s="2"/>
      <c r="P43" s="2"/>
      <c r="W43" s="2"/>
      <c r="X43" s="2"/>
      <c r="Y43" s="2"/>
      <c r="Z43" s="2"/>
      <c r="AD43" s="7">
        <f t="shared" si="0"/>
      </c>
    </row>
    <row r="44" spans="9:30" x14ac:dyDescent="0.25">
      <c r="I44" s="2"/>
      <c r="P44" s="2"/>
      <c r="W44" s="2"/>
      <c r="X44" s="2"/>
      <c r="Y44" s="2"/>
      <c r="Z44" s="2"/>
      <c r="AD44" s="7">
        <f t="shared" si="0"/>
      </c>
    </row>
    <row r="45" spans="9:30" x14ac:dyDescent="0.25">
      <c r="I45" s="2"/>
      <c r="P45" s="2"/>
      <c r="W45" s="2"/>
      <c r="X45" s="2"/>
      <c r="Y45" s="2"/>
      <c r="Z45" s="2"/>
      <c r="AD45" s="7">
        <f t="shared" si="0"/>
      </c>
    </row>
    <row r="46" spans="9:30" x14ac:dyDescent="0.25">
      <c r="I46" s="2"/>
      <c r="P46" s="2"/>
      <c r="W46" s="2"/>
      <c r="X46" s="2"/>
      <c r="Y46" s="2"/>
      <c r="Z46" s="2"/>
      <c r="AD46" s="7">
        <f t="shared" si="0"/>
      </c>
    </row>
    <row r="47" spans="9:30" x14ac:dyDescent="0.25">
      <c r="I47" s="2"/>
      <c r="P47" s="2"/>
      <c r="W47" s="2"/>
      <c r="X47" s="2"/>
      <c r="Y47" s="2"/>
      <c r="Z47" s="2"/>
      <c r="AD47" s="7">
        <f t="shared" si="0"/>
      </c>
    </row>
    <row r="48" spans="9:30" x14ac:dyDescent="0.25">
      <c r="I48" s="2"/>
      <c r="P48" s="2"/>
      <c r="W48" s="2"/>
      <c r="X48" s="2"/>
      <c r="Y48" s="2"/>
      <c r="Z48" s="2"/>
      <c r="AD48" s="7">
        <f t="shared" si="0"/>
      </c>
    </row>
    <row r="49" spans="9:30" x14ac:dyDescent="0.25">
      <c r="I49" s="2"/>
      <c r="P49" s="2"/>
      <c r="W49" s="2"/>
      <c r="X49" s="2"/>
      <c r="Y49" s="2"/>
      <c r="Z49" s="2"/>
      <c r="AD49" s="7">
        <f t="shared" si="0"/>
      </c>
    </row>
    <row r="50" spans="9:30" x14ac:dyDescent="0.25">
      <c r="I50" s="2"/>
      <c r="P50" s="2"/>
      <c r="W50" s="2"/>
      <c r="X50" s="2"/>
      <c r="Y50" s="2"/>
      <c r="Z50" s="2"/>
      <c r="AD50" s="7">
        <f t="shared" si="0"/>
      </c>
    </row>
    <row r="51" spans="9:30" x14ac:dyDescent="0.25">
      <c r="I51" s="2"/>
      <c r="P51" s="2"/>
      <c r="W51" s="2"/>
      <c r="X51" s="2"/>
      <c r="Y51" s="2"/>
      <c r="Z51" s="2"/>
      <c r="AD51" s="7">
        <f t="shared" si="0"/>
      </c>
    </row>
    <row r="52" spans="9:30" x14ac:dyDescent="0.25">
      <c r="I52" s="2"/>
      <c r="P52" s="2"/>
      <c r="W52" s="2"/>
      <c r="X52" s="2"/>
      <c r="Y52" s="2"/>
      <c r="Z52" s="2"/>
      <c r="AD52" s="7">
        <f t="shared" si="0"/>
      </c>
    </row>
    <row r="53" spans="9:30" x14ac:dyDescent="0.25">
      <c r="I53" s="2"/>
      <c r="P53" s="2"/>
      <c r="W53" s="2"/>
      <c r="X53" s="2"/>
      <c r="Y53" s="2"/>
      <c r="Z53" s="2"/>
      <c r="AD53" s="7">
        <f t="shared" si="0"/>
      </c>
    </row>
    <row r="54" spans="9:30" x14ac:dyDescent="0.25">
      <c r="I54" s="2"/>
      <c r="P54" s="2"/>
      <c r="W54" s="2"/>
      <c r="X54" s="2"/>
      <c r="Y54" s="2"/>
      <c r="Z54" s="2"/>
      <c r="AD54" s="7">
        <f t="shared" si="0"/>
      </c>
    </row>
    <row r="55" spans="9:30" x14ac:dyDescent="0.25">
      <c r="I55" s="2"/>
      <c r="P55" s="2"/>
      <c r="W55" s="2"/>
      <c r="X55" s="2"/>
      <c r="Y55" s="2"/>
      <c r="Z55" s="2"/>
      <c r="AD55" s="7">
        <f t="shared" si="0"/>
      </c>
    </row>
    <row r="56" spans="9:30" x14ac:dyDescent="0.25">
      <c r="I56" s="2"/>
      <c r="P56" s="2"/>
      <c r="W56" s="2"/>
      <c r="X56" s="2"/>
      <c r="Y56" s="2"/>
      <c r="Z56" s="2"/>
      <c r="AD56" s="7">
        <f t="shared" si="0"/>
      </c>
    </row>
    <row r="57" spans="9:30" x14ac:dyDescent="0.25">
      <c r="I57" s="2"/>
      <c r="P57" s="2"/>
      <c r="W57" s="2"/>
      <c r="X57" s="2"/>
      <c r="Y57" s="2"/>
      <c r="Z57" s="2"/>
      <c r="AD57" s="7">
        <f t="shared" si="0"/>
      </c>
    </row>
    <row r="58" spans="9:30" x14ac:dyDescent="0.25">
      <c r="I58" s="2"/>
      <c r="P58" s="2"/>
      <c r="W58" s="2"/>
      <c r="X58" s="2"/>
      <c r="Y58" s="2"/>
      <c r="Z58" s="2"/>
      <c r="AD58" s="7">
        <f t="shared" si="0"/>
      </c>
    </row>
    <row r="59" spans="9:30" x14ac:dyDescent="0.25">
      <c r="I59" s="2"/>
      <c r="P59" s="2"/>
      <c r="W59" s="2"/>
      <c r="X59" s="2"/>
      <c r="Y59" s="2"/>
      <c r="Z59" s="2"/>
      <c r="AD59" s="7">
        <f t="shared" si="0"/>
      </c>
    </row>
    <row r="60" spans="9:30" x14ac:dyDescent="0.25">
      <c r="I60" s="2"/>
      <c r="P60" s="2"/>
      <c r="W60" s="2"/>
      <c r="X60" s="2"/>
      <c r="Y60" s="2"/>
      <c r="Z60" s="2"/>
      <c r="AD60" s="7">
        <f t="shared" si="0"/>
      </c>
    </row>
    <row r="61" spans="9:30" x14ac:dyDescent="0.25">
      <c r="I61" s="2"/>
      <c r="P61" s="2"/>
      <c r="W61" s="2"/>
      <c r="X61" s="2"/>
      <c r="Y61" s="2"/>
      <c r="Z61" s="2"/>
      <c r="AD61" s="7">
        <f t="shared" si="0"/>
      </c>
    </row>
    <row r="62" spans="9:30" x14ac:dyDescent="0.25">
      <c r="I62" s="2"/>
      <c r="P62" s="2"/>
      <c r="W62" s="2"/>
      <c r="X62" s="2"/>
      <c r="Y62" s="2"/>
      <c r="Z62" s="2"/>
      <c r="AD62" s="7">
        <f t="shared" si="0"/>
      </c>
    </row>
    <row r="63" spans="9:30" x14ac:dyDescent="0.25">
      <c r="I63" s="2"/>
      <c r="P63" s="2"/>
      <c r="W63" s="2"/>
      <c r="X63" s="2"/>
      <c r="Y63" s="2"/>
      <c r="Z63" s="2"/>
      <c r="AD63" s="7">
        <f t="shared" si="0"/>
      </c>
    </row>
    <row r="64" spans="9:30" x14ac:dyDescent="0.25">
      <c r="I64" s="2"/>
      <c r="P64" s="2"/>
      <c r="W64" s="2"/>
      <c r="X64" s="2"/>
      <c r="Y64" s="2"/>
      <c r="Z64" s="2"/>
      <c r="AD64" s="7">
        <f t="shared" si="0"/>
      </c>
    </row>
    <row r="65" spans="9:30" x14ac:dyDescent="0.25">
      <c r="I65" s="2"/>
      <c r="P65" s="2"/>
      <c r="W65" s="2"/>
      <c r="X65" s="2"/>
      <c r="Y65" s="2"/>
      <c r="Z65" s="2"/>
      <c r="AD65" s="7">
        <f t="shared" si="0"/>
      </c>
    </row>
    <row r="66" spans="9:30" x14ac:dyDescent="0.25">
      <c r="I66" s="2"/>
      <c r="P66" s="2"/>
      <c r="W66" s="2"/>
      <c r="X66" s="2"/>
      <c r="Y66" s="2"/>
      <c r="Z66" s="2"/>
      <c r="AD66" s="7">
        <f t="shared" si="0"/>
      </c>
    </row>
    <row r="67" spans="9:30" x14ac:dyDescent="0.25">
      <c r="I67" s="2"/>
      <c r="P67" s="2"/>
      <c r="W67" s="2"/>
      <c r="X67" s="2"/>
      <c r="Y67" s="2"/>
      <c r="Z67" s="2"/>
      <c r="AD67" s="7">
        <f t="shared" si="0"/>
      </c>
    </row>
    <row r="68" spans="9:30" x14ac:dyDescent="0.25">
      <c r="I68" s="2"/>
      <c r="P68" s="2"/>
      <c r="W68" s="2"/>
      <c r="X68" s="2"/>
      <c r="Y68" s="2"/>
      <c r="Z68" s="2"/>
      <c r="AD68" s="7">
        <f t="shared" si="0"/>
      </c>
    </row>
    <row r="69" spans="9:30" x14ac:dyDescent="0.25">
      <c r="I69" s="2"/>
      <c r="P69" s="2"/>
      <c r="W69" s="2"/>
      <c r="X69" s="2"/>
      <c r="Y69" s="2"/>
      <c r="Z69" s="2"/>
      <c r="AD69" s="7">
        <f t="shared" si="0"/>
      </c>
    </row>
    <row r="70" spans="9:30" x14ac:dyDescent="0.25">
      <c r="I70" s="2"/>
      <c r="P70" s="2"/>
      <c r="W70" s="2"/>
      <c r="X70" s="2"/>
      <c r="Y70" s="2"/>
      <c r="Z70" s="2"/>
      <c r="AD70" s="7">
        <f t="shared" si="0"/>
      </c>
    </row>
    <row r="71" spans="9:30" x14ac:dyDescent="0.25">
      <c r="I71" s="2"/>
      <c r="P71" s="2"/>
      <c r="W71" s="2"/>
      <c r="X71" s="2"/>
      <c r="Y71" s="2"/>
      <c r="Z71" s="2"/>
      <c r="AD71" s="7">
        <f t="shared" si="0"/>
      </c>
    </row>
    <row r="72" spans="9:30" x14ac:dyDescent="0.25">
      <c r="I72" s="2"/>
      <c r="P72" s="2"/>
      <c r="W72" s="2"/>
      <c r="X72" s="2"/>
      <c r="Y72" s="2"/>
      <c r="Z72" s="2"/>
      <c r="AD72" s="7">
        <f t="shared" si="0"/>
      </c>
    </row>
    <row r="73" spans="9:30" x14ac:dyDescent="0.25">
      <c r="I73" s="2"/>
      <c r="P73" s="2"/>
      <c r="W73" s="2"/>
      <c r="X73" s="2"/>
      <c r="Y73" s="2"/>
      <c r="Z73" s="2"/>
      <c r="AD73" s="7">
        <f t="shared" si="0"/>
      </c>
    </row>
    <row r="74" spans="9:30" x14ac:dyDescent="0.25">
      <c r="I74" s="2"/>
      <c r="P74" s="2"/>
      <c r="W74" s="2"/>
      <c r="X74" s="2"/>
      <c r="Y74" s="2"/>
      <c r="Z74" s="2"/>
      <c r="AD74" s="7">
        <f t="shared" ref="AD74:AD137" si="1">IF(P74 = "", "", Y74/P74)</f>
      </c>
    </row>
    <row r="75" spans="9:30" x14ac:dyDescent="0.25">
      <c r="I75" s="2"/>
      <c r="P75" s="2"/>
      <c r="W75" s="2"/>
      <c r="X75" s="2"/>
      <c r="Y75" s="2"/>
      <c r="Z75" s="2"/>
      <c r="AD75" s="7">
        <f t="shared" si="1"/>
      </c>
    </row>
    <row r="76" spans="9:30" x14ac:dyDescent="0.25">
      <c r="I76" s="2"/>
      <c r="P76" s="2"/>
      <c r="W76" s="2"/>
      <c r="X76" s="2"/>
      <c r="Y76" s="2"/>
      <c r="Z76" s="2"/>
      <c r="AD76" s="7">
        <f t="shared" si="1"/>
      </c>
    </row>
    <row r="77" spans="9:30" x14ac:dyDescent="0.25">
      <c r="I77" s="2"/>
      <c r="P77" s="2"/>
      <c r="W77" s="2"/>
      <c r="X77" s="2"/>
      <c r="Y77" s="2"/>
      <c r="Z77" s="2"/>
      <c r="AD77" s="7">
        <f t="shared" si="1"/>
      </c>
    </row>
    <row r="78" spans="9:30" x14ac:dyDescent="0.25">
      <c r="I78" s="2"/>
      <c r="P78" s="2"/>
      <c r="W78" s="2"/>
      <c r="X78" s="2"/>
      <c r="Y78" s="2"/>
      <c r="Z78" s="2"/>
      <c r="AD78" s="7">
        <f t="shared" si="1"/>
      </c>
    </row>
    <row r="79" spans="9:30" x14ac:dyDescent="0.25">
      <c r="I79" s="2"/>
      <c r="P79" s="2"/>
      <c r="W79" s="2"/>
      <c r="X79" s="2"/>
      <c r="Y79" s="2"/>
      <c r="Z79" s="2"/>
      <c r="AD79" s="7">
        <f t="shared" si="1"/>
      </c>
    </row>
    <row r="80" spans="9:30" x14ac:dyDescent="0.25">
      <c r="I80" s="2"/>
      <c r="P80" s="2"/>
      <c r="W80" s="2"/>
      <c r="X80" s="2"/>
      <c r="Y80" s="2"/>
      <c r="Z80" s="2"/>
      <c r="AD80" s="7">
        <f t="shared" si="1"/>
      </c>
    </row>
    <row r="81" spans="9:30" x14ac:dyDescent="0.25">
      <c r="I81" s="2"/>
      <c r="P81" s="2"/>
      <c r="W81" s="2"/>
      <c r="X81" s="2"/>
      <c r="Y81" s="2"/>
      <c r="Z81" s="2"/>
      <c r="AD81" s="7">
        <f t="shared" si="1"/>
      </c>
    </row>
    <row r="82" spans="9:30" x14ac:dyDescent="0.25">
      <c r="I82" s="2"/>
      <c r="P82" s="2"/>
      <c r="W82" s="2"/>
      <c r="X82" s="2"/>
      <c r="Y82" s="2"/>
      <c r="Z82" s="2"/>
      <c r="AD82" s="7">
        <f t="shared" si="1"/>
      </c>
    </row>
    <row r="83" spans="9:30" x14ac:dyDescent="0.25">
      <c r="I83" s="2"/>
      <c r="P83" s="2"/>
      <c r="W83" s="2"/>
      <c r="X83" s="2"/>
      <c r="Y83" s="2"/>
      <c r="Z83" s="2"/>
      <c r="AD83" s="7">
        <f t="shared" si="1"/>
      </c>
    </row>
    <row r="84" spans="9:30" x14ac:dyDescent="0.25">
      <c r="I84" s="2"/>
      <c r="P84" s="2"/>
      <c r="W84" s="2"/>
      <c r="X84" s="2"/>
      <c r="Y84" s="2"/>
      <c r="Z84" s="2"/>
      <c r="AD84" s="7">
        <f t="shared" si="1"/>
      </c>
    </row>
    <row r="85" spans="9:30" x14ac:dyDescent="0.25">
      <c r="I85" s="2"/>
      <c r="P85" s="2"/>
      <c r="W85" s="2"/>
      <c r="X85" s="2"/>
      <c r="Y85" s="2"/>
      <c r="Z85" s="2"/>
      <c r="AD85" s="7">
        <f t="shared" si="1"/>
      </c>
    </row>
    <row r="86" spans="9:30" x14ac:dyDescent="0.25">
      <c r="I86" s="2"/>
      <c r="P86" s="2"/>
      <c r="W86" s="2"/>
      <c r="X86" s="2"/>
      <c r="Y86" s="2"/>
      <c r="Z86" s="2"/>
      <c r="AD86" s="7">
        <f t="shared" si="1"/>
      </c>
    </row>
    <row r="87" spans="9:30" x14ac:dyDescent="0.25">
      <c r="I87" s="2"/>
      <c r="P87" s="2"/>
      <c r="W87" s="2"/>
      <c r="X87" s="2"/>
      <c r="Y87" s="2"/>
      <c r="Z87" s="2"/>
      <c r="AD87" s="7">
        <f t="shared" si="1"/>
      </c>
    </row>
    <row r="88" spans="9:30" x14ac:dyDescent="0.25">
      <c r="I88" s="2"/>
      <c r="P88" s="2"/>
      <c r="W88" s="2"/>
      <c r="X88" s="2"/>
      <c r="Y88" s="2"/>
      <c r="Z88" s="2"/>
      <c r="AD88" s="7">
        <f t="shared" si="1"/>
      </c>
    </row>
    <row r="89" spans="9:30" x14ac:dyDescent="0.25">
      <c r="I89" s="2"/>
      <c r="P89" s="2"/>
      <c r="W89" s="2"/>
      <c r="X89" s="2"/>
      <c r="Y89" s="2"/>
      <c r="Z89" s="2"/>
      <c r="AD89" s="7">
        <f t="shared" si="1"/>
      </c>
    </row>
    <row r="90" spans="9:30" x14ac:dyDescent="0.25">
      <c r="I90" s="2"/>
      <c r="P90" s="2"/>
      <c r="W90" s="2"/>
      <c r="X90" s="2"/>
      <c r="Y90" s="2"/>
      <c r="Z90" s="2"/>
      <c r="AD90" s="7">
        <f t="shared" si="1"/>
      </c>
    </row>
    <row r="91" spans="9:30" x14ac:dyDescent="0.25">
      <c r="I91" s="2"/>
      <c r="P91" s="2"/>
      <c r="W91" s="2"/>
      <c r="X91" s="2"/>
      <c r="Y91" s="2"/>
      <c r="Z91" s="2"/>
      <c r="AD91" s="7">
        <f t="shared" si="1"/>
      </c>
    </row>
    <row r="92" spans="9:30" x14ac:dyDescent="0.25">
      <c r="I92" s="2"/>
      <c r="P92" s="2"/>
      <c r="W92" s="2"/>
      <c r="X92" s="2"/>
      <c r="Y92" s="2"/>
      <c r="Z92" s="2"/>
      <c r="AD92" s="7">
        <f t="shared" si="1"/>
      </c>
    </row>
    <row r="93" spans="9:30" x14ac:dyDescent="0.25">
      <c r="I93" s="2"/>
      <c r="P93" s="2"/>
      <c r="W93" s="2"/>
      <c r="X93" s="2"/>
      <c r="Y93" s="2"/>
      <c r="Z93" s="2"/>
      <c r="AD93" s="7">
        <f t="shared" si="1"/>
      </c>
    </row>
    <row r="94" spans="9:30" x14ac:dyDescent="0.25">
      <c r="I94" s="2"/>
      <c r="P94" s="2"/>
      <c r="W94" s="2"/>
      <c r="X94" s="2"/>
      <c r="Y94" s="2"/>
      <c r="Z94" s="2"/>
      <c r="AD94" s="7">
        <f t="shared" si="1"/>
      </c>
    </row>
    <row r="95" spans="9:30" x14ac:dyDescent="0.25">
      <c r="I95" s="2"/>
      <c r="P95" s="2"/>
      <c r="W95" s="2"/>
      <c r="X95" s="2"/>
      <c r="Y95" s="2"/>
      <c r="Z95" s="2"/>
      <c r="AD95" s="7">
        <f t="shared" si="1"/>
      </c>
    </row>
    <row r="96" spans="9:30" x14ac:dyDescent="0.25">
      <c r="I96" s="2"/>
      <c r="P96" s="2"/>
      <c r="W96" s="2"/>
      <c r="X96" s="2"/>
      <c r="Y96" s="2"/>
      <c r="Z96" s="2"/>
      <c r="AD96" s="7">
        <f t="shared" si="1"/>
      </c>
    </row>
    <row r="97" spans="9:30" x14ac:dyDescent="0.25">
      <c r="I97" s="2"/>
      <c r="P97" s="2"/>
      <c r="W97" s="2"/>
      <c r="X97" s="2"/>
      <c r="Y97" s="2"/>
      <c r="Z97" s="2"/>
      <c r="AD97" s="7">
        <f t="shared" si="1"/>
      </c>
    </row>
    <row r="98" spans="9:30" x14ac:dyDescent="0.25">
      <c r="I98" s="2"/>
      <c r="P98" s="2"/>
      <c r="W98" s="2"/>
      <c r="X98" s="2"/>
      <c r="Y98" s="2"/>
      <c r="Z98" s="2"/>
      <c r="AD98" s="7">
        <f t="shared" si="1"/>
      </c>
    </row>
    <row r="99" spans="9:30" x14ac:dyDescent="0.25">
      <c r="I99" s="2"/>
      <c r="P99" s="2"/>
      <c r="W99" s="2"/>
      <c r="X99" s="2"/>
      <c r="Y99" s="2"/>
      <c r="Z99" s="2"/>
      <c r="AD99" s="7">
        <f t="shared" si="1"/>
      </c>
    </row>
    <row r="100" spans="9:30" x14ac:dyDescent="0.25">
      <c r="I100" s="2"/>
      <c r="P100" s="2"/>
      <c r="W100" s="2"/>
      <c r="X100" s="2"/>
      <c r="Y100" s="2"/>
      <c r="Z100" s="2"/>
      <c r="AD100" s="7">
        <f t="shared" si="1"/>
      </c>
    </row>
    <row r="101" spans="9:30" x14ac:dyDescent="0.25">
      <c r="I101" s="2"/>
      <c r="P101" s="2"/>
      <c r="W101" s="2"/>
      <c r="X101" s="2"/>
      <c r="Y101" s="2"/>
      <c r="Z101" s="2"/>
      <c r="AD101" s="7">
        <f t="shared" si="1"/>
      </c>
    </row>
    <row r="102" spans="9:30" x14ac:dyDescent="0.25">
      <c r="I102" s="2"/>
      <c r="P102" s="2"/>
      <c r="W102" s="2"/>
      <c r="X102" s="2"/>
      <c r="Y102" s="2"/>
      <c r="Z102" s="2"/>
      <c r="AD102" s="7">
        <f t="shared" si="1"/>
      </c>
    </row>
    <row r="103" spans="9:30" x14ac:dyDescent="0.25">
      <c r="I103" s="2"/>
      <c r="P103" s="2"/>
      <c r="W103" s="2"/>
      <c r="X103" s="2"/>
      <c r="Y103" s="2"/>
      <c r="Z103" s="2"/>
      <c r="AD103" s="7">
        <f t="shared" si="1"/>
      </c>
    </row>
    <row r="104" spans="9:30" x14ac:dyDescent="0.25">
      <c r="I104" s="2"/>
      <c r="P104" s="2"/>
      <c r="W104" s="2"/>
      <c r="X104" s="2"/>
      <c r="Y104" s="2"/>
      <c r="Z104" s="2"/>
      <c r="AD104" s="7">
        <f t="shared" si="1"/>
      </c>
    </row>
    <row r="105" spans="9:30" x14ac:dyDescent="0.25">
      <c r="I105" s="2"/>
      <c r="P105" s="2"/>
      <c r="W105" s="2"/>
      <c r="X105" s="2"/>
      <c r="Y105" s="2"/>
      <c r="Z105" s="2"/>
      <c r="AD105" s="7">
        <f t="shared" si="1"/>
      </c>
    </row>
    <row r="106" spans="9:30" x14ac:dyDescent="0.25">
      <c r="I106" s="2"/>
      <c r="P106" s="2"/>
      <c r="W106" s="2"/>
      <c r="X106" s="2"/>
      <c r="Y106" s="2"/>
      <c r="Z106" s="2"/>
      <c r="AD106" s="7">
        <f t="shared" si="1"/>
      </c>
    </row>
    <row r="107" spans="9:30" x14ac:dyDescent="0.25">
      <c r="I107" s="2"/>
      <c r="P107" s="2"/>
      <c r="W107" s="2"/>
      <c r="X107" s="2"/>
      <c r="Y107" s="2"/>
      <c r="Z107" s="2"/>
      <c r="AD107" s="7">
        <f t="shared" si="1"/>
      </c>
    </row>
    <row r="108" spans="9:30" x14ac:dyDescent="0.25">
      <c r="I108" s="2"/>
      <c r="P108" s="2"/>
      <c r="W108" s="2"/>
      <c r="X108" s="2"/>
      <c r="Y108" s="2"/>
      <c r="Z108" s="2"/>
      <c r="AD108" s="7">
        <f t="shared" si="1"/>
      </c>
    </row>
    <row r="109" spans="9:30" x14ac:dyDescent="0.25">
      <c r="I109" s="2"/>
      <c r="P109" s="2"/>
      <c r="W109" s="2"/>
      <c r="X109" s="2"/>
      <c r="Y109" s="2"/>
      <c r="Z109" s="2"/>
      <c r="AD109" s="7">
        <f t="shared" si="1"/>
      </c>
    </row>
    <row r="110" spans="9:30" x14ac:dyDescent="0.25">
      <c r="I110" s="2"/>
      <c r="P110" s="2"/>
      <c r="W110" s="2"/>
      <c r="X110" s="2"/>
      <c r="Y110" s="2"/>
      <c r="Z110" s="2"/>
      <c r="AD110" s="7">
        <f t="shared" si="1"/>
      </c>
    </row>
    <row r="111" spans="9:30" x14ac:dyDescent="0.25">
      <c r="I111" s="2"/>
      <c r="P111" s="2"/>
      <c r="W111" s="2"/>
      <c r="X111" s="2"/>
      <c r="Y111" s="2"/>
      <c r="Z111" s="2"/>
      <c r="AD111" s="7">
        <f t="shared" si="1"/>
      </c>
    </row>
    <row r="112" spans="9:30" x14ac:dyDescent="0.25">
      <c r="I112" s="2"/>
      <c r="P112" s="2"/>
      <c r="W112" s="2"/>
      <c r="X112" s="2"/>
      <c r="Y112" s="2"/>
      <c r="Z112" s="2"/>
      <c r="AD112" s="7">
        <f t="shared" si="1"/>
      </c>
    </row>
    <row r="113" spans="9:30" x14ac:dyDescent="0.25">
      <c r="I113" s="2"/>
      <c r="P113" s="2"/>
      <c r="W113" s="2"/>
      <c r="X113" s="2"/>
      <c r="Y113" s="2"/>
      <c r="Z113" s="2"/>
      <c r="AD113" s="7">
        <f t="shared" si="1"/>
      </c>
    </row>
    <row r="114" spans="9:30" x14ac:dyDescent="0.25">
      <c r="I114" s="2"/>
      <c r="P114" s="2"/>
      <c r="W114" s="2"/>
      <c r="X114" s="2"/>
      <c r="Y114" s="2"/>
      <c r="Z114" s="2"/>
      <c r="AD114" s="7">
        <f t="shared" si="1"/>
      </c>
    </row>
    <row r="115" spans="9:30" x14ac:dyDescent="0.25">
      <c r="I115" s="2"/>
      <c r="P115" s="2"/>
      <c r="W115" s="2"/>
      <c r="X115" s="2"/>
      <c r="Y115" s="2"/>
      <c r="Z115" s="2"/>
      <c r="AD115" s="7">
        <f t="shared" si="1"/>
      </c>
    </row>
    <row r="116" spans="9:30" x14ac:dyDescent="0.25">
      <c r="I116" s="2"/>
      <c r="P116" s="2"/>
      <c r="W116" s="2"/>
      <c r="X116" s="2"/>
      <c r="Y116" s="2"/>
      <c r="Z116" s="2"/>
      <c r="AD116" s="7">
        <f t="shared" si="1"/>
      </c>
    </row>
    <row r="117" spans="9:30" x14ac:dyDescent="0.25">
      <c r="I117" s="2"/>
      <c r="P117" s="2"/>
      <c r="W117" s="2"/>
      <c r="X117" s="2"/>
      <c r="Y117" s="2"/>
      <c r="Z117" s="2"/>
      <c r="AD117" s="7">
        <f t="shared" si="1"/>
      </c>
    </row>
    <row r="118" spans="9:30" x14ac:dyDescent="0.25">
      <c r="I118" s="2"/>
      <c r="P118" s="2"/>
      <c r="W118" s="2"/>
      <c r="X118" s="2"/>
      <c r="Y118" s="2"/>
      <c r="Z118" s="2"/>
      <c r="AD118" s="7">
        <f t="shared" si="1"/>
      </c>
    </row>
    <row r="119" spans="9:30" x14ac:dyDescent="0.25">
      <c r="I119" s="2"/>
      <c r="P119" s="2"/>
      <c r="W119" s="2"/>
      <c r="X119" s="2"/>
      <c r="Y119" s="2"/>
      <c r="Z119" s="2"/>
      <c r="AD119" s="7">
        <f t="shared" si="1"/>
      </c>
    </row>
    <row r="120" spans="9:30" x14ac:dyDescent="0.25">
      <c r="I120" s="2"/>
      <c r="P120" s="2"/>
      <c r="W120" s="2"/>
      <c r="X120" s="2"/>
      <c r="Y120" s="2"/>
      <c r="Z120" s="2"/>
      <c r="AD120" s="7">
        <f t="shared" si="1"/>
      </c>
    </row>
    <row r="121" spans="9:30" x14ac:dyDescent="0.25">
      <c r="I121" s="2"/>
      <c r="P121" s="2"/>
      <c r="W121" s="2"/>
      <c r="X121" s="2"/>
      <c r="Y121" s="2"/>
      <c r="Z121" s="2"/>
      <c r="AD121" s="7">
        <f t="shared" si="1"/>
      </c>
    </row>
    <row r="122" spans="9:30" x14ac:dyDescent="0.25">
      <c r="I122" s="2"/>
      <c r="P122" s="2"/>
      <c r="W122" s="2"/>
      <c r="X122" s="2"/>
      <c r="Y122" s="2"/>
      <c r="Z122" s="2"/>
      <c r="AD122" s="7">
        <f t="shared" si="1"/>
      </c>
    </row>
    <row r="123" spans="9:30" x14ac:dyDescent="0.25">
      <c r="I123" s="2"/>
      <c r="P123" s="2"/>
      <c r="W123" s="2"/>
      <c r="X123" s="2"/>
      <c r="Y123" s="2"/>
      <c r="Z123" s="2"/>
      <c r="AD123" s="7">
        <f t="shared" si="1"/>
      </c>
    </row>
    <row r="124" spans="9:30" x14ac:dyDescent="0.25">
      <c r="I124" s="2"/>
      <c r="P124" s="2"/>
      <c r="W124" s="2"/>
      <c r="X124" s="2"/>
      <c r="Y124" s="2"/>
      <c r="Z124" s="2"/>
      <c r="AD124" s="7">
        <f t="shared" si="1"/>
      </c>
    </row>
    <row r="125" spans="9:30" x14ac:dyDescent="0.25">
      <c r="I125" s="2"/>
      <c r="P125" s="2"/>
      <c r="W125" s="2"/>
      <c r="X125" s="2"/>
      <c r="Y125" s="2"/>
      <c r="Z125" s="2"/>
      <c r="AD125" s="7">
        <f t="shared" si="1"/>
      </c>
    </row>
    <row r="126" spans="9:30" x14ac:dyDescent="0.25">
      <c r="I126" s="2"/>
      <c r="P126" s="2"/>
      <c r="W126" s="2"/>
      <c r="X126" s="2"/>
      <c r="Y126" s="2"/>
      <c r="Z126" s="2"/>
      <c r="AD126" s="7">
        <f t="shared" si="1"/>
      </c>
    </row>
    <row r="127" spans="9:30" x14ac:dyDescent="0.25">
      <c r="I127" s="2"/>
      <c r="P127" s="2"/>
      <c r="W127" s="2"/>
      <c r="X127" s="2"/>
      <c r="Y127" s="2"/>
      <c r="Z127" s="2"/>
      <c r="AD127" s="7">
        <f t="shared" si="1"/>
      </c>
    </row>
    <row r="128" spans="9:30" x14ac:dyDescent="0.25">
      <c r="I128" s="2"/>
      <c r="P128" s="2"/>
      <c r="W128" s="2"/>
      <c r="X128" s="2"/>
      <c r="Y128" s="2"/>
      <c r="Z128" s="2"/>
      <c r="AD128" s="7">
        <f t="shared" si="1"/>
      </c>
    </row>
    <row r="129" spans="9:30" x14ac:dyDescent="0.25">
      <c r="I129" s="2"/>
      <c r="P129" s="2"/>
      <c r="W129" s="2"/>
      <c r="X129" s="2"/>
      <c r="Y129" s="2"/>
      <c r="Z129" s="2"/>
      <c r="AD129" s="7">
        <f t="shared" si="1"/>
      </c>
    </row>
    <row r="130" spans="9:30" x14ac:dyDescent="0.25">
      <c r="I130" s="2"/>
      <c r="P130" s="2"/>
      <c r="W130" s="2"/>
      <c r="X130" s="2"/>
      <c r="Y130" s="2"/>
      <c r="Z130" s="2"/>
      <c r="AD130" s="7">
        <f t="shared" si="1"/>
      </c>
    </row>
    <row r="131" spans="9:30" x14ac:dyDescent="0.25">
      <c r="I131" s="2"/>
      <c r="P131" s="2"/>
      <c r="W131" s="2"/>
      <c r="X131" s="2"/>
      <c r="Y131" s="2"/>
      <c r="Z131" s="2"/>
      <c r="AD131" s="7">
        <f t="shared" si="1"/>
      </c>
    </row>
    <row r="132" spans="9:30" x14ac:dyDescent="0.25">
      <c r="I132" s="2"/>
      <c r="P132" s="2"/>
      <c r="W132" s="2"/>
      <c r="X132" s="2"/>
      <c r="Y132" s="2"/>
      <c r="Z132" s="2"/>
      <c r="AD132" s="7">
        <f t="shared" si="1"/>
      </c>
    </row>
    <row r="133" spans="9:30" x14ac:dyDescent="0.25">
      <c r="I133" s="2"/>
      <c r="P133" s="2"/>
      <c r="W133" s="2"/>
      <c r="X133" s="2"/>
      <c r="Y133" s="2"/>
      <c r="Z133" s="2"/>
      <c r="AD133" s="7">
        <f t="shared" si="1"/>
      </c>
    </row>
    <row r="134" spans="9:30" x14ac:dyDescent="0.25">
      <c r="I134" s="2"/>
      <c r="P134" s="2"/>
      <c r="W134" s="2"/>
      <c r="X134" s="2"/>
      <c r="Y134" s="2"/>
      <c r="Z134" s="2"/>
      <c r="AD134" s="7">
        <f t="shared" si="1"/>
      </c>
    </row>
    <row r="135" spans="9:30" x14ac:dyDescent="0.25">
      <c r="I135" s="2"/>
      <c r="P135" s="2"/>
      <c r="W135" s="2"/>
      <c r="X135" s="2"/>
      <c r="Y135" s="2"/>
      <c r="Z135" s="2"/>
      <c r="AD135" s="7">
        <f t="shared" si="1"/>
      </c>
    </row>
    <row r="136" spans="9:30" x14ac:dyDescent="0.25">
      <c r="I136" s="2"/>
      <c r="P136" s="2"/>
      <c r="W136" s="2"/>
      <c r="X136" s="2"/>
      <c r="Y136" s="2"/>
      <c r="Z136" s="2"/>
      <c r="AD136" s="7">
        <f t="shared" si="1"/>
      </c>
    </row>
    <row r="137" spans="9:30" x14ac:dyDescent="0.25">
      <c r="I137" s="2"/>
      <c r="P137" s="2"/>
      <c r="W137" s="2"/>
      <c r="X137" s="2"/>
      <c r="Y137" s="2"/>
      <c r="Z137" s="2"/>
      <c r="AD137" s="7">
        <f t="shared" si="1"/>
      </c>
    </row>
    <row r="138" spans="9:30" x14ac:dyDescent="0.25">
      <c r="I138" s="2"/>
      <c r="P138" s="2"/>
      <c r="W138" s="2"/>
      <c r="X138" s="2"/>
      <c r="Y138" s="2"/>
      <c r="Z138" s="2"/>
      <c r="AD138" s="7">
        <f t="shared" ref="AD138:AD201" si="2">IF(P138 = "", "", Y138/P138)</f>
      </c>
    </row>
    <row r="139" spans="9:30" x14ac:dyDescent="0.25">
      <c r="I139" s="2"/>
      <c r="P139" s="2"/>
      <c r="W139" s="2"/>
      <c r="X139" s="2"/>
      <c r="Y139" s="2"/>
      <c r="Z139" s="2"/>
      <c r="AD139" s="7">
        <f t="shared" si="2"/>
      </c>
    </row>
    <row r="140" spans="9:30" x14ac:dyDescent="0.25">
      <c r="I140" s="2"/>
      <c r="P140" s="2"/>
      <c r="W140" s="2"/>
      <c r="X140" s="2"/>
      <c r="Y140" s="2"/>
      <c r="Z140" s="2"/>
      <c r="AD140" s="7">
        <f t="shared" si="2"/>
      </c>
    </row>
    <row r="141" spans="9:30" x14ac:dyDescent="0.25">
      <c r="I141" s="2"/>
      <c r="P141" s="2"/>
      <c r="W141" s="2"/>
      <c r="X141" s="2"/>
      <c r="Y141" s="2"/>
      <c r="Z141" s="2"/>
      <c r="AD141" s="7">
        <f t="shared" si="2"/>
      </c>
    </row>
    <row r="142" spans="9:30" x14ac:dyDescent="0.25">
      <c r="I142" s="2"/>
      <c r="P142" s="2"/>
      <c r="W142" s="2"/>
      <c r="X142" s="2"/>
      <c r="Y142" s="2"/>
      <c r="Z142" s="2"/>
      <c r="AD142" s="7">
        <f t="shared" si="2"/>
      </c>
    </row>
    <row r="143" spans="9:30" x14ac:dyDescent="0.25">
      <c r="I143" s="2"/>
      <c r="P143" s="2"/>
      <c r="W143" s="2"/>
      <c r="X143" s="2"/>
      <c r="Y143" s="2"/>
      <c r="Z143" s="2"/>
      <c r="AD143" s="7">
        <f t="shared" si="2"/>
      </c>
    </row>
    <row r="144" spans="9:30" x14ac:dyDescent="0.25">
      <c r="I144" s="2"/>
      <c r="P144" s="2"/>
      <c r="W144" s="2"/>
      <c r="X144" s="2"/>
      <c r="Y144" s="2"/>
      <c r="Z144" s="2"/>
      <c r="AD144" s="7">
        <f t="shared" si="2"/>
      </c>
    </row>
    <row r="145" spans="9:30" x14ac:dyDescent="0.25">
      <c r="I145" s="2"/>
      <c r="P145" s="2"/>
      <c r="W145" s="2"/>
      <c r="X145" s="2"/>
      <c r="Y145" s="2"/>
      <c r="Z145" s="2"/>
      <c r="AD145" s="7">
        <f t="shared" si="2"/>
      </c>
    </row>
    <row r="146" spans="9:30" x14ac:dyDescent="0.25">
      <c r="I146" s="2"/>
      <c r="P146" s="2"/>
      <c r="W146" s="2"/>
      <c r="X146" s="2"/>
      <c r="Y146" s="2"/>
      <c r="Z146" s="2"/>
      <c r="AD146" s="7">
        <f t="shared" si="2"/>
      </c>
    </row>
    <row r="147" spans="9:30" x14ac:dyDescent="0.25">
      <c r="I147" s="2"/>
      <c r="P147" s="2"/>
      <c r="W147" s="2"/>
      <c r="X147" s="2"/>
      <c r="Y147" s="2"/>
      <c r="Z147" s="2"/>
      <c r="AD147" s="7">
        <f t="shared" si="2"/>
      </c>
    </row>
    <row r="148" spans="9:30" x14ac:dyDescent="0.25">
      <c r="I148" s="2"/>
      <c r="P148" s="2"/>
      <c r="W148" s="2"/>
      <c r="X148" s="2"/>
      <c r="Y148" s="2"/>
      <c r="Z148" s="2"/>
      <c r="AD148" s="7">
        <f t="shared" si="2"/>
      </c>
    </row>
    <row r="149" spans="9:30" x14ac:dyDescent="0.25">
      <c r="I149" s="2"/>
      <c r="P149" s="2"/>
      <c r="W149" s="2"/>
      <c r="X149" s="2"/>
      <c r="Y149" s="2"/>
      <c r="Z149" s="2"/>
      <c r="AD149" s="7">
        <f t="shared" si="2"/>
      </c>
    </row>
    <row r="150" spans="9:30" x14ac:dyDescent="0.25">
      <c r="I150" s="2"/>
      <c r="P150" s="2"/>
      <c r="W150" s="2"/>
      <c r="X150" s="2"/>
      <c r="Y150" s="2"/>
      <c r="Z150" s="2"/>
      <c r="AD150" s="7">
        <f t="shared" si="2"/>
      </c>
    </row>
    <row r="151" spans="9:30" x14ac:dyDescent="0.25">
      <c r="I151" s="2"/>
      <c r="P151" s="2"/>
      <c r="W151" s="2"/>
      <c r="X151" s="2"/>
      <c r="Y151" s="2"/>
      <c r="Z151" s="2"/>
      <c r="AD151" s="7">
        <f t="shared" si="2"/>
      </c>
    </row>
    <row r="152" spans="9:30" x14ac:dyDescent="0.25">
      <c r="I152" s="2"/>
      <c r="P152" s="2"/>
      <c r="W152" s="2"/>
      <c r="X152" s="2"/>
      <c r="Y152" s="2"/>
      <c r="Z152" s="2"/>
      <c r="AD152" s="7">
        <f t="shared" si="2"/>
      </c>
    </row>
    <row r="153" spans="9:30" x14ac:dyDescent="0.25">
      <c r="I153" s="2"/>
      <c r="P153" s="2"/>
      <c r="W153" s="2"/>
      <c r="X153" s="2"/>
      <c r="Y153" s="2"/>
      <c r="Z153" s="2"/>
      <c r="AD153" s="7">
        <f t="shared" si="2"/>
      </c>
    </row>
    <row r="154" spans="9:30" x14ac:dyDescent="0.25">
      <c r="I154" s="2"/>
      <c r="P154" s="2"/>
      <c r="W154" s="2"/>
      <c r="X154" s="2"/>
      <c r="Y154" s="2"/>
      <c r="Z154" s="2"/>
      <c r="AD154" s="7">
        <f t="shared" si="2"/>
      </c>
    </row>
    <row r="155" spans="9:30" x14ac:dyDescent="0.25">
      <c r="I155" s="2"/>
      <c r="P155" s="2"/>
      <c r="W155" s="2"/>
      <c r="X155" s="2"/>
      <c r="Y155" s="2"/>
      <c r="Z155" s="2"/>
      <c r="AD155" s="7">
        <f t="shared" si="2"/>
      </c>
    </row>
    <row r="156" spans="9:30" x14ac:dyDescent="0.25">
      <c r="I156" s="2"/>
      <c r="P156" s="2"/>
      <c r="W156" s="2"/>
      <c r="X156" s="2"/>
      <c r="Y156" s="2"/>
      <c r="Z156" s="2"/>
      <c r="AD156" s="7">
        <f t="shared" si="2"/>
      </c>
    </row>
    <row r="157" spans="9:30" x14ac:dyDescent="0.25">
      <c r="I157" s="2"/>
      <c r="P157" s="2"/>
      <c r="W157" s="2"/>
      <c r="X157" s="2"/>
      <c r="Y157" s="2"/>
      <c r="Z157" s="2"/>
      <c r="AD157" s="7">
        <f t="shared" si="2"/>
      </c>
    </row>
    <row r="158" spans="9:30" x14ac:dyDescent="0.25">
      <c r="I158" s="2"/>
      <c r="P158" s="2"/>
      <c r="W158" s="2"/>
      <c r="X158" s="2"/>
      <c r="Y158" s="2"/>
      <c r="Z158" s="2"/>
      <c r="AD158" s="7">
        <f t="shared" si="2"/>
      </c>
    </row>
    <row r="159" spans="9:30" x14ac:dyDescent="0.25">
      <c r="I159" s="2"/>
      <c r="P159" s="2"/>
      <c r="W159" s="2"/>
      <c r="X159" s="2"/>
      <c r="Y159" s="2"/>
      <c r="Z159" s="2"/>
      <c r="AD159" s="7">
        <f t="shared" si="2"/>
      </c>
    </row>
    <row r="160" spans="9:30" x14ac:dyDescent="0.25">
      <c r="I160" s="2"/>
      <c r="P160" s="2"/>
      <c r="W160" s="2"/>
      <c r="X160" s="2"/>
      <c r="Y160" s="2"/>
      <c r="Z160" s="2"/>
      <c r="AD160" s="7">
        <f t="shared" si="2"/>
      </c>
    </row>
    <row r="161" spans="9:30" x14ac:dyDescent="0.25">
      <c r="I161" s="2"/>
      <c r="P161" s="2"/>
      <c r="W161" s="2"/>
      <c r="X161" s="2"/>
      <c r="Y161" s="2"/>
      <c r="Z161" s="2"/>
      <c r="AD161" s="7">
        <f t="shared" si="2"/>
      </c>
    </row>
    <row r="162" spans="9:30" x14ac:dyDescent="0.25">
      <c r="I162" s="2"/>
      <c r="P162" s="2"/>
      <c r="W162" s="2"/>
      <c r="X162" s="2"/>
      <c r="Y162" s="2"/>
      <c r="Z162" s="2"/>
      <c r="AD162" s="7">
        <f t="shared" si="2"/>
      </c>
    </row>
    <row r="163" spans="9:30" x14ac:dyDescent="0.25">
      <c r="I163" s="2"/>
      <c r="P163" s="2"/>
      <c r="W163" s="2"/>
      <c r="X163" s="2"/>
      <c r="Y163" s="2"/>
      <c r="Z163" s="2"/>
      <c r="AD163" s="7">
        <f t="shared" si="2"/>
      </c>
    </row>
    <row r="164" spans="9:30" x14ac:dyDescent="0.25">
      <c r="I164" s="2"/>
      <c r="P164" s="2"/>
      <c r="W164" s="2"/>
      <c r="X164" s="2"/>
      <c r="Y164" s="2"/>
      <c r="Z164" s="2"/>
      <c r="AD164" s="7">
        <f t="shared" si="2"/>
      </c>
    </row>
    <row r="165" spans="9:30" x14ac:dyDescent="0.25">
      <c r="I165" s="2"/>
      <c r="P165" s="2"/>
      <c r="W165" s="2"/>
      <c r="X165" s="2"/>
      <c r="Y165" s="2"/>
      <c r="Z165" s="2"/>
      <c r="AD165" s="7">
        <f t="shared" si="2"/>
      </c>
    </row>
    <row r="166" spans="9:30" x14ac:dyDescent="0.25">
      <c r="I166" s="2"/>
      <c r="P166" s="2"/>
      <c r="W166" s="2"/>
      <c r="X166" s="2"/>
      <c r="Y166" s="2"/>
      <c r="Z166" s="2"/>
      <c r="AD166" s="7">
        <f t="shared" si="2"/>
      </c>
    </row>
    <row r="167" spans="9:30" x14ac:dyDescent="0.25">
      <c r="I167" s="2"/>
      <c r="P167" s="2"/>
      <c r="W167" s="2"/>
      <c r="X167" s="2"/>
      <c r="Y167" s="2"/>
      <c r="Z167" s="2"/>
      <c r="AD167" s="7">
        <f t="shared" si="2"/>
      </c>
    </row>
    <row r="168" spans="9:30" x14ac:dyDescent="0.25">
      <c r="I168" s="2"/>
      <c r="P168" s="2"/>
      <c r="W168" s="2"/>
      <c r="X168" s="2"/>
      <c r="Y168" s="2"/>
      <c r="Z168" s="2"/>
      <c r="AD168" s="7">
        <f t="shared" si="2"/>
      </c>
    </row>
    <row r="169" spans="9:30" x14ac:dyDescent="0.25">
      <c r="I169" s="2"/>
      <c r="P169" s="2"/>
      <c r="W169" s="2"/>
      <c r="X169" s="2"/>
      <c r="Y169" s="2"/>
      <c r="Z169" s="2"/>
      <c r="AD169" s="7">
        <f t="shared" si="2"/>
      </c>
    </row>
    <row r="170" spans="9:30" x14ac:dyDescent="0.25">
      <c r="I170" s="2"/>
      <c r="P170" s="2"/>
      <c r="W170" s="2"/>
      <c r="X170" s="2"/>
      <c r="Y170" s="2"/>
      <c r="Z170" s="2"/>
      <c r="AD170" s="7">
        <f t="shared" si="2"/>
      </c>
    </row>
    <row r="171" spans="9:30" x14ac:dyDescent="0.25">
      <c r="I171" s="2"/>
      <c r="P171" s="2"/>
      <c r="W171" s="2"/>
      <c r="X171" s="2"/>
      <c r="Y171" s="2"/>
      <c r="Z171" s="2"/>
      <c r="AD171" s="7">
        <f t="shared" si="2"/>
      </c>
    </row>
    <row r="172" spans="9:30" x14ac:dyDescent="0.25">
      <c r="I172" s="2"/>
      <c r="P172" s="2"/>
      <c r="W172" s="2"/>
      <c r="X172" s="2"/>
      <c r="Y172" s="2"/>
      <c r="Z172" s="2"/>
      <c r="AD172" s="7">
        <f t="shared" si="2"/>
      </c>
    </row>
    <row r="173" spans="9:30" x14ac:dyDescent="0.25">
      <c r="I173" s="2"/>
      <c r="P173" s="2"/>
      <c r="W173" s="2"/>
      <c r="X173" s="2"/>
      <c r="Y173" s="2"/>
      <c r="Z173" s="2"/>
      <c r="AD173" s="7">
        <f t="shared" si="2"/>
      </c>
    </row>
    <row r="174" spans="9:30" x14ac:dyDescent="0.25">
      <c r="I174" s="2"/>
      <c r="P174" s="2"/>
      <c r="W174" s="2"/>
      <c r="X174" s="2"/>
      <c r="Y174" s="2"/>
      <c r="Z174" s="2"/>
      <c r="AD174" s="7">
        <f t="shared" si="2"/>
      </c>
    </row>
    <row r="175" spans="9:30" x14ac:dyDescent="0.25">
      <c r="I175" s="2"/>
      <c r="P175" s="2"/>
      <c r="W175" s="2"/>
      <c r="X175" s="2"/>
      <c r="Y175" s="2"/>
      <c r="Z175" s="2"/>
      <c r="AD175" s="7">
        <f t="shared" si="2"/>
      </c>
    </row>
    <row r="176" spans="9:30" x14ac:dyDescent="0.25">
      <c r="I176" s="2"/>
      <c r="P176" s="2"/>
      <c r="W176" s="2"/>
      <c r="X176" s="2"/>
      <c r="Y176" s="2"/>
      <c r="Z176" s="2"/>
      <c r="AD176" s="7">
        <f t="shared" si="2"/>
      </c>
    </row>
    <row r="177" spans="9:30" x14ac:dyDescent="0.25">
      <c r="I177" s="2"/>
      <c r="P177" s="2"/>
      <c r="W177" s="2"/>
      <c r="X177" s="2"/>
      <c r="Y177" s="2"/>
      <c r="Z177" s="2"/>
      <c r="AD177" s="7">
        <f t="shared" si="2"/>
      </c>
    </row>
    <row r="178" spans="9:30" x14ac:dyDescent="0.25">
      <c r="I178" s="2"/>
      <c r="P178" s="2"/>
      <c r="W178" s="2"/>
      <c r="X178" s="2"/>
      <c r="Y178" s="2"/>
      <c r="Z178" s="2"/>
      <c r="AD178" s="7">
        <f t="shared" si="2"/>
      </c>
    </row>
    <row r="179" spans="9:30" x14ac:dyDescent="0.25">
      <c r="I179" s="2"/>
      <c r="P179" s="2"/>
      <c r="W179" s="2"/>
      <c r="X179" s="2"/>
      <c r="Y179" s="2"/>
      <c r="Z179" s="2"/>
      <c r="AD179" s="7">
        <f t="shared" si="2"/>
      </c>
    </row>
    <row r="180" spans="9:30" x14ac:dyDescent="0.25">
      <c r="I180" s="2"/>
      <c r="P180" s="2"/>
      <c r="W180" s="2"/>
      <c r="X180" s="2"/>
      <c r="Y180" s="2"/>
      <c r="Z180" s="2"/>
      <c r="AD180" s="7">
        <f t="shared" si="2"/>
      </c>
    </row>
    <row r="181" spans="9:30" x14ac:dyDescent="0.25">
      <c r="I181" s="2"/>
      <c r="P181" s="2"/>
      <c r="W181" s="2"/>
      <c r="X181" s="2"/>
      <c r="Y181" s="2"/>
      <c r="Z181" s="2"/>
      <c r="AD181" s="7">
        <f t="shared" si="2"/>
      </c>
    </row>
    <row r="182" spans="9:30" x14ac:dyDescent="0.25">
      <c r="I182" s="2"/>
      <c r="P182" s="2"/>
      <c r="W182" s="2"/>
      <c r="X182" s="2"/>
      <c r="Y182" s="2"/>
      <c r="Z182" s="2"/>
      <c r="AD182" s="7">
        <f t="shared" si="2"/>
      </c>
    </row>
    <row r="183" spans="9:30" x14ac:dyDescent="0.25">
      <c r="I183" s="2"/>
      <c r="P183" s="2"/>
      <c r="W183" s="2"/>
      <c r="X183" s="2"/>
      <c r="Y183" s="2"/>
      <c r="Z183" s="2"/>
      <c r="AD183" s="7">
        <f t="shared" si="2"/>
      </c>
    </row>
    <row r="184" spans="9:30" x14ac:dyDescent="0.25">
      <c r="I184" s="2"/>
      <c r="P184" s="2"/>
      <c r="W184" s="2"/>
      <c r="X184" s="2"/>
      <c r="Y184" s="2"/>
      <c r="Z184" s="2"/>
      <c r="AD184" s="7">
        <f t="shared" si="2"/>
      </c>
    </row>
    <row r="185" spans="9:30" x14ac:dyDescent="0.25">
      <c r="I185" s="2"/>
      <c r="P185" s="2"/>
      <c r="W185" s="2"/>
      <c r="X185" s="2"/>
      <c r="Y185" s="2"/>
      <c r="Z185" s="2"/>
      <c r="AD185" s="7">
        <f t="shared" si="2"/>
      </c>
    </row>
    <row r="186" spans="9:30" x14ac:dyDescent="0.25">
      <c r="I186" s="2"/>
      <c r="P186" s="2"/>
      <c r="W186" s="2"/>
      <c r="X186" s="2"/>
      <c r="Y186" s="2"/>
      <c r="Z186" s="2"/>
      <c r="AD186" s="7">
        <f t="shared" si="2"/>
      </c>
    </row>
    <row r="187" spans="9:30" x14ac:dyDescent="0.25">
      <c r="I187" s="2"/>
      <c r="P187" s="2"/>
      <c r="W187" s="2"/>
      <c r="X187" s="2"/>
      <c r="Y187" s="2"/>
      <c r="Z187" s="2"/>
      <c r="AD187" s="7">
        <f t="shared" si="2"/>
      </c>
    </row>
    <row r="188" spans="9:30" x14ac:dyDescent="0.25">
      <c r="I188" s="2"/>
      <c r="P188" s="2"/>
      <c r="W188" s="2"/>
      <c r="X188" s="2"/>
      <c r="Y188" s="2"/>
      <c r="Z188" s="2"/>
      <c r="AD188" s="7">
        <f t="shared" si="2"/>
      </c>
    </row>
    <row r="189" spans="9:30" x14ac:dyDescent="0.25">
      <c r="I189" s="2"/>
      <c r="P189" s="2"/>
      <c r="W189" s="2"/>
      <c r="X189" s="2"/>
      <c r="Y189" s="2"/>
      <c r="Z189" s="2"/>
      <c r="AD189" s="7">
        <f t="shared" si="2"/>
      </c>
    </row>
    <row r="190" spans="9:30" x14ac:dyDescent="0.25">
      <c r="I190" s="2"/>
      <c r="P190" s="2"/>
      <c r="W190" s="2"/>
      <c r="X190" s="2"/>
      <c r="Y190" s="2"/>
      <c r="Z190" s="2"/>
      <c r="AD190" s="7">
        <f t="shared" si="2"/>
      </c>
    </row>
    <row r="191" spans="9:30" x14ac:dyDescent="0.25">
      <c r="I191" s="2"/>
      <c r="P191" s="2"/>
      <c r="W191" s="2"/>
      <c r="X191" s="2"/>
      <c r="Y191" s="2"/>
      <c r="Z191" s="2"/>
      <c r="AD191" s="7">
        <f t="shared" si="2"/>
      </c>
    </row>
    <row r="192" spans="9:30" x14ac:dyDescent="0.25">
      <c r="I192" s="2"/>
      <c r="P192" s="2"/>
      <c r="W192" s="2"/>
      <c r="X192" s="2"/>
      <c r="Y192" s="2"/>
      <c r="Z192" s="2"/>
      <c r="AD192" s="7">
        <f t="shared" si="2"/>
      </c>
    </row>
    <row r="193" spans="9:30" x14ac:dyDescent="0.25">
      <c r="I193" s="2"/>
      <c r="P193" s="2"/>
      <c r="W193" s="2"/>
      <c r="X193" s="2"/>
      <c r="Y193" s="2"/>
      <c r="Z193" s="2"/>
      <c r="AD193" s="7">
        <f t="shared" si="2"/>
      </c>
    </row>
    <row r="194" spans="9:30" x14ac:dyDescent="0.25">
      <c r="I194" s="2"/>
      <c r="P194" s="2"/>
      <c r="W194" s="2"/>
      <c r="X194" s="2"/>
      <c r="Y194" s="2"/>
      <c r="Z194" s="2"/>
      <c r="AD194" s="7">
        <f t="shared" si="2"/>
      </c>
    </row>
    <row r="195" spans="9:30" x14ac:dyDescent="0.25">
      <c r="I195" s="2"/>
      <c r="P195" s="2"/>
      <c r="W195" s="2"/>
      <c r="X195" s="2"/>
      <c r="Y195" s="2"/>
      <c r="Z195" s="2"/>
      <c r="AD195" s="7">
        <f t="shared" si="2"/>
      </c>
    </row>
    <row r="196" spans="9:30" x14ac:dyDescent="0.25">
      <c r="I196" s="2"/>
      <c r="P196" s="2"/>
      <c r="W196" s="2"/>
      <c r="X196" s="2"/>
      <c r="Y196" s="2"/>
      <c r="Z196" s="2"/>
      <c r="AD196" s="7">
        <f t="shared" si="2"/>
      </c>
    </row>
    <row r="197" spans="9:30" x14ac:dyDescent="0.25">
      <c r="I197" s="2"/>
      <c r="P197" s="2"/>
      <c r="W197" s="2"/>
      <c r="X197" s="2"/>
      <c r="Y197" s="2"/>
      <c r="Z197" s="2"/>
      <c r="AD197" s="7">
        <f t="shared" si="2"/>
      </c>
    </row>
    <row r="198" spans="9:30" x14ac:dyDescent="0.25">
      <c r="I198" s="2"/>
      <c r="P198" s="2"/>
      <c r="W198" s="2"/>
      <c r="X198" s="2"/>
      <c r="Y198" s="2"/>
      <c r="Z198" s="2"/>
      <c r="AD198" s="7">
        <f t="shared" si="2"/>
      </c>
    </row>
    <row r="199" spans="9:30" x14ac:dyDescent="0.25">
      <c r="I199" s="2"/>
      <c r="P199" s="2"/>
      <c r="W199" s="2"/>
      <c r="X199" s="2"/>
      <c r="Y199" s="2"/>
      <c r="Z199" s="2"/>
      <c r="AD199" s="7">
        <f t="shared" si="2"/>
      </c>
    </row>
    <row r="200" spans="9:30" x14ac:dyDescent="0.25">
      <c r="I200" s="2"/>
      <c r="P200" s="2"/>
      <c r="W200" s="2"/>
      <c r="X200" s="2"/>
      <c r="Y200" s="2"/>
      <c r="Z200" s="2"/>
      <c r="AD200" s="7">
        <f t="shared" si="2"/>
      </c>
    </row>
    <row r="201" spans="9:30" x14ac:dyDescent="0.25">
      <c r="I201" s="2"/>
      <c r="P201" s="2"/>
      <c r="W201" s="2"/>
      <c r="X201" s="2"/>
      <c r="Y201" s="2"/>
      <c r="Z201" s="2"/>
      <c r="AD201" s="7">
        <f t="shared" si="2"/>
      </c>
    </row>
    <row r="202" spans="9:30" x14ac:dyDescent="0.25">
      <c r="I202" s="2"/>
      <c r="P202" s="2"/>
      <c r="W202" s="2"/>
      <c r="X202" s="2"/>
      <c r="Y202" s="2"/>
      <c r="Z202" s="2"/>
      <c r="AD202" s="7">
        <f t="shared" ref="AD202:AD265" si="3">IF(P202 = "", "", Y202/P202)</f>
      </c>
    </row>
    <row r="203" spans="9:30" x14ac:dyDescent="0.25">
      <c r="I203" s="2"/>
      <c r="P203" s="2"/>
      <c r="W203" s="2"/>
      <c r="X203" s="2"/>
      <c r="Y203" s="2"/>
      <c r="Z203" s="2"/>
      <c r="AD203" s="7">
        <f t="shared" si="3"/>
      </c>
    </row>
    <row r="204" spans="9:30" x14ac:dyDescent="0.25">
      <c r="I204" s="2"/>
      <c r="P204" s="2"/>
      <c r="W204" s="2"/>
      <c r="X204" s="2"/>
      <c r="Y204" s="2"/>
      <c r="Z204" s="2"/>
      <c r="AD204" s="7">
        <f t="shared" si="3"/>
      </c>
    </row>
    <row r="205" spans="9:30" x14ac:dyDescent="0.25">
      <c r="I205" s="2"/>
      <c r="P205" s="2"/>
      <c r="W205" s="2"/>
      <c r="X205" s="2"/>
      <c r="Y205" s="2"/>
      <c r="Z205" s="2"/>
      <c r="AD205" s="7">
        <f t="shared" si="3"/>
      </c>
    </row>
    <row r="206" spans="9:30" x14ac:dyDescent="0.25">
      <c r="I206" s="2"/>
      <c r="P206" s="2"/>
      <c r="W206" s="2"/>
      <c r="X206" s="2"/>
      <c r="Y206" s="2"/>
      <c r="Z206" s="2"/>
      <c r="AD206" s="7">
        <f t="shared" si="3"/>
      </c>
    </row>
    <row r="207" spans="9:30" x14ac:dyDescent="0.25">
      <c r="I207" s="2"/>
      <c r="P207" s="2"/>
      <c r="W207" s="2"/>
      <c r="X207" s="2"/>
      <c r="Y207" s="2"/>
      <c r="Z207" s="2"/>
      <c r="AD207" s="7">
        <f t="shared" si="3"/>
      </c>
    </row>
    <row r="208" spans="9:30" x14ac:dyDescent="0.25">
      <c r="I208" s="2"/>
      <c r="P208" s="2"/>
      <c r="W208" s="2"/>
      <c r="X208" s="2"/>
      <c r="Y208" s="2"/>
      <c r="Z208" s="2"/>
      <c r="AD208" s="7">
        <f t="shared" si="3"/>
      </c>
    </row>
    <row r="209" spans="9:30" x14ac:dyDescent="0.25">
      <c r="I209" s="2"/>
      <c r="P209" s="2"/>
      <c r="W209" s="2"/>
      <c r="X209" s="2"/>
      <c r="Y209" s="2"/>
      <c r="Z209" s="2"/>
      <c r="AD209" s="7">
        <f t="shared" si="3"/>
      </c>
    </row>
    <row r="210" spans="9:30" x14ac:dyDescent="0.25">
      <c r="I210" s="2"/>
      <c r="P210" s="2"/>
      <c r="W210" s="2"/>
      <c r="X210" s="2"/>
      <c r="Y210" s="2"/>
      <c r="Z210" s="2"/>
      <c r="AD210" s="7">
        <f t="shared" si="3"/>
      </c>
    </row>
    <row r="211" spans="9:30" x14ac:dyDescent="0.25">
      <c r="I211" s="2"/>
      <c r="P211" s="2"/>
      <c r="W211" s="2"/>
      <c r="X211" s="2"/>
      <c r="Y211" s="2"/>
      <c r="Z211" s="2"/>
      <c r="AD211" s="7">
        <f t="shared" si="3"/>
      </c>
    </row>
    <row r="212" spans="9:30" x14ac:dyDescent="0.25">
      <c r="I212" s="2"/>
      <c r="P212" s="2"/>
      <c r="W212" s="2"/>
      <c r="X212" s="2"/>
      <c r="Y212" s="2"/>
      <c r="Z212" s="2"/>
      <c r="AD212" s="7">
        <f t="shared" si="3"/>
      </c>
    </row>
    <row r="213" spans="9:30" x14ac:dyDescent="0.25">
      <c r="I213" s="2"/>
      <c r="P213" s="2"/>
      <c r="W213" s="2"/>
      <c r="X213" s="2"/>
      <c r="Y213" s="2"/>
      <c r="Z213" s="2"/>
      <c r="AD213" s="7">
        <f t="shared" si="3"/>
      </c>
    </row>
    <row r="214" spans="9:30" x14ac:dyDescent="0.25">
      <c r="I214" s="2"/>
      <c r="P214" s="2"/>
      <c r="W214" s="2"/>
      <c r="X214" s="2"/>
      <c r="Y214" s="2"/>
      <c r="Z214" s="2"/>
      <c r="AD214" s="7">
        <f t="shared" si="3"/>
      </c>
    </row>
    <row r="215" spans="9:30" x14ac:dyDescent="0.25">
      <c r="I215" s="2"/>
      <c r="P215" s="2"/>
      <c r="W215" s="2"/>
      <c r="X215" s="2"/>
      <c r="Y215" s="2"/>
      <c r="Z215" s="2"/>
      <c r="AD215" s="7">
        <f t="shared" si="3"/>
      </c>
    </row>
    <row r="216" spans="9:30" x14ac:dyDescent="0.25">
      <c r="I216" s="2"/>
      <c r="P216" s="2"/>
      <c r="W216" s="2"/>
      <c r="X216" s="2"/>
      <c r="Y216" s="2"/>
      <c r="Z216" s="2"/>
      <c r="AD216" s="7">
        <f t="shared" si="3"/>
      </c>
    </row>
    <row r="217" spans="9:30" x14ac:dyDescent="0.25">
      <c r="I217" s="2"/>
      <c r="P217" s="2"/>
      <c r="W217" s="2"/>
      <c r="X217" s="2"/>
      <c r="Y217" s="2"/>
      <c r="Z217" s="2"/>
      <c r="AD217" s="7">
        <f t="shared" si="3"/>
      </c>
    </row>
    <row r="218" spans="9:30" x14ac:dyDescent="0.25">
      <c r="I218" s="2"/>
      <c r="P218" s="2"/>
      <c r="W218" s="2"/>
      <c r="X218" s="2"/>
      <c r="Y218" s="2"/>
      <c r="Z218" s="2"/>
      <c r="AD218" s="7">
        <f t="shared" si="3"/>
      </c>
    </row>
    <row r="219" spans="9:30" x14ac:dyDescent="0.25">
      <c r="I219" s="2"/>
      <c r="P219" s="2"/>
      <c r="W219" s="2"/>
      <c r="X219" s="2"/>
      <c r="Y219" s="2"/>
      <c r="Z219" s="2"/>
      <c r="AD219" s="7">
        <f t="shared" si="3"/>
      </c>
    </row>
    <row r="220" spans="9:30" x14ac:dyDescent="0.25">
      <c r="I220" s="2"/>
      <c r="P220" s="2"/>
      <c r="W220" s="2"/>
      <c r="X220" s="2"/>
      <c r="Y220" s="2"/>
      <c r="Z220" s="2"/>
      <c r="AD220" s="7">
        <f t="shared" si="3"/>
      </c>
    </row>
    <row r="221" spans="9:30" x14ac:dyDescent="0.25">
      <c r="I221" s="2"/>
      <c r="P221" s="2"/>
      <c r="W221" s="2"/>
      <c r="X221" s="2"/>
      <c r="Y221" s="2"/>
      <c r="Z221" s="2"/>
      <c r="AD221" s="7">
        <f t="shared" si="3"/>
      </c>
    </row>
    <row r="222" spans="9:30" x14ac:dyDescent="0.25">
      <c r="I222" s="2"/>
      <c r="P222" s="2"/>
      <c r="W222" s="2"/>
      <c r="X222" s="2"/>
      <c r="Y222" s="2"/>
      <c r="Z222" s="2"/>
      <c r="AD222" s="7">
        <f t="shared" si="3"/>
      </c>
    </row>
    <row r="223" spans="9:30" x14ac:dyDescent="0.25">
      <c r="I223" s="2"/>
      <c r="P223" s="2"/>
      <c r="W223" s="2"/>
      <c r="X223" s="2"/>
      <c r="Y223" s="2"/>
      <c r="Z223" s="2"/>
      <c r="AD223" s="7">
        <f t="shared" si="3"/>
      </c>
    </row>
    <row r="224" spans="9:30" x14ac:dyDescent="0.25">
      <c r="I224" s="2"/>
      <c r="P224" s="2"/>
      <c r="W224" s="2"/>
      <c r="X224" s="2"/>
      <c r="Y224" s="2"/>
      <c r="Z224" s="2"/>
      <c r="AD224" s="7">
        <f t="shared" si="3"/>
      </c>
    </row>
    <row r="225" spans="9:30" x14ac:dyDescent="0.25">
      <c r="I225" s="2"/>
      <c r="P225" s="2"/>
      <c r="W225" s="2"/>
      <c r="X225" s="2"/>
      <c r="Y225" s="2"/>
      <c r="Z225" s="2"/>
      <c r="AD225" s="7">
        <f t="shared" si="3"/>
      </c>
    </row>
    <row r="226" spans="9:30" x14ac:dyDescent="0.25">
      <c r="I226" s="2"/>
      <c r="P226" s="2"/>
      <c r="W226" s="2"/>
      <c r="X226" s="2"/>
      <c r="Y226" s="2"/>
      <c r="Z226" s="2"/>
      <c r="AD226" s="7">
        <f t="shared" si="3"/>
      </c>
    </row>
    <row r="227" spans="9:30" x14ac:dyDescent="0.25">
      <c r="I227" s="2"/>
      <c r="P227" s="2"/>
      <c r="W227" s="2"/>
      <c r="X227" s="2"/>
      <c r="Y227" s="2"/>
      <c r="Z227" s="2"/>
      <c r="AD227" s="7">
        <f t="shared" si="3"/>
      </c>
    </row>
    <row r="228" spans="9:30" x14ac:dyDescent="0.25">
      <c r="I228" s="2"/>
      <c r="P228" s="2"/>
      <c r="W228" s="2"/>
      <c r="X228" s="2"/>
      <c r="Y228" s="2"/>
      <c r="Z228" s="2"/>
      <c r="AD228" s="7">
        <f t="shared" si="3"/>
      </c>
    </row>
    <row r="229" spans="9:30" x14ac:dyDescent="0.25">
      <c r="I229" s="2"/>
      <c r="P229" s="2"/>
      <c r="W229" s="2"/>
      <c r="X229" s="2"/>
      <c r="Y229" s="2"/>
      <c r="Z229" s="2"/>
      <c r="AD229" s="7">
        <f t="shared" si="3"/>
      </c>
    </row>
    <row r="230" spans="9:30" x14ac:dyDescent="0.25">
      <c r="I230" s="2"/>
      <c r="P230" s="2"/>
      <c r="W230" s="2"/>
      <c r="X230" s="2"/>
      <c r="Y230" s="2"/>
      <c r="Z230" s="2"/>
      <c r="AD230" s="7">
        <f t="shared" si="3"/>
      </c>
    </row>
    <row r="231" spans="9:30" x14ac:dyDescent="0.25">
      <c r="I231" s="2"/>
      <c r="P231" s="2"/>
      <c r="W231" s="2"/>
      <c r="X231" s="2"/>
      <c r="Y231" s="2"/>
      <c r="Z231" s="2"/>
      <c r="AD231" s="7">
        <f t="shared" si="3"/>
      </c>
    </row>
    <row r="232" spans="9:30" x14ac:dyDescent="0.25">
      <c r="I232" s="2"/>
      <c r="P232" s="2"/>
      <c r="W232" s="2"/>
      <c r="X232" s="2"/>
      <c r="Y232" s="2"/>
      <c r="Z232" s="2"/>
      <c r="AD232" s="7">
        <f t="shared" si="3"/>
      </c>
    </row>
    <row r="233" spans="9:30" x14ac:dyDescent="0.25">
      <c r="I233" s="2"/>
      <c r="P233" s="2"/>
      <c r="W233" s="2"/>
      <c r="X233" s="2"/>
      <c r="Y233" s="2"/>
      <c r="Z233" s="2"/>
      <c r="AD233" s="7">
        <f t="shared" si="3"/>
      </c>
    </row>
    <row r="234" spans="9:30" x14ac:dyDescent="0.25">
      <c r="I234" s="2"/>
      <c r="P234" s="2"/>
      <c r="W234" s="2"/>
      <c r="X234" s="2"/>
      <c r="Y234" s="2"/>
      <c r="Z234" s="2"/>
      <c r="AD234" s="7">
        <f t="shared" si="3"/>
      </c>
    </row>
    <row r="235" spans="9:30" x14ac:dyDescent="0.25">
      <c r="I235" s="2"/>
      <c r="P235" s="2"/>
      <c r="W235" s="2"/>
      <c r="X235" s="2"/>
      <c r="Y235" s="2"/>
      <c r="Z235" s="2"/>
      <c r="AD235" s="7">
        <f t="shared" si="3"/>
      </c>
    </row>
    <row r="236" spans="9:30" x14ac:dyDescent="0.25">
      <c r="I236" s="2"/>
      <c r="P236" s="2"/>
      <c r="W236" s="2"/>
      <c r="X236" s="2"/>
      <c r="Y236" s="2"/>
      <c r="Z236" s="2"/>
      <c r="AD236" s="7">
        <f t="shared" si="3"/>
      </c>
    </row>
    <row r="237" spans="9:30" x14ac:dyDescent="0.25">
      <c r="I237" s="2"/>
      <c r="P237" s="2"/>
      <c r="W237" s="2"/>
      <c r="X237" s="2"/>
      <c r="Y237" s="2"/>
      <c r="Z237" s="2"/>
      <c r="AD237" s="7">
        <f t="shared" si="3"/>
      </c>
    </row>
    <row r="238" spans="9:30" x14ac:dyDescent="0.25">
      <c r="I238" s="2"/>
      <c r="P238" s="2"/>
      <c r="W238" s="2"/>
      <c r="X238" s="2"/>
      <c r="Y238" s="2"/>
      <c r="Z238" s="2"/>
      <c r="AD238" s="7">
        <f t="shared" si="3"/>
      </c>
    </row>
    <row r="239" spans="9:30" x14ac:dyDescent="0.25">
      <c r="I239" s="2"/>
      <c r="P239" s="2"/>
      <c r="W239" s="2"/>
      <c r="X239" s="2"/>
      <c r="Y239" s="2"/>
      <c r="Z239" s="2"/>
      <c r="AD239" s="7">
        <f t="shared" si="3"/>
      </c>
    </row>
    <row r="240" spans="9:30" x14ac:dyDescent="0.25">
      <c r="I240" s="2"/>
      <c r="P240" s="2"/>
      <c r="W240" s="2"/>
      <c r="X240" s="2"/>
      <c r="Y240" s="2"/>
      <c r="Z240" s="2"/>
      <c r="AD240" s="7">
        <f t="shared" si="3"/>
      </c>
    </row>
    <row r="241" spans="9:30" x14ac:dyDescent="0.25">
      <c r="I241" s="2"/>
      <c r="P241" s="2"/>
      <c r="W241" s="2"/>
      <c r="X241" s="2"/>
      <c r="Y241" s="2"/>
      <c r="Z241" s="2"/>
      <c r="AD241" s="7">
        <f t="shared" si="3"/>
      </c>
    </row>
    <row r="242" spans="9:30" x14ac:dyDescent="0.25">
      <c r="I242" s="2"/>
      <c r="P242" s="2"/>
      <c r="W242" s="2"/>
      <c r="X242" s="2"/>
      <c r="Y242" s="2"/>
      <c r="Z242" s="2"/>
      <c r="AD242" s="7">
        <f t="shared" si="3"/>
      </c>
    </row>
    <row r="243" spans="9:30" x14ac:dyDescent="0.25">
      <c r="I243" s="2"/>
      <c r="P243" s="2"/>
      <c r="W243" s="2"/>
      <c r="X243" s="2"/>
      <c r="Y243" s="2"/>
      <c r="Z243" s="2"/>
      <c r="AD243" s="7">
        <f t="shared" si="3"/>
      </c>
    </row>
    <row r="244" spans="9:30" x14ac:dyDescent="0.25">
      <c r="I244" s="2"/>
      <c r="P244" s="2"/>
      <c r="W244" s="2"/>
      <c r="X244" s="2"/>
      <c r="Y244" s="2"/>
      <c r="Z244" s="2"/>
      <c r="AD244" s="7">
        <f t="shared" si="3"/>
      </c>
    </row>
    <row r="245" spans="9:30" x14ac:dyDescent="0.25">
      <c r="I245" s="2"/>
      <c r="P245" s="2"/>
      <c r="W245" s="2"/>
      <c r="X245" s="2"/>
      <c r="Y245" s="2"/>
      <c r="Z245" s="2"/>
      <c r="AD245" s="7">
        <f t="shared" si="3"/>
      </c>
    </row>
    <row r="246" spans="9:30" x14ac:dyDescent="0.25">
      <c r="I246" s="2"/>
      <c r="P246" s="2"/>
      <c r="W246" s="2"/>
      <c r="X246" s="2"/>
      <c r="Y246" s="2"/>
      <c r="Z246" s="2"/>
      <c r="AD246" s="7">
        <f t="shared" si="3"/>
      </c>
    </row>
    <row r="247" spans="9:30" x14ac:dyDescent="0.25">
      <c r="I247" s="2"/>
      <c r="P247" s="2"/>
      <c r="W247" s="2"/>
      <c r="X247" s="2"/>
      <c r="Y247" s="2"/>
      <c r="Z247" s="2"/>
      <c r="AD247" s="7">
        <f t="shared" si="3"/>
      </c>
    </row>
    <row r="248" spans="9:30" x14ac:dyDescent="0.25">
      <c r="I248" s="2"/>
      <c r="P248" s="2"/>
      <c r="W248" s="2"/>
      <c r="X248" s="2"/>
      <c r="Y248" s="2"/>
      <c r="Z248" s="2"/>
      <c r="AD248" s="7">
        <f t="shared" si="3"/>
      </c>
    </row>
    <row r="249" spans="9:30" x14ac:dyDescent="0.25">
      <c r="I249" s="2"/>
      <c r="P249" s="2"/>
      <c r="W249" s="2"/>
      <c r="X249" s="2"/>
      <c r="Y249" s="2"/>
      <c r="Z249" s="2"/>
      <c r="AD249" s="7">
        <f t="shared" si="3"/>
      </c>
    </row>
    <row r="250" spans="9:30" x14ac:dyDescent="0.25">
      <c r="I250" s="2"/>
      <c r="P250" s="2"/>
      <c r="W250" s="2"/>
      <c r="X250" s="2"/>
      <c r="Y250" s="2"/>
      <c r="Z250" s="2"/>
      <c r="AD250" s="7">
        <f t="shared" si="3"/>
      </c>
    </row>
    <row r="251" spans="9:30" x14ac:dyDescent="0.25">
      <c r="I251" s="2"/>
      <c r="P251" s="2"/>
      <c r="W251" s="2"/>
      <c r="X251" s="2"/>
      <c r="Y251" s="2"/>
      <c r="Z251" s="2"/>
      <c r="AD251" s="7">
        <f t="shared" si="3"/>
      </c>
    </row>
    <row r="252" spans="9:30" x14ac:dyDescent="0.25">
      <c r="I252" s="2"/>
      <c r="P252" s="2"/>
      <c r="W252" s="2"/>
      <c r="X252" s="2"/>
      <c r="Y252" s="2"/>
      <c r="Z252" s="2"/>
      <c r="AD252" s="7">
        <f t="shared" si="3"/>
      </c>
    </row>
    <row r="253" spans="9:30" x14ac:dyDescent="0.25">
      <c r="I253" s="2"/>
      <c r="P253" s="2"/>
      <c r="W253" s="2"/>
      <c r="X253" s="2"/>
      <c r="Y253" s="2"/>
      <c r="Z253" s="2"/>
      <c r="AD253" s="7">
        <f t="shared" si="3"/>
      </c>
    </row>
    <row r="254" spans="9:30" x14ac:dyDescent="0.25">
      <c r="I254" s="2"/>
      <c r="P254" s="2"/>
      <c r="W254" s="2"/>
      <c r="X254" s="2"/>
      <c r="Y254" s="2"/>
      <c r="Z254" s="2"/>
      <c r="AD254" s="7">
        <f t="shared" si="3"/>
      </c>
    </row>
    <row r="255" spans="9:30" x14ac:dyDescent="0.25">
      <c r="I255" s="2"/>
      <c r="P255" s="2"/>
      <c r="W255" s="2"/>
      <c r="X255" s="2"/>
      <c r="Y255" s="2"/>
      <c r="Z255" s="2"/>
      <c r="AD255" s="7">
        <f t="shared" si="3"/>
      </c>
    </row>
    <row r="256" spans="9:30" x14ac:dyDescent="0.25">
      <c r="I256" s="2"/>
      <c r="P256" s="2"/>
      <c r="W256" s="2"/>
      <c r="X256" s="2"/>
      <c r="Y256" s="2"/>
      <c r="Z256" s="2"/>
      <c r="AD256" s="7">
        <f t="shared" si="3"/>
      </c>
    </row>
    <row r="257" spans="9:30" x14ac:dyDescent="0.25">
      <c r="I257" s="2"/>
      <c r="P257" s="2"/>
      <c r="W257" s="2"/>
      <c r="X257" s="2"/>
      <c r="Y257" s="2"/>
      <c r="Z257" s="2"/>
      <c r="AD257" s="7">
        <f t="shared" si="3"/>
      </c>
    </row>
    <row r="258" spans="9:30" x14ac:dyDescent="0.25">
      <c r="I258" s="2"/>
      <c r="P258" s="2"/>
      <c r="W258" s="2"/>
      <c r="X258" s="2"/>
      <c r="Y258" s="2"/>
      <c r="Z258" s="2"/>
      <c r="AD258" s="7">
        <f t="shared" si="3"/>
      </c>
    </row>
    <row r="259" spans="9:30" x14ac:dyDescent="0.25">
      <c r="I259" s="2"/>
      <c r="P259" s="2"/>
      <c r="W259" s="2"/>
      <c r="X259" s="2"/>
      <c r="Y259" s="2"/>
      <c r="Z259" s="2"/>
      <c r="AD259" s="7">
        <f t="shared" si="3"/>
      </c>
    </row>
    <row r="260" spans="9:30" x14ac:dyDescent="0.25">
      <c r="I260" s="2"/>
      <c r="P260" s="2"/>
      <c r="W260" s="2"/>
      <c r="X260" s="2"/>
      <c r="Y260" s="2"/>
      <c r="Z260" s="2"/>
      <c r="AD260" s="7">
        <f t="shared" si="3"/>
      </c>
    </row>
    <row r="261" spans="9:30" x14ac:dyDescent="0.25">
      <c r="I261" s="2"/>
      <c r="P261" s="2"/>
      <c r="W261" s="2"/>
      <c r="X261" s="2"/>
      <c r="Y261" s="2"/>
      <c r="Z261" s="2"/>
      <c r="AD261" s="7">
        <f t="shared" si="3"/>
      </c>
    </row>
    <row r="262" spans="9:30" x14ac:dyDescent="0.25">
      <c r="I262" s="2"/>
      <c r="P262" s="2"/>
      <c r="W262" s="2"/>
      <c r="X262" s="2"/>
      <c r="Y262" s="2"/>
      <c r="Z262" s="2"/>
      <c r="AD262" s="7">
        <f t="shared" si="3"/>
      </c>
    </row>
    <row r="263" spans="9:30" x14ac:dyDescent="0.25">
      <c r="I263" s="2"/>
      <c r="P263" s="2"/>
      <c r="W263" s="2"/>
      <c r="X263" s="2"/>
      <c r="Y263" s="2"/>
      <c r="Z263" s="2"/>
      <c r="AD263" s="7">
        <f t="shared" si="3"/>
      </c>
    </row>
    <row r="264" spans="9:30" x14ac:dyDescent="0.25">
      <c r="I264" s="2"/>
      <c r="P264" s="2"/>
      <c r="W264" s="2"/>
      <c r="X264" s="2"/>
      <c r="Y264" s="2"/>
      <c r="Z264" s="2"/>
      <c r="AD264" s="7">
        <f t="shared" si="3"/>
      </c>
    </row>
    <row r="265" spans="9:30" x14ac:dyDescent="0.25">
      <c r="I265" s="2"/>
      <c r="P265" s="2"/>
      <c r="W265" s="2"/>
      <c r="X265" s="2"/>
      <c r="Y265" s="2"/>
      <c r="Z265" s="2"/>
      <c r="AD265" s="7">
        <f t="shared" si="3"/>
      </c>
    </row>
    <row r="266" spans="9:30" x14ac:dyDescent="0.25">
      <c r="I266" s="2"/>
      <c r="P266" s="2"/>
      <c r="W266" s="2"/>
      <c r="X266" s="2"/>
      <c r="Y266" s="2"/>
      <c r="Z266" s="2"/>
      <c r="AD266" s="7">
        <f t="shared" ref="AD266:AD329" si="4">IF(P266 = "", "", Y266/P266)</f>
      </c>
    </row>
    <row r="267" spans="9:30" x14ac:dyDescent="0.25">
      <c r="I267" s="2"/>
      <c r="P267" s="2"/>
      <c r="W267" s="2"/>
      <c r="X267" s="2"/>
      <c r="Y267" s="2"/>
      <c r="Z267" s="2"/>
      <c r="AD267" s="7">
        <f t="shared" si="4"/>
      </c>
    </row>
    <row r="268" spans="9:30" x14ac:dyDescent="0.25">
      <c r="I268" s="2"/>
      <c r="P268" s="2"/>
      <c r="W268" s="2"/>
      <c r="X268" s="2"/>
      <c r="Y268" s="2"/>
      <c r="Z268" s="2"/>
      <c r="AD268" s="7">
        <f t="shared" si="4"/>
      </c>
    </row>
    <row r="269" spans="9:30" x14ac:dyDescent="0.25">
      <c r="I269" s="2"/>
      <c r="P269" s="2"/>
      <c r="W269" s="2"/>
      <c r="X269" s="2"/>
      <c r="Y269" s="2"/>
      <c r="Z269" s="2"/>
      <c r="AD269" s="7">
        <f t="shared" si="4"/>
      </c>
    </row>
    <row r="270" spans="9:30" x14ac:dyDescent="0.25">
      <c r="I270" s="2"/>
      <c r="P270" s="2"/>
      <c r="W270" s="2"/>
      <c r="X270" s="2"/>
      <c r="Y270" s="2"/>
      <c r="Z270" s="2"/>
      <c r="AD270" s="7">
        <f t="shared" si="4"/>
      </c>
    </row>
    <row r="271" spans="9:30" x14ac:dyDescent="0.25">
      <c r="I271" s="2"/>
      <c r="P271" s="2"/>
      <c r="W271" s="2"/>
      <c r="X271" s="2"/>
      <c r="Y271" s="2"/>
      <c r="Z271" s="2"/>
      <c r="AD271" s="7">
        <f t="shared" si="4"/>
      </c>
    </row>
    <row r="272" spans="9:30" x14ac:dyDescent="0.25">
      <c r="I272" s="2"/>
      <c r="P272" s="2"/>
      <c r="W272" s="2"/>
      <c r="X272" s="2"/>
      <c r="Y272" s="2"/>
      <c r="Z272" s="2"/>
      <c r="AD272" s="7">
        <f t="shared" si="4"/>
      </c>
    </row>
    <row r="273" spans="9:30" x14ac:dyDescent="0.25">
      <c r="I273" s="2"/>
      <c r="P273" s="2"/>
      <c r="W273" s="2"/>
      <c r="X273" s="2"/>
      <c r="Y273" s="2"/>
      <c r="Z273" s="2"/>
      <c r="AD273" s="7">
        <f t="shared" si="4"/>
      </c>
    </row>
    <row r="274" spans="9:30" x14ac:dyDescent="0.25">
      <c r="I274" s="2"/>
      <c r="P274" s="2"/>
      <c r="W274" s="2"/>
      <c r="X274" s="2"/>
      <c r="Y274" s="2"/>
      <c r="Z274" s="2"/>
      <c r="AD274" s="7">
        <f t="shared" si="4"/>
      </c>
    </row>
    <row r="275" spans="9:30" x14ac:dyDescent="0.25">
      <c r="I275" s="2"/>
      <c r="P275" s="2"/>
      <c r="W275" s="2"/>
      <c r="X275" s="2"/>
      <c r="Y275" s="2"/>
      <c r="Z275" s="2"/>
      <c r="AD275" s="7">
        <f t="shared" si="4"/>
      </c>
    </row>
    <row r="276" spans="9:30" x14ac:dyDescent="0.25">
      <c r="I276" s="2"/>
      <c r="P276" s="2"/>
      <c r="W276" s="2"/>
      <c r="X276" s="2"/>
      <c r="Y276" s="2"/>
      <c r="Z276" s="2"/>
      <c r="AD276" s="7">
        <f t="shared" si="4"/>
      </c>
    </row>
    <row r="277" spans="9:30" x14ac:dyDescent="0.25">
      <c r="I277" s="2"/>
      <c r="P277" s="2"/>
      <c r="W277" s="2"/>
      <c r="X277" s="2"/>
      <c r="Y277" s="2"/>
      <c r="Z277" s="2"/>
      <c r="AD277" s="7">
        <f t="shared" si="4"/>
      </c>
    </row>
    <row r="278" spans="9:30" x14ac:dyDescent="0.25">
      <c r="I278" s="2"/>
      <c r="P278" s="2"/>
      <c r="W278" s="2"/>
      <c r="X278" s="2"/>
      <c r="Y278" s="2"/>
      <c r="Z278" s="2"/>
      <c r="AD278" s="7">
        <f t="shared" si="4"/>
      </c>
    </row>
    <row r="279" spans="9:30" x14ac:dyDescent="0.25">
      <c r="I279" s="2"/>
      <c r="P279" s="2"/>
      <c r="W279" s="2"/>
      <c r="X279" s="2"/>
      <c r="Y279" s="2"/>
      <c r="Z279" s="2"/>
      <c r="AD279" s="7">
        <f t="shared" si="4"/>
      </c>
    </row>
    <row r="280" spans="9:30" x14ac:dyDescent="0.25">
      <c r="I280" s="2"/>
      <c r="P280" s="2"/>
      <c r="W280" s="2"/>
      <c r="X280" s="2"/>
      <c r="Y280" s="2"/>
      <c r="Z280" s="2"/>
      <c r="AD280" s="7">
        <f t="shared" si="4"/>
      </c>
    </row>
    <row r="281" spans="9:30" x14ac:dyDescent="0.25">
      <c r="I281" s="2"/>
      <c r="P281" s="2"/>
      <c r="W281" s="2"/>
      <c r="X281" s="2"/>
      <c r="Y281" s="2"/>
      <c r="Z281" s="2"/>
      <c r="AD281" s="7">
        <f t="shared" si="4"/>
      </c>
    </row>
    <row r="282" spans="9:30" x14ac:dyDescent="0.25">
      <c r="I282" s="2"/>
      <c r="P282" s="2"/>
      <c r="W282" s="2"/>
      <c r="X282" s="2"/>
      <c r="Y282" s="2"/>
      <c r="Z282" s="2"/>
      <c r="AD282" s="7">
        <f t="shared" si="4"/>
      </c>
    </row>
    <row r="283" spans="9:30" x14ac:dyDescent="0.25">
      <c r="I283" s="2"/>
      <c r="P283" s="2"/>
      <c r="W283" s="2"/>
      <c r="X283" s="2"/>
      <c r="Y283" s="2"/>
      <c r="Z283" s="2"/>
      <c r="AD283" s="7">
        <f t="shared" si="4"/>
      </c>
    </row>
    <row r="284" spans="9:30" x14ac:dyDescent="0.25">
      <c r="I284" s="2"/>
      <c r="P284" s="2"/>
      <c r="W284" s="2"/>
      <c r="X284" s="2"/>
      <c r="Y284" s="2"/>
      <c r="Z284" s="2"/>
      <c r="AD284" s="7">
        <f t="shared" si="4"/>
      </c>
    </row>
    <row r="285" spans="9:30" x14ac:dyDescent="0.25">
      <c r="I285" s="2"/>
      <c r="P285" s="2"/>
      <c r="W285" s="2"/>
      <c r="X285" s="2"/>
      <c r="Y285" s="2"/>
      <c r="Z285" s="2"/>
      <c r="AD285" s="7">
        <f t="shared" si="4"/>
      </c>
    </row>
    <row r="286" spans="9:30" x14ac:dyDescent="0.25">
      <c r="I286" s="2"/>
      <c r="P286" s="2"/>
      <c r="W286" s="2"/>
      <c r="X286" s="2"/>
      <c r="Y286" s="2"/>
      <c r="Z286" s="2"/>
      <c r="AD286" s="7">
        <f t="shared" si="4"/>
      </c>
    </row>
    <row r="287" spans="9:30" x14ac:dyDescent="0.25">
      <c r="I287" s="2"/>
      <c r="P287" s="2"/>
      <c r="W287" s="2"/>
      <c r="X287" s="2"/>
      <c r="Y287" s="2"/>
      <c r="Z287" s="2"/>
      <c r="AD287" s="7">
        <f t="shared" si="4"/>
      </c>
    </row>
    <row r="288" spans="9:30" x14ac:dyDescent="0.25">
      <c r="I288" s="2"/>
      <c r="P288" s="2"/>
      <c r="W288" s="2"/>
      <c r="X288" s="2"/>
      <c r="Y288" s="2"/>
      <c r="Z288" s="2"/>
      <c r="AD288" s="7">
        <f t="shared" si="4"/>
      </c>
    </row>
    <row r="289" spans="9:30" x14ac:dyDescent="0.25">
      <c r="I289" s="2"/>
      <c r="P289" s="2"/>
      <c r="W289" s="2"/>
      <c r="X289" s="2"/>
      <c r="Y289" s="2"/>
      <c r="Z289" s="2"/>
      <c r="AD289" s="7">
        <f t="shared" si="4"/>
      </c>
    </row>
    <row r="290" spans="9:30" x14ac:dyDescent="0.25">
      <c r="I290" s="2"/>
      <c r="P290" s="2"/>
      <c r="W290" s="2"/>
      <c r="X290" s="2"/>
      <c r="Y290" s="2"/>
      <c r="Z290" s="2"/>
      <c r="AD290" s="7">
        <f t="shared" si="4"/>
      </c>
    </row>
    <row r="291" spans="9:30" x14ac:dyDescent="0.25">
      <c r="I291" s="2"/>
      <c r="P291" s="2"/>
      <c r="W291" s="2"/>
      <c r="X291" s="2"/>
      <c r="Y291" s="2"/>
      <c r="Z291" s="2"/>
      <c r="AD291" s="7">
        <f t="shared" si="4"/>
      </c>
    </row>
    <row r="292" spans="9:30" x14ac:dyDescent="0.25">
      <c r="I292" s="2"/>
      <c r="P292" s="2"/>
      <c r="W292" s="2"/>
      <c r="X292" s="2"/>
      <c r="Y292" s="2"/>
      <c r="Z292" s="2"/>
      <c r="AD292" s="7">
        <f t="shared" si="4"/>
      </c>
    </row>
    <row r="293" spans="9:30" x14ac:dyDescent="0.25">
      <c r="I293" s="2"/>
      <c r="P293" s="2"/>
      <c r="W293" s="2"/>
      <c r="X293" s="2"/>
      <c r="Y293" s="2"/>
      <c r="Z293" s="2"/>
      <c r="AD293" s="7">
        <f t="shared" si="4"/>
      </c>
    </row>
    <row r="294" spans="9:30" x14ac:dyDescent="0.25">
      <c r="I294" s="2"/>
      <c r="P294" s="2"/>
      <c r="W294" s="2"/>
      <c r="X294" s="2"/>
      <c r="Y294" s="2"/>
      <c r="Z294" s="2"/>
      <c r="AD294" s="7">
        <f t="shared" si="4"/>
      </c>
    </row>
    <row r="295" spans="9:30" x14ac:dyDescent="0.25">
      <c r="I295" s="2"/>
      <c r="P295" s="2"/>
      <c r="W295" s="2"/>
      <c r="X295" s="2"/>
      <c r="Y295" s="2"/>
      <c r="Z295" s="2"/>
      <c r="AD295" s="7">
        <f t="shared" si="4"/>
      </c>
    </row>
    <row r="296" spans="9:30" x14ac:dyDescent="0.25">
      <c r="I296" s="2"/>
      <c r="P296" s="2"/>
      <c r="W296" s="2"/>
      <c r="X296" s="2"/>
      <c r="Y296" s="2"/>
      <c r="Z296" s="2"/>
      <c r="AD296" s="7">
        <f t="shared" si="4"/>
      </c>
    </row>
    <row r="297" spans="9:30" x14ac:dyDescent="0.25">
      <c r="I297" s="2"/>
      <c r="P297" s="2"/>
      <c r="W297" s="2"/>
      <c r="X297" s="2"/>
      <c r="Y297" s="2"/>
      <c r="Z297" s="2"/>
      <c r="AD297" s="7">
        <f t="shared" si="4"/>
      </c>
    </row>
    <row r="298" spans="9:30" x14ac:dyDescent="0.25">
      <c r="I298" s="2"/>
      <c r="P298" s="2"/>
      <c r="W298" s="2"/>
      <c r="X298" s="2"/>
      <c r="Y298" s="2"/>
      <c r="Z298" s="2"/>
      <c r="AD298" s="7">
        <f t="shared" si="4"/>
      </c>
    </row>
    <row r="299" spans="9:30" x14ac:dyDescent="0.25">
      <c r="I299" s="2"/>
      <c r="P299" s="2"/>
      <c r="W299" s="2"/>
      <c r="X299" s="2"/>
      <c r="Y299" s="2"/>
      <c r="Z299" s="2"/>
      <c r="AD299" s="7">
        <f t="shared" si="4"/>
      </c>
    </row>
    <row r="300" spans="9:30" x14ac:dyDescent="0.25">
      <c r="I300" s="2"/>
      <c r="P300" s="2"/>
      <c r="W300" s="2"/>
      <c r="X300" s="2"/>
      <c r="Y300" s="2"/>
      <c r="Z300" s="2"/>
      <c r="AD300" s="7">
        <f t="shared" si="4"/>
      </c>
    </row>
    <row r="301" spans="9:30" x14ac:dyDescent="0.25">
      <c r="I301" s="2"/>
      <c r="P301" s="2"/>
      <c r="W301" s="2"/>
      <c r="X301" s="2"/>
      <c r="Y301" s="2"/>
      <c r="Z301" s="2"/>
      <c r="AD301" s="7">
        <f t="shared" si="4"/>
      </c>
    </row>
    <row r="302" spans="9:30" x14ac:dyDescent="0.25">
      <c r="I302" s="2"/>
      <c r="P302" s="2"/>
      <c r="W302" s="2"/>
      <c r="X302" s="2"/>
      <c r="Y302" s="2"/>
      <c r="Z302" s="2"/>
      <c r="AD302" s="7">
        <f t="shared" si="4"/>
      </c>
    </row>
    <row r="303" spans="9:30" x14ac:dyDescent="0.25">
      <c r="I303" s="2"/>
      <c r="P303" s="2"/>
      <c r="W303" s="2"/>
      <c r="X303" s="2"/>
      <c r="Y303" s="2"/>
      <c r="Z303" s="2"/>
      <c r="AD303" s="7">
        <f t="shared" si="4"/>
      </c>
    </row>
    <row r="304" spans="9:30" x14ac:dyDescent="0.25">
      <c r="I304" s="2"/>
      <c r="P304" s="2"/>
      <c r="W304" s="2"/>
      <c r="X304" s="2"/>
      <c r="Y304" s="2"/>
      <c r="Z304" s="2"/>
      <c r="AD304" s="7">
        <f t="shared" si="4"/>
      </c>
    </row>
    <row r="305" spans="9:30" x14ac:dyDescent="0.25">
      <c r="I305" s="2"/>
      <c r="P305" s="2"/>
      <c r="W305" s="2"/>
      <c r="X305" s="2"/>
      <c r="Y305" s="2"/>
      <c r="Z305" s="2"/>
      <c r="AD305" s="7">
        <f t="shared" si="4"/>
      </c>
    </row>
    <row r="306" spans="9:30" x14ac:dyDescent="0.25">
      <c r="I306" s="2"/>
      <c r="P306" s="2"/>
      <c r="W306" s="2"/>
      <c r="X306" s="2"/>
      <c r="Y306" s="2"/>
      <c r="Z306" s="2"/>
      <c r="AD306" s="7">
        <f t="shared" si="4"/>
      </c>
    </row>
    <row r="307" spans="9:30" x14ac:dyDescent="0.25">
      <c r="I307" s="2"/>
      <c r="P307" s="2"/>
      <c r="W307" s="2"/>
      <c r="X307" s="2"/>
      <c r="Y307" s="2"/>
      <c r="Z307" s="2"/>
      <c r="AD307" s="7">
        <f t="shared" si="4"/>
      </c>
    </row>
    <row r="308" spans="9:30" x14ac:dyDescent="0.25">
      <c r="I308" s="2"/>
      <c r="P308" s="2"/>
      <c r="W308" s="2"/>
      <c r="X308" s="2"/>
      <c r="Y308" s="2"/>
      <c r="Z308" s="2"/>
      <c r="AD308" s="7">
        <f t="shared" si="4"/>
      </c>
    </row>
    <row r="309" spans="9:30" x14ac:dyDescent="0.25">
      <c r="I309" s="2"/>
      <c r="P309" s="2"/>
      <c r="W309" s="2"/>
      <c r="X309" s="2"/>
      <c r="Y309" s="2"/>
      <c r="Z309" s="2"/>
      <c r="AD309" s="7">
        <f t="shared" si="4"/>
      </c>
    </row>
    <row r="310" spans="9:30" x14ac:dyDescent="0.25">
      <c r="I310" s="2"/>
      <c r="P310" s="2"/>
      <c r="W310" s="2"/>
      <c r="X310" s="2"/>
      <c r="Y310" s="2"/>
      <c r="Z310" s="2"/>
      <c r="AD310" s="7">
        <f t="shared" si="4"/>
      </c>
    </row>
    <row r="311" spans="9:30" x14ac:dyDescent="0.25">
      <c r="I311" s="2"/>
      <c r="P311" s="2"/>
      <c r="W311" s="2"/>
      <c r="X311" s="2"/>
      <c r="Y311" s="2"/>
      <c r="Z311" s="2"/>
      <c r="AD311" s="7">
        <f t="shared" si="4"/>
      </c>
    </row>
    <row r="312" spans="9:30" x14ac:dyDescent="0.25">
      <c r="I312" s="2"/>
      <c r="P312" s="2"/>
      <c r="W312" s="2"/>
      <c r="X312" s="2"/>
      <c r="Y312" s="2"/>
      <c r="Z312" s="2"/>
      <c r="AD312" s="7">
        <f t="shared" si="4"/>
      </c>
    </row>
    <row r="313" spans="9:30" x14ac:dyDescent="0.25">
      <c r="I313" s="2"/>
      <c r="P313" s="2"/>
      <c r="W313" s="2"/>
      <c r="X313" s="2"/>
      <c r="Y313" s="2"/>
      <c r="Z313" s="2"/>
      <c r="AD313" s="7">
        <f t="shared" si="4"/>
      </c>
    </row>
    <row r="314" spans="9:30" x14ac:dyDescent="0.25">
      <c r="I314" s="2"/>
      <c r="P314" s="2"/>
      <c r="W314" s="2"/>
      <c r="X314" s="2"/>
      <c r="Y314" s="2"/>
      <c r="Z314" s="2"/>
      <c r="AD314" s="7">
        <f t="shared" si="4"/>
      </c>
    </row>
    <row r="315" spans="9:30" x14ac:dyDescent="0.25">
      <c r="I315" s="2"/>
      <c r="P315" s="2"/>
      <c r="W315" s="2"/>
      <c r="X315" s="2"/>
      <c r="Y315" s="2"/>
      <c r="Z315" s="2"/>
      <c r="AD315" s="7">
        <f t="shared" si="4"/>
      </c>
    </row>
    <row r="316" spans="9:30" x14ac:dyDescent="0.25">
      <c r="I316" s="2"/>
      <c r="P316" s="2"/>
      <c r="W316" s="2"/>
      <c r="X316" s="2"/>
      <c r="Y316" s="2"/>
      <c r="Z316" s="2"/>
      <c r="AD316" s="7">
        <f t="shared" si="4"/>
      </c>
    </row>
    <row r="317" spans="9:30" x14ac:dyDescent="0.25">
      <c r="I317" s="2"/>
      <c r="P317" s="2"/>
      <c r="W317" s="2"/>
      <c r="X317" s="2"/>
      <c r="Y317" s="2"/>
      <c r="Z317" s="2"/>
      <c r="AD317" s="7">
        <f t="shared" si="4"/>
      </c>
    </row>
    <row r="318" spans="9:30" x14ac:dyDescent="0.25">
      <c r="I318" s="2"/>
      <c r="P318" s="2"/>
      <c r="W318" s="2"/>
      <c r="X318" s="2"/>
      <c r="Y318" s="2"/>
      <c r="Z318" s="2"/>
      <c r="AD318" s="7">
        <f t="shared" si="4"/>
      </c>
    </row>
    <row r="319" spans="9:30" x14ac:dyDescent="0.25">
      <c r="I319" s="2"/>
      <c r="P319" s="2"/>
      <c r="W319" s="2"/>
      <c r="X319" s="2"/>
      <c r="Y319" s="2"/>
      <c r="Z319" s="2"/>
      <c r="AD319" s="7">
        <f t="shared" si="4"/>
      </c>
    </row>
    <row r="320" spans="9:30" x14ac:dyDescent="0.25">
      <c r="I320" s="2"/>
      <c r="P320" s="2"/>
      <c r="W320" s="2"/>
      <c r="X320" s="2"/>
      <c r="Y320" s="2"/>
      <c r="Z320" s="2"/>
      <c r="AD320" s="7">
        <f t="shared" si="4"/>
      </c>
    </row>
    <row r="321" spans="9:30" x14ac:dyDescent="0.25">
      <c r="I321" s="2"/>
      <c r="P321" s="2"/>
      <c r="W321" s="2"/>
      <c r="X321" s="2"/>
      <c r="Y321" s="2"/>
      <c r="Z321" s="2"/>
      <c r="AD321" s="7">
        <f t="shared" si="4"/>
      </c>
    </row>
    <row r="322" spans="9:30" x14ac:dyDescent="0.25">
      <c r="I322" s="2"/>
      <c r="P322" s="2"/>
      <c r="W322" s="2"/>
      <c r="X322" s="2"/>
      <c r="Y322" s="2"/>
      <c r="Z322" s="2"/>
      <c r="AD322" s="7">
        <f t="shared" si="4"/>
      </c>
    </row>
    <row r="323" spans="9:30" x14ac:dyDescent="0.25">
      <c r="I323" s="2"/>
      <c r="P323" s="2"/>
      <c r="W323" s="2"/>
      <c r="X323" s="2"/>
      <c r="Y323" s="2"/>
      <c r="Z323" s="2"/>
      <c r="AD323" s="7">
        <f t="shared" si="4"/>
      </c>
    </row>
    <row r="324" spans="9:30" x14ac:dyDescent="0.25">
      <c r="I324" s="2"/>
      <c r="P324" s="2"/>
      <c r="W324" s="2"/>
      <c r="X324" s="2"/>
      <c r="Y324" s="2"/>
      <c r="Z324" s="2"/>
      <c r="AD324" s="7">
        <f t="shared" si="4"/>
      </c>
    </row>
    <row r="325" spans="9:30" x14ac:dyDescent="0.25">
      <c r="I325" s="2"/>
      <c r="P325" s="2"/>
      <c r="W325" s="2"/>
      <c r="X325" s="2"/>
      <c r="Y325" s="2"/>
      <c r="Z325" s="2"/>
      <c r="AD325" s="7">
        <f t="shared" si="4"/>
      </c>
    </row>
    <row r="326" spans="9:30" x14ac:dyDescent="0.25">
      <c r="I326" s="2"/>
      <c r="P326" s="2"/>
      <c r="W326" s="2"/>
      <c r="X326" s="2"/>
      <c r="Y326" s="2"/>
      <c r="Z326" s="2"/>
      <c r="AD326" s="7">
        <f t="shared" si="4"/>
      </c>
    </row>
    <row r="327" spans="9:30" x14ac:dyDescent="0.25">
      <c r="I327" s="2"/>
      <c r="P327" s="2"/>
      <c r="W327" s="2"/>
      <c r="X327" s="2"/>
      <c r="Y327" s="2"/>
      <c r="Z327" s="2"/>
      <c r="AD327" s="7">
        <f t="shared" si="4"/>
      </c>
    </row>
    <row r="328" spans="9:30" x14ac:dyDescent="0.25">
      <c r="I328" s="2"/>
      <c r="P328" s="2"/>
      <c r="W328" s="2"/>
      <c r="X328" s="2"/>
      <c r="Y328" s="2"/>
      <c r="Z328" s="2"/>
      <c r="AD328" s="7">
        <f t="shared" si="4"/>
      </c>
    </row>
    <row r="329" spans="9:30" x14ac:dyDescent="0.25">
      <c r="I329" s="2"/>
      <c r="P329" s="2"/>
      <c r="W329" s="2"/>
      <c r="X329" s="2"/>
      <c r="Y329" s="2"/>
      <c r="Z329" s="2"/>
      <c r="AD329" s="7">
        <f t="shared" si="4"/>
      </c>
    </row>
    <row r="330" spans="9:30" x14ac:dyDescent="0.25">
      <c r="I330" s="2"/>
      <c r="P330" s="2"/>
      <c r="W330" s="2"/>
      <c r="X330" s="2"/>
      <c r="Y330" s="2"/>
      <c r="Z330" s="2"/>
      <c r="AD330" s="7">
        <f t="shared" ref="AD330:AD393" si="5">IF(P330 = "", "", Y330/P330)</f>
      </c>
    </row>
    <row r="331" spans="9:30" x14ac:dyDescent="0.25">
      <c r="I331" s="2"/>
      <c r="P331" s="2"/>
      <c r="W331" s="2"/>
      <c r="X331" s="2"/>
      <c r="Y331" s="2"/>
      <c r="Z331" s="2"/>
      <c r="AD331" s="7">
        <f t="shared" si="5"/>
      </c>
    </row>
    <row r="332" spans="9:30" x14ac:dyDescent="0.25">
      <c r="I332" s="2"/>
      <c r="P332" s="2"/>
      <c r="W332" s="2"/>
      <c r="X332" s="2"/>
      <c r="Y332" s="2"/>
      <c r="Z332" s="2"/>
      <c r="AD332" s="7">
        <f t="shared" si="5"/>
      </c>
    </row>
    <row r="333" spans="9:30" x14ac:dyDescent="0.25">
      <c r="I333" s="2"/>
      <c r="P333" s="2"/>
      <c r="W333" s="2"/>
      <c r="X333" s="2"/>
      <c r="Y333" s="2"/>
      <c r="Z333" s="2"/>
      <c r="AD333" s="7">
        <f t="shared" si="5"/>
      </c>
    </row>
    <row r="334" spans="9:30" x14ac:dyDescent="0.25">
      <c r="I334" s="2"/>
      <c r="P334" s="2"/>
      <c r="W334" s="2"/>
      <c r="X334" s="2"/>
      <c r="Y334" s="2"/>
      <c r="Z334" s="2"/>
      <c r="AD334" s="7">
        <f t="shared" si="5"/>
      </c>
    </row>
    <row r="335" spans="9:30" x14ac:dyDescent="0.25">
      <c r="I335" s="2"/>
      <c r="P335" s="2"/>
      <c r="W335" s="2"/>
      <c r="X335" s="2"/>
      <c r="Y335" s="2"/>
      <c r="Z335" s="2"/>
      <c r="AD335" s="7">
        <f t="shared" si="5"/>
      </c>
    </row>
    <row r="336" spans="9:30" x14ac:dyDescent="0.25">
      <c r="I336" s="2"/>
      <c r="P336" s="2"/>
      <c r="W336" s="2"/>
      <c r="X336" s="2"/>
      <c r="Y336" s="2"/>
      <c r="Z336" s="2"/>
      <c r="AD336" s="7">
        <f t="shared" si="5"/>
      </c>
    </row>
    <row r="337" spans="9:30" x14ac:dyDescent="0.25">
      <c r="I337" s="2"/>
      <c r="P337" s="2"/>
      <c r="W337" s="2"/>
      <c r="X337" s="2"/>
      <c r="Y337" s="2"/>
      <c r="Z337" s="2"/>
      <c r="AD337" s="7">
        <f t="shared" si="5"/>
      </c>
    </row>
    <row r="338" spans="9:30" x14ac:dyDescent="0.25">
      <c r="I338" s="2"/>
      <c r="P338" s="2"/>
      <c r="W338" s="2"/>
      <c r="X338" s="2"/>
      <c r="Y338" s="2"/>
      <c r="Z338" s="2"/>
      <c r="AD338" s="7">
        <f t="shared" si="5"/>
      </c>
    </row>
    <row r="339" spans="9:30" x14ac:dyDescent="0.25">
      <c r="I339" s="2"/>
      <c r="P339" s="2"/>
      <c r="W339" s="2"/>
      <c r="X339" s="2"/>
      <c r="Y339" s="2"/>
      <c r="Z339" s="2"/>
      <c r="AD339" s="7">
        <f t="shared" si="5"/>
      </c>
    </row>
    <row r="340" spans="9:30" x14ac:dyDescent="0.25">
      <c r="I340" s="2"/>
      <c r="P340" s="2"/>
      <c r="W340" s="2"/>
      <c r="X340" s="2"/>
      <c r="Y340" s="2"/>
      <c r="Z340" s="2"/>
      <c r="AD340" s="7">
        <f t="shared" si="5"/>
      </c>
    </row>
    <row r="341" spans="9:30" x14ac:dyDescent="0.25">
      <c r="I341" s="2"/>
      <c r="P341" s="2"/>
      <c r="W341" s="2"/>
      <c r="X341" s="2"/>
      <c r="Y341" s="2"/>
      <c r="Z341" s="2"/>
      <c r="AD341" s="7">
        <f t="shared" si="5"/>
      </c>
    </row>
    <row r="342" spans="9:30" x14ac:dyDescent="0.25">
      <c r="I342" s="2"/>
      <c r="P342" s="2"/>
      <c r="W342" s="2"/>
      <c r="X342" s="2"/>
      <c r="Y342" s="2"/>
      <c r="Z342" s="2"/>
      <c r="AD342" s="7">
        <f t="shared" si="5"/>
      </c>
    </row>
    <row r="343" spans="9:30" x14ac:dyDescent="0.25">
      <c r="I343" s="2"/>
      <c r="P343" s="2"/>
      <c r="W343" s="2"/>
      <c r="X343" s="2"/>
      <c r="Y343" s="2"/>
      <c r="Z343" s="2"/>
      <c r="AD343" s="7">
        <f t="shared" si="5"/>
      </c>
    </row>
    <row r="344" spans="9:30" x14ac:dyDescent="0.25">
      <c r="I344" s="2"/>
      <c r="P344" s="2"/>
      <c r="W344" s="2"/>
      <c r="X344" s="2"/>
      <c r="Y344" s="2"/>
      <c r="Z344" s="2"/>
      <c r="AD344" s="7">
        <f t="shared" si="5"/>
      </c>
    </row>
    <row r="345" spans="9:30" x14ac:dyDescent="0.25">
      <c r="I345" s="2"/>
      <c r="P345" s="2"/>
      <c r="W345" s="2"/>
      <c r="X345" s="2"/>
      <c r="Y345" s="2"/>
      <c r="Z345" s="2"/>
      <c r="AD345" s="7">
        <f t="shared" si="5"/>
      </c>
    </row>
    <row r="346" spans="9:30" x14ac:dyDescent="0.25">
      <c r="I346" s="2"/>
      <c r="P346" s="2"/>
      <c r="W346" s="2"/>
      <c r="X346" s="2"/>
      <c r="Y346" s="2"/>
      <c r="Z346" s="2"/>
      <c r="AD346" s="7">
        <f t="shared" si="5"/>
      </c>
    </row>
    <row r="347" spans="9:30" x14ac:dyDescent="0.25">
      <c r="I347" s="2"/>
      <c r="P347" s="2"/>
      <c r="W347" s="2"/>
      <c r="X347" s="2"/>
      <c r="Y347" s="2"/>
      <c r="Z347" s="2"/>
      <c r="AD347" s="7">
        <f t="shared" si="5"/>
      </c>
    </row>
    <row r="348" spans="9:30" x14ac:dyDescent="0.25">
      <c r="I348" s="2"/>
      <c r="P348" s="2"/>
      <c r="W348" s="2"/>
      <c r="X348" s="2"/>
      <c r="Y348" s="2"/>
      <c r="Z348" s="2"/>
      <c r="AD348" s="7">
        <f t="shared" si="5"/>
      </c>
    </row>
    <row r="349" spans="9:30" x14ac:dyDescent="0.25">
      <c r="I349" s="2"/>
      <c r="P349" s="2"/>
      <c r="W349" s="2"/>
      <c r="X349" s="2"/>
      <c r="Y349" s="2"/>
      <c r="Z349" s="2"/>
      <c r="AD349" s="7">
        <f t="shared" si="5"/>
      </c>
    </row>
    <row r="350" spans="9:30" x14ac:dyDescent="0.25">
      <c r="I350" s="2"/>
      <c r="P350" s="2"/>
      <c r="W350" s="2"/>
      <c r="X350" s="2"/>
      <c r="Y350" s="2"/>
      <c r="Z350" s="2"/>
      <c r="AD350" s="7">
        <f t="shared" si="5"/>
      </c>
    </row>
    <row r="351" spans="9:30" x14ac:dyDescent="0.25">
      <c r="I351" s="2"/>
      <c r="P351" s="2"/>
      <c r="W351" s="2"/>
      <c r="X351" s="2"/>
      <c r="Y351" s="2"/>
      <c r="Z351" s="2"/>
      <c r="AD351" s="7">
        <f t="shared" si="5"/>
      </c>
    </row>
    <row r="352" spans="9:30" x14ac:dyDescent="0.25">
      <c r="I352" s="2"/>
      <c r="P352" s="2"/>
      <c r="W352" s="2"/>
      <c r="X352" s="2"/>
      <c r="Y352" s="2"/>
      <c r="Z352" s="2"/>
      <c r="AD352" s="7">
        <f t="shared" si="5"/>
      </c>
    </row>
    <row r="353" spans="9:30" x14ac:dyDescent="0.25">
      <c r="I353" s="2"/>
      <c r="P353" s="2"/>
      <c r="W353" s="2"/>
      <c r="X353" s="2"/>
      <c r="Y353" s="2"/>
      <c r="Z353" s="2"/>
      <c r="AD353" s="7">
        <f t="shared" si="5"/>
      </c>
    </row>
    <row r="354" spans="9:30" x14ac:dyDescent="0.25">
      <c r="I354" s="2"/>
      <c r="P354" s="2"/>
      <c r="W354" s="2"/>
      <c r="X354" s="2"/>
      <c r="Y354" s="2"/>
      <c r="Z354" s="2"/>
      <c r="AD354" s="7">
        <f t="shared" si="5"/>
      </c>
    </row>
    <row r="355" spans="9:30" x14ac:dyDescent="0.25">
      <c r="I355" s="2"/>
      <c r="P355" s="2"/>
      <c r="W355" s="2"/>
      <c r="X355" s="2"/>
      <c r="Y355" s="2"/>
      <c r="Z355" s="2"/>
      <c r="AD355" s="7">
        <f t="shared" si="5"/>
      </c>
    </row>
    <row r="356" spans="9:30" x14ac:dyDescent="0.25">
      <c r="I356" s="2"/>
      <c r="P356" s="2"/>
      <c r="W356" s="2"/>
      <c r="X356" s="2"/>
      <c r="Y356" s="2"/>
      <c r="Z356" s="2"/>
      <c r="AD356" s="7">
        <f t="shared" si="5"/>
      </c>
    </row>
    <row r="357" spans="9:30" x14ac:dyDescent="0.25">
      <c r="I357" s="2"/>
      <c r="P357" s="2"/>
      <c r="W357" s="2"/>
      <c r="X357" s="2"/>
      <c r="Y357" s="2"/>
      <c r="Z357" s="2"/>
      <c r="AD357" s="7">
        <f t="shared" si="5"/>
      </c>
    </row>
    <row r="358" spans="9:30" x14ac:dyDescent="0.25">
      <c r="I358" s="2"/>
      <c r="P358" s="2"/>
      <c r="W358" s="2"/>
      <c r="X358" s="2"/>
      <c r="Y358" s="2"/>
      <c r="Z358" s="2"/>
      <c r="AD358" s="7">
        <f t="shared" si="5"/>
      </c>
    </row>
    <row r="359" spans="9:30" x14ac:dyDescent="0.25">
      <c r="I359" s="2"/>
      <c r="P359" s="2"/>
      <c r="W359" s="2"/>
      <c r="X359" s="2"/>
      <c r="Y359" s="2"/>
      <c r="Z359" s="2"/>
      <c r="AD359" s="7">
        <f t="shared" si="5"/>
      </c>
    </row>
    <row r="360" spans="9:30" x14ac:dyDescent="0.25">
      <c r="I360" s="2"/>
      <c r="P360" s="2"/>
      <c r="W360" s="2"/>
      <c r="X360" s="2"/>
      <c r="Y360" s="2"/>
      <c r="Z360" s="2"/>
      <c r="AD360" s="7">
        <f t="shared" si="5"/>
      </c>
    </row>
    <row r="361" spans="9:30" x14ac:dyDescent="0.25">
      <c r="I361" s="2"/>
      <c r="P361" s="2"/>
      <c r="W361" s="2"/>
      <c r="X361" s="2"/>
      <c r="Y361" s="2"/>
      <c r="Z361" s="2"/>
      <c r="AD361" s="7">
        <f t="shared" si="5"/>
      </c>
    </row>
    <row r="362" spans="9:30" x14ac:dyDescent="0.25">
      <c r="I362" s="2"/>
      <c r="P362" s="2"/>
      <c r="W362" s="2"/>
      <c r="X362" s="2"/>
      <c r="Y362" s="2"/>
      <c r="Z362" s="2"/>
      <c r="AD362" s="7">
        <f t="shared" si="5"/>
      </c>
    </row>
    <row r="363" spans="9:30" x14ac:dyDescent="0.25">
      <c r="I363" s="2"/>
      <c r="P363" s="2"/>
      <c r="W363" s="2"/>
      <c r="X363" s="2"/>
      <c r="Y363" s="2"/>
      <c r="Z363" s="2"/>
      <c r="AD363" s="7">
        <f t="shared" si="5"/>
      </c>
    </row>
    <row r="364" spans="9:30" x14ac:dyDescent="0.25">
      <c r="I364" s="2"/>
      <c r="P364" s="2"/>
      <c r="W364" s="2"/>
      <c r="X364" s="2"/>
      <c r="Y364" s="2"/>
      <c r="Z364" s="2"/>
      <c r="AD364" s="7">
        <f t="shared" si="5"/>
      </c>
    </row>
    <row r="365" spans="9:30" x14ac:dyDescent="0.25">
      <c r="I365" s="2"/>
      <c r="P365" s="2"/>
      <c r="W365" s="2"/>
      <c r="X365" s="2"/>
      <c r="Y365" s="2"/>
      <c r="Z365" s="2"/>
      <c r="AD365" s="7">
        <f t="shared" si="5"/>
      </c>
    </row>
    <row r="366" spans="9:30" x14ac:dyDescent="0.25">
      <c r="I366" s="2"/>
      <c r="P366" s="2"/>
      <c r="W366" s="2"/>
      <c r="X366" s="2"/>
      <c r="Y366" s="2"/>
      <c r="Z366" s="2"/>
      <c r="AD366" s="7">
        <f t="shared" si="5"/>
      </c>
    </row>
    <row r="367" spans="9:30" x14ac:dyDescent="0.25">
      <c r="I367" s="2"/>
      <c r="P367" s="2"/>
      <c r="W367" s="2"/>
      <c r="X367" s="2"/>
      <c r="Y367" s="2"/>
      <c r="Z367" s="2"/>
      <c r="AD367" s="7">
        <f t="shared" si="5"/>
      </c>
    </row>
    <row r="368" spans="9:30" x14ac:dyDescent="0.25">
      <c r="I368" s="2"/>
      <c r="P368" s="2"/>
      <c r="W368" s="2"/>
      <c r="X368" s="2"/>
      <c r="Y368" s="2"/>
      <c r="Z368" s="2"/>
      <c r="AD368" s="7">
        <f t="shared" si="5"/>
      </c>
    </row>
    <row r="369" spans="9:30" x14ac:dyDescent="0.25">
      <c r="I369" s="2"/>
      <c r="P369" s="2"/>
      <c r="W369" s="2"/>
      <c r="X369" s="2"/>
      <c r="Y369" s="2"/>
      <c r="Z369" s="2"/>
      <c r="AD369" s="7">
        <f t="shared" si="5"/>
      </c>
    </row>
    <row r="370" spans="9:30" x14ac:dyDescent="0.25">
      <c r="I370" s="2"/>
      <c r="P370" s="2"/>
      <c r="W370" s="2"/>
      <c r="X370" s="2"/>
      <c r="Y370" s="2"/>
      <c r="Z370" s="2"/>
      <c r="AD370" s="7">
        <f t="shared" si="5"/>
      </c>
    </row>
    <row r="371" spans="9:30" x14ac:dyDescent="0.25">
      <c r="I371" s="2"/>
      <c r="P371" s="2"/>
      <c r="W371" s="2"/>
      <c r="X371" s="2"/>
      <c r="Y371" s="2"/>
      <c r="Z371" s="2"/>
      <c r="AD371" s="7">
        <f t="shared" si="5"/>
      </c>
    </row>
    <row r="372" spans="9:30" x14ac:dyDescent="0.25">
      <c r="I372" s="2"/>
      <c r="P372" s="2"/>
      <c r="W372" s="2"/>
      <c r="X372" s="2"/>
      <c r="Y372" s="2"/>
      <c r="Z372" s="2"/>
      <c r="AD372" s="7">
        <f t="shared" si="5"/>
      </c>
    </row>
    <row r="373" spans="9:30" x14ac:dyDescent="0.25">
      <c r="I373" s="2"/>
      <c r="P373" s="2"/>
      <c r="W373" s="2"/>
      <c r="X373" s="2"/>
      <c r="Y373" s="2"/>
      <c r="Z373" s="2"/>
      <c r="AD373" s="7">
        <f t="shared" si="5"/>
      </c>
    </row>
    <row r="374" spans="9:30" x14ac:dyDescent="0.25">
      <c r="I374" s="2"/>
      <c r="P374" s="2"/>
      <c r="W374" s="2"/>
      <c r="X374" s="2"/>
      <c r="Y374" s="2"/>
      <c r="Z374" s="2"/>
      <c r="AD374" s="7">
        <f t="shared" si="5"/>
      </c>
    </row>
    <row r="375" spans="9:30" x14ac:dyDescent="0.25">
      <c r="I375" s="2"/>
      <c r="P375" s="2"/>
      <c r="W375" s="2"/>
      <c r="X375" s="2"/>
      <c r="Y375" s="2"/>
      <c r="Z375" s="2"/>
      <c r="AD375" s="7">
        <f t="shared" si="5"/>
      </c>
    </row>
    <row r="376" spans="9:30" x14ac:dyDescent="0.25">
      <c r="I376" s="2"/>
      <c r="P376" s="2"/>
      <c r="W376" s="2"/>
      <c r="X376" s="2"/>
      <c r="Y376" s="2"/>
      <c r="Z376" s="2"/>
      <c r="AD376" s="7">
        <f t="shared" si="5"/>
      </c>
    </row>
    <row r="377" spans="9:30" x14ac:dyDescent="0.25">
      <c r="I377" s="2"/>
      <c r="P377" s="2"/>
      <c r="W377" s="2"/>
      <c r="X377" s="2"/>
      <c r="Y377" s="2"/>
      <c r="Z377" s="2"/>
      <c r="AD377" s="7">
        <f t="shared" si="5"/>
      </c>
    </row>
    <row r="378" spans="9:30" x14ac:dyDescent="0.25">
      <c r="I378" s="2"/>
      <c r="P378" s="2"/>
      <c r="W378" s="2"/>
      <c r="X378" s="2"/>
      <c r="Y378" s="2"/>
      <c r="Z378" s="2"/>
      <c r="AD378" s="7">
        <f t="shared" si="5"/>
      </c>
    </row>
    <row r="379" spans="9:30" x14ac:dyDescent="0.25">
      <c r="I379" s="2"/>
      <c r="P379" s="2"/>
      <c r="W379" s="2"/>
      <c r="X379" s="2"/>
      <c r="Y379" s="2"/>
      <c r="Z379" s="2"/>
      <c r="AD379" s="7">
        <f t="shared" si="5"/>
      </c>
    </row>
    <row r="380" spans="9:30" x14ac:dyDescent="0.25">
      <c r="I380" s="2"/>
      <c r="P380" s="2"/>
      <c r="W380" s="2"/>
      <c r="X380" s="2"/>
      <c r="Y380" s="2"/>
      <c r="Z380" s="2"/>
      <c r="AD380" s="7">
        <f t="shared" si="5"/>
      </c>
    </row>
    <row r="381" spans="9:30" x14ac:dyDescent="0.25">
      <c r="I381" s="2"/>
      <c r="P381" s="2"/>
      <c r="W381" s="2"/>
      <c r="X381" s="2"/>
      <c r="Y381" s="2"/>
      <c r="Z381" s="2"/>
      <c r="AD381" s="7">
        <f t="shared" si="5"/>
      </c>
    </row>
    <row r="382" spans="9:30" x14ac:dyDescent="0.25">
      <c r="I382" s="2"/>
      <c r="P382" s="2"/>
      <c r="W382" s="2"/>
      <c r="X382" s="2"/>
      <c r="Y382" s="2"/>
      <c r="Z382" s="2"/>
      <c r="AD382" s="7">
        <f t="shared" si="5"/>
      </c>
    </row>
    <row r="383" spans="9:30" x14ac:dyDescent="0.25">
      <c r="I383" s="2"/>
      <c r="P383" s="2"/>
      <c r="W383" s="2"/>
      <c r="X383" s="2"/>
      <c r="Y383" s="2"/>
      <c r="Z383" s="2"/>
      <c r="AD383" s="7">
        <f t="shared" si="5"/>
      </c>
    </row>
    <row r="384" spans="9:30" x14ac:dyDescent="0.25">
      <c r="I384" s="2"/>
      <c r="P384" s="2"/>
      <c r="W384" s="2"/>
      <c r="X384" s="2"/>
      <c r="Y384" s="2"/>
      <c r="Z384" s="2"/>
      <c r="AD384" s="7">
        <f t="shared" si="5"/>
      </c>
    </row>
    <row r="385" spans="9:30" x14ac:dyDescent="0.25">
      <c r="I385" s="2"/>
      <c r="P385" s="2"/>
      <c r="W385" s="2"/>
      <c r="X385" s="2"/>
      <c r="Y385" s="2"/>
      <c r="Z385" s="2"/>
      <c r="AD385" s="7">
        <f t="shared" si="5"/>
      </c>
    </row>
    <row r="386" spans="9:30" x14ac:dyDescent="0.25">
      <c r="I386" s="2"/>
      <c r="P386" s="2"/>
      <c r="W386" s="2"/>
      <c r="X386" s="2"/>
      <c r="Y386" s="2"/>
      <c r="Z386" s="2"/>
      <c r="AD386" s="7">
        <f t="shared" si="5"/>
      </c>
    </row>
    <row r="387" spans="9:30" x14ac:dyDescent="0.25">
      <c r="I387" s="2"/>
      <c r="P387" s="2"/>
      <c r="W387" s="2"/>
      <c r="X387" s="2"/>
      <c r="Y387" s="2"/>
      <c r="Z387" s="2"/>
      <c r="AD387" s="7">
        <f t="shared" si="5"/>
      </c>
    </row>
    <row r="388" spans="9:30" x14ac:dyDescent="0.25">
      <c r="I388" s="2"/>
      <c r="P388" s="2"/>
      <c r="W388" s="2"/>
      <c r="X388" s="2"/>
      <c r="Y388" s="2"/>
      <c r="Z388" s="2"/>
      <c r="AD388" s="7">
        <f t="shared" si="5"/>
      </c>
    </row>
    <row r="389" spans="9:30" x14ac:dyDescent="0.25">
      <c r="I389" s="2"/>
      <c r="P389" s="2"/>
      <c r="W389" s="2"/>
      <c r="X389" s="2"/>
      <c r="Y389" s="2"/>
      <c r="Z389" s="2"/>
      <c r="AD389" s="7">
        <f t="shared" si="5"/>
      </c>
    </row>
    <row r="390" spans="9:30" x14ac:dyDescent="0.25">
      <c r="I390" s="2"/>
      <c r="P390" s="2"/>
      <c r="W390" s="2"/>
      <c r="X390" s="2"/>
      <c r="Y390" s="2"/>
      <c r="Z390" s="2"/>
      <c r="AD390" s="7">
        <f t="shared" si="5"/>
      </c>
    </row>
    <row r="391" spans="9:30" x14ac:dyDescent="0.25">
      <c r="I391" s="2"/>
      <c r="P391" s="2"/>
      <c r="W391" s="2"/>
      <c r="X391" s="2"/>
      <c r="Y391" s="2"/>
      <c r="Z391" s="2"/>
      <c r="AD391" s="7">
        <f t="shared" si="5"/>
      </c>
    </row>
    <row r="392" spans="9:30" x14ac:dyDescent="0.25">
      <c r="I392" s="2"/>
      <c r="P392" s="2"/>
      <c r="W392" s="2"/>
      <c r="X392" s="2"/>
      <c r="Y392" s="2"/>
      <c r="Z392" s="2"/>
      <c r="AD392" s="7">
        <f t="shared" si="5"/>
      </c>
    </row>
    <row r="393" spans="9:30" x14ac:dyDescent="0.25">
      <c r="I393" s="2"/>
      <c r="P393" s="2"/>
      <c r="W393" s="2"/>
      <c r="X393" s="2"/>
      <c r="Y393" s="2"/>
      <c r="Z393" s="2"/>
      <c r="AD393" s="7">
        <f t="shared" si="5"/>
      </c>
    </row>
    <row r="394" spans="9:30" x14ac:dyDescent="0.25">
      <c r="I394" s="2"/>
      <c r="P394" s="2"/>
      <c r="W394" s="2"/>
      <c r="X394" s="2"/>
      <c r="Y394" s="2"/>
      <c r="Z394" s="2"/>
      <c r="AD394" s="7">
        <f t="shared" ref="AD394:AD457" si="6">IF(P394 = "", "", Y394/P394)</f>
      </c>
    </row>
    <row r="395" spans="9:30" x14ac:dyDescent="0.25">
      <c r="I395" s="2"/>
      <c r="P395" s="2"/>
      <c r="W395" s="2"/>
      <c r="X395" s="2"/>
      <c r="Y395" s="2"/>
      <c r="Z395" s="2"/>
      <c r="AD395" s="7">
        <f t="shared" si="6"/>
      </c>
    </row>
    <row r="396" spans="9:30" x14ac:dyDescent="0.25">
      <c r="I396" s="2"/>
      <c r="P396" s="2"/>
      <c r="W396" s="2"/>
      <c r="X396" s="2"/>
      <c r="Y396" s="2"/>
      <c r="Z396" s="2"/>
      <c r="AD396" s="7">
        <f t="shared" si="6"/>
      </c>
    </row>
    <row r="397" spans="9:30" x14ac:dyDescent="0.25">
      <c r="I397" s="2"/>
      <c r="P397" s="2"/>
      <c r="W397" s="2"/>
      <c r="X397" s="2"/>
      <c r="Y397" s="2"/>
      <c r="Z397" s="2"/>
      <c r="AD397" s="7">
        <f t="shared" si="6"/>
      </c>
    </row>
    <row r="398" spans="9:30" x14ac:dyDescent="0.25">
      <c r="I398" s="2"/>
      <c r="P398" s="2"/>
      <c r="W398" s="2"/>
      <c r="X398" s="2"/>
      <c r="Y398" s="2"/>
      <c r="Z398" s="2"/>
      <c r="AD398" s="7">
        <f t="shared" si="6"/>
      </c>
    </row>
    <row r="399" spans="9:30" x14ac:dyDescent="0.25">
      <c r="I399" s="2"/>
      <c r="P399" s="2"/>
      <c r="W399" s="2"/>
      <c r="X399" s="2"/>
      <c r="Y399" s="2"/>
      <c r="Z399" s="2"/>
      <c r="AD399" s="7">
        <f t="shared" si="6"/>
      </c>
    </row>
    <row r="400" spans="9:30" x14ac:dyDescent="0.25">
      <c r="I400" s="2"/>
      <c r="P400" s="2"/>
      <c r="W400" s="2"/>
      <c r="X400" s="2"/>
      <c r="Y400" s="2"/>
      <c r="Z400" s="2"/>
      <c r="AD400" s="7">
        <f t="shared" si="6"/>
      </c>
    </row>
    <row r="401" spans="9:30" x14ac:dyDescent="0.25">
      <c r="I401" s="2"/>
      <c r="P401" s="2"/>
      <c r="W401" s="2"/>
      <c r="X401" s="2"/>
      <c r="Y401" s="2"/>
      <c r="Z401" s="2"/>
      <c r="AD401" s="7">
        <f t="shared" si="6"/>
      </c>
    </row>
    <row r="402" spans="9:30" x14ac:dyDescent="0.25">
      <c r="I402" s="2"/>
      <c r="P402" s="2"/>
      <c r="W402" s="2"/>
      <c r="X402" s="2"/>
      <c r="Y402" s="2"/>
      <c r="Z402" s="2"/>
      <c r="AD402" s="7">
        <f t="shared" si="6"/>
      </c>
    </row>
    <row r="403" spans="9:30" x14ac:dyDescent="0.25">
      <c r="I403" s="2"/>
      <c r="P403" s="2"/>
      <c r="W403" s="2"/>
      <c r="X403" s="2"/>
      <c r="Y403" s="2"/>
      <c r="Z403" s="2"/>
      <c r="AD403" s="7">
        <f t="shared" si="6"/>
      </c>
    </row>
    <row r="404" spans="9:30" x14ac:dyDescent="0.25">
      <c r="I404" s="2"/>
      <c r="P404" s="2"/>
      <c r="W404" s="2"/>
      <c r="X404" s="2"/>
      <c r="Y404" s="2"/>
      <c r="Z404" s="2"/>
      <c r="AD404" s="7">
        <f t="shared" si="6"/>
      </c>
    </row>
    <row r="405" spans="9:30" x14ac:dyDescent="0.25">
      <c r="I405" s="2"/>
      <c r="P405" s="2"/>
      <c r="W405" s="2"/>
      <c r="X405" s="2"/>
      <c r="Y405" s="2"/>
      <c r="Z405" s="2"/>
      <c r="AD405" s="7">
        <f t="shared" si="6"/>
      </c>
    </row>
    <row r="406" spans="9:30" x14ac:dyDescent="0.25">
      <c r="I406" s="2"/>
      <c r="P406" s="2"/>
      <c r="W406" s="2"/>
      <c r="X406" s="2"/>
      <c r="Y406" s="2"/>
      <c r="Z406" s="2"/>
      <c r="AD406" s="7">
        <f t="shared" si="6"/>
      </c>
    </row>
    <row r="407" spans="9:30" x14ac:dyDescent="0.25">
      <c r="I407" s="2"/>
      <c r="P407" s="2"/>
      <c r="W407" s="2"/>
      <c r="X407" s="2"/>
      <c r="Y407" s="2"/>
      <c r="Z407" s="2"/>
      <c r="AD407" s="7">
        <f t="shared" si="6"/>
      </c>
    </row>
    <row r="408" spans="9:30" x14ac:dyDescent="0.25">
      <c r="I408" s="2"/>
      <c r="P408" s="2"/>
      <c r="W408" s="2"/>
      <c r="X408" s="2"/>
      <c r="Y408" s="2"/>
      <c r="Z408" s="2"/>
      <c r="AD408" s="7">
        <f t="shared" si="6"/>
      </c>
    </row>
    <row r="409" spans="9:30" x14ac:dyDescent="0.25">
      <c r="I409" s="2"/>
      <c r="P409" s="2"/>
      <c r="W409" s="2"/>
      <c r="X409" s="2"/>
      <c r="Y409" s="2"/>
      <c r="Z409" s="2"/>
      <c r="AD409" s="7">
        <f t="shared" si="6"/>
      </c>
    </row>
    <row r="410" spans="9:30" x14ac:dyDescent="0.25">
      <c r="I410" s="2"/>
      <c r="P410" s="2"/>
      <c r="W410" s="2"/>
      <c r="X410" s="2"/>
      <c r="Y410" s="2"/>
      <c r="Z410" s="2"/>
      <c r="AD410" s="7">
        <f t="shared" si="6"/>
      </c>
    </row>
    <row r="411" spans="9:30" x14ac:dyDescent="0.25">
      <c r="I411" s="2"/>
      <c r="P411" s="2"/>
      <c r="W411" s="2"/>
      <c r="X411" s="2"/>
      <c r="Y411" s="2"/>
      <c r="Z411" s="2"/>
      <c r="AD411" s="7">
        <f t="shared" si="6"/>
      </c>
    </row>
    <row r="412" spans="9:30" x14ac:dyDescent="0.25">
      <c r="I412" s="2"/>
      <c r="P412" s="2"/>
      <c r="W412" s="2"/>
      <c r="X412" s="2"/>
      <c r="Y412" s="2"/>
      <c r="Z412" s="2"/>
      <c r="AD412" s="7">
        <f t="shared" si="6"/>
      </c>
    </row>
    <row r="413" spans="9:30" x14ac:dyDescent="0.25">
      <c r="I413" s="2"/>
      <c r="P413" s="2"/>
      <c r="W413" s="2"/>
      <c r="X413" s="2"/>
      <c r="Y413" s="2"/>
      <c r="Z413" s="2"/>
      <c r="AD413" s="7">
        <f t="shared" si="6"/>
      </c>
    </row>
    <row r="414" spans="9:30" x14ac:dyDescent="0.25">
      <c r="I414" s="2"/>
      <c r="P414" s="2"/>
      <c r="W414" s="2"/>
      <c r="X414" s="2"/>
      <c r="Y414" s="2"/>
      <c r="Z414" s="2"/>
      <c r="AD414" s="7">
        <f t="shared" si="6"/>
      </c>
    </row>
    <row r="415" spans="9:30" x14ac:dyDescent="0.25">
      <c r="I415" s="2"/>
      <c r="P415" s="2"/>
      <c r="W415" s="2"/>
      <c r="X415" s="2"/>
      <c r="Y415" s="2"/>
      <c r="Z415" s="2"/>
      <c r="AD415" s="7">
        <f t="shared" si="6"/>
      </c>
    </row>
    <row r="416" spans="9:30" x14ac:dyDescent="0.25">
      <c r="I416" s="2"/>
      <c r="P416" s="2"/>
      <c r="W416" s="2"/>
      <c r="X416" s="2"/>
      <c r="Y416" s="2"/>
      <c r="Z416" s="2"/>
      <c r="AD416" s="7">
        <f t="shared" si="6"/>
      </c>
    </row>
    <row r="417" spans="9:30" x14ac:dyDescent="0.25">
      <c r="I417" s="2"/>
      <c r="P417" s="2"/>
      <c r="W417" s="2"/>
      <c r="X417" s="2"/>
      <c r="Y417" s="2"/>
      <c r="Z417" s="2"/>
      <c r="AD417" s="7">
        <f t="shared" si="6"/>
      </c>
    </row>
    <row r="418" spans="9:30" x14ac:dyDescent="0.25">
      <c r="I418" s="2"/>
      <c r="P418" s="2"/>
      <c r="W418" s="2"/>
      <c r="X418" s="2"/>
      <c r="Y418" s="2"/>
      <c r="Z418" s="2"/>
      <c r="AD418" s="7">
        <f t="shared" si="6"/>
      </c>
    </row>
    <row r="419" spans="9:30" x14ac:dyDescent="0.25">
      <c r="I419" s="2"/>
      <c r="P419" s="2"/>
      <c r="W419" s="2"/>
      <c r="X419" s="2"/>
      <c r="Y419" s="2"/>
      <c r="Z419" s="2"/>
      <c r="AD419" s="7">
        <f t="shared" si="6"/>
      </c>
    </row>
    <row r="420" spans="9:30" x14ac:dyDescent="0.25">
      <c r="I420" s="2"/>
      <c r="P420" s="2"/>
      <c r="W420" s="2"/>
      <c r="X420" s="2"/>
      <c r="Y420" s="2"/>
      <c r="Z420" s="2"/>
      <c r="AD420" s="7">
        <f t="shared" si="6"/>
      </c>
    </row>
    <row r="421" spans="9:30" x14ac:dyDescent="0.25">
      <c r="I421" s="2"/>
      <c r="P421" s="2"/>
      <c r="W421" s="2"/>
      <c r="X421" s="2"/>
      <c r="Y421" s="2"/>
      <c r="Z421" s="2"/>
      <c r="AD421" s="7">
        <f t="shared" si="6"/>
      </c>
    </row>
    <row r="422" spans="9:30" x14ac:dyDescent="0.25">
      <c r="I422" s="2"/>
      <c r="P422" s="2"/>
      <c r="W422" s="2"/>
      <c r="X422" s="2"/>
      <c r="Y422" s="2"/>
      <c r="Z422" s="2"/>
      <c r="AD422" s="7">
        <f t="shared" si="6"/>
      </c>
    </row>
    <row r="423" spans="9:30" x14ac:dyDescent="0.25">
      <c r="I423" s="2"/>
      <c r="P423" s="2"/>
      <c r="W423" s="2"/>
      <c r="X423" s="2"/>
      <c r="Y423" s="2"/>
      <c r="Z423" s="2"/>
      <c r="AD423" s="7">
        <f t="shared" si="6"/>
      </c>
    </row>
    <row r="424" spans="9:30" x14ac:dyDescent="0.25">
      <c r="I424" s="2"/>
      <c r="P424" s="2"/>
      <c r="W424" s="2"/>
      <c r="X424" s="2"/>
      <c r="Y424" s="2"/>
      <c r="Z424" s="2"/>
      <c r="AD424" s="7">
        <f t="shared" si="6"/>
      </c>
    </row>
    <row r="425" spans="9:30" x14ac:dyDescent="0.25">
      <c r="I425" s="2"/>
      <c r="P425" s="2"/>
      <c r="W425" s="2"/>
      <c r="X425" s="2"/>
      <c r="Y425" s="2"/>
      <c r="Z425" s="2"/>
      <c r="AD425" s="7">
        <f t="shared" si="6"/>
      </c>
    </row>
    <row r="426" spans="9:30" x14ac:dyDescent="0.25">
      <c r="I426" s="2"/>
      <c r="P426" s="2"/>
      <c r="W426" s="2"/>
      <c r="X426" s="2"/>
      <c r="Y426" s="2"/>
      <c r="Z426" s="2"/>
      <c r="AD426" s="7">
        <f t="shared" si="6"/>
      </c>
    </row>
    <row r="427" spans="9:30" x14ac:dyDescent="0.25">
      <c r="I427" s="2"/>
      <c r="P427" s="2"/>
      <c r="W427" s="2"/>
      <c r="X427" s="2"/>
      <c r="Y427" s="2"/>
      <c r="Z427" s="2"/>
      <c r="AD427" s="7">
        <f t="shared" si="6"/>
      </c>
    </row>
    <row r="428" spans="9:30" x14ac:dyDescent="0.25">
      <c r="I428" s="2"/>
      <c r="P428" s="2"/>
      <c r="W428" s="2"/>
      <c r="X428" s="2"/>
      <c r="Y428" s="2"/>
      <c r="Z428" s="2"/>
      <c r="AD428" s="7">
        <f t="shared" si="6"/>
      </c>
    </row>
    <row r="429" spans="9:30" x14ac:dyDescent="0.25">
      <c r="I429" s="2"/>
      <c r="P429" s="2"/>
      <c r="W429" s="2"/>
      <c r="X429" s="2"/>
      <c r="Y429" s="2"/>
      <c r="Z429" s="2"/>
      <c r="AD429" s="7">
        <f t="shared" si="6"/>
      </c>
    </row>
    <row r="430" spans="9:30" x14ac:dyDescent="0.25">
      <c r="I430" s="2"/>
      <c r="P430" s="2"/>
      <c r="W430" s="2"/>
      <c r="X430" s="2"/>
      <c r="Y430" s="2"/>
      <c r="Z430" s="2"/>
      <c r="AD430" s="7">
        <f t="shared" si="6"/>
      </c>
    </row>
    <row r="431" spans="9:30" x14ac:dyDescent="0.25">
      <c r="I431" s="2"/>
      <c r="P431" s="2"/>
      <c r="W431" s="2"/>
      <c r="X431" s="2"/>
      <c r="Y431" s="2"/>
      <c r="Z431" s="2"/>
      <c r="AD431" s="7">
        <f t="shared" si="6"/>
      </c>
    </row>
    <row r="432" spans="9:30" x14ac:dyDescent="0.25">
      <c r="I432" s="2"/>
      <c r="P432" s="2"/>
      <c r="W432" s="2"/>
      <c r="X432" s="2"/>
      <c r="Y432" s="2"/>
      <c r="Z432" s="2"/>
      <c r="AD432" s="7">
        <f t="shared" si="6"/>
      </c>
    </row>
    <row r="433" spans="9:30" x14ac:dyDescent="0.25">
      <c r="I433" s="2"/>
      <c r="P433" s="2"/>
      <c r="W433" s="2"/>
      <c r="X433" s="2"/>
      <c r="Y433" s="2"/>
      <c r="Z433" s="2"/>
      <c r="AD433" s="7">
        <f t="shared" si="6"/>
      </c>
    </row>
    <row r="434" spans="9:30" x14ac:dyDescent="0.25">
      <c r="I434" s="2"/>
      <c r="P434" s="2"/>
      <c r="W434" s="2"/>
      <c r="X434" s="2"/>
      <c r="Y434" s="2"/>
      <c r="Z434" s="2"/>
      <c r="AD434" s="7">
        <f t="shared" si="6"/>
      </c>
    </row>
    <row r="435" spans="9:30" x14ac:dyDescent="0.25">
      <c r="I435" s="2"/>
      <c r="P435" s="2"/>
      <c r="W435" s="2"/>
      <c r="X435" s="2"/>
      <c r="Y435" s="2"/>
      <c r="Z435" s="2"/>
      <c r="AD435" s="7">
        <f t="shared" si="6"/>
      </c>
    </row>
    <row r="436" spans="9:30" x14ac:dyDescent="0.25">
      <c r="I436" s="2"/>
      <c r="P436" s="2"/>
      <c r="W436" s="2"/>
      <c r="X436" s="2"/>
      <c r="Y436" s="2"/>
      <c r="Z436" s="2"/>
      <c r="AD436" s="7">
        <f t="shared" si="6"/>
      </c>
    </row>
    <row r="437" spans="9:30" x14ac:dyDescent="0.25">
      <c r="I437" s="2"/>
      <c r="P437" s="2"/>
      <c r="W437" s="2"/>
      <c r="X437" s="2"/>
      <c r="Y437" s="2"/>
      <c r="Z437" s="2"/>
      <c r="AD437" s="7">
        <f t="shared" si="6"/>
      </c>
    </row>
    <row r="438" spans="9:30" x14ac:dyDescent="0.25">
      <c r="I438" s="2"/>
      <c r="P438" s="2"/>
      <c r="W438" s="2"/>
      <c r="X438" s="2"/>
      <c r="Y438" s="2"/>
      <c r="Z438" s="2"/>
      <c r="AD438" s="7">
        <f t="shared" si="6"/>
      </c>
    </row>
    <row r="439" spans="9:30" x14ac:dyDescent="0.25">
      <c r="I439" s="2"/>
      <c r="P439" s="2"/>
      <c r="W439" s="2"/>
      <c r="X439" s="2"/>
      <c r="Y439" s="2"/>
      <c r="Z439" s="2"/>
      <c r="AD439" s="7">
        <f t="shared" si="6"/>
      </c>
    </row>
    <row r="440" spans="9:30" x14ac:dyDescent="0.25">
      <c r="I440" s="2"/>
      <c r="P440" s="2"/>
      <c r="W440" s="2"/>
      <c r="X440" s="2"/>
      <c r="Y440" s="2"/>
      <c r="Z440" s="2"/>
      <c r="AD440" s="7">
        <f t="shared" si="6"/>
      </c>
    </row>
    <row r="441" spans="9:30" x14ac:dyDescent="0.25">
      <c r="I441" s="2"/>
      <c r="P441" s="2"/>
      <c r="W441" s="2"/>
      <c r="X441" s="2"/>
      <c r="Y441" s="2"/>
      <c r="Z441" s="2"/>
      <c r="AD441" s="7">
        <f t="shared" si="6"/>
      </c>
    </row>
    <row r="442" spans="9:30" x14ac:dyDescent="0.25">
      <c r="I442" s="2"/>
      <c r="P442" s="2"/>
      <c r="W442" s="2"/>
      <c r="X442" s="2"/>
      <c r="Y442" s="2"/>
      <c r="Z442" s="2"/>
      <c r="AD442" s="7">
        <f t="shared" si="6"/>
      </c>
    </row>
    <row r="443" spans="9:30" x14ac:dyDescent="0.25">
      <c r="I443" s="2"/>
      <c r="P443" s="2"/>
      <c r="W443" s="2"/>
      <c r="X443" s="2"/>
      <c r="Y443" s="2"/>
      <c r="Z443" s="2"/>
      <c r="AD443" s="7">
        <f t="shared" si="6"/>
      </c>
    </row>
    <row r="444" spans="9:30" x14ac:dyDescent="0.25">
      <c r="I444" s="2"/>
      <c r="P444" s="2"/>
      <c r="W444" s="2"/>
      <c r="X444" s="2"/>
      <c r="Y444" s="2"/>
      <c r="Z444" s="2"/>
      <c r="AD444" s="7">
        <f t="shared" si="6"/>
      </c>
    </row>
    <row r="445" spans="9:30" x14ac:dyDescent="0.25">
      <c r="I445" s="2"/>
      <c r="P445" s="2"/>
      <c r="W445" s="2"/>
      <c r="X445" s="2"/>
      <c r="Y445" s="2"/>
      <c r="Z445" s="2"/>
      <c r="AD445" s="7">
        <f t="shared" si="6"/>
      </c>
    </row>
    <row r="446" spans="9:30" x14ac:dyDescent="0.25">
      <c r="I446" s="2"/>
      <c r="P446" s="2"/>
      <c r="W446" s="2"/>
      <c r="X446" s="2"/>
      <c r="Y446" s="2"/>
      <c r="Z446" s="2"/>
      <c r="AD446" s="7">
        <f t="shared" si="6"/>
      </c>
    </row>
    <row r="447" spans="9:30" x14ac:dyDescent="0.25">
      <c r="I447" s="2"/>
      <c r="P447" s="2"/>
      <c r="W447" s="2"/>
      <c r="X447" s="2"/>
      <c r="Y447" s="2"/>
      <c r="Z447" s="2"/>
      <c r="AD447" s="7">
        <f t="shared" si="6"/>
      </c>
    </row>
    <row r="448" spans="9:30" x14ac:dyDescent="0.25">
      <c r="I448" s="2"/>
      <c r="P448" s="2"/>
      <c r="W448" s="2"/>
      <c r="X448" s="2"/>
      <c r="Y448" s="2"/>
      <c r="Z448" s="2"/>
      <c r="AD448" s="7">
        <f t="shared" si="6"/>
      </c>
    </row>
    <row r="449" spans="9:30" x14ac:dyDescent="0.25">
      <c r="I449" s="2"/>
      <c r="P449" s="2"/>
      <c r="W449" s="2"/>
      <c r="X449" s="2"/>
      <c r="Y449" s="2"/>
      <c r="Z449" s="2"/>
      <c r="AD449" s="7">
        <f t="shared" si="6"/>
      </c>
    </row>
    <row r="450" spans="9:30" x14ac:dyDescent="0.25">
      <c r="I450" s="2"/>
      <c r="P450" s="2"/>
      <c r="W450" s="2"/>
      <c r="X450" s="2"/>
      <c r="Y450" s="2"/>
      <c r="Z450" s="2"/>
      <c r="AD450" s="7">
        <f t="shared" si="6"/>
      </c>
    </row>
    <row r="451" spans="9:30" x14ac:dyDescent="0.25">
      <c r="I451" s="2"/>
      <c r="P451" s="2"/>
      <c r="W451" s="2"/>
      <c r="X451" s="2"/>
      <c r="Y451" s="2"/>
      <c r="Z451" s="2"/>
      <c r="AD451" s="7">
        <f t="shared" si="6"/>
      </c>
    </row>
    <row r="452" spans="9:30" x14ac:dyDescent="0.25">
      <c r="I452" s="2"/>
      <c r="P452" s="2"/>
      <c r="W452" s="2"/>
      <c r="X452" s="2"/>
      <c r="Y452" s="2"/>
      <c r="Z452" s="2"/>
      <c r="AD452" s="7">
        <f t="shared" si="6"/>
      </c>
    </row>
    <row r="453" spans="9:30" x14ac:dyDescent="0.25">
      <c r="I453" s="2"/>
      <c r="P453" s="2"/>
      <c r="W453" s="2"/>
      <c r="X453" s="2"/>
      <c r="Y453" s="2"/>
      <c r="Z453" s="2"/>
      <c r="AD453" s="7">
        <f t="shared" si="6"/>
      </c>
    </row>
    <row r="454" spans="9:30" x14ac:dyDescent="0.25">
      <c r="I454" s="2"/>
      <c r="P454" s="2"/>
      <c r="W454" s="2"/>
      <c r="X454" s="2"/>
      <c r="Y454" s="2"/>
      <c r="Z454" s="2"/>
      <c r="AD454" s="7">
        <f t="shared" si="6"/>
      </c>
    </row>
    <row r="455" spans="9:30" x14ac:dyDescent="0.25">
      <c r="I455" s="2"/>
      <c r="P455" s="2"/>
      <c r="W455" s="2"/>
      <c r="X455" s="2"/>
      <c r="Y455" s="2"/>
      <c r="Z455" s="2"/>
      <c r="AD455" s="7">
        <f t="shared" si="6"/>
      </c>
    </row>
    <row r="456" spans="9:30" x14ac:dyDescent="0.25">
      <c r="I456" s="2"/>
      <c r="P456" s="2"/>
      <c r="W456" s="2"/>
      <c r="X456" s="2"/>
      <c r="Y456" s="2"/>
      <c r="Z456" s="2"/>
      <c r="AD456" s="7">
        <f t="shared" si="6"/>
      </c>
    </row>
    <row r="457" spans="9:30" x14ac:dyDescent="0.25">
      <c r="I457" s="2"/>
      <c r="P457" s="2"/>
      <c r="W457" s="2"/>
      <c r="X457" s="2"/>
      <c r="Y457" s="2"/>
      <c r="Z457" s="2"/>
      <c r="AD457" s="7">
        <f t="shared" si="6"/>
      </c>
    </row>
    <row r="458" spans="9:30" x14ac:dyDescent="0.25">
      <c r="I458" s="2"/>
      <c r="P458" s="2"/>
      <c r="W458" s="2"/>
      <c r="X458" s="2"/>
      <c r="Y458" s="2"/>
      <c r="Z458" s="2"/>
      <c r="AD458" s="7">
        <f t="shared" ref="AD458:AD501" si="7">IF(P458 = "", "", Y458/P458)</f>
      </c>
    </row>
    <row r="459" spans="9:30" x14ac:dyDescent="0.25">
      <c r="I459" s="2"/>
      <c r="P459" s="2"/>
      <c r="W459" s="2"/>
      <c r="X459" s="2"/>
      <c r="Y459" s="2"/>
      <c r="Z459" s="2"/>
      <c r="AD459" s="7">
        <f t="shared" si="7"/>
      </c>
    </row>
    <row r="460" spans="9:30" x14ac:dyDescent="0.25">
      <c r="I460" s="2"/>
      <c r="P460" s="2"/>
      <c r="W460" s="2"/>
      <c r="X460" s="2"/>
      <c r="Y460" s="2"/>
      <c r="Z460" s="2"/>
      <c r="AD460" s="7">
        <f t="shared" si="7"/>
      </c>
    </row>
    <row r="461" spans="9:30" x14ac:dyDescent="0.25">
      <c r="I461" s="2"/>
      <c r="P461" s="2"/>
      <c r="W461" s="2"/>
      <c r="X461" s="2"/>
      <c r="Y461" s="2"/>
      <c r="Z461" s="2"/>
      <c r="AD461" s="7">
        <f t="shared" si="7"/>
      </c>
    </row>
    <row r="462" spans="9:30" x14ac:dyDescent="0.25">
      <c r="I462" s="2"/>
      <c r="P462" s="2"/>
      <c r="W462" s="2"/>
      <c r="X462" s="2"/>
      <c r="Y462" s="2"/>
      <c r="Z462" s="2"/>
      <c r="AD462" s="7">
        <f t="shared" si="7"/>
      </c>
    </row>
    <row r="463" spans="9:30" x14ac:dyDescent="0.25">
      <c r="I463" s="2"/>
      <c r="P463" s="2"/>
      <c r="W463" s="2"/>
      <c r="X463" s="2"/>
      <c r="Y463" s="2"/>
      <c r="Z463" s="2"/>
      <c r="AD463" s="7">
        <f t="shared" si="7"/>
      </c>
    </row>
    <row r="464" spans="9:30" x14ac:dyDescent="0.25">
      <c r="I464" s="2"/>
      <c r="P464" s="2"/>
      <c r="W464" s="2"/>
      <c r="X464" s="2"/>
      <c r="Y464" s="2"/>
      <c r="Z464" s="2"/>
      <c r="AD464" s="7">
        <f t="shared" si="7"/>
      </c>
    </row>
    <row r="465" spans="9:30" x14ac:dyDescent="0.25">
      <c r="I465" s="2"/>
      <c r="P465" s="2"/>
      <c r="W465" s="2"/>
      <c r="X465" s="2"/>
      <c r="Y465" s="2"/>
      <c r="Z465" s="2"/>
      <c r="AD465" s="7">
        <f t="shared" si="7"/>
      </c>
    </row>
    <row r="466" spans="9:30" x14ac:dyDescent="0.25">
      <c r="I466" s="2"/>
      <c r="P466" s="2"/>
      <c r="W466" s="2"/>
      <c r="X466" s="2"/>
      <c r="Y466" s="2"/>
      <c r="Z466" s="2"/>
      <c r="AD466" s="7">
        <f t="shared" si="7"/>
      </c>
    </row>
    <row r="467" spans="9:30" x14ac:dyDescent="0.25">
      <c r="I467" s="2"/>
      <c r="P467" s="2"/>
      <c r="W467" s="2"/>
      <c r="X467" s="2"/>
      <c r="Y467" s="2"/>
      <c r="Z467" s="2"/>
      <c r="AD467" s="7">
        <f t="shared" si="7"/>
      </c>
    </row>
    <row r="468" spans="9:30" x14ac:dyDescent="0.25">
      <c r="I468" s="2"/>
      <c r="P468" s="2"/>
      <c r="W468" s="2"/>
      <c r="X468" s="2"/>
      <c r="Y468" s="2"/>
      <c r="Z468" s="2"/>
      <c r="AD468" s="7">
        <f t="shared" si="7"/>
      </c>
    </row>
    <row r="469" spans="9:30" x14ac:dyDescent="0.25">
      <c r="I469" s="2"/>
      <c r="P469" s="2"/>
      <c r="W469" s="2"/>
      <c r="X469" s="2"/>
      <c r="Y469" s="2"/>
      <c r="Z469" s="2"/>
      <c r="AD469" s="7">
        <f t="shared" si="7"/>
      </c>
    </row>
    <row r="470" spans="9:30" x14ac:dyDescent="0.25">
      <c r="I470" s="2"/>
      <c r="P470" s="2"/>
      <c r="W470" s="2"/>
      <c r="X470" s="2"/>
      <c r="Y470" s="2"/>
      <c r="Z470" s="2"/>
      <c r="AD470" s="7">
        <f t="shared" si="7"/>
      </c>
    </row>
    <row r="471" spans="9:30" x14ac:dyDescent="0.25">
      <c r="I471" s="2"/>
      <c r="P471" s="2"/>
      <c r="W471" s="2"/>
      <c r="X471" s="2"/>
      <c r="Y471" s="2"/>
      <c r="Z471" s="2"/>
      <c r="AD471" s="7">
        <f t="shared" si="7"/>
      </c>
    </row>
    <row r="472" spans="9:30" x14ac:dyDescent="0.25">
      <c r="I472" s="2"/>
      <c r="P472" s="2"/>
      <c r="W472" s="2"/>
      <c r="X472" s="2"/>
      <c r="Y472" s="2"/>
      <c r="Z472" s="2"/>
      <c r="AD472" s="7">
        <f t="shared" si="7"/>
      </c>
    </row>
    <row r="473" spans="9:30" x14ac:dyDescent="0.25">
      <c r="I473" s="2"/>
      <c r="P473" s="2"/>
      <c r="W473" s="2"/>
      <c r="X473" s="2"/>
      <c r="Y473" s="2"/>
      <c r="Z473" s="2"/>
      <c r="AD473" s="7">
        <f t="shared" si="7"/>
      </c>
    </row>
    <row r="474" spans="9:30" x14ac:dyDescent="0.25">
      <c r="I474" s="2"/>
      <c r="P474" s="2"/>
      <c r="W474" s="2"/>
      <c r="X474" s="2"/>
      <c r="Y474" s="2"/>
      <c r="Z474" s="2"/>
      <c r="AD474" s="7">
        <f t="shared" si="7"/>
      </c>
    </row>
    <row r="475" spans="9:30" x14ac:dyDescent="0.25">
      <c r="I475" s="2"/>
      <c r="P475" s="2"/>
      <c r="W475" s="2"/>
      <c r="X475" s="2"/>
      <c r="Y475" s="2"/>
      <c r="Z475" s="2"/>
      <c r="AD475" s="7">
        <f t="shared" si="7"/>
      </c>
    </row>
    <row r="476" spans="9:30" x14ac:dyDescent="0.25">
      <c r="I476" s="2"/>
      <c r="P476" s="2"/>
      <c r="W476" s="2"/>
      <c r="X476" s="2"/>
      <c r="Y476" s="2"/>
      <c r="Z476" s="2"/>
      <c r="AD476" s="7">
        <f t="shared" si="7"/>
      </c>
    </row>
    <row r="477" spans="9:30" x14ac:dyDescent="0.25">
      <c r="I477" s="2"/>
      <c r="P477" s="2"/>
      <c r="W477" s="2"/>
      <c r="X477" s="2"/>
      <c r="Y477" s="2"/>
      <c r="Z477" s="2"/>
      <c r="AD477" s="7">
        <f t="shared" si="7"/>
      </c>
    </row>
    <row r="478" spans="9:30" x14ac:dyDescent="0.25">
      <c r="I478" s="2"/>
      <c r="P478" s="2"/>
      <c r="W478" s="2"/>
      <c r="X478" s="2"/>
      <c r="Y478" s="2"/>
      <c r="Z478" s="2"/>
      <c r="AD478" s="7">
        <f t="shared" si="7"/>
      </c>
    </row>
    <row r="479" spans="9:30" x14ac:dyDescent="0.25">
      <c r="I479" s="2"/>
      <c r="P479" s="2"/>
      <c r="W479" s="2"/>
      <c r="X479" s="2"/>
      <c r="Y479" s="2"/>
      <c r="Z479" s="2"/>
      <c r="AD479" s="7">
        <f t="shared" si="7"/>
      </c>
    </row>
    <row r="480" spans="9:30" x14ac:dyDescent="0.25">
      <c r="I480" s="2"/>
      <c r="P480" s="2"/>
      <c r="W480" s="2"/>
      <c r="X480" s="2"/>
      <c r="Y480" s="2"/>
      <c r="Z480" s="2"/>
      <c r="AD480" s="7">
        <f t="shared" si="7"/>
      </c>
    </row>
    <row r="481" spans="9:30" x14ac:dyDescent="0.25">
      <c r="I481" s="2"/>
      <c r="P481" s="2"/>
      <c r="W481" s="2"/>
      <c r="X481" s="2"/>
      <c r="Y481" s="2"/>
      <c r="Z481" s="2"/>
      <c r="AD481" s="7">
        <f t="shared" si="7"/>
      </c>
    </row>
    <row r="482" spans="9:30" x14ac:dyDescent="0.25">
      <c r="I482" s="2"/>
      <c r="P482" s="2"/>
      <c r="W482" s="2"/>
      <c r="X482" s="2"/>
      <c r="Y482" s="2"/>
      <c r="Z482" s="2"/>
      <c r="AD482" s="7">
        <f t="shared" si="7"/>
      </c>
    </row>
    <row r="483" spans="9:30" x14ac:dyDescent="0.25">
      <c r="I483" s="2"/>
      <c r="P483" s="2"/>
      <c r="W483" s="2"/>
      <c r="X483" s="2"/>
      <c r="Y483" s="2"/>
      <c r="Z483" s="2"/>
      <c r="AD483" s="7">
        <f t="shared" si="7"/>
      </c>
    </row>
    <row r="484" spans="9:30" x14ac:dyDescent="0.25">
      <c r="I484" s="2"/>
      <c r="P484" s="2"/>
      <c r="W484" s="2"/>
      <c r="X484" s="2"/>
      <c r="Y484" s="2"/>
      <c r="Z484" s="2"/>
      <c r="AD484" s="7">
        <f t="shared" si="7"/>
      </c>
    </row>
    <row r="485" spans="9:30" x14ac:dyDescent="0.25">
      <c r="I485" s="2"/>
      <c r="P485" s="2"/>
      <c r="W485" s="2"/>
      <c r="X485" s="2"/>
      <c r="Y485" s="2"/>
      <c r="Z485" s="2"/>
      <c r="AD485" s="7">
        <f t="shared" si="7"/>
      </c>
    </row>
    <row r="486" spans="9:30" x14ac:dyDescent="0.25">
      <c r="I486" s="2"/>
      <c r="P486" s="2"/>
      <c r="W486" s="2"/>
      <c r="X486" s="2"/>
      <c r="Y486" s="2"/>
      <c r="Z486" s="2"/>
      <c r="AD486" s="7">
        <f t="shared" si="7"/>
      </c>
    </row>
    <row r="487" spans="9:30" x14ac:dyDescent="0.25">
      <c r="I487" s="2"/>
      <c r="P487" s="2"/>
      <c r="W487" s="2"/>
      <c r="X487" s="2"/>
      <c r="Y487" s="2"/>
      <c r="Z487" s="2"/>
      <c r="AD487" s="7">
        <f t="shared" si="7"/>
      </c>
    </row>
    <row r="488" spans="9:30" x14ac:dyDescent="0.25">
      <c r="I488" s="2"/>
      <c r="P488" s="2"/>
      <c r="W488" s="2"/>
      <c r="X488" s="2"/>
      <c r="Y488" s="2"/>
      <c r="Z488" s="2"/>
      <c r="AD488" s="7">
        <f t="shared" si="7"/>
      </c>
    </row>
    <row r="489" spans="9:30" x14ac:dyDescent="0.25">
      <c r="I489" s="2"/>
      <c r="P489" s="2"/>
      <c r="W489" s="2"/>
      <c r="X489" s="2"/>
      <c r="Y489" s="2"/>
      <c r="Z489" s="2"/>
      <c r="AD489" s="7">
        <f t="shared" si="7"/>
      </c>
    </row>
    <row r="490" spans="9:30" x14ac:dyDescent="0.25">
      <c r="I490" s="2"/>
      <c r="P490" s="2"/>
      <c r="W490" s="2"/>
      <c r="X490" s="2"/>
      <c r="Y490" s="2"/>
      <c r="Z490" s="2"/>
      <c r="AD490" s="7">
        <f t="shared" si="7"/>
      </c>
    </row>
    <row r="491" spans="9:30" x14ac:dyDescent="0.25">
      <c r="I491" s="2"/>
      <c r="P491" s="2"/>
      <c r="W491" s="2"/>
      <c r="X491" s="2"/>
      <c r="Y491" s="2"/>
      <c r="Z491" s="2"/>
      <c r="AD491" s="7">
        <f t="shared" si="7"/>
      </c>
    </row>
    <row r="492" spans="9:30" x14ac:dyDescent="0.25">
      <c r="I492" s="2"/>
      <c r="P492" s="2"/>
      <c r="W492" s="2"/>
      <c r="X492" s="2"/>
      <c r="Y492" s="2"/>
      <c r="Z492" s="2"/>
      <c r="AD492" s="7">
        <f t="shared" si="7"/>
      </c>
    </row>
    <row r="493" spans="9:30" x14ac:dyDescent="0.25">
      <c r="I493" s="2"/>
      <c r="P493" s="2"/>
      <c r="W493" s="2"/>
      <c r="X493" s="2"/>
      <c r="Y493" s="2"/>
      <c r="Z493" s="2"/>
      <c r="AD493" s="7">
        <f t="shared" si="7"/>
      </c>
    </row>
    <row r="494" spans="9:30" x14ac:dyDescent="0.25">
      <c r="I494" s="2"/>
      <c r="P494" s="2"/>
      <c r="W494" s="2"/>
      <c r="X494" s="2"/>
      <c r="Y494" s="2"/>
      <c r="Z494" s="2"/>
      <c r="AD494" s="7">
        <f t="shared" si="7"/>
      </c>
    </row>
    <row r="495" spans="9:30" x14ac:dyDescent="0.25">
      <c r="I495" s="2"/>
      <c r="P495" s="2"/>
      <c r="W495" s="2"/>
      <c r="X495" s="2"/>
      <c r="Y495" s="2"/>
      <c r="Z495" s="2"/>
      <c r="AD495" s="7">
        <f t="shared" si="7"/>
      </c>
    </row>
    <row r="496" spans="9:30" x14ac:dyDescent="0.25">
      <c r="I496" s="2"/>
      <c r="P496" s="2"/>
      <c r="W496" s="2"/>
      <c r="X496" s="2"/>
      <c r="Y496" s="2"/>
      <c r="Z496" s="2"/>
      <c r="AD496" s="7">
        <f t="shared" si="7"/>
      </c>
    </row>
    <row r="497" spans="9:30" x14ac:dyDescent="0.25">
      <c r="I497" s="2"/>
      <c r="P497" s="2"/>
      <c r="W497" s="2"/>
      <c r="X497" s="2"/>
      <c r="Y497" s="2"/>
      <c r="Z497" s="2"/>
      <c r="AD497" s="7">
        <f t="shared" si="7"/>
      </c>
    </row>
    <row r="498" spans="9:30" x14ac:dyDescent="0.25">
      <c r="I498" s="2"/>
      <c r="P498" s="2"/>
      <c r="W498" s="2"/>
      <c r="X498" s="2"/>
      <c r="Y498" s="2"/>
      <c r="Z498" s="2"/>
      <c r="AD498" s="7">
        <f t="shared" si="7"/>
      </c>
    </row>
    <row r="499" spans="9:30" x14ac:dyDescent="0.25">
      <c r="I499" s="2"/>
      <c r="P499" s="2"/>
      <c r="W499" s="2"/>
      <c r="X499" s="2"/>
      <c r="Y499" s="2"/>
      <c r="Z499" s="2"/>
      <c r="AD499" s="7">
        <f t="shared" si="7"/>
      </c>
    </row>
    <row r="500" spans="9:30" x14ac:dyDescent="0.25">
      <c r="I500" s="2"/>
      <c r="P500" s="2"/>
      <c r="W500" s="2"/>
      <c r="X500" s="2"/>
      <c r="Y500" s="2"/>
      <c r="Z500" s="2"/>
      <c r="AD500" s="7">
        <f t="shared" si="7"/>
      </c>
    </row>
    <row r="501" spans="9:30" x14ac:dyDescent="0.25">
      <c r="I501" s="2"/>
      <c r="P501" s="2"/>
      <c r="W501" s="2"/>
      <c r="X501" s="2"/>
      <c r="Y501" s="2"/>
      <c r="Z501" s="2"/>
      <c r="AD501" s="7">
        <f t="shared" si="7"/>
      </c>
    </row>
  </sheetData>
  <mergeCells count="2">
    <mergeCell ref="K1:L1"/>
    <mergeCell ref="M1:O1"/>
  </mergeCells>
  <pageMargins left="0.15748031496062992" right="0.15748031496062992" top="0.3" bottom="0.16" header="0.5118110236220472" footer="0.16"/>
  <pageSetup paperSize="9" orientation="landscape" horizontalDpi="4294967295" verticalDpi="4294967295" scale="55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1"/>
  <sheetViews>
    <sheetView workbookViewId="0" showGridLines="0" zoomScale="100" zoomScaleNormal="100">
      <selection activeCell="D38" sqref="D38"/>
    </sheetView>
  </sheetViews>
  <sheetFormatPr defaultRowHeight="12" outlineLevelRow="0" outlineLevelCol="0" x14ac:dyDescent="0.15" customHeight="1"/>
  <cols>
    <col min="1" max="1" width="6.44140625" style="1" customWidth="1"/>
    <col min="2" max="2" width="7.77734375" style="2" customWidth="1"/>
    <col min="3" max="3" width="2.5546875" style="2" customWidth="1"/>
    <col min="4" max="4" width="7.77734375" style="2" customWidth="1"/>
    <col min="5" max="5" width="12.33203125" style="2" customWidth="1"/>
    <col min="6" max="6" width="7.77734375" style="2" customWidth="1"/>
    <col min="7" max="8" width="8.109375" style="2" customWidth="1"/>
    <col min="9" max="9" width="8.109375" style="3" customWidth="1"/>
    <col min="10" max="14" width="8.109375" style="2" customWidth="1"/>
    <col min="15" max="16" width="8.109375" style="4" customWidth="1"/>
    <col min="17" max="17" width="7.44140625" style="2" customWidth="1"/>
    <col min="18" max="19" width="7.88671875" style="2" customWidth="1"/>
    <col min="20" max="20" width="6.6640625" style="2" customWidth="1"/>
    <col min="21" max="21" width="6.6640625" style="5" customWidth="1"/>
    <col min="22" max="22" width="6.6640625" style="2" customWidth="1"/>
    <col min="23" max="23" width="7.77734375" style="3" customWidth="1"/>
    <col min="24" max="25" width="10.21875" style="6" customWidth="1"/>
    <col min="26" max="26" width="10.21875" style="7" customWidth="1"/>
    <col min="27" max="27" width="9.6640625" style="2" customWidth="1"/>
    <col min="28" max="28" width="7.77734375" style="2" customWidth="1"/>
    <col min="29" max="29" width="16.33203125" style="2" customWidth="1"/>
    <col min="30" max="30" width="10.5546875" style="7" customWidth="1"/>
    <col min="31" max="16384" width="8.88671875" style="2" customWidth="1"/>
  </cols>
  <sheetData>
    <row r="1" ht="18.75" customHeight="1" spans="1:26" x14ac:dyDescent="0.25">
      <c r="A1" s="8"/>
      <c r="D1" s="8"/>
      <c r="G1" s="9"/>
      <c r="H1" s="10"/>
      <c r="I1" s="2"/>
      <c r="J1" s="11"/>
      <c r="K1" s="12"/>
      <c r="L1" s="12"/>
      <c r="M1" s="10"/>
      <c r="N1" s="13"/>
      <c r="O1" s="13"/>
      <c r="P1" s="2"/>
      <c r="U1" s="2"/>
      <c r="W1" s="2"/>
      <c r="Z1" s="6"/>
    </row>
    <row r="2" ht="13.5" customHeight="1" spans="4:41" s="14" customFormat="1" x14ac:dyDescent="0.25">
      <c r="D2" s="14"/>
      <c r="G2" s="14"/>
      <c r="J2" s="15"/>
      <c r="K2" s="15"/>
      <c r="M2" s="9"/>
      <c r="N2" s="15"/>
      <c r="Q2" s="2"/>
      <c r="R2" s="2"/>
      <c r="S2" s="2"/>
      <c r="T2" s="2"/>
      <c r="U2" s="2"/>
      <c r="V2" s="2"/>
      <c r="W2" s="2"/>
      <c r="X2" s="6"/>
      <c r="Y2" s="6"/>
      <c r="Z2" s="6"/>
      <c r="AA2" s="2"/>
      <c r="AB2" s="2"/>
      <c r="AC2" s="2"/>
      <c r="AD2" s="7"/>
      <c r="AE2" s="2"/>
      <c r="AF2" s="2"/>
      <c r="AG2" s="2"/>
      <c r="AH2" s="14"/>
      <c r="AI2" s="14"/>
      <c r="AJ2" s="14"/>
      <c r="AK2" s="14"/>
      <c r="AL2" s="14"/>
      <c r="AM2" s="14"/>
      <c r="AN2" s="14"/>
      <c r="AO2" s="14"/>
    </row>
    <row r="3" ht="7.5" customHeight="1" spans="6:41" s="14" customFormat="1" x14ac:dyDescent="0.25">
      <c r="F3" s="14"/>
      <c r="G3" s="16"/>
      <c r="H3" s="14"/>
      <c r="I3" s="14"/>
      <c r="J3" s="14"/>
      <c r="K3" s="14"/>
      <c r="L3" s="14"/>
      <c r="M3" s="16"/>
      <c r="P3" s="9"/>
      <c r="Q3" s="2"/>
      <c r="R3" s="2"/>
      <c r="S3" s="2"/>
      <c r="T3" s="2"/>
      <c r="U3" s="2"/>
      <c r="V3" s="2"/>
      <c r="W3" s="17"/>
      <c r="X3" s="18"/>
      <c r="Y3" s="18"/>
      <c r="Z3" s="18"/>
      <c r="AA3" s="2"/>
      <c r="AB3" s="2"/>
      <c r="AC3" s="2"/>
      <c r="AD3" s="7"/>
      <c r="AE3" s="17"/>
      <c r="AF3" s="2"/>
      <c r="AG3" s="2"/>
      <c r="AH3" s="14"/>
      <c r="AI3" s="14"/>
      <c r="AJ3" s="14"/>
      <c r="AK3" s="14"/>
      <c r="AL3" s="14"/>
      <c r="AM3" s="14"/>
      <c r="AN3" s="14"/>
      <c r="AO3" s="14"/>
    </row>
    <row r="4" spans="4:30" s="19" customFormat="1" x14ac:dyDescent="0.25">
      <c r="D4" s="20" t="s">
        <v>2</v>
      </c>
      <c r="E4" s="20" t="s">
        <v>3</v>
      </c>
      <c r="F4" s="20" t="s">
        <v>4</v>
      </c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2"/>
      <c r="Y4" s="22"/>
      <c r="Z4" s="22"/>
      <c r="AA4" s="21"/>
      <c r="AB4" s="21"/>
      <c r="AD4" s="23"/>
    </row>
    <row r="5" spans="4:30" s="2" customFormat="1" x14ac:dyDescent="0.25">
      <c r="D5" s="24">
        <v>1</v>
      </c>
      <c r="E5" s="25"/>
      <c r="F5" s="2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2"/>
      <c r="Y5" s="22"/>
      <c r="Z5" s="22"/>
      <c r="AA5" s="27"/>
      <c r="AB5" s="28"/>
      <c r="AD5" s="7"/>
    </row>
    <row r="6" spans="4:30" s="2" customFormat="1" x14ac:dyDescent="0.25">
      <c r="D6" s="24"/>
      <c r="E6" s="2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9"/>
      <c r="R6" s="29"/>
      <c r="S6" s="29"/>
      <c r="T6" s="29"/>
      <c r="U6" s="29"/>
      <c r="V6" s="29"/>
      <c r="W6" s="29"/>
      <c r="X6" s="30"/>
      <c r="Y6" s="30"/>
      <c r="Z6" s="30"/>
      <c r="AA6" s="29"/>
      <c r="AB6" s="31"/>
      <c r="AC6" s="4"/>
      <c r="AD6" s="7"/>
    </row>
    <row r="7" ht="13.5" customHeight="1" spans="4:33" s="32" customFormat="1" x14ac:dyDescent="0.25">
      <c r="D7" s="33"/>
      <c r="E7" s="33"/>
      <c r="F7" s="34">
        <f>SUM(F5:F6)</f>
        <v>0</v>
      </c>
      <c r="G7" s="34">
        <f>SUM(G5:G6)</f>
        <v>0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2"/>
      <c r="Y7" s="22"/>
      <c r="Z7" s="22"/>
      <c r="AA7" s="27"/>
      <c r="AB7" s="21"/>
      <c r="AC7" s="35"/>
      <c r="AD7" s="23"/>
      <c r="AE7" s="35"/>
      <c r="AF7" s="35"/>
      <c r="AG7" s="35"/>
    </row>
    <row r="8" spans="1:29" x14ac:dyDescent="0.25">
      <c r="A8" s="36"/>
      <c r="B8" s="17"/>
      <c r="C8" s="36"/>
      <c r="D8" s="17"/>
      <c r="E8" s="36"/>
      <c r="F8" s="17"/>
      <c r="G8" s="36"/>
      <c r="H8" s="17"/>
      <c r="I8" s="36"/>
      <c r="J8" s="17"/>
      <c r="K8" s="36"/>
      <c r="L8" s="17"/>
      <c r="M8" s="36"/>
      <c r="N8" s="17"/>
      <c r="O8" s="36"/>
      <c r="P8" s="17"/>
      <c r="Q8" s="36"/>
      <c r="R8" s="36"/>
      <c r="S8" s="36"/>
      <c r="T8" s="17"/>
      <c r="U8" s="17"/>
      <c r="V8" s="17"/>
      <c r="W8" s="36"/>
      <c r="X8" s="18"/>
      <c r="Y8" s="18"/>
      <c r="Z8" s="18"/>
      <c r="AA8" s="36"/>
      <c r="AB8" s="17"/>
      <c r="AC8" s="25"/>
    </row>
    <row r="9" ht="12.75" customHeight="1" spans="1:30" s="17" customFormat="1" x14ac:dyDescent="0.25">
      <c r="A9" s="37" t="s">
        <v>7</v>
      </c>
      <c r="B9" s="37" t="s">
        <v>8</v>
      </c>
      <c r="C9" s="38">
        <v>1</v>
      </c>
      <c r="D9" s="37" t="s">
        <v>9</v>
      </c>
      <c r="E9" s="37"/>
      <c r="F9" s="37"/>
      <c r="G9" s="37" t="s">
        <v>10</v>
      </c>
      <c r="H9" s="37"/>
      <c r="I9" s="37" t="s">
        <v>11</v>
      </c>
      <c r="J9" s="37"/>
      <c r="K9" s="37" t="s">
        <v>12</v>
      </c>
      <c r="L9" s="39" t="s">
        <v>13</v>
      </c>
      <c r="M9" s="39" t="s">
        <v>14</v>
      </c>
      <c r="N9" s="39" t="s">
        <v>15</v>
      </c>
      <c r="O9" s="37" t="s">
        <v>16</v>
      </c>
      <c r="P9" s="37" t="s">
        <v>17</v>
      </c>
      <c r="Q9" s="37" t="s">
        <v>18</v>
      </c>
      <c r="R9" s="37" t="s">
        <v>19</v>
      </c>
      <c r="S9" s="37" t="s">
        <v>20</v>
      </c>
      <c r="T9" s="37" t="s">
        <v>21</v>
      </c>
      <c r="U9" s="37" t="s">
        <v>22</v>
      </c>
      <c r="V9" s="37"/>
      <c r="W9" s="37" t="s">
        <v>23</v>
      </c>
      <c r="X9" s="40" t="s">
        <v>24</v>
      </c>
      <c r="Y9" s="40" t="s">
        <v>25</v>
      </c>
      <c r="Z9" s="40" t="s">
        <v>26</v>
      </c>
      <c r="AA9" s="37" t="s">
        <v>27</v>
      </c>
      <c r="AB9" s="37"/>
      <c r="AC9" s="41" t="s">
        <v>28</v>
      </c>
      <c r="AD9" s="42" t="s">
        <v>29</v>
      </c>
    </row>
    <row r="10" ht="12.75" customHeight="1" spans="12:30" x14ac:dyDescent="0.25">
      <c r="L10" s="5"/>
      <c r="M10" s="5"/>
      <c r="N10" s="5"/>
      <c r="AD10" s="7">
        <f t="shared" ref="AD10:AD73" si="0">IF(P10 = "", "", Y10/P10)</f>
      </c>
    </row>
    <row r="11" spans="30:30" x14ac:dyDescent="0.25">
      <c r="AD11" s="7">
        <f t="shared" si="0"/>
      </c>
    </row>
    <row r="12" spans="30:30" x14ac:dyDescent="0.25">
      <c r="AD12" s="7">
        <f t="shared" si="0"/>
      </c>
    </row>
    <row r="13" spans="30:30" x14ac:dyDescent="0.25">
      <c r="AD13" s="7">
        <f t="shared" si="0"/>
      </c>
    </row>
    <row r="14" spans="30:30" x14ac:dyDescent="0.25">
      <c r="AD14" s="7">
        <f t="shared" si="0"/>
      </c>
    </row>
    <row r="15" spans="30:30" x14ac:dyDescent="0.25">
      <c r="AD15" s="7">
        <f t="shared" si="0"/>
      </c>
    </row>
    <row r="16" spans="30:30" x14ac:dyDescent="0.25">
      <c r="AD16" s="7">
        <f t="shared" si="0"/>
      </c>
    </row>
    <row r="17" spans="9:30" x14ac:dyDescent="0.25">
      <c r="I17" s="2"/>
      <c r="P17" s="2"/>
      <c r="W17" s="2"/>
      <c r="X17" s="2"/>
      <c r="Y17" s="2"/>
      <c r="Z17" s="2"/>
      <c r="AD17" s="7">
        <f t="shared" si="0"/>
      </c>
    </row>
    <row r="18" spans="9:30" x14ac:dyDescent="0.25">
      <c r="I18" s="2"/>
      <c r="P18" s="2"/>
      <c r="W18" s="2"/>
      <c r="X18" s="2"/>
      <c r="Y18" s="2"/>
      <c r="Z18" s="2"/>
      <c r="AD18" s="7">
        <f t="shared" si="0"/>
      </c>
    </row>
    <row r="19" spans="9:30" x14ac:dyDescent="0.25">
      <c r="I19" s="2"/>
      <c r="P19" s="2"/>
      <c r="W19" s="2"/>
      <c r="X19" s="2"/>
      <c r="Y19" s="2"/>
      <c r="Z19" s="2"/>
      <c r="AD19" s="7">
        <f t="shared" si="0"/>
      </c>
    </row>
    <row r="20" spans="9:30" x14ac:dyDescent="0.25">
      <c r="I20" s="2"/>
      <c r="P20" s="2"/>
      <c r="W20" s="2"/>
      <c r="X20" s="2"/>
      <c r="Y20" s="2"/>
      <c r="Z20" s="2"/>
      <c r="AD20" s="7">
        <f t="shared" si="0"/>
      </c>
    </row>
    <row r="21" spans="9:30" x14ac:dyDescent="0.25">
      <c r="I21" s="2"/>
      <c r="P21" s="2"/>
      <c r="W21" s="2"/>
      <c r="X21" s="2"/>
      <c r="Y21" s="2"/>
      <c r="Z21" s="2"/>
      <c r="AD21" s="7">
        <f t="shared" si="0"/>
      </c>
    </row>
    <row r="22" spans="9:30" x14ac:dyDescent="0.25">
      <c r="I22" s="2"/>
      <c r="P22" s="2"/>
      <c r="W22" s="2"/>
      <c r="X22" s="2"/>
      <c r="Y22" s="2"/>
      <c r="Z22" s="2"/>
      <c r="AD22" s="7">
        <f t="shared" si="0"/>
      </c>
    </row>
    <row r="23" spans="9:30" x14ac:dyDescent="0.25">
      <c r="I23" s="2"/>
      <c r="P23" s="2"/>
      <c r="W23" s="2"/>
      <c r="X23" s="2"/>
      <c r="Y23" s="2"/>
      <c r="Z23" s="2"/>
      <c r="AD23" s="7">
        <f t="shared" si="0"/>
      </c>
    </row>
    <row r="24" spans="9:30" x14ac:dyDescent="0.25">
      <c r="I24" s="2"/>
      <c r="P24" s="2"/>
      <c r="W24" s="2"/>
      <c r="X24" s="2"/>
      <c r="Y24" s="2"/>
      <c r="Z24" s="2"/>
      <c r="AD24" s="7">
        <f t="shared" si="0"/>
      </c>
    </row>
    <row r="25" spans="9:30" x14ac:dyDescent="0.25">
      <c r="I25" s="2"/>
      <c r="P25" s="2"/>
      <c r="W25" s="2"/>
      <c r="X25" s="2"/>
      <c r="Y25" s="2"/>
      <c r="Z25" s="2"/>
      <c r="AD25" s="7">
        <f t="shared" si="0"/>
      </c>
    </row>
    <row r="26" spans="9:30" x14ac:dyDescent="0.25">
      <c r="I26" s="2"/>
      <c r="P26" s="2"/>
      <c r="W26" s="2"/>
      <c r="X26" s="2"/>
      <c r="Y26" s="2"/>
      <c r="Z26" s="2"/>
      <c r="AD26" s="7">
        <f t="shared" si="0"/>
      </c>
    </row>
    <row r="27" spans="9:30" x14ac:dyDescent="0.25">
      <c r="I27" s="2"/>
      <c r="P27" s="2"/>
      <c r="W27" s="2"/>
      <c r="X27" s="2"/>
      <c r="Y27" s="2"/>
      <c r="Z27" s="2"/>
      <c r="AD27" s="7">
        <f t="shared" si="0"/>
      </c>
    </row>
    <row r="28" spans="9:30" x14ac:dyDescent="0.25">
      <c r="I28" s="2"/>
      <c r="P28" s="2"/>
      <c r="W28" s="2"/>
      <c r="X28" s="2"/>
      <c r="Y28" s="2"/>
      <c r="Z28" s="2"/>
      <c r="AD28" s="7">
        <f t="shared" si="0"/>
      </c>
    </row>
    <row r="29" spans="9:30" x14ac:dyDescent="0.25">
      <c r="I29" s="2"/>
      <c r="P29" s="2"/>
      <c r="W29" s="2"/>
      <c r="X29" s="2"/>
      <c r="Y29" s="2"/>
      <c r="Z29" s="2"/>
      <c r="AD29" s="7">
        <f t="shared" si="0"/>
      </c>
    </row>
    <row r="30" spans="9:30" x14ac:dyDescent="0.25">
      <c r="I30" s="2"/>
      <c r="P30" s="2"/>
      <c r="W30" s="2"/>
      <c r="X30" s="2"/>
      <c r="Y30" s="2"/>
      <c r="Z30" s="2"/>
      <c r="AD30" s="7">
        <f t="shared" si="0"/>
      </c>
    </row>
    <row r="31" spans="9:30" x14ac:dyDescent="0.25">
      <c r="I31" s="2"/>
      <c r="P31" s="2"/>
      <c r="W31" s="2"/>
      <c r="X31" s="2"/>
      <c r="Y31" s="2"/>
      <c r="Z31" s="2"/>
      <c r="AD31" s="7">
        <f t="shared" si="0"/>
      </c>
    </row>
    <row r="32" spans="9:30" x14ac:dyDescent="0.25">
      <c r="I32" s="2"/>
      <c r="P32" s="2"/>
      <c r="W32" s="2"/>
      <c r="X32" s="2"/>
      <c r="Y32" s="2"/>
      <c r="Z32" s="2"/>
      <c r="AD32" s="7">
        <f t="shared" si="0"/>
      </c>
    </row>
    <row r="33" spans="9:30" x14ac:dyDescent="0.25">
      <c r="I33" s="2"/>
      <c r="P33" s="2"/>
      <c r="W33" s="2"/>
      <c r="X33" s="2"/>
      <c r="Y33" s="2"/>
      <c r="Z33" s="2"/>
      <c r="AD33" s="7">
        <f t="shared" si="0"/>
      </c>
    </row>
    <row r="34" spans="9:30" x14ac:dyDescent="0.25">
      <c r="I34" s="2"/>
      <c r="P34" s="2"/>
      <c r="W34" s="2"/>
      <c r="X34" s="2"/>
      <c r="Y34" s="2"/>
      <c r="Z34" s="2"/>
      <c r="AD34" s="7">
        <f t="shared" si="0"/>
      </c>
    </row>
    <row r="35" spans="9:30" x14ac:dyDescent="0.25">
      <c r="I35" s="2"/>
      <c r="P35" s="2"/>
      <c r="W35" s="2"/>
      <c r="X35" s="2"/>
      <c r="Y35" s="2"/>
      <c r="Z35" s="2"/>
      <c r="AD35" s="7">
        <f t="shared" si="0"/>
      </c>
    </row>
    <row r="36" spans="9:30" x14ac:dyDescent="0.25">
      <c r="I36" s="2"/>
      <c r="P36" s="2"/>
      <c r="W36" s="2"/>
      <c r="X36" s="2"/>
      <c r="Y36" s="2"/>
      <c r="Z36" s="2"/>
      <c r="AD36" s="7">
        <f t="shared" si="0"/>
      </c>
    </row>
    <row r="37" spans="9:30" x14ac:dyDescent="0.25">
      <c r="I37" s="2"/>
      <c r="P37" s="2"/>
      <c r="W37" s="2"/>
      <c r="X37" s="2"/>
      <c r="Y37" s="2"/>
      <c r="Z37" s="2"/>
      <c r="AD37" s="7">
        <f t="shared" si="0"/>
      </c>
    </row>
    <row r="38" spans="9:30" x14ac:dyDescent="0.25">
      <c r="I38" s="2"/>
      <c r="P38" s="2"/>
      <c r="W38" s="2"/>
      <c r="X38" s="2"/>
      <c r="Y38" s="2"/>
      <c r="Z38" s="2"/>
      <c r="AD38" s="7">
        <f t="shared" si="0"/>
      </c>
    </row>
    <row r="39" spans="9:30" x14ac:dyDescent="0.25">
      <c r="I39" s="2"/>
      <c r="P39" s="2"/>
      <c r="W39" s="2"/>
      <c r="X39" s="2"/>
      <c r="Y39" s="2"/>
      <c r="Z39" s="2"/>
      <c r="AD39" s="7">
        <f t="shared" si="0"/>
      </c>
    </row>
    <row r="40" spans="9:30" x14ac:dyDescent="0.25">
      <c r="I40" s="2"/>
      <c r="P40" s="2"/>
      <c r="W40" s="2"/>
      <c r="X40" s="2"/>
      <c r="Y40" s="2"/>
      <c r="Z40" s="2"/>
      <c r="AD40" s="7">
        <f t="shared" si="0"/>
      </c>
    </row>
    <row r="41" spans="9:30" x14ac:dyDescent="0.25">
      <c r="I41" s="2"/>
      <c r="P41" s="2"/>
      <c r="W41" s="2"/>
      <c r="X41" s="2"/>
      <c r="Y41" s="2"/>
      <c r="Z41" s="2"/>
      <c r="AD41" s="7">
        <f t="shared" si="0"/>
      </c>
    </row>
    <row r="42" spans="9:30" x14ac:dyDescent="0.25">
      <c r="I42" s="2"/>
      <c r="P42" s="2"/>
      <c r="W42" s="2"/>
      <c r="X42" s="2"/>
      <c r="Y42" s="2"/>
      <c r="Z42" s="2"/>
      <c r="AD42" s="7">
        <f t="shared" si="0"/>
      </c>
    </row>
    <row r="43" spans="9:30" x14ac:dyDescent="0.25">
      <c r="I43" s="2"/>
      <c r="P43" s="2"/>
      <c r="W43" s="2"/>
      <c r="X43" s="2"/>
      <c r="Y43" s="2"/>
      <c r="Z43" s="2"/>
      <c r="AD43" s="7">
        <f t="shared" si="0"/>
      </c>
    </row>
    <row r="44" spans="9:30" x14ac:dyDescent="0.25">
      <c r="I44" s="2"/>
      <c r="P44" s="2"/>
      <c r="W44" s="2"/>
      <c r="X44" s="2"/>
      <c r="Y44" s="2"/>
      <c r="Z44" s="2"/>
      <c r="AD44" s="7">
        <f t="shared" si="0"/>
      </c>
    </row>
    <row r="45" spans="9:30" x14ac:dyDescent="0.25">
      <c r="I45" s="2"/>
      <c r="P45" s="2"/>
      <c r="W45" s="2"/>
      <c r="X45" s="2"/>
      <c r="Y45" s="2"/>
      <c r="Z45" s="2"/>
      <c r="AD45" s="7">
        <f t="shared" si="0"/>
      </c>
    </row>
    <row r="46" spans="9:30" x14ac:dyDescent="0.25">
      <c r="I46" s="2"/>
      <c r="P46" s="2"/>
      <c r="W46" s="2"/>
      <c r="X46" s="2"/>
      <c r="Y46" s="2"/>
      <c r="Z46" s="2"/>
      <c r="AD46" s="7">
        <f t="shared" si="0"/>
      </c>
    </row>
    <row r="47" spans="9:30" x14ac:dyDescent="0.25">
      <c r="I47" s="2"/>
      <c r="P47" s="2"/>
      <c r="W47" s="2"/>
      <c r="X47" s="2"/>
      <c r="Y47" s="2"/>
      <c r="Z47" s="2"/>
      <c r="AD47" s="7">
        <f t="shared" si="0"/>
      </c>
    </row>
    <row r="48" spans="9:30" x14ac:dyDescent="0.25">
      <c r="I48" s="2"/>
      <c r="P48" s="2"/>
      <c r="W48" s="2"/>
      <c r="X48" s="2"/>
      <c r="Y48" s="2"/>
      <c r="Z48" s="2"/>
      <c r="AD48" s="7">
        <f t="shared" si="0"/>
      </c>
    </row>
    <row r="49" spans="9:30" x14ac:dyDescent="0.25">
      <c r="I49" s="2"/>
      <c r="P49" s="2"/>
      <c r="W49" s="2"/>
      <c r="X49" s="2"/>
      <c r="Y49" s="2"/>
      <c r="Z49" s="2"/>
      <c r="AD49" s="7">
        <f t="shared" si="0"/>
      </c>
    </row>
    <row r="50" spans="9:30" x14ac:dyDescent="0.25">
      <c r="I50" s="2"/>
      <c r="P50" s="2"/>
      <c r="W50" s="2"/>
      <c r="X50" s="2"/>
      <c r="Y50" s="2"/>
      <c r="Z50" s="2"/>
      <c r="AD50" s="7">
        <f t="shared" si="0"/>
      </c>
    </row>
    <row r="51" spans="9:30" x14ac:dyDescent="0.25">
      <c r="I51" s="2"/>
      <c r="P51" s="2"/>
      <c r="W51" s="2"/>
      <c r="X51" s="2"/>
      <c r="Y51" s="2"/>
      <c r="Z51" s="2"/>
      <c r="AD51" s="7">
        <f t="shared" si="0"/>
      </c>
    </row>
    <row r="52" spans="9:30" x14ac:dyDescent="0.25">
      <c r="I52" s="2"/>
      <c r="P52" s="2"/>
      <c r="W52" s="2"/>
      <c r="X52" s="2"/>
      <c r="Y52" s="2"/>
      <c r="Z52" s="2"/>
      <c r="AD52" s="7">
        <f t="shared" si="0"/>
      </c>
    </row>
    <row r="53" spans="9:30" x14ac:dyDescent="0.25">
      <c r="I53" s="2"/>
      <c r="P53" s="2"/>
      <c r="W53" s="2"/>
      <c r="X53" s="2"/>
      <c r="Y53" s="2"/>
      <c r="Z53" s="2"/>
      <c r="AD53" s="7">
        <f t="shared" si="0"/>
      </c>
    </row>
    <row r="54" spans="9:30" x14ac:dyDescent="0.25">
      <c r="I54" s="2"/>
      <c r="P54" s="2"/>
      <c r="W54" s="2"/>
      <c r="X54" s="2"/>
      <c r="Y54" s="2"/>
      <c r="Z54" s="2"/>
      <c r="AD54" s="7">
        <f t="shared" si="0"/>
      </c>
    </row>
    <row r="55" spans="9:30" x14ac:dyDescent="0.25">
      <c r="I55" s="2"/>
      <c r="P55" s="2"/>
      <c r="W55" s="2"/>
      <c r="X55" s="2"/>
      <c r="Y55" s="2"/>
      <c r="Z55" s="2"/>
      <c r="AD55" s="7">
        <f t="shared" si="0"/>
      </c>
    </row>
    <row r="56" spans="9:30" x14ac:dyDescent="0.25">
      <c r="I56" s="2"/>
      <c r="P56" s="2"/>
      <c r="W56" s="2"/>
      <c r="X56" s="2"/>
      <c r="Y56" s="2"/>
      <c r="Z56" s="2"/>
      <c r="AD56" s="7">
        <f t="shared" si="0"/>
      </c>
    </row>
    <row r="57" spans="9:30" x14ac:dyDescent="0.25">
      <c r="I57" s="2"/>
      <c r="P57" s="2"/>
      <c r="W57" s="2"/>
      <c r="X57" s="2"/>
      <c r="Y57" s="2"/>
      <c r="Z57" s="2"/>
      <c r="AD57" s="7">
        <f t="shared" si="0"/>
      </c>
    </row>
    <row r="58" spans="9:30" x14ac:dyDescent="0.25">
      <c r="I58" s="2"/>
      <c r="P58" s="2"/>
      <c r="W58" s="2"/>
      <c r="X58" s="2"/>
      <c r="Y58" s="2"/>
      <c r="Z58" s="2"/>
      <c r="AD58" s="7">
        <f t="shared" si="0"/>
      </c>
    </row>
    <row r="59" spans="9:30" x14ac:dyDescent="0.25">
      <c r="I59" s="2"/>
      <c r="P59" s="2"/>
      <c r="W59" s="2"/>
      <c r="X59" s="2"/>
      <c r="Y59" s="2"/>
      <c r="Z59" s="2"/>
      <c r="AD59" s="7">
        <f t="shared" si="0"/>
      </c>
    </row>
    <row r="60" spans="9:30" x14ac:dyDescent="0.25">
      <c r="I60" s="2"/>
      <c r="P60" s="2"/>
      <c r="W60" s="2"/>
      <c r="X60" s="2"/>
      <c r="Y60" s="2"/>
      <c r="Z60" s="2"/>
      <c r="AD60" s="7">
        <f t="shared" si="0"/>
      </c>
    </row>
    <row r="61" spans="9:30" x14ac:dyDescent="0.25">
      <c r="I61" s="2"/>
      <c r="P61" s="2"/>
      <c r="W61" s="2"/>
      <c r="X61" s="2"/>
      <c r="Y61" s="2"/>
      <c r="Z61" s="2"/>
      <c r="AD61" s="7">
        <f t="shared" si="0"/>
      </c>
    </row>
    <row r="62" spans="9:30" x14ac:dyDescent="0.25">
      <c r="I62" s="2"/>
      <c r="P62" s="2"/>
      <c r="W62" s="2"/>
      <c r="X62" s="2"/>
      <c r="Y62" s="2"/>
      <c r="Z62" s="2"/>
      <c r="AD62" s="7">
        <f t="shared" si="0"/>
      </c>
    </row>
    <row r="63" spans="9:30" x14ac:dyDescent="0.25">
      <c r="I63" s="2"/>
      <c r="P63" s="2"/>
      <c r="W63" s="2"/>
      <c r="X63" s="2"/>
      <c r="Y63" s="2"/>
      <c r="Z63" s="2"/>
      <c r="AD63" s="7">
        <f t="shared" si="0"/>
      </c>
    </row>
    <row r="64" spans="9:30" x14ac:dyDescent="0.25">
      <c r="I64" s="2"/>
      <c r="P64" s="2"/>
      <c r="W64" s="2"/>
      <c r="X64" s="2"/>
      <c r="Y64" s="2"/>
      <c r="Z64" s="2"/>
      <c r="AD64" s="7">
        <f t="shared" si="0"/>
      </c>
    </row>
    <row r="65" spans="9:30" x14ac:dyDescent="0.25">
      <c r="I65" s="2"/>
      <c r="P65" s="2"/>
      <c r="W65" s="2"/>
      <c r="X65" s="2"/>
      <c r="Y65" s="2"/>
      <c r="Z65" s="2"/>
      <c r="AD65" s="7">
        <f t="shared" si="0"/>
      </c>
    </row>
    <row r="66" spans="9:30" x14ac:dyDescent="0.25">
      <c r="I66" s="2"/>
      <c r="P66" s="2"/>
      <c r="W66" s="2"/>
      <c r="X66" s="2"/>
      <c r="Y66" s="2"/>
      <c r="Z66" s="2"/>
      <c r="AD66" s="7">
        <f t="shared" si="0"/>
      </c>
    </row>
    <row r="67" spans="9:30" x14ac:dyDescent="0.25">
      <c r="I67" s="2"/>
      <c r="P67" s="2"/>
      <c r="W67" s="2"/>
      <c r="X67" s="2"/>
      <c r="Y67" s="2"/>
      <c r="Z67" s="2"/>
      <c r="AD67" s="7">
        <f t="shared" si="0"/>
      </c>
    </row>
    <row r="68" spans="9:30" x14ac:dyDescent="0.25">
      <c r="I68" s="2"/>
      <c r="P68" s="2"/>
      <c r="W68" s="2"/>
      <c r="X68" s="2"/>
      <c r="Y68" s="2"/>
      <c r="Z68" s="2"/>
      <c r="AD68" s="7">
        <f t="shared" si="0"/>
      </c>
    </row>
    <row r="69" spans="9:30" x14ac:dyDescent="0.25">
      <c r="I69" s="2"/>
      <c r="P69" s="2"/>
      <c r="W69" s="2"/>
      <c r="X69" s="2"/>
      <c r="Y69" s="2"/>
      <c r="Z69" s="2"/>
      <c r="AD69" s="7">
        <f t="shared" si="0"/>
      </c>
    </row>
    <row r="70" spans="9:30" x14ac:dyDescent="0.25">
      <c r="I70" s="2"/>
      <c r="P70" s="2"/>
      <c r="W70" s="2"/>
      <c r="X70" s="2"/>
      <c r="Y70" s="2"/>
      <c r="Z70" s="2"/>
      <c r="AD70" s="7">
        <f t="shared" si="0"/>
      </c>
    </row>
    <row r="71" spans="9:30" x14ac:dyDescent="0.25">
      <c r="I71" s="2"/>
      <c r="P71" s="2"/>
      <c r="W71" s="2"/>
      <c r="X71" s="2"/>
      <c r="Y71" s="2"/>
      <c r="Z71" s="2"/>
      <c r="AD71" s="7">
        <f t="shared" si="0"/>
      </c>
    </row>
    <row r="72" spans="9:30" x14ac:dyDescent="0.25">
      <c r="I72" s="2"/>
      <c r="P72" s="2"/>
      <c r="W72" s="2"/>
      <c r="X72" s="2"/>
      <c r="Y72" s="2"/>
      <c r="Z72" s="2"/>
      <c r="AD72" s="7">
        <f t="shared" si="0"/>
      </c>
    </row>
    <row r="73" spans="9:30" x14ac:dyDescent="0.25">
      <c r="I73" s="2"/>
      <c r="P73" s="2"/>
      <c r="W73" s="2"/>
      <c r="X73" s="2"/>
      <c r="Y73" s="2"/>
      <c r="Z73" s="2"/>
      <c r="AD73" s="7">
        <f t="shared" si="0"/>
      </c>
    </row>
    <row r="74" spans="9:30" x14ac:dyDescent="0.25">
      <c r="I74" s="2"/>
      <c r="P74" s="2"/>
      <c r="W74" s="2"/>
      <c r="X74" s="2"/>
      <c r="Y74" s="2"/>
      <c r="Z74" s="2"/>
      <c r="AD74" s="7">
        <f t="shared" ref="AD74:AD137" si="1">IF(P74 = "", "", Y74/P74)</f>
      </c>
    </row>
    <row r="75" spans="9:30" x14ac:dyDescent="0.25">
      <c r="I75" s="2"/>
      <c r="P75" s="2"/>
      <c r="W75" s="2"/>
      <c r="X75" s="2"/>
      <c r="Y75" s="2"/>
      <c r="Z75" s="2"/>
      <c r="AD75" s="7">
        <f t="shared" si="1"/>
      </c>
    </row>
    <row r="76" spans="9:30" x14ac:dyDescent="0.25">
      <c r="I76" s="2"/>
      <c r="P76" s="2"/>
      <c r="W76" s="2"/>
      <c r="X76" s="2"/>
      <c r="Y76" s="2"/>
      <c r="Z76" s="2"/>
      <c r="AD76" s="7">
        <f t="shared" si="1"/>
      </c>
    </row>
    <row r="77" spans="9:30" x14ac:dyDescent="0.25">
      <c r="I77" s="2"/>
      <c r="P77" s="2"/>
      <c r="W77" s="2"/>
      <c r="X77" s="2"/>
      <c r="Y77" s="2"/>
      <c r="Z77" s="2"/>
      <c r="AD77" s="7">
        <f t="shared" si="1"/>
      </c>
    </row>
    <row r="78" spans="9:30" x14ac:dyDescent="0.25">
      <c r="I78" s="2"/>
      <c r="P78" s="2"/>
      <c r="W78" s="2"/>
      <c r="X78" s="2"/>
      <c r="Y78" s="2"/>
      <c r="Z78" s="2"/>
      <c r="AD78" s="7">
        <f t="shared" si="1"/>
      </c>
    </row>
    <row r="79" spans="9:30" x14ac:dyDescent="0.25">
      <c r="I79" s="2"/>
      <c r="P79" s="2"/>
      <c r="W79" s="2"/>
      <c r="X79" s="2"/>
      <c r="Y79" s="2"/>
      <c r="Z79" s="2"/>
      <c r="AD79" s="7">
        <f t="shared" si="1"/>
      </c>
    </row>
    <row r="80" spans="9:30" x14ac:dyDescent="0.25">
      <c r="I80" s="2"/>
      <c r="P80" s="2"/>
      <c r="W80" s="2"/>
      <c r="X80" s="2"/>
      <c r="Y80" s="2"/>
      <c r="Z80" s="2"/>
      <c r="AD80" s="7">
        <f t="shared" si="1"/>
      </c>
    </row>
    <row r="81" spans="9:30" x14ac:dyDescent="0.25">
      <c r="I81" s="2"/>
      <c r="P81" s="2"/>
      <c r="W81" s="2"/>
      <c r="X81" s="2"/>
      <c r="Y81" s="2"/>
      <c r="Z81" s="2"/>
      <c r="AD81" s="7">
        <f t="shared" si="1"/>
      </c>
    </row>
    <row r="82" spans="9:30" x14ac:dyDescent="0.25">
      <c r="I82" s="2"/>
      <c r="P82" s="2"/>
      <c r="W82" s="2"/>
      <c r="X82" s="2"/>
      <c r="Y82" s="2"/>
      <c r="Z82" s="2"/>
      <c r="AD82" s="7">
        <f t="shared" si="1"/>
      </c>
    </row>
    <row r="83" spans="9:30" x14ac:dyDescent="0.25">
      <c r="I83" s="2"/>
      <c r="P83" s="2"/>
      <c r="W83" s="2"/>
      <c r="X83" s="2"/>
      <c r="Y83" s="2"/>
      <c r="Z83" s="2"/>
      <c r="AD83" s="7">
        <f t="shared" si="1"/>
      </c>
    </row>
    <row r="84" spans="9:30" x14ac:dyDescent="0.25">
      <c r="I84" s="2"/>
      <c r="P84" s="2"/>
      <c r="W84" s="2"/>
      <c r="X84" s="2"/>
      <c r="Y84" s="2"/>
      <c r="Z84" s="2"/>
      <c r="AD84" s="7">
        <f t="shared" si="1"/>
      </c>
    </row>
    <row r="85" spans="9:30" x14ac:dyDescent="0.25">
      <c r="I85" s="2"/>
      <c r="P85" s="2"/>
      <c r="W85" s="2"/>
      <c r="X85" s="2"/>
      <c r="Y85" s="2"/>
      <c r="Z85" s="2"/>
      <c r="AD85" s="7">
        <f t="shared" si="1"/>
      </c>
    </row>
    <row r="86" spans="9:30" x14ac:dyDescent="0.25">
      <c r="I86" s="2"/>
      <c r="P86" s="2"/>
      <c r="W86" s="2"/>
      <c r="X86" s="2"/>
      <c r="Y86" s="2"/>
      <c r="Z86" s="2"/>
      <c r="AD86" s="7">
        <f t="shared" si="1"/>
      </c>
    </row>
    <row r="87" spans="9:30" x14ac:dyDescent="0.25">
      <c r="I87" s="2"/>
      <c r="P87" s="2"/>
      <c r="W87" s="2"/>
      <c r="X87" s="2"/>
      <c r="Y87" s="2"/>
      <c r="Z87" s="2"/>
      <c r="AD87" s="7">
        <f t="shared" si="1"/>
      </c>
    </row>
    <row r="88" spans="9:30" x14ac:dyDescent="0.25">
      <c r="I88" s="2"/>
      <c r="P88" s="2"/>
      <c r="W88" s="2"/>
      <c r="X88" s="2"/>
      <c r="Y88" s="2"/>
      <c r="Z88" s="2"/>
      <c r="AD88" s="7">
        <f t="shared" si="1"/>
      </c>
    </row>
    <row r="89" spans="9:30" x14ac:dyDescent="0.25">
      <c r="I89" s="2"/>
      <c r="P89" s="2"/>
      <c r="W89" s="2"/>
      <c r="X89" s="2"/>
      <c r="Y89" s="2"/>
      <c r="Z89" s="2"/>
      <c r="AD89" s="7">
        <f t="shared" si="1"/>
      </c>
    </row>
    <row r="90" spans="9:30" x14ac:dyDescent="0.25">
      <c r="I90" s="2"/>
      <c r="P90" s="2"/>
      <c r="W90" s="2"/>
      <c r="X90" s="2"/>
      <c r="Y90" s="2"/>
      <c r="Z90" s="2"/>
      <c r="AD90" s="7">
        <f t="shared" si="1"/>
      </c>
    </row>
    <row r="91" spans="9:30" x14ac:dyDescent="0.25">
      <c r="I91" s="2"/>
      <c r="P91" s="2"/>
      <c r="W91" s="2"/>
      <c r="X91" s="2"/>
      <c r="Y91" s="2"/>
      <c r="Z91" s="2"/>
      <c r="AD91" s="7">
        <f t="shared" si="1"/>
      </c>
    </row>
    <row r="92" spans="9:30" x14ac:dyDescent="0.25">
      <c r="I92" s="2"/>
      <c r="P92" s="2"/>
      <c r="W92" s="2"/>
      <c r="X92" s="2"/>
      <c r="Y92" s="2"/>
      <c r="Z92" s="2"/>
      <c r="AD92" s="7">
        <f t="shared" si="1"/>
      </c>
    </row>
    <row r="93" spans="9:30" x14ac:dyDescent="0.25">
      <c r="I93" s="2"/>
      <c r="P93" s="2"/>
      <c r="W93" s="2"/>
      <c r="X93" s="2"/>
      <c r="Y93" s="2"/>
      <c r="Z93" s="2"/>
      <c r="AD93" s="7">
        <f t="shared" si="1"/>
      </c>
    </row>
    <row r="94" spans="9:30" x14ac:dyDescent="0.25">
      <c r="I94" s="2"/>
      <c r="P94" s="2"/>
      <c r="W94" s="2"/>
      <c r="X94" s="2"/>
      <c r="Y94" s="2"/>
      <c r="Z94" s="2"/>
      <c r="AD94" s="7">
        <f t="shared" si="1"/>
      </c>
    </row>
    <row r="95" spans="9:30" x14ac:dyDescent="0.25">
      <c r="I95" s="2"/>
      <c r="P95" s="2"/>
      <c r="W95" s="2"/>
      <c r="X95" s="2"/>
      <c r="Y95" s="2"/>
      <c r="Z95" s="2"/>
      <c r="AD95" s="7">
        <f t="shared" si="1"/>
      </c>
    </row>
    <row r="96" spans="9:30" x14ac:dyDescent="0.25">
      <c r="I96" s="2"/>
      <c r="P96" s="2"/>
      <c r="W96" s="2"/>
      <c r="X96" s="2"/>
      <c r="Y96" s="2"/>
      <c r="Z96" s="2"/>
      <c r="AD96" s="7">
        <f t="shared" si="1"/>
      </c>
    </row>
    <row r="97" spans="9:30" x14ac:dyDescent="0.25">
      <c r="I97" s="2"/>
      <c r="P97" s="2"/>
      <c r="W97" s="2"/>
      <c r="X97" s="2"/>
      <c r="Y97" s="2"/>
      <c r="Z97" s="2"/>
      <c r="AD97" s="7">
        <f t="shared" si="1"/>
      </c>
    </row>
    <row r="98" spans="9:30" x14ac:dyDescent="0.25">
      <c r="I98" s="2"/>
      <c r="P98" s="2"/>
      <c r="W98" s="2"/>
      <c r="X98" s="2"/>
      <c r="Y98" s="2"/>
      <c r="Z98" s="2"/>
      <c r="AD98" s="7">
        <f t="shared" si="1"/>
      </c>
    </row>
    <row r="99" spans="9:30" x14ac:dyDescent="0.25">
      <c r="I99" s="2"/>
      <c r="P99" s="2"/>
      <c r="W99" s="2"/>
      <c r="X99" s="2"/>
      <c r="Y99" s="2"/>
      <c r="Z99" s="2"/>
      <c r="AD99" s="7">
        <f t="shared" si="1"/>
      </c>
    </row>
    <row r="100" spans="9:30" x14ac:dyDescent="0.25">
      <c r="I100" s="2"/>
      <c r="P100" s="2"/>
      <c r="W100" s="2"/>
      <c r="X100" s="2"/>
      <c r="Y100" s="2"/>
      <c r="Z100" s="2"/>
      <c r="AD100" s="7">
        <f t="shared" si="1"/>
      </c>
    </row>
    <row r="101" spans="9:30" x14ac:dyDescent="0.25">
      <c r="I101" s="2"/>
      <c r="P101" s="2"/>
      <c r="W101" s="2"/>
      <c r="X101" s="2"/>
      <c r="Y101" s="2"/>
      <c r="Z101" s="2"/>
      <c r="AD101" s="7">
        <f t="shared" si="1"/>
      </c>
    </row>
    <row r="102" spans="9:30" x14ac:dyDescent="0.25">
      <c r="I102" s="2"/>
      <c r="P102" s="2"/>
      <c r="W102" s="2"/>
      <c r="X102" s="2"/>
      <c r="Y102" s="2"/>
      <c r="Z102" s="2"/>
      <c r="AD102" s="7">
        <f t="shared" si="1"/>
      </c>
    </row>
    <row r="103" spans="9:30" x14ac:dyDescent="0.25">
      <c r="I103" s="2"/>
      <c r="P103" s="2"/>
      <c r="W103" s="2"/>
      <c r="X103" s="2"/>
      <c r="Y103" s="2"/>
      <c r="Z103" s="2"/>
      <c r="AD103" s="7">
        <f t="shared" si="1"/>
      </c>
    </row>
    <row r="104" spans="9:30" x14ac:dyDescent="0.25">
      <c r="I104" s="2"/>
      <c r="P104" s="2"/>
      <c r="W104" s="2"/>
      <c r="X104" s="2"/>
      <c r="Y104" s="2"/>
      <c r="Z104" s="2"/>
      <c r="AD104" s="7">
        <f t="shared" si="1"/>
      </c>
    </row>
    <row r="105" spans="9:30" x14ac:dyDescent="0.25">
      <c r="I105" s="2"/>
      <c r="P105" s="2"/>
      <c r="W105" s="2"/>
      <c r="X105" s="2"/>
      <c r="Y105" s="2"/>
      <c r="Z105" s="2"/>
      <c r="AD105" s="7">
        <f t="shared" si="1"/>
      </c>
    </row>
    <row r="106" spans="9:30" x14ac:dyDescent="0.25">
      <c r="I106" s="2"/>
      <c r="P106" s="2"/>
      <c r="W106" s="2"/>
      <c r="X106" s="2"/>
      <c r="Y106" s="2"/>
      <c r="Z106" s="2"/>
      <c r="AD106" s="7">
        <f t="shared" si="1"/>
      </c>
    </row>
    <row r="107" spans="9:30" x14ac:dyDescent="0.25">
      <c r="I107" s="2"/>
      <c r="P107" s="2"/>
      <c r="W107" s="2"/>
      <c r="X107" s="2"/>
      <c r="Y107" s="2"/>
      <c r="Z107" s="2"/>
      <c r="AD107" s="7">
        <f t="shared" si="1"/>
      </c>
    </row>
    <row r="108" spans="9:30" x14ac:dyDescent="0.25">
      <c r="I108" s="2"/>
      <c r="P108" s="2"/>
      <c r="W108" s="2"/>
      <c r="X108" s="2"/>
      <c r="Y108" s="2"/>
      <c r="Z108" s="2"/>
      <c r="AD108" s="7">
        <f t="shared" si="1"/>
      </c>
    </row>
    <row r="109" spans="9:30" x14ac:dyDescent="0.25">
      <c r="I109" s="2"/>
      <c r="P109" s="2"/>
      <c r="W109" s="2"/>
      <c r="X109" s="2"/>
      <c r="Y109" s="2"/>
      <c r="Z109" s="2"/>
      <c r="AD109" s="7">
        <f t="shared" si="1"/>
      </c>
    </row>
    <row r="110" spans="9:30" x14ac:dyDescent="0.25">
      <c r="I110" s="2"/>
      <c r="P110" s="2"/>
      <c r="W110" s="2"/>
      <c r="X110" s="2"/>
      <c r="Y110" s="2"/>
      <c r="Z110" s="2"/>
      <c r="AD110" s="7">
        <f t="shared" si="1"/>
      </c>
    </row>
    <row r="111" spans="9:30" x14ac:dyDescent="0.25">
      <c r="I111" s="2"/>
      <c r="P111" s="2"/>
      <c r="W111" s="2"/>
      <c r="X111" s="2"/>
      <c r="Y111" s="2"/>
      <c r="Z111" s="2"/>
      <c r="AD111" s="7">
        <f t="shared" si="1"/>
      </c>
    </row>
    <row r="112" spans="9:30" x14ac:dyDescent="0.25">
      <c r="I112" s="2"/>
      <c r="P112" s="2"/>
      <c r="W112" s="2"/>
      <c r="X112" s="2"/>
      <c r="Y112" s="2"/>
      <c r="Z112" s="2"/>
      <c r="AD112" s="7">
        <f t="shared" si="1"/>
      </c>
    </row>
    <row r="113" spans="9:30" x14ac:dyDescent="0.25">
      <c r="I113" s="2"/>
      <c r="P113" s="2"/>
      <c r="W113" s="2"/>
      <c r="X113" s="2"/>
      <c r="Y113" s="2"/>
      <c r="Z113" s="2"/>
      <c r="AD113" s="7">
        <f t="shared" si="1"/>
      </c>
    </row>
    <row r="114" spans="9:30" x14ac:dyDescent="0.25">
      <c r="I114" s="2"/>
      <c r="P114" s="2"/>
      <c r="W114" s="2"/>
      <c r="X114" s="2"/>
      <c r="Y114" s="2"/>
      <c r="Z114" s="2"/>
      <c r="AD114" s="7">
        <f t="shared" si="1"/>
      </c>
    </row>
    <row r="115" spans="9:30" x14ac:dyDescent="0.25">
      <c r="I115" s="2"/>
      <c r="P115" s="2"/>
      <c r="W115" s="2"/>
      <c r="X115" s="2"/>
      <c r="Y115" s="2"/>
      <c r="Z115" s="2"/>
      <c r="AD115" s="7">
        <f t="shared" si="1"/>
      </c>
    </row>
    <row r="116" spans="9:30" x14ac:dyDescent="0.25">
      <c r="I116" s="2"/>
      <c r="P116" s="2"/>
      <c r="W116" s="2"/>
      <c r="X116" s="2"/>
      <c r="Y116" s="2"/>
      <c r="Z116" s="2"/>
      <c r="AD116" s="7">
        <f t="shared" si="1"/>
      </c>
    </row>
    <row r="117" spans="9:30" x14ac:dyDescent="0.25">
      <c r="I117" s="2"/>
      <c r="P117" s="2"/>
      <c r="W117" s="2"/>
      <c r="X117" s="2"/>
      <c r="Y117" s="2"/>
      <c r="Z117" s="2"/>
      <c r="AD117" s="7">
        <f t="shared" si="1"/>
      </c>
    </row>
    <row r="118" spans="9:30" x14ac:dyDescent="0.25">
      <c r="I118" s="2"/>
      <c r="P118" s="2"/>
      <c r="W118" s="2"/>
      <c r="X118" s="2"/>
      <c r="Y118" s="2"/>
      <c r="Z118" s="2"/>
      <c r="AD118" s="7">
        <f t="shared" si="1"/>
      </c>
    </row>
    <row r="119" spans="9:30" x14ac:dyDescent="0.25">
      <c r="I119" s="2"/>
      <c r="P119" s="2"/>
      <c r="W119" s="2"/>
      <c r="X119" s="2"/>
      <c r="Y119" s="2"/>
      <c r="Z119" s="2"/>
      <c r="AD119" s="7">
        <f t="shared" si="1"/>
      </c>
    </row>
    <row r="120" spans="9:30" x14ac:dyDescent="0.25">
      <c r="I120" s="2"/>
      <c r="P120" s="2"/>
      <c r="W120" s="2"/>
      <c r="X120" s="2"/>
      <c r="Y120" s="2"/>
      <c r="Z120" s="2"/>
      <c r="AD120" s="7">
        <f t="shared" si="1"/>
      </c>
    </row>
    <row r="121" spans="9:30" x14ac:dyDescent="0.25">
      <c r="I121" s="2"/>
      <c r="P121" s="2"/>
      <c r="W121" s="2"/>
      <c r="X121" s="2"/>
      <c r="Y121" s="2"/>
      <c r="Z121" s="2"/>
      <c r="AD121" s="7">
        <f t="shared" si="1"/>
      </c>
    </row>
    <row r="122" spans="9:30" x14ac:dyDescent="0.25">
      <c r="I122" s="2"/>
      <c r="P122" s="2"/>
      <c r="W122" s="2"/>
      <c r="X122" s="2"/>
      <c r="Y122" s="2"/>
      <c r="Z122" s="2"/>
      <c r="AD122" s="7">
        <f t="shared" si="1"/>
      </c>
    </row>
    <row r="123" spans="9:30" x14ac:dyDescent="0.25">
      <c r="I123" s="2"/>
      <c r="P123" s="2"/>
      <c r="W123" s="2"/>
      <c r="X123" s="2"/>
      <c r="Y123" s="2"/>
      <c r="Z123" s="2"/>
      <c r="AD123" s="7">
        <f t="shared" si="1"/>
      </c>
    </row>
    <row r="124" spans="9:30" x14ac:dyDescent="0.25">
      <c r="I124" s="2"/>
      <c r="P124" s="2"/>
      <c r="W124" s="2"/>
      <c r="X124" s="2"/>
      <c r="Y124" s="2"/>
      <c r="Z124" s="2"/>
      <c r="AD124" s="7">
        <f t="shared" si="1"/>
      </c>
    </row>
    <row r="125" spans="9:30" x14ac:dyDescent="0.25">
      <c r="I125" s="2"/>
      <c r="P125" s="2"/>
      <c r="W125" s="2"/>
      <c r="X125" s="2"/>
      <c r="Y125" s="2"/>
      <c r="Z125" s="2"/>
      <c r="AD125" s="7">
        <f t="shared" si="1"/>
      </c>
    </row>
    <row r="126" spans="9:30" x14ac:dyDescent="0.25">
      <c r="I126" s="2"/>
      <c r="P126" s="2"/>
      <c r="W126" s="2"/>
      <c r="X126" s="2"/>
      <c r="Y126" s="2"/>
      <c r="Z126" s="2"/>
      <c r="AD126" s="7">
        <f t="shared" si="1"/>
      </c>
    </row>
    <row r="127" spans="9:30" x14ac:dyDescent="0.25">
      <c r="I127" s="2"/>
      <c r="P127" s="2"/>
      <c r="W127" s="2"/>
      <c r="X127" s="2"/>
      <c r="Y127" s="2"/>
      <c r="Z127" s="2"/>
      <c r="AD127" s="7">
        <f t="shared" si="1"/>
      </c>
    </row>
    <row r="128" spans="9:30" x14ac:dyDescent="0.25">
      <c r="I128" s="2"/>
      <c r="P128" s="2"/>
      <c r="W128" s="2"/>
      <c r="X128" s="2"/>
      <c r="Y128" s="2"/>
      <c r="Z128" s="2"/>
      <c r="AD128" s="7">
        <f t="shared" si="1"/>
      </c>
    </row>
    <row r="129" spans="9:30" x14ac:dyDescent="0.25">
      <c r="I129" s="2"/>
      <c r="P129" s="2"/>
      <c r="W129" s="2"/>
      <c r="X129" s="2"/>
      <c r="Y129" s="2"/>
      <c r="Z129" s="2"/>
      <c r="AD129" s="7">
        <f t="shared" si="1"/>
      </c>
    </row>
    <row r="130" spans="9:30" x14ac:dyDescent="0.25">
      <c r="I130" s="2"/>
      <c r="P130" s="2"/>
      <c r="W130" s="2"/>
      <c r="X130" s="2"/>
      <c r="Y130" s="2"/>
      <c r="Z130" s="2"/>
      <c r="AD130" s="7">
        <f t="shared" si="1"/>
      </c>
    </row>
    <row r="131" spans="9:30" x14ac:dyDescent="0.25">
      <c r="I131" s="2"/>
      <c r="P131" s="2"/>
      <c r="W131" s="2"/>
      <c r="X131" s="2"/>
      <c r="Y131" s="2"/>
      <c r="Z131" s="2"/>
      <c r="AD131" s="7">
        <f t="shared" si="1"/>
      </c>
    </row>
    <row r="132" spans="9:30" x14ac:dyDescent="0.25">
      <c r="I132" s="2"/>
      <c r="P132" s="2"/>
      <c r="W132" s="2"/>
      <c r="X132" s="2"/>
      <c r="Y132" s="2"/>
      <c r="Z132" s="2"/>
      <c r="AD132" s="7">
        <f t="shared" si="1"/>
      </c>
    </row>
    <row r="133" spans="9:30" x14ac:dyDescent="0.25">
      <c r="I133" s="2"/>
      <c r="P133" s="2"/>
      <c r="W133" s="2"/>
      <c r="X133" s="2"/>
      <c r="Y133" s="2"/>
      <c r="Z133" s="2"/>
      <c r="AD133" s="7">
        <f t="shared" si="1"/>
      </c>
    </row>
    <row r="134" spans="9:30" x14ac:dyDescent="0.25">
      <c r="I134" s="2"/>
      <c r="P134" s="2"/>
      <c r="W134" s="2"/>
      <c r="X134" s="2"/>
      <c r="Y134" s="2"/>
      <c r="Z134" s="2"/>
      <c r="AD134" s="7">
        <f t="shared" si="1"/>
      </c>
    </row>
    <row r="135" spans="9:30" x14ac:dyDescent="0.25">
      <c r="I135" s="2"/>
      <c r="P135" s="2"/>
      <c r="W135" s="2"/>
      <c r="X135" s="2"/>
      <c r="Y135" s="2"/>
      <c r="Z135" s="2"/>
      <c r="AD135" s="7">
        <f t="shared" si="1"/>
      </c>
    </row>
    <row r="136" spans="9:30" x14ac:dyDescent="0.25">
      <c r="I136" s="2"/>
      <c r="P136" s="2"/>
      <c r="W136" s="2"/>
      <c r="X136" s="2"/>
      <c r="Y136" s="2"/>
      <c r="Z136" s="2"/>
      <c r="AD136" s="7">
        <f t="shared" si="1"/>
      </c>
    </row>
    <row r="137" spans="9:30" x14ac:dyDescent="0.25">
      <c r="I137" s="2"/>
      <c r="P137" s="2"/>
      <c r="W137" s="2"/>
      <c r="X137" s="2"/>
      <c r="Y137" s="2"/>
      <c r="Z137" s="2"/>
      <c r="AD137" s="7">
        <f t="shared" si="1"/>
      </c>
    </row>
    <row r="138" spans="9:30" x14ac:dyDescent="0.25">
      <c r="I138" s="2"/>
      <c r="P138" s="2"/>
      <c r="W138" s="2"/>
      <c r="X138" s="2"/>
      <c r="Y138" s="2"/>
      <c r="Z138" s="2"/>
      <c r="AD138" s="7">
        <f t="shared" ref="AD138:AD201" si="2">IF(P138 = "", "", Y138/P138)</f>
      </c>
    </row>
    <row r="139" spans="9:30" x14ac:dyDescent="0.25">
      <c r="I139" s="2"/>
      <c r="P139" s="2"/>
      <c r="W139" s="2"/>
      <c r="X139" s="2"/>
      <c r="Y139" s="2"/>
      <c r="Z139" s="2"/>
      <c r="AD139" s="7">
        <f t="shared" si="2"/>
      </c>
    </row>
    <row r="140" spans="9:30" x14ac:dyDescent="0.25">
      <c r="I140" s="2"/>
      <c r="P140" s="2"/>
      <c r="W140" s="2"/>
      <c r="X140" s="2"/>
      <c r="Y140" s="2"/>
      <c r="Z140" s="2"/>
      <c r="AD140" s="7">
        <f t="shared" si="2"/>
      </c>
    </row>
    <row r="141" spans="9:30" x14ac:dyDescent="0.25">
      <c r="I141" s="2"/>
      <c r="P141" s="2"/>
      <c r="W141" s="2"/>
      <c r="X141" s="2"/>
      <c r="Y141" s="2"/>
      <c r="Z141" s="2"/>
      <c r="AD141" s="7">
        <f t="shared" si="2"/>
      </c>
    </row>
    <row r="142" spans="9:30" x14ac:dyDescent="0.25">
      <c r="I142" s="2"/>
      <c r="P142" s="2"/>
      <c r="W142" s="2"/>
      <c r="X142" s="2"/>
      <c r="Y142" s="2"/>
      <c r="Z142" s="2"/>
      <c r="AD142" s="7">
        <f t="shared" si="2"/>
      </c>
    </row>
    <row r="143" spans="9:30" x14ac:dyDescent="0.25">
      <c r="I143" s="2"/>
      <c r="P143" s="2"/>
      <c r="W143" s="2"/>
      <c r="X143" s="2"/>
      <c r="Y143" s="2"/>
      <c r="Z143" s="2"/>
      <c r="AD143" s="7">
        <f t="shared" si="2"/>
      </c>
    </row>
    <row r="144" spans="9:30" x14ac:dyDescent="0.25">
      <c r="I144" s="2"/>
      <c r="P144" s="2"/>
      <c r="W144" s="2"/>
      <c r="X144" s="2"/>
      <c r="Y144" s="2"/>
      <c r="Z144" s="2"/>
      <c r="AD144" s="7">
        <f t="shared" si="2"/>
      </c>
    </row>
    <row r="145" spans="9:30" x14ac:dyDescent="0.25">
      <c r="I145" s="2"/>
      <c r="P145" s="2"/>
      <c r="W145" s="2"/>
      <c r="X145" s="2"/>
      <c r="Y145" s="2"/>
      <c r="Z145" s="2"/>
      <c r="AD145" s="7">
        <f t="shared" si="2"/>
      </c>
    </row>
    <row r="146" spans="9:30" x14ac:dyDescent="0.25">
      <c r="I146" s="2"/>
      <c r="P146" s="2"/>
      <c r="W146" s="2"/>
      <c r="X146" s="2"/>
      <c r="Y146" s="2"/>
      <c r="Z146" s="2"/>
      <c r="AD146" s="7">
        <f t="shared" si="2"/>
      </c>
    </row>
    <row r="147" spans="9:30" x14ac:dyDescent="0.25">
      <c r="I147" s="2"/>
      <c r="P147" s="2"/>
      <c r="W147" s="2"/>
      <c r="X147" s="2"/>
      <c r="Y147" s="2"/>
      <c r="Z147" s="2"/>
      <c r="AD147" s="7">
        <f t="shared" si="2"/>
      </c>
    </row>
    <row r="148" spans="9:30" x14ac:dyDescent="0.25">
      <c r="I148" s="2"/>
      <c r="P148" s="2"/>
      <c r="W148" s="2"/>
      <c r="X148" s="2"/>
      <c r="Y148" s="2"/>
      <c r="Z148" s="2"/>
      <c r="AD148" s="7">
        <f t="shared" si="2"/>
      </c>
    </row>
    <row r="149" spans="9:30" x14ac:dyDescent="0.25">
      <c r="I149" s="2"/>
      <c r="P149" s="2"/>
      <c r="W149" s="2"/>
      <c r="X149" s="2"/>
      <c r="Y149" s="2"/>
      <c r="Z149" s="2"/>
      <c r="AD149" s="7">
        <f t="shared" si="2"/>
      </c>
    </row>
    <row r="150" spans="9:30" x14ac:dyDescent="0.25">
      <c r="I150" s="2"/>
      <c r="P150" s="2"/>
      <c r="W150" s="2"/>
      <c r="X150" s="2"/>
      <c r="Y150" s="2"/>
      <c r="Z150" s="2"/>
      <c r="AD150" s="7">
        <f t="shared" si="2"/>
      </c>
    </row>
    <row r="151" spans="9:30" x14ac:dyDescent="0.25">
      <c r="I151" s="2"/>
      <c r="P151" s="2"/>
      <c r="W151" s="2"/>
      <c r="X151" s="2"/>
      <c r="Y151" s="2"/>
      <c r="Z151" s="2"/>
      <c r="AD151" s="7">
        <f t="shared" si="2"/>
      </c>
    </row>
    <row r="152" spans="9:30" x14ac:dyDescent="0.25">
      <c r="I152" s="2"/>
      <c r="P152" s="2"/>
      <c r="W152" s="2"/>
      <c r="X152" s="2"/>
      <c r="Y152" s="2"/>
      <c r="Z152" s="2"/>
      <c r="AD152" s="7">
        <f t="shared" si="2"/>
      </c>
    </row>
    <row r="153" spans="9:30" x14ac:dyDescent="0.25">
      <c r="I153" s="2"/>
      <c r="P153" s="2"/>
      <c r="W153" s="2"/>
      <c r="X153" s="2"/>
      <c r="Y153" s="2"/>
      <c r="Z153" s="2"/>
      <c r="AD153" s="7">
        <f t="shared" si="2"/>
      </c>
    </row>
    <row r="154" spans="9:30" x14ac:dyDescent="0.25">
      <c r="I154" s="2"/>
      <c r="P154" s="2"/>
      <c r="W154" s="2"/>
      <c r="X154" s="2"/>
      <c r="Y154" s="2"/>
      <c r="Z154" s="2"/>
      <c r="AD154" s="7">
        <f t="shared" si="2"/>
      </c>
    </row>
    <row r="155" spans="9:30" x14ac:dyDescent="0.25">
      <c r="I155" s="2"/>
      <c r="P155" s="2"/>
      <c r="W155" s="2"/>
      <c r="X155" s="2"/>
      <c r="Y155" s="2"/>
      <c r="Z155" s="2"/>
      <c r="AD155" s="7">
        <f t="shared" si="2"/>
      </c>
    </row>
    <row r="156" spans="9:30" x14ac:dyDescent="0.25">
      <c r="I156" s="2"/>
      <c r="P156" s="2"/>
      <c r="W156" s="2"/>
      <c r="X156" s="2"/>
      <c r="Y156" s="2"/>
      <c r="Z156" s="2"/>
      <c r="AD156" s="7">
        <f t="shared" si="2"/>
      </c>
    </row>
    <row r="157" spans="9:30" x14ac:dyDescent="0.25">
      <c r="I157" s="2"/>
      <c r="P157" s="2"/>
      <c r="W157" s="2"/>
      <c r="X157" s="2"/>
      <c r="Y157" s="2"/>
      <c r="Z157" s="2"/>
      <c r="AD157" s="7">
        <f t="shared" si="2"/>
      </c>
    </row>
    <row r="158" spans="9:30" x14ac:dyDescent="0.25">
      <c r="I158" s="2"/>
      <c r="P158" s="2"/>
      <c r="W158" s="2"/>
      <c r="X158" s="2"/>
      <c r="Y158" s="2"/>
      <c r="Z158" s="2"/>
      <c r="AD158" s="7">
        <f t="shared" si="2"/>
      </c>
    </row>
    <row r="159" spans="9:30" x14ac:dyDescent="0.25">
      <c r="I159" s="2"/>
      <c r="P159" s="2"/>
      <c r="W159" s="2"/>
      <c r="X159" s="2"/>
      <c r="Y159" s="2"/>
      <c r="Z159" s="2"/>
      <c r="AD159" s="7">
        <f t="shared" si="2"/>
      </c>
    </row>
    <row r="160" spans="9:30" x14ac:dyDescent="0.25">
      <c r="I160" s="2"/>
      <c r="P160" s="2"/>
      <c r="W160" s="2"/>
      <c r="X160" s="2"/>
      <c r="Y160" s="2"/>
      <c r="Z160" s="2"/>
      <c r="AD160" s="7">
        <f t="shared" si="2"/>
      </c>
    </row>
    <row r="161" spans="9:30" x14ac:dyDescent="0.25">
      <c r="I161" s="2"/>
      <c r="P161" s="2"/>
      <c r="W161" s="2"/>
      <c r="X161" s="2"/>
      <c r="Y161" s="2"/>
      <c r="Z161" s="2"/>
      <c r="AD161" s="7">
        <f t="shared" si="2"/>
      </c>
    </row>
    <row r="162" spans="9:30" x14ac:dyDescent="0.25">
      <c r="I162" s="2"/>
      <c r="P162" s="2"/>
      <c r="W162" s="2"/>
      <c r="X162" s="2"/>
      <c r="Y162" s="2"/>
      <c r="Z162" s="2"/>
      <c r="AD162" s="7">
        <f t="shared" si="2"/>
      </c>
    </row>
    <row r="163" spans="9:30" x14ac:dyDescent="0.25">
      <c r="I163" s="2"/>
      <c r="P163" s="2"/>
      <c r="W163" s="2"/>
      <c r="X163" s="2"/>
      <c r="Y163" s="2"/>
      <c r="Z163" s="2"/>
      <c r="AD163" s="7">
        <f t="shared" si="2"/>
      </c>
    </row>
    <row r="164" spans="9:30" x14ac:dyDescent="0.25">
      <c r="I164" s="2"/>
      <c r="P164" s="2"/>
      <c r="W164" s="2"/>
      <c r="X164" s="2"/>
      <c r="Y164" s="2"/>
      <c r="Z164" s="2"/>
      <c r="AD164" s="7">
        <f t="shared" si="2"/>
      </c>
    </row>
    <row r="165" spans="9:30" x14ac:dyDescent="0.25">
      <c r="I165" s="2"/>
      <c r="P165" s="2"/>
      <c r="W165" s="2"/>
      <c r="X165" s="2"/>
      <c r="Y165" s="2"/>
      <c r="Z165" s="2"/>
      <c r="AD165" s="7">
        <f t="shared" si="2"/>
      </c>
    </row>
    <row r="166" spans="9:30" x14ac:dyDescent="0.25">
      <c r="I166" s="2"/>
      <c r="P166" s="2"/>
      <c r="W166" s="2"/>
      <c r="X166" s="2"/>
      <c r="Y166" s="2"/>
      <c r="Z166" s="2"/>
      <c r="AD166" s="7">
        <f t="shared" si="2"/>
      </c>
    </row>
    <row r="167" spans="9:30" x14ac:dyDescent="0.25">
      <c r="I167" s="2"/>
      <c r="P167" s="2"/>
      <c r="W167" s="2"/>
      <c r="X167" s="2"/>
      <c r="Y167" s="2"/>
      <c r="Z167" s="2"/>
      <c r="AD167" s="7">
        <f t="shared" si="2"/>
      </c>
    </row>
    <row r="168" spans="9:30" x14ac:dyDescent="0.25">
      <c r="I168" s="2"/>
      <c r="P168" s="2"/>
      <c r="W168" s="2"/>
      <c r="X168" s="2"/>
      <c r="Y168" s="2"/>
      <c r="Z168" s="2"/>
      <c r="AD168" s="7">
        <f t="shared" si="2"/>
      </c>
    </row>
    <row r="169" spans="9:30" x14ac:dyDescent="0.25">
      <c r="I169" s="2"/>
      <c r="P169" s="2"/>
      <c r="W169" s="2"/>
      <c r="X169" s="2"/>
      <c r="Y169" s="2"/>
      <c r="Z169" s="2"/>
      <c r="AD169" s="7">
        <f t="shared" si="2"/>
      </c>
    </row>
    <row r="170" spans="9:30" x14ac:dyDescent="0.25">
      <c r="I170" s="2"/>
      <c r="P170" s="2"/>
      <c r="W170" s="2"/>
      <c r="X170" s="2"/>
      <c r="Y170" s="2"/>
      <c r="Z170" s="2"/>
      <c r="AD170" s="7">
        <f t="shared" si="2"/>
      </c>
    </row>
    <row r="171" spans="9:30" x14ac:dyDescent="0.25">
      <c r="I171" s="2"/>
      <c r="P171" s="2"/>
      <c r="W171" s="2"/>
      <c r="X171" s="2"/>
      <c r="Y171" s="2"/>
      <c r="Z171" s="2"/>
      <c r="AD171" s="7">
        <f t="shared" si="2"/>
      </c>
    </row>
    <row r="172" spans="9:30" x14ac:dyDescent="0.25">
      <c r="I172" s="2"/>
      <c r="P172" s="2"/>
      <c r="W172" s="2"/>
      <c r="X172" s="2"/>
      <c r="Y172" s="2"/>
      <c r="Z172" s="2"/>
      <c r="AD172" s="7">
        <f t="shared" si="2"/>
      </c>
    </row>
    <row r="173" spans="9:30" x14ac:dyDescent="0.25">
      <c r="I173" s="2"/>
      <c r="P173" s="2"/>
      <c r="W173" s="2"/>
      <c r="X173" s="2"/>
      <c r="Y173" s="2"/>
      <c r="Z173" s="2"/>
      <c r="AD173" s="7">
        <f t="shared" si="2"/>
      </c>
    </row>
    <row r="174" spans="9:30" x14ac:dyDescent="0.25">
      <c r="I174" s="2"/>
      <c r="P174" s="2"/>
      <c r="W174" s="2"/>
      <c r="X174" s="2"/>
      <c r="Y174" s="2"/>
      <c r="Z174" s="2"/>
      <c r="AD174" s="7">
        <f t="shared" si="2"/>
      </c>
    </row>
    <row r="175" spans="9:30" x14ac:dyDescent="0.25">
      <c r="I175" s="2"/>
      <c r="P175" s="2"/>
      <c r="W175" s="2"/>
      <c r="X175" s="2"/>
      <c r="Y175" s="2"/>
      <c r="Z175" s="2"/>
      <c r="AD175" s="7">
        <f t="shared" si="2"/>
      </c>
    </row>
    <row r="176" spans="9:30" x14ac:dyDescent="0.25">
      <c r="I176" s="2"/>
      <c r="P176" s="2"/>
      <c r="W176" s="2"/>
      <c r="X176" s="2"/>
      <c r="Y176" s="2"/>
      <c r="Z176" s="2"/>
      <c r="AD176" s="7">
        <f t="shared" si="2"/>
      </c>
    </row>
    <row r="177" spans="9:30" x14ac:dyDescent="0.25">
      <c r="I177" s="2"/>
      <c r="P177" s="2"/>
      <c r="W177" s="2"/>
      <c r="X177" s="2"/>
      <c r="Y177" s="2"/>
      <c r="Z177" s="2"/>
      <c r="AD177" s="7">
        <f t="shared" si="2"/>
      </c>
    </row>
    <row r="178" spans="9:30" x14ac:dyDescent="0.25">
      <c r="I178" s="2"/>
      <c r="P178" s="2"/>
      <c r="W178" s="2"/>
      <c r="X178" s="2"/>
      <c r="Y178" s="2"/>
      <c r="Z178" s="2"/>
      <c r="AD178" s="7">
        <f t="shared" si="2"/>
      </c>
    </row>
    <row r="179" spans="9:30" x14ac:dyDescent="0.25">
      <c r="I179" s="2"/>
      <c r="P179" s="2"/>
      <c r="W179" s="2"/>
      <c r="X179" s="2"/>
      <c r="Y179" s="2"/>
      <c r="Z179" s="2"/>
      <c r="AD179" s="7">
        <f t="shared" si="2"/>
      </c>
    </row>
    <row r="180" spans="9:30" x14ac:dyDescent="0.25">
      <c r="I180" s="2"/>
      <c r="P180" s="2"/>
      <c r="W180" s="2"/>
      <c r="X180" s="2"/>
      <c r="Y180" s="2"/>
      <c r="Z180" s="2"/>
      <c r="AD180" s="7">
        <f t="shared" si="2"/>
      </c>
    </row>
    <row r="181" spans="9:30" x14ac:dyDescent="0.25">
      <c r="I181" s="2"/>
      <c r="P181" s="2"/>
      <c r="W181" s="2"/>
      <c r="X181" s="2"/>
      <c r="Y181" s="2"/>
      <c r="Z181" s="2"/>
      <c r="AD181" s="7">
        <f t="shared" si="2"/>
      </c>
    </row>
    <row r="182" spans="9:30" x14ac:dyDescent="0.25">
      <c r="I182" s="2"/>
      <c r="P182" s="2"/>
      <c r="W182" s="2"/>
      <c r="X182" s="2"/>
      <c r="Y182" s="2"/>
      <c r="Z182" s="2"/>
      <c r="AD182" s="7">
        <f t="shared" si="2"/>
      </c>
    </row>
    <row r="183" spans="9:30" x14ac:dyDescent="0.25">
      <c r="I183" s="2"/>
      <c r="P183" s="2"/>
      <c r="W183" s="2"/>
      <c r="X183" s="2"/>
      <c r="Y183" s="2"/>
      <c r="Z183" s="2"/>
      <c r="AD183" s="7">
        <f t="shared" si="2"/>
      </c>
    </row>
    <row r="184" spans="9:30" x14ac:dyDescent="0.25">
      <c r="I184" s="2"/>
      <c r="P184" s="2"/>
      <c r="W184" s="2"/>
      <c r="X184" s="2"/>
      <c r="Y184" s="2"/>
      <c r="Z184" s="2"/>
      <c r="AD184" s="7">
        <f t="shared" si="2"/>
      </c>
    </row>
    <row r="185" spans="9:30" x14ac:dyDescent="0.25">
      <c r="I185" s="2"/>
      <c r="P185" s="2"/>
      <c r="W185" s="2"/>
      <c r="X185" s="2"/>
      <c r="Y185" s="2"/>
      <c r="Z185" s="2"/>
      <c r="AD185" s="7">
        <f t="shared" si="2"/>
      </c>
    </row>
    <row r="186" spans="9:30" x14ac:dyDescent="0.25">
      <c r="I186" s="2"/>
      <c r="P186" s="2"/>
      <c r="W186" s="2"/>
      <c r="X186" s="2"/>
      <c r="Y186" s="2"/>
      <c r="Z186" s="2"/>
      <c r="AD186" s="7">
        <f t="shared" si="2"/>
      </c>
    </row>
    <row r="187" spans="9:30" x14ac:dyDescent="0.25">
      <c r="I187" s="2"/>
      <c r="P187" s="2"/>
      <c r="W187" s="2"/>
      <c r="X187" s="2"/>
      <c r="Y187" s="2"/>
      <c r="Z187" s="2"/>
      <c r="AD187" s="7">
        <f t="shared" si="2"/>
      </c>
    </row>
    <row r="188" spans="9:30" x14ac:dyDescent="0.25">
      <c r="I188" s="2"/>
      <c r="P188" s="2"/>
      <c r="W188" s="2"/>
      <c r="X188" s="2"/>
      <c r="Y188" s="2"/>
      <c r="Z188" s="2"/>
      <c r="AD188" s="7">
        <f t="shared" si="2"/>
      </c>
    </row>
    <row r="189" spans="9:30" x14ac:dyDescent="0.25">
      <c r="I189" s="2"/>
      <c r="P189" s="2"/>
      <c r="W189" s="2"/>
      <c r="X189" s="2"/>
      <c r="Y189" s="2"/>
      <c r="Z189" s="2"/>
      <c r="AD189" s="7">
        <f t="shared" si="2"/>
      </c>
    </row>
    <row r="190" spans="9:30" x14ac:dyDescent="0.25">
      <c r="I190" s="2"/>
      <c r="P190" s="2"/>
      <c r="W190" s="2"/>
      <c r="X190" s="2"/>
      <c r="Y190" s="2"/>
      <c r="Z190" s="2"/>
      <c r="AD190" s="7">
        <f t="shared" si="2"/>
      </c>
    </row>
    <row r="191" spans="9:30" x14ac:dyDescent="0.25">
      <c r="I191" s="2"/>
      <c r="P191" s="2"/>
      <c r="W191" s="2"/>
      <c r="X191" s="2"/>
      <c r="Y191" s="2"/>
      <c r="Z191" s="2"/>
      <c r="AD191" s="7">
        <f t="shared" si="2"/>
      </c>
    </row>
    <row r="192" spans="9:30" x14ac:dyDescent="0.25">
      <c r="I192" s="2"/>
      <c r="P192" s="2"/>
      <c r="W192" s="2"/>
      <c r="X192" s="2"/>
      <c r="Y192" s="2"/>
      <c r="Z192" s="2"/>
      <c r="AD192" s="7">
        <f t="shared" si="2"/>
      </c>
    </row>
    <row r="193" spans="9:30" x14ac:dyDescent="0.25">
      <c r="I193" s="2"/>
      <c r="P193" s="2"/>
      <c r="W193" s="2"/>
      <c r="X193" s="2"/>
      <c r="Y193" s="2"/>
      <c r="Z193" s="2"/>
      <c r="AD193" s="7">
        <f t="shared" si="2"/>
      </c>
    </row>
    <row r="194" spans="9:30" x14ac:dyDescent="0.25">
      <c r="I194" s="2"/>
      <c r="P194" s="2"/>
      <c r="W194" s="2"/>
      <c r="X194" s="2"/>
      <c r="Y194" s="2"/>
      <c r="Z194" s="2"/>
      <c r="AD194" s="7">
        <f t="shared" si="2"/>
      </c>
    </row>
    <row r="195" spans="9:30" x14ac:dyDescent="0.25">
      <c r="I195" s="2"/>
      <c r="P195" s="2"/>
      <c r="W195" s="2"/>
      <c r="X195" s="2"/>
      <c r="Y195" s="2"/>
      <c r="Z195" s="2"/>
      <c r="AD195" s="7">
        <f t="shared" si="2"/>
      </c>
    </row>
    <row r="196" spans="9:30" x14ac:dyDescent="0.25">
      <c r="I196" s="2"/>
      <c r="P196" s="2"/>
      <c r="W196" s="2"/>
      <c r="X196" s="2"/>
      <c r="Y196" s="2"/>
      <c r="Z196" s="2"/>
      <c r="AD196" s="7">
        <f t="shared" si="2"/>
      </c>
    </row>
    <row r="197" spans="9:30" x14ac:dyDescent="0.25">
      <c r="I197" s="2"/>
      <c r="P197" s="2"/>
      <c r="W197" s="2"/>
      <c r="X197" s="2"/>
      <c r="Y197" s="2"/>
      <c r="Z197" s="2"/>
      <c r="AD197" s="7">
        <f t="shared" si="2"/>
      </c>
    </row>
    <row r="198" spans="9:30" x14ac:dyDescent="0.25">
      <c r="I198" s="2"/>
      <c r="P198" s="2"/>
      <c r="W198" s="2"/>
      <c r="X198" s="2"/>
      <c r="Y198" s="2"/>
      <c r="Z198" s="2"/>
      <c r="AD198" s="7">
        <f t="shared" si="2"/>
      </c>
    </row>
    <row r="199" spans="9:30" x14ac:dyDescent="0.25">
      <c r="I199" s="2"/>
      <c r="P199" s="2"/>
      <c r="W199" s="2"/>
      <c r="X199" s="2"/>
      <c r="Y199" s="2"/>
      <c r="Z199" s="2"/>
      <c r="AD199" s="7">
        <f t="shared" si="2"/>
      </c>
    </row>
    <row r="200" spans="9:30" x14ac:dyDescent="0.25">
      <c r="I200" s="2"/>
      <c r="P200" s="2"/>
      <c r="W200" s="2"/>
      <c r="X200" s="2"/>
      <c r="Y200" s="2"/>
      <c r="Z200" s="2"/>
      <c r="AD200" s="7">
        <f t="shared" si="2"/>
      </c>
    </row>
    <row r="201" spans="9:30" x14ac:dyDescent="0.25">
      <c r="I201" s="2"/>
      <c r="P201" s="2"/>
      <c r="W201" s="2"/>
      <c r="X201" s="2"/>
      <c r="Y201" s="2"/>
      <c r="Z201" s="2"/>
      <c r="AD201" s="7">
        <f t="shared" si="2"/>
      </c>
    </row>
    <row r="202" spans="9:30" x14ac:dyDescent="0.25">
      <c r="I202" s="2"/>
      <c r="P202" s="2"/>
      <c r="W202" s="2"/>
      <c r="X202" s="2"/>
      <c r="Y202" s="2"/>
      <c r="Z202" s="2"/>
      <c r="AD202" s="7">
        <f t="shared" ref="AD202:AD265" si="3">IF(P202 = "", "", Y202/P202)</f>
      </c>
    </row>
    <row r="203" spans="9:30" x14ac:dyDescent="0.25">
      <c r="I203" s="2"/>
      <c r="P203" s="2"/>
      <c r="W203" s="2"/>
      <c r="X203" s="2"/>
      <c r="Y203" s="2"/>
      <c r="Z203" s="2"/>
      <c r="AD203" s="7">
        <f t="shared" si="3"/>
      </c>
    </row>
    <row r="204" spans="9:30" x14ac:dyDescent="0.25">
      <c r="I204" s="2"/>
      <c r="P204" s="2"/>
      <c r="W204" s="2"/>
      <c r="X204" s="2"/>
      <c r="Y204" s="2"/>
      <c r="Z204" s="2"/>
      <c r="AD204" s="7">
        <f t="shared" si="3"/>
      </c>
    </row>
    <row r="205" spans="9:30" x14ac:dyDescent="0.25">
      <c r="I205" s="2"/>
      <c r="P205" s="2"/>
      <c r="W205" s="2"/>
      <c r="X205" s="2"/>
      <c r="Y205" s="2"/>
      <c r="Z205" s="2"/>
      <c r="AD205" s="7">
        <f t="shared" si="3"/>
      </c>
    </row>
    <row r="206" spans="9:30" x14ac:dyDescent="0.25">
      <c r="I206" s="2"/>
      <c r="P206" s="2"/>
      <c r="W206" s="2"/>
      <c r="X206" s="2"/>
      <c r="Y206" s="2"/>
      <c r="Z206" s="2"/>
      <c r="AD206" s="7">
        <f t="shared" si="3"/>
      </c>
    </row>
    <row r="207" spans="9:30" x14ac:dyDescent="0.25">
      <c r="I207" s="2"/>
      <c r="P207" s="2"/>
      <c r="W207" s="2"/>
      <c r="X207" s="2"/>
      <c r="Y207" s="2"/>
      <c r="Z207" s="2"/>
      <c r="AD207" s="7">
        <f t="shared" si="3"/>
      </c>
    </row>
    <row r="208" spans="9:30" x14ac:dyDescent="0.25">
      <c r="I208" s="2"/>
      <c r="P208" s="2"/>
      <c r="W208" s="2"/>
      <c r="X208" s="2"/>
      <c r="Y208" s="2"/>
      <c r="Z208" s="2"/>
      <c r="AD208" s="7">
        <f t="shared" si="3"/>
      </c>
    </row>
    <row r="209" spans="9:30" x14ac:dyDescent="0.25">
      <c r="I209" s="2"/>
      <c r="P209" s="2"/>
      <c r="W209" s="2"/>
      <c r="X209" s="2"/>
      <c r="Y209" s="2"/>
      <c r="Z209" s="2"/>
      <c r="AD209" s="7">
        <f t="shared" si="3"/>
      </c>
    </row>
    <row r="210" spans="9:30" x14ac:dyDescent="0.25">
      <c r="I210" s="2"/>
      <c r="P210" s="2"/>
      <c r="W210" s="2"/>
      <c r="X210" s="2"/>
      <c r="Y210" s="2"/>
      <c r="Z210" s="2"/>
      <c r="AD210" s="7">
        <f t="shared" si="3"/>
      </c>
    </row>
    <row r="211" spans="9:30" x14ac:dyDescent="0.25">
      <c r="I211" s="2"/>
      <c r="P211" s="2"/>
      <c r="W211" s="2"/>
      <c r="X211" s="2"/>
      <c r="Y211" s="2"/>
      <c r="Z211" s="2"/>
      <c r="AD211" s="7">
        <f t="shared" si="3"/>
      </c>
    </row>
    <row r="212" spans="9:30" x14ac:dyDescent="0.25">
      <c r="I212" s="2"/>
      <c r="P212" s="2"/>
      <c r="W212" s="2"/>
      <c r="X212" s="2"/>
      <c r="Y212" s="2"/>
      <c r="Z212" s="2"/>
      <c r="AD212" s="7">
        <f t="shared" si="3"/>
      </c>
    </row>
    <row r="213" spans="9:30" x14ac:dyDescent="0.25">
      <c r="I213" s="2"/>
      <c r="P213" s="2"/>
      <c r="W213" s="2"/>
      <c r="X213" s="2"/>
      <c r="Y213" s="2"/>
      <c r="Z213" s="2"/>
      <c r="AD213" s="7">
        <f t="shared" si="3"/>
      </c>
    </row>
    <row r="214" spans="9:30" x14ac:dyDescent="0.25">
      <c r="I214" s="2"/>
      <c r="P214" s="2"/>
      <c r="W214" s="2"/>
      <c r="X214" s="2"/>
      <c r="Y214" s="2"/>
      <c r="Z214" s="2"/>
      <c r="AD214" s="7">
        <f t="shared" si="3"/>
      </c>
    </row>
    <row r="215" spans="9:30" x14ac:dyDescent="0.25">
      <c r="I215" s="2"/>
      <c r="P215" s="2"/>
      <c r="W215" s="2"/>
      <c r="X215" s="2"/>
      <c r="Y215" s="2"/>
      <c r="Z215" s="2"/>
      <c r="AD215" s="7">
        <f t="shared" si="3"/>
      </c>
    </row>
    <row r="216" spans="9:30" x14ac:dyDescent="0.25">
      <c r="I216" s="2"/>
      <c r="P216" s="2"/>
      <c r="W216" s="2"/>
      <c r="X216" s="2"/>
      <c r="Y216" s="2"/>
      <c r="Z216" s="2"/>
      <c r="AD216" s="7">
        <f t="shared" si="3"/>
      </c>
    </row>
    <row r="217" spans="9:30" x14ac:dyDescent="0.25">
      <c r="I217" s="2"/>
      <c r="P217" s="2"/>
      <c r="W217" s="2"/>
      <c r="X217" s="2"/>
      <c r="Y217" s="2"/>
      <c r="Z217" s="2"/>
      <c r="AD217" s="7">
        <f t="shared" si="3"/>
      </c>
    </row>
    <row r="218" spans="9:30" x14ac:dyDescent="0.25">
      <c r="I218" s="2"/>
      <c r="P218" s="2"/>
      <c r="W218" s="2"/>
      <c r="X218" s="2"/>
      <c r="Y218" s="2"/>
      <c r="Z218" s="2"/>
      <c r="AD218" s="7">
        <f t="shared" si="3"/>
      </c>
    </row>
    <row r="219" spans="9:30" x14ac:dyDescent="0.25">
      <c r="I219" s="2"/>
      <c r="P219" s="2"/>
      <c r="W219" s="2"/>
      <c r="X219" s="2"/>
      <c r="Y219" s="2"/>
      <c r="Z219" s="2"/>
      <c r="AD219" s="7">
        <f t="shared" si="3"/>
      </c>
    </row>
    <row r="220" spans="9:30" x14ac:dyDescent="0.25">
      <c r="I220" s="2"/>
      <c r="P220" s="2"/>
      <c r="W220" s="2"/>
      <c r="X220" s="2"/>
      <c r="Y220" s="2"/>
      <c r="Z220" s="2"/>
      <c r="AD220" s="7">
        <f t="shared" si="3"/>
      </c>
    </row>
    <row r="221" spans="9:30" x14ac:dyDescent="0.25">
      <c r="I221" s="2"/>
      <c r="P221" s="2"/>
      <c r="W221" s="2"/>
      <c r="X221" s="2"/>
      <c r="Y221" s="2"/>
      <c r="Z221" s="2"/>
      <c r="AD221" s="7">
        <f t="shared" si="3"/>
      </c>
    </row>
    <row r="222" spans="9:30" x14ac:dyDescent="0.25">
      <c r="I222" s="2"/>
      <c r="P222" s="2"/>
      <c r="W222" s="2"/>
      <c r="X222" s="2"/>
      <c r="Y222" s="2"/>
      <c r="Z222" s="2"/>
      <c r="AD222" s="7">
        <f t="shared" si="3"/>
      </c>
    </row>
    <row r="223" spans="9:30" x14ac:dyDescent="0.25">
      <c r="I223" s="2"/>
      <c r="P223" s="2"/>
      <c r="W223" s="2"/>
      <c r="X223" s="2"/>
      <c r="Y223" s="2"/>
      <c r="Z223" s="2"/>
      <c r="AD223" s="7">
        <f t="shared" si="3"/>
      </c>
    </row>
    <row r="224" spans="9:30" x14ac:dyDescent="0.25">
      <c r="I224" s="2"/>
      <c r="P224" s="2"/>
      <c r="W224" s="2"/>
      <c r="X224" s="2"/>
      <c r="Y224" s="2"/>
      <c r="Z224" s="2"/>
      <c r="AD224" s="7">
        <f t="shared" si="3"/>
      </c>
    </row>
    <row r="225" spans="9:30" x14ac:dyDescent="0.25">
      <c r="I225" s="2"/>
      <c r="P225" s="2"/>
      <c r="W225" s="2"/>
      <c r="X225" s="2"/>
      <c r="Y225" s="2"/>
      <c r="Z225" s="2"/>
      <c r="AD225" s="7">
        <f t="shared" si="3"/>
      </c>
    </row>
    <row r="226" spans="9:30" x14ac:dyDescent="0.25">
      <c r="I226" s="2"/>
      <c r="P226" s="2"/>
      <c r="W226" s="2"/>
      <c r="X226" s="2"/>
      <c r="Y226" s="2"/>
      <c r="Z226" s="2"/>
      <c r="AD226" s="7">
        <f t="shared" si="3"/>
      </c>
    </row>
    <row r="227" spans="9:30" x14ac:dyDescent="0.25">
      <c r="I227" s="2"/>
      <c r="P227" s="2"/>
      <c r="W227" s="2"/>
      <c r="X227" s="2"/>
      <c r="Y227" s="2"/>
      <c r="Z227" s="2"/>
      <c r="AD227" s="7">
        <f t="shared" si="3"/>
      </c>
    </row>
    <row r="228" spans="9:30" x14ac:dyDescent="0.25">
      <c r="I228" s="2"/>
      <c r="P228" s="2"/>
      <c r="W228" s="2"/>
      <c r="X228" s="2"/>
      <c r="Y228" s="2"/>
      <c r="Z228" s="2"/>
      <c r="AD228" s="7">
        <f t="shared" si="3"/>
      </c>
    </row>
    <row r="229" spans="9:30" x14ac:dyDescent="0.25">
      <c r="I229" s="2"/>
      <c r="P229" s="2"/>
      <c r="W229" s="2"/>
      <c r="X229" s="2"/>
      <c r="Y229" s="2"/>
      <c r="Z229" s="2"/>
      <c r="AD229" s="7">
        <f t="shared" si="3"/>
      </c>
    </row>
    <row r="230" spans="9:30" x14ac:dyDescent="0.25">
      <c r="I230" s="2"/>
      <c r="P230" s="2"/>
      <c r="W230" s="2"/>
      <c r="X230" s="2"/>
      <c r="Y230" s="2"/>
      <c r="Z230" s="2"/>
      <c r="AD230" s="7">
        <f t="shared" si="3"/>
      </c>
    </row>
    <row r="231" spans="9:30" x14ac:dyDescent="0.25">
      <c r="I231" s="2"/>
      <c r="P231" s="2"/>
      <c r="W231" s="2"/>
      <c r="X231" s="2"/>
      <c r="Y231" s="2"/>
      <c r="Z231" s="2"/>
      <c r="AD231" s="7">
        <f t="shared" si="3"/>
      </c>
    </row>
    <row r="232" spans="9:30" x14ac:dyDescent="0.25">
      <c r="I232" s="2"/>
      <c r="P232" s="2"/>
      <c r="W232" s="2"/>
      <c r="X232" s="2"/>
      <c r="Y232" s="2"/>
      <c r="Z232" s="2"/>
      <c r="AD232" s="7">
        <f t="shared" si="3"/>
      </c>
    </row>
    <row r="233" spans="9:30" x14ac:dyDescent="0.25">
      <c r="I233" s="2"/>
      <c r="P233" s="2"/>
      <c r="W233" s="2"/>
      <c r="X233" s="2"/>
      <c r="Y233" s="2"/>
      <c r="Z233" s="2"/>
      <c r="AD233" s="7">
        <f t="shared" si="3"/>
      </c>
    </row>
    <row r="234" spans="9:30" x14ac:dyDescent="0.25">
      <c r="I234" s="2"/>
      <c r="P234" s="2"/>
      <c r="W234" s="2"/>
      <c r="X234" s="2"/>
      <c r="Y234" s="2"/>
      <c r="Z234" s="2"/>
      <c r="AD234" s="7">
        <f t="shared" si="3"/>
      </c>
    </row>
    <row r="235" spans="9:30" x14ac:dyDescent="0.25">
      <c r="I235" s="2"/>
      <c r="P235" s="2"/>
      <c r="W235" s="2"/>
      <c r="X235" s="2"/>
      <c r="Y235" s="2"/>
      <c r="Z235" s="2"/>
      <c r="AD235" s="7">
        <f t="shared" si="3"/>
      </c>
    </row>
    <row r="236" spans="9:30" x14ac:dyDescent="0.25">
      <c r="I236" s="2"/>
      <c r="P236" s="2"/>
      <c r="W236" s="2"/>
      <c r="X236" s="2"/>
      <c r="Y236" s="2"/>
      <c r="Z236" s="2"/>
      <c r="AD236" s="7">
        <f t="shared" si="3"/>
      </c>
    </row>
    <row r="237" spans="9:30" x14ac:dyDescent="0.25">
      <c r="I237" s="2"/>
      <c r="P237" s="2"/>
      <c r="W237" s="2"/>
      <c r="X237" s="2"/>
      <c r="Y237" s="2"/>
      <c r="Z237" s="2"/>
      <c r="AD237" s="7">
        <f t="shared" si="3"/>
      </c>
    </row>
    <row r="238" spans="9:30" x14ac:dyDescent="0.25">
      <c r="I238" s="2"/>
      <c r="P238" s="2"/>
      <c r="W238" s="2"/>
      <c r="X238" s="2"/>
      <c r="Y238" s="2"/>
      <c r="Z238" s="2"/>
      <c r="AD238" s="7">
        <f t="shared" si="3"/>
      </c>
    </row>
    <row r="239" spans="9:30" x14ac:dyDescent="0.25">
      <c r="I239" s="2"/>
      <c r="P239" s="2"/>
      <c r="W239" s="2"/>
      <c r="X239" s="2"/>
      <c r="Y239" s="2"/>
      <c r="Z239" s="2"/>
      <c r="AD239" s="7">
        <f t="shared" si="3"/>
      </c>
    </row>
    <row r="240" spans="9:30" x14ac:dyDescent="0.25">
      <c r="I240" s="2"/>
      <c r="P240" s="2"/>
      <c r="W240" s="2"/>
      <c r="X240" s="2"/>
      <c r="Y240" s="2"/>
      <c r="Z240" s="2"/>
      <c r="AD240" s="7">
        <f t="shared" si="3"/>
      </c>
    </row>
    <row r="241" spans="9:30" x14ac:dyDescent="0.25">
      <c r="I241" s="2"/>
      <c r="P241" s="2"/>
      <c r="W241" s="2"/>
      <c r="X241" s="2"/>
      <c r="Y241" s="2"/>
      <c r="Z241" s="2"/>
      <c r="AD241" s="7">
        <f t="shared" si="3"/>
      </c>
    </row>
    <row r="242" spans="9:30" x14ac:dyDescent="0.25">
      <c r="I242" s="2"/>
      <c r="P242" s="2"/>
      <c r="W242" s="2"/>
      <c r="X242" s="2"/>
      <c r="Y242" s="2"/>
      <c r="Z242" s="2"/>
      <c r="AD242" s="7">
        <f t="shared" si="3"/>
      </c>
    </row>
    <row r="243" spans="9:30" x14ac:dyDescent="0.25">
      <c r="I243" s="2"/>
      <c r="P243" s="2"/>
      <c r="W243" s="2"/>
      <c r="X243" s="2"/>
      <c r="Y243" s="2"/>
      <c r="Z243" s="2"/>
      <c r="AD243" s="7">
        <f t="shared" si="3"/>
      </c>
    </row>
    <row r="244" spans="9:30" x14ac:dyDescent="0.25">
      <c r="I244" s="2"/>
      <c r="P244" s="2"/>
      <c r="W244" s="2"/>
      <c r="X244" s="2"/>
      <c r="Y244" s="2"/>
      <c r="Z244" s="2"/>
      <c r="AD244" s="7">
        <f t="shared" si="3"/>
      </c>
    </row>
    <row r="245" spans="9:30" x14ac:dyDescent="0.25">
      <c r="I245" s="2"/>
      <c r="P245" s="2"/>
      <c r="W245" s="2"/>
      <c r="X245" s="2"/>
      <c r="Y245" s="2"/>
      <c r="Z245" s="2"/>
      <c r="AD245" s="7">
        <f t="shared" si="3"/>
      </c>
    </row>
    <row r="246" spans="9:30" x14ac:dyDescent="0.25">
      <c r="I246" s="2"/>
      <c r="P246" s="2"/>
      <c r="W246" s="2"/>
      <c r="X246" s="2"/>
      <c r="Y246" s="2"/>
      <c r="Z246" s="2"/>
      <c r="AD246" s="7">
        <f t="shared" si="3"/>
      </c>
    </row>
    <row r="247" spans="9:30" x14ac:dyDescent="0.25">
      <c r="I247" s="2"/>
      <c r="P247" s="2"/>
      <c r="W247" s="2"/>
      <c r="X247" s="2"/>
      <c r="Y247" s="2"/>
      <c r="Z247" s="2"/>
      <c r="AD247" s="7">
        <f t="shared" si="3"/>
      </c>
    </row>
    <row r="248" spans="9:30" x14ac:dyDescent="0.25">
      <c r="I248" s="2"/>
      <c r="P248" s="2"/>
      <c r="W248" s="2"/>
      <c r="X248" s="2"/>
      <c r="Y248" s="2"/>
      <c r="Z248" s="2"/>
      <c r="AD248" s="7">
        <f t="shared" si="3"/>
      </c>
    </row>
    <row r="249" spans="9:30" x14ac:dyDescent="0.25">
      <c r="I249" s="2"/>
      <c r="P249" s="2"/>
      <c r="W249" s="2"/>
      <c r="X249" s="2"/>
      <c r="Y249" s="2"/>
      <c r="Z249" s="2"/>
      <c r="AD249" s="7">
        <f t="shared" si="3"/>
      </c>
    </row>
    <row r="250" spans="9:30" x14ac:dyDescent="0.25">
      <c r="I250" s="2"/>
      <c r="P250" s="2"/>
      <c r="W250" s="2"/>
      <c r="X250" s="2"/>
      <c r="Y250" s="2"/>
      <c r="Z250" s="2"/>
      <c r="AD250" s="7">
        <f t="shared" si="3"/>
      </c>
    </row>
    <row r="251" spans="9:30" x14ac:dyDescent="0.25">
      <c r="I251" s="2"/>
      <c r="P251" s="2"/>
      <c r="W251" s="2"/>
      <c r="X251" s="2"/>
      <c r="Y251" s="2"/>
      <c r="Z251" s="2"/>
      <c r="AD251" s="7">
        <f t="shared" si="3"/>
      </c>
    </row>
    <row r="252" spans="9:30" x14ac:dyDescent="0.25">
      <c r="I252" s="2"/>
      <c r="P252" s="2"/>
      <c r="W252" s="2"/>
      <c r="X252" s="2"/>
      <c r="Y252" s="2"/>
      <c r="Z252" s="2"/>
      <c r="AD252" s="7">
        <f t="shared" si="3"/>
      </c>
    </row>
    <row r="253" spans="9:30" x14ac:dyDescent="0.25">
      <c r="I253" s="2"/>
      <c r="P253" s="2"/>
      <c r="W253" s="2"/>
      <c r="X253" s="2"/>
      <c r="Y253" s="2"/>
      <c r="Z253" s="2"/>
      <c r="AD253" s="7">
        <f t="shared" si="3"/>
      </c>
    </row>
    <row r="254" spans="9:30" x14ac:dyDescent="0.25">
      <c r="I254" s="2"/>
      <c r="P254" s="2"/>
      <c r="W254" s="2"/>
      <c r="X254" s="2"/>
      <c r="Y254" s="2"/>
      <c r="Z254" s="2"/>
      <c r="AD254" s="7">
        <f t="shared" si="3"/>
      </c>
    </row>
    <row r="255" spans="9:30" x14ac:dyDescent="0.25">
      <c r="I255" s="2"/>
      <c r="P255" s="2"/>
      <c r="W255" s="2"/>
      <c r="X255" s="2"/>
      <c r="Y255" s="2"/>
      <c r="Z255" s="2"/>
      <c r="AD255" s="7">
        <f t="shared" si="3"/>
      </c>
    </row>
    <row r="256" spans="9:30" x14ac:dyDescent="0.25">
      <c r="I256" s="2"/>
      <c r="P256" s="2"/>
      <c r="W256" s="2"/>
      <c r="X256" s="2"/>
      <c r="Y256" s="2"/>
      <c r="Z256" s="2"/>
      <c r="AD256" s="7">
        <f t="shared" si="3"/>
      </c>
    </row>
    <row r="257" spans="9:30" x14ac:dyDescent="0.25">
      <c r="I257" s="2"/>
      <c r="P257" s="2"/>
      <c r="W257" s="2"/>
      <c r="X257" s="2"/>
      <c r="Y257" s="2"/>
      <c r="Z257" s="2"/>
      <c r="AD257" s="7">
        <f t="shared" si="3"/>
      </c>
    </row>
    <row r="258" spans="9:30" x14ac:dyDescent="0.25">
      <c r="I258" s="2"/>
      <c r="P258" s="2"/>
      <c r="W258" s="2"/>
      <c r="X258" s="2"/>
      <c r="Y258" s="2"/>
      <c r="Z258" s="2"/>
      <c r="AD258" s="7">
        <f t="shared" si="3"/>
      </c>
    </row>
    <row r="259" spans="9:30" x14ac:dyDescent="0.25">
      <c r="I259" s="2"/>
      <c r="P259" s="2"/>
      <c r="W259" s="2"/>
      <c r="X259" s="2"/>
      <c r="Y259" s="2"/>
      <c r="Z259" s="2"/>
      <c r="AD259" s="7">
        <f t="shared" si="3"/>
      </c>
    </row>
    <row r="260" spans="9:30" x14ac:dyDescent="0.25">
      <c r="I260" s="2"/>
      <c r="P260" s="2"/>
      <c r="W260" s="2"/>
      <c r="X260" s="2"/>
      <c r="Y260" s="2"/>
      <c r="Z260" s="2"/>
      <c r="AD260" s="7">
        <f t="shared" si="3"/>
      </c>
    </row>
    <row r="261" spans="9:30" x14ac:dyDescent="0.25">
      <c r="I261" s="2"/>
      <c r="P261" s="2"/>
      <c r="W261" s="2"/>
      <c r="X261" s="2"/>
      <c r="Y261" s="2"/>
      <c r="Z261" s="2"/>
      <c r="AD261" s="7">
        <f t="shared" si="3"/>
      </c>
    </row>
    <row r="262" spans="9:30" x14ac:dyDescent="0.25">
      <c r="I262" s="2"/>
      <c r="P262" s="2"/>
      <c r="W262" s="2"/>
      <c r="X262" s="2"/>
      <c r="Y262" s="2"/>
      <c r="Z262" s="2"/>
      <c r="AD262" s="7">
        <f t="shared" si="3"/>
      </c>
    </row>
    <row r="263" spans="9:30" x14ac:dyDescent="0.25">
      <c r="I263" s="2"/>
      <c r="P263" s="2"/>
      <c r="W263" s="2"/>
      <c r="X263" s="2"/>
      <c r="Y263" s="2"/>
      <c r="Z263" s="2"/>
      <c r="AD263" s="7">
        <f t="shared" si="3"/>
      </c>
    </row>
    <row r="264" spans="9:30" x14ac:dyDescent="0.25">
      <c r="I264" s="2"/>
      <c r="P264" s="2"/>
      <c r="W264" s="2"/>
      <c r="X264" s="2"/>
      <c r="Y264" s="2"/>
      <c r="Z264" s="2"/>
      <c r="AD264" s="7">
        <f t="shared" si="3"/>
      </c>
    </row>
    <row r="265" spans="9:30" x14ac:dyDescent="0.25">
      <c r="I265" s="2"/>
      <c r="P265" s="2"/>
      <c r="W265" s="2"/>
      <c r="X265" s="2"/>
      <c r="Y265" s="2"/>
      <c r="Z265" s="2"/>
      <c r="AD265" s="7">
        <f t="shared" si="3"/>
      </c>
    </row>
    <row r="266" spans="9:30" x14ac:dyDescent="0.25">
      <c r="I266" s="2"/>
      <c r="P266" s="2"/>
      <c r="W266" s="2"/>
      <c r="X266" s="2"/>
      <c r="Y266" s="2"/>
      <c r="Z266" s="2"/>
      <c r="AD266" s="7">
        <f t="shared" ref="AD266:AD329" si="4">IF(P266 = "", "", Y266/P266)</f>
      </c>
    </row>
    <row r="267" spans="9:30" x14ac:dyDescent="0.25">
      <c r="I267" s="2"/>
      <c r="P267" s="2"/>
      <c r="W267" s="2"/>
      <c r="X267" s="2"/>
      <c r="Y267" s="2"/>
      <c r="Z267" s="2"/>
      <c r="AD267" s="7">
        <f t="shared" si="4"/>
      </c>
    </row>
    <row r="268" spans="9:30" x14ac:dyDescent="0.25">
      <c r="I268" s="2"/>
      <c r="P268" s="2"/>
      <c r="W268" s="2"/>
      <c r="X268" s="2"/>
      <c r="Y268" s="2"/>
      <c r="Z268" s="2"/>
      <c r="AD268" s="7">
        <f t="shared" si="4"/>
      </c>
    </row>
    <row r="269" spans="9:30" x14ac:dyDescent="0.25">
      <c r="I269" s="2"/>
      <c r="P269" s="2"/>
      <c r="W269" s="2"/>
      <c r="X269" s="2"/>
      <c r="Y269" s="2"/>
      <c r="Z269" s="2"/>
      <c r="AD269" s="7">
        <f t="shared" si="4"/>
      </c>
    </row>
    <row r="270" spans="9:30" x14ac:dyDescent="0.25">
      <c r="I270" s="2"/>
      <c r="P270" s="2"/>
      <c r="W270" s="2"/>
      <c r="X270" s="2"/>
      <c r="Y270" s="2"/>
      <c r="Z270" s="2"/>
      <c r="AD270" s="7">
        <f t="shared" si="4"/>
      </c>
    </row>
    <row r="271" spans="9:30" x14ac:dyDescent="0.25">
      <c r="I271" s="2"/>
      <c r="P271" s="2"/>
      <c r="W271" s="2"/>
      <c r="X271" s="2"/>
      <c r="Y271" s="2"/>
      <c r="Z271" s="2"/>
      <c r="AD271" s="7">
        <f t="shared" si="4"/>
      </c>
    </row>
    <row r="272" spans="9:30" x14ac:dyDescent="0.25">
      <c r="I272" s="2"/>
      <c r="P272" s="2"/>
      <c r="W272" s="2"/>
      <c r="X272" s="2"/>
      <c r="Y272" s="2"/>
      <c r="Z272" s="2"/>
      <c r="AD272" s="7">
        <f t="shared" si="4"/>
      </c>
    </row>
    <row r="273" spans="9:30" x14ac:dyDescent="0.25">
      <c r="I273" s="2"/>
      <c r="P273" s="2"/>
      <c r="W273" s="2"/>
      <c r="X273" s="2"/>
      <c r="Y273" s="2"/>
      <c r="Z273" s="2"/>
      <c r="AD273" s="7">
        <f t="shared" si="4"/>
      </c>
    </row>
    <row r="274" spans="9:30" x14ac:dyDescent="0.25">
      <c r="I274" s="2"/>
      <c r="P274" s="2"/>
      <c r="W274" s="2"/>
      <c r="X274" s="2"/>
      <c r="Y274" s="2"/>
      <c r="Z274" s="2"/>
      <c r="AD274" s="7">
        <f t="shared" si="4"/>
      </c>
    </row>
    <row r="275" spans="9:30" x14ac:dyDescent="0.25">
      <c r="I275" s="2"/>
      <c r="P275" s="2"/>
      <c r="W275" s="2"/>
      <c r="X275" s="2"/>
      <c r="Y275" s="2"/>
      <c r="Z275" s="2"/>
      <c r="AD275" s="7">
        <f t="shared" si="4"/>
      </c>
    </row>
    <row r="276" spans="9:30" x14ac:dyDescent="0.25">
      <c r="I276" s="2"/>
      <c r="P276" s="2"/>
      <c r="W276" s="2"/>
      <c r="X276" s="2"/>
      <c r="Y276" s="2"/>
      <c r="Z276" s="2"/>
      <c r="AD276" s="7">
        <f t="shared" si="4"/>
      </c>
    </row>
    <row r="277" spans="9:30" x14ac:dyDescent="0.25">
      <c r="I277" s="2"/>
      <c r="P277" s="2"/>
      <c r="W277" s="2"/>
      <c r="X277" s="2"/>
      <c r="Y277" s="2"/>
      <c r="Z277" s="2"/>
      <c r="AD277" s="7">
        <f t="shared" si="4"/>
      </c>
    </row>
    <row r="278" spans="9:30" x14ac:dyDescent="0.25">
      <c r="I278" s="2"/>
      <c r="P278" s="2"/>
      <c r="W278" s="2"/>
      <c r="X278" s="2"/>
      <c r="Y278" s="2"/>
      <c r="Z278" s="2"/>
      <c r="AD278" s="7">
        <f t="shared" si="4"/>
      </c>
    </row>
    <row r="279" spans="9:30" x14ac:dyDescent="0.25">
      <c r="I279" s="2"/>
      <c r="P279" s="2"/>
      <c r="W279" s="2"/>
      <c r="X279" s="2"/>
      <c r="Y279" s="2"/>
      <c r="Z279" s="2"/>
      <c r="AD279" s="7">
        <f t="shared" si="4"/>
      </c>
    </row>
    <row r="280" spans="9:30" x14ac:dyDescent="0.25">
      <c r="I280" s="2"/>
      <c r="P280" s="2"/>
      <c r="W280" s="2"/>
      <c r="X280" s="2"/>
      <c r="Y280" s="2"/>
      <c r="Z280" s="2"/>
      <c r="AD280" s="7">
        <f t="shared" si="4"/>
      </c>
    </row>
    <row r="281" spans="9:30" x14ac:dyDescent="0.25">
      <c r="I281" s="2"/>
      <c r="P281" s="2"/>
      <c r="W281" s="2"/>
      <c r="X281" s="2"/>
      <c r="Y281" s="2"/>
      <c r="Z281" s="2"/>
      <c r="AD281" s="7">
        <f t="shared" si="4"/>
      </c>
    </row>
    <row r="282" spans="9:30" x14ac:dyDescent="0.25">
      <c r="I282" s="2"/>
      <c r="P282" s="2"/>
      <c r="W282" s="2"/>
      <c r="X282" s="2"/>
      <c r="Y282" s="2"/>
      <c r="Z282" s="2"/>
      <c r="AD282" s="7">
        <f t="shared" si="4"/>
      </c>
    </row>
    <row r="283" spans="9:30" x14ac:dyDescent="0.25">
      <c r="I283" s="2"/>
      <c r="P283" s="2"/>
      <c r="W283" s="2"/>
      <c r="X283" s="2"/>
      <c r="Y283" s="2"/>
      <c r="Z283" s="2"/>
      <c r="AD283" s="7">
        <f t="shared" si="4"/>
      </c>
    </row>
    <row r="284" spans="9:30" x14ac:dyDescent="0.25">
      <c r="I284" s="2"/>
      <c r="P284" s="2"/>
      <c r="W284" s="2"/>
      <c r="X284" s="2"/>
      <c r="Y284" s="2"/>
      <c r="Z284" s="2"/>
      <c r="AD284" s="7">
        <f t="shared" si="4"/>
      </c>
    </row>
    <row r="285" spans="9:30" x14ac:dyDescent="0.25">
      <c r="I285" s="2"/>
      <c r="P285" s="2"/>
      <c r="W285" s="2"/>
      <c r="X285" s="2"/>
      <c r="Y285" s="2"/>
      <c r="Z285" s="2"/>
      <c r="AD285" s="7">
        <f t="shared" si="4"/>
      </c>
    </row>
    <row r="286" spans="9:30" x14ac:dyDescent="0.25">
      <c r="I286" s="2"/>
      <c r="P286" s="2"/>
      <c r="W286" s="2"/>
      <c r="X286" s="2"/>
      <c r="Y286" s="2"/>
      <c r="Z286" s="2"/>
      <c r="AD286" s="7">
        <f t="shared" si="4"/>
      </c>
    </row>
    <row r="287" spans="9:30" x14ac:dyDescent="0.25">
      <c r="I287" s="2"/>
      <c r="P287" s="2"/>
      <c r="W287" s="2"/>
      <c r="X287" s="2"/>
      <c r="Y287" s="2"/>
      <c r="Z287" s="2"/>
      <c r="AD287" s="7">
        <f t="shared" si="4"/>
      </c>
    </row>
    <row r="288" spans="9:30" x14ac:dyDescent="0.25">
      <c r="I288" s="2"/>
      <c r="P288" s="2"/>
      <c r="W288" s="2"/>
      <c r="X288" s="2"/>
      <c r="Y288" s="2"/>
      <c r="Z288" s="2"/>
      <c r="AD288" s="7">
        <f t="shared" si="4"/>
      </c>
    </row>
    <row r="289" spans="9:30" x14ac:dyDescent="0.25">
      <c r="I289" s="2"/>
      <c r="P289" s="2"/>
      <c r="W289" s="2"/>
      <c r="X289" s="2"/>
      <c r="Y289" s="2"/>
      <c r="Z289" s="2"/>
      <c r="AD289" s="7">
        <f t="shared" si="4"/>
      </c>
    </row>
    <row r="290" spans="9:30" x14ac:dyDescent="0.25">
      <c r="I290" s="2"/>
      <c r="P290" s="2"/>
      <c r="W290" s="2"/>
      <c r="X290" s="2"/>
      <c r="Y290" s="2"/>
      <c r="Z290" s="2"/>
      <c r="AD290" s="7">
        <f t="shared" si="4"/>
      </c>
    </row>
    <row r="291" spans="9:30" x14ac:dyDescent="0.25">
      <c r="I291" s="2"/>
      <c r="P291" s="2"/>
      <c r="W291" s="2"/>
      <c r="X291" s="2"/>
      <c r="Y291" s="2"/>
      <c r="Z291" s="2"/>
      <c r="AD291" s="7">
        <f t="shared" si="4"/>
      </c>
    </row>
    <row r="292" spans="9:30" x14ac:dyDescent="0.25">
      <c r="I292" s="2"/>
      <c r="P292" s="2"/>
      <c r="W292" s="2"/>
      <c r="X292" s="2"/>
      <c r="Y292" s="2"/>
      <c r="Z292" s="2"/>
      <c r="AD292" s="7">
        <f t="shared" si="4"/>
      </c>
    </row>
    <row r="293" spans="9:30" x14ac:dyDescent="0.25">
      <c r="I293" s="2"/>
      <c r="P293" s="2"/>
      <c r="W293" s="2"/>
      <c r="X293" s="2"/>
      <c r="Y293" s="2"/>
      <c r="Z293" s="2"/>
      <c r="AD293" s="7">
        <f t="shared" si="4"/>
      </c>
    </row>
    <row r="294" spans="9:30" x14ac:dyDescent="0.25">
      <c r="I294" s="2"/>
      <c r="P294" s="2"/>
      <c r="W294" s="2"/>
      <c r="X294" s="2"/>
      <c r="Y294" s="2"/>
      <c r="Z294" s="2"/>
      <c r="AD294" s="7">
        <f t="shared" si="4"/>
      </c>
    </row>
    <row r="295" spans="9:30" x14ac:dyDescent="0.25">
      <c r="I295" s="2"/>
      <c r="P295" s="2"/>
      <c r="W295" s="2"/>
      <c r="X295" s="2"/>
      <c r="Y295" s="2"/>
      <c r="Z295" s="2"/>
      <c r="AD295" s="7">
        <f t="shared" si="4"/>
      </c>
    </row>
    <row r="296" spans="9:30" x14ac:dyDescent="0.25">
      <c r="I296" s="2"/>
      <c r="P296" s="2"/>
      <c r="W296" s="2"/>
      <c r="X296" s="2"/>
      <c r="Y296" s="2"/>
      <c r="Z296" s="2"/>
      <c r="AD296" s="7">
        <f t="shared" si="4"/>
      </c>
    </row>
    <row r="297" spans="9:30" x14ac:dyDescent="0.25">
      <c r="I297" s="2"/>
      <c r="P297" s="2"/>
      <c r="W297" s="2"/>
      <c r="X297" s="2"/>
      <c r="Y297" s="2"/>
      <c r="Z297" s="2"/>
      <c r="AD297" s="7">
        <f t="shared" si="4"/>
      </c>
    </row>
    <row r="298" spans="9:30" x14ac:dyDescent="0.25">
      <c r="I298" s="2"/>
      <c r="P298" s="2"/>
      <c r="W298" s="2"/>
      <c r="X298" s="2"/>
      <c r="Y298" s="2"/>
      <c r="Z298" s="2"/>
      <c r="AD298" s="7">
        <f t="shared" si="4"/>
      </c>
    </row>
    <row r="299" spans="9:30" x14ac:dyDescent="0.25">
      <c r="I299" s="2"/>
      <c r="P299" s="2"/>
      <c r="W299" s="2"/>
      <c r="X299" s="2"/>
      <c r="Y299" s="2"/>
      <c r="Z299" s="2"/>
      <c r="AD299" s="7">
        <f t="shared" si="4"/>
      </c>
    </row>
    <row r="300" spans="9:30" x14ac:dyDescent="0.25">
      <c r="I300" s="2"/>
      <c r="P300" s="2"/>
      <c r="W300" s="2"/>
      <c r="X300" s="2"/>
      <c r="Y300" s="2"/>
      <c r="Z300" s="2"/>
      <c r="AD300" s="7">
        <f t="shared" si="4"/>
      </c>
    </row>
    <row r="301" spans="9:30" x14ac:dyDescent="0.25">
      <c r="I301" s="2"/>
      <c r="P301" s="2"/>
      <c r="W301" s="2"/>
      <c r="X301" s="2"/>
      <c r="Y301" s="2"/>
      <c r="Z301" s="2"/>
      <c r="AD301" s="7">
        <f t="shared" si="4"/>
      </c>
    </row>
    <row r="302" spans="9:30" x14ac:dyDescent="0.25">
      <c r="I302" s="2"/>
      <c r="P302" s="2"/>
      <c r="W302" s="2"/>
      <c r="X302" s="2"/>
      <c r="Y302" s="2"/>
      <c r="Z302" s="2"/>
      <c r="AD302" s="7">
        <f t="shared" si="4"/>
      </c>
    </row>
    <row r="303" spans="9:30" x14ac:dyDescent="0.25">
      <c r="I303" s="2"/>
      <c r="P303" s="2"/>
      <c r="W303" s="2"/>
      <c r="X303" s="2"/>
      <c r="Y303" s="2"/>
      <c r="Z303" s="2"/>
      <c r="AD303" s="7">
        <f t="shared" si="4"/>
      </c>
    </row>
    <row r="304" spans="9:30" x14ac:dyDescent="0.25">
      <c r="I304" s="2"/>
      <c r="P304" s="2"/>
      <c r="W304" s="2"/>
      <c r="X304" s="2"/>
      <c r="Y304" s="2"/>
      <c r="Z304" s="2"/>
      <c r="AD304" s="7">
        <f t="shared" si="4"/>
      </c>
    </row>
    <row r="305" spans="9:30" x14ac:dyDescent="0.25">
      <c r="I305" s="2"/>
      <c r="P305" s="2"/>
      <c r="W305" s="2"/>
      <c r="X305" s="2"/>
      <c r="Y305" s="2"/>
      <c r="Z305" s="2"/>
      <c r="AD305" s="7">
        <f t="shared" si="4"/>
      </c>
    </row>
    <row r="306" spans="9:30" x14ac:dyDescent="0.25">
      <c r="I306" s="2"/>
      <c r="P306" s="2"/>
      <c r="W306" s="2"/>
      <c r="X306" s="2"/>
      <c r="Y306" s="2"/>
      <c r="Z306" s="2"/>
      <c r="AD306" s="7">
        <f t="shared" si="4"/>
      </c>
    </row>
    <row r="307" spans="9:30" x14ac:dyDescent="0.25">
      <c r="I307" s="2"/>
      <c r="P307" s="2"/>
      <c r="W307" s="2"/>
      <c r="X307" s="2"/>
      <c r="Y307" s="2"/>
      <c r="Z307" s="2"/>
      <c r="AD307" s="7">
        <f t="shared" si="4"/>
      </c>
    </row>
    <row r="308" spans="9:30" x14ac:dyDescent="0.25">
      <c r="I308" s="2"/>
      <c r="P308" s="2"/>
      <c r="W308" s="2"/>
      <c r="X308" s="2"/>
      <c r="Y308" s="2"/>
      <c r="Z308" s="2"/>
      <c r="AD308" s="7">
        <f t="shared" si="4"/>
      </c>
    </row>
    <row r="309" spans="9:30" x14ac:dyDescent="0.25">
      <c r="I309" s="2"/>
      <c r="P309" s="2"/>
      <c r="W309" s="2"/>
      <c r="X309" s="2"/>
      <c r="Y309" s="2"/>
      <c r="Z309" s="2"/>
      <c r="AD309" s="7">
        <f t="shared" si="4"/>
      </c>
    </row>
    <row r="310" spans="9:30" x14ac:dyDescent="0.25">
      <c r="I310" s="2"/>
      <c r="P310" s="2"/>
      <c r="W310" s="2"/>
      <c r="X310" s="2"/>
      <c r="Y310" s="2"/>
      <c r="Z310" s="2"/>
      <c r="AD310" s="7">
        <f t="shared" si="4"/>
      </c>
    </row>
    <row r="311" spans="9:30" x14ac:dyDescent="0.25">
      <c r="I311" s="2"/>
      <c r="P311" s="2"/>
      <c r="W311" s="2"/>
      <c r="X311" s="2"/>
      <c r="Y311" s="2"/>
      <c r="Z311" s="2"/>
      <c r="AD311" s="7">
        <f t="shared" si="4"/>
      </c>
    </row>
    <row r="312" spans="9:30" x14ac:dyDescent="0.25">
      <c r="I312" s="2"/>
      <c r="P312" s="2"/>
      <c r="W312" s="2"/>
      <c r="X312" s="2"/>
      <c r="Y312" s="2"/>
      <c r="Z312" s="2"/>
      <c r="AD312" s="7">
        <f t="shared" si="4"/>
      </c>
    </row>
    <row r="313" spans="9:30" x14ac:dyDescent="0.25">
      <c r="I313" s="2"/>
      <c r="P313" s="2"/>
      <c r="W313" s="2"/>
      <c r="X313" s="2"/>
      <c r="Y313" s="2"/>
      <c r="Z313" s="2"/>
      <c r="AD313" s="7">
        <f t="shared" si="4"/>
      </c>
    </row>
    <row r="314" spans="9:30" x14ac:dyDescent="0.25">
      <c r="I314" s="2"/>
      <c r="P314" s="2"/>
      <c r="W314" s="2"/>
      <c r="X314" s="2"/>
      <c r="Y314" s="2"/>
      <c r="Z314" s="2"/>
      <c r="AD314" s="7">
        <f t="shared" si="4"/>
      </c>
    </row>
    <row r="315" spans="9:30" x14ac:dyDescent="0.25">
      <c r="I315" s="2"/>
      <c r="P315" s="2"/>
      <c r="W315" s="2"/>
      <c r="X315" s="2"/>
      <c r="Y315" s="2"/>
      <c r="Z315" s="2"/>
      <c r="AD315" s="7">
        <f t="shared" si="4"/>
      </c>
    </row>
    <row r="316" spans="9:30" x14ac:dyDescent="0.25">
      <c r="I316" s="2"/>
      <c r="P316" s="2"/>
      <c r="W316" s="2"/>
      <c r="X316" s="2"/>
      <c r="Y316" s="2"/>
      <c r="Z316" s="2"/>
      <c r="AD316" s="7">
        <f t="shared" si="4"/>
      </c>
    </row>
    <row r="317" spans="9:30" x14ac:dyDescent="0.25">
      <c r="I317" s="2"/>
      <c r="P317" s="2"/>
      <c r="W317" s="2"/>
      <c r="X317" s="2"/>
      <c r="Y317" s="2"/>
      <c r="Z317" s="2"/>
      <c r="AD317" s="7">
        <f t="shared" si="4"/>
      </c>
    </row>
    <row r="318" spans="9:30" x14ac:dyDescent="0.25">
      <c r="I318" s="2"/>
      <c r="P318" s="2"/>
      <c r="W318" s="2"/>
      <c r="X318" s="2"/>
      <c r="Y318" s="2"/>
      <c r="Z318" s="2"/>
      <c r="AD318" s="7">
        <f t="shared" si="4"/>
      </c>
    </row>
    <row r="319" spans="9:30" x14ac:dyDescent="0.25">
      <c r="I319" s="2"/>
      <c r="P319" s="2"/>
      <c r="W319" s="2"/>
      <c r="X319" s="2"/>
      <c r="Y319" s="2"/>
      <c r="Z319" s="2"/>
      <c r="AD319" s="7">
        <f t="shared" si="4"/>
      </c>
    </row>
    <row r="320" spans="9:30" x14ac:dyDescent="0.25">
      <c r="I320" s="2"/>
      <c r="P320" s="2"/>
      <c r="W320" s="2"/>
      <c r="X320" s="2"/>
      <c r="Y320" s="2"/>
      <c r="Z320" s="2"/>
      <c r="AD320" s="7">
        <f t="shared" si="4"/>
      </c>
    </row>
    <row r="321" spans="9:30" x14ac:dyDescent="0.25">
      <c r="I321" s="2"/>
      <c r="P321" s="2"/>
      <c r="W321" s="2"/>
      <c r="X321" s="2"/>
      <c r="Y321" s="2"/>
      <c r="Z321" s="2"/>
      <c r="AD321" s="7">
        <f t="shared" si="4"/>
      </c>
    </row>
    <row r="322" spans="9:30" x14ac:dyDescent="0.25">
      <c r="I322" s="2"/>
      <c r="P322" s="2"/>
      <c r="W322" s="2"/>
      <c r="X322" s="2"/>
      <c r="Y322" s="2"/>
      <c r="Z322" s="2"/>
      <c r="AD322" s="7">
        <f t="shared" si="4"/>
      </c>
    </row>
    <row r="323" spans="9:30" x14ac:dyDescent="0.25">
      <c r="I323" s="2"/>
      <c r="P323" s="2"/>
      <c r="W323" s="2"/>
      <c r="X323" s="2"/>
      <c r="Y323" s="2"/>
      <c r="Z323" s="2"/>
      <c r="AD323" s="7">
        <f t="shared" si="4"/>
      </c>
    </row>
    <row r="324" spans="9:30" x14ac:dyDescent="0.25">
      <c r="I324" s="2"/>
      <c r="P324" s="2"/>
      <c r="W324" s="2"/>
      <c r="X324" s="2"/>
      <c r="Y324" s="2"/>
      <c r="Z324" s="2"/>
      <c r="AD324" s="7">
        <f t="shared" si="4"/>
      </c>
    </row>
    <row r="325" spans="9:30" x14ac:dyDescent="0.25">
      <c r="I325" s="2"/>
      <c r="P325" s="2"/>
      <c r="W325" s="2"/>
      <c r="X325" s="2"/>
      <c r="Y325" s="2"/>
      <c r="Z325" s="2"/>
      <c r="AD325" s="7">
        <f t="shared" si="4"/>
      </c>
    </row>
    <row r="326" spans="9:30" x14ac:dyDescent="0.25">
      <c r="I326" s="2"/>
      <c r="P326" s="2"/>
      <c r="W326" s="2"/>
      <c r="X326" s="2"/>
      <c r="Y326" s="2"/>
      <c r="Z326" s="2"/>
      <c r="AD326" s="7">
        <f t="shared" si="4"/>
      </c>
    </row>
    <row r="327" spans="9:30" x14ac:dyDescent="0.25">
      <c r="I327" s="2"/>
      <c r="P327" s="2"/>
      <c r="W327" s="2"/>
      <c r="X327" s="2"/>
      <c r="Y327" s="2"/>
      <c r="Z327" s="2"/>
      <c r="AD327" s="7">
        <f t="shared" si="4"/>
      </c>
    </row>
    <row r="328" spans="9:30" x14ac:dyDescent="0.25">
      <c r="I328" s="2"/>
      <c r="P328" s="2"/>
      <c r="W328" s="2"/>
      <c r="X328" s="2"/>
      <c r="Y328" s="2"/>
      <c r="Z328" s="2"/>
      <c r="AD328" s="7">
        <f t="shared" si="4"/>
      </c>
    </row>
    <row r="329" spans="9:30" x14ac:dyDescent="0.25">
      <c r="I329" s="2"/>
      <c r="P329" s="2"/>
      <c r="W329" s="2"/>
      <c r="X329" s="2"/>
      <c r="Y329" s="2"/>
      <c r="Z329" s="2"/>
      <c r="AD329" s="7">
        <f t="shared" si="4"/>
      </c>
    </row>
    <row r="330" spans="9:30" x14ac:dyDescent="0.25">
      <c r="I330" s="2"/>
      <c r="P330" s="2"/>
      <c r="W330" s="2"/>
      <c r="X330" s="2"/>
      <c r="Y330" s="2"/>
      <c r="Z330" s="2"/>
      <c r="AD330" s="7">
        <f t="shared" ref="AD330:AD393" si="5">IF(P330 = "", "", Y330/P330)</f>
      </c>
    </row>
    <row r="331" spans="9:30" x14ac:dyDescent="0.25">
      <c r="I331" s="2"/>
      <c r="P331" s="2"/>
      <c r="W331" s="2"/>
      <c r="X331" s="2"/>
      <c r="Y331" s="2"/>
      <c r="Z331" s="2"/>
      <c r="AD331" s="7">
        <f t="shared" si="5"/>
      </c>
    </row>
    <row r="332" spans="9:30" x14ac:dyDescent="0.25">
      <c r="I332" s="2"/>
      <c r="P332" s="2"/>
      <c r="W332" s="2"/>
      <c r="X332" s="2"/>
      <c r="Y332" s="2"/>
      <c r="Z332" s="2"/>
      <c r="AD332" s="7">
        <f t="shared" si="5"/>
      </c>
    </row>
    <row r="333" spans="9:30" x14ac:dyDescent="0.25">
      <c r="I333" s="2"/>
      <c r="P333" s="2"/>
      <c r="W333" s="2"/>
      <c r="X333" s="2"/>
      <c r="Y333" s="2"/>
      <c r="Z333" s="2"/>
      <c r="AD333" s="7">
        <f t="shared" si="5"/>
      </c>
    </row>
    <row r="334" spans="9:30" x14ac:dyDescent="0.25">
      <c r="I334" s="2"/>
      <c r="P334" s="2"/>
      <c r="W334" s="2"/>
      <c r="X334" s="2"/>
      <c r="Y334" s="2"/>
      <c r="Z334" s="2"/>
      <c r="AD334" s="7">
        <f t="shared" si="5"/>
      </c>
    </row>
    <row r="335" spans="9:30" x14ac:dyDescent="0.25">
      <c r="I335" s="2"/>
      <c r="P335" s="2"/>
      <c r="W335" s="2"/>
      <c r="X335" s="2"/>
      <c r="Y335" s="2"/>
      <c r="Z335" s="2"/>
      <c r="AD335" s="7">
        <f t="shared" si="5"/>
      </c>
    </row>
    <row r="336" spans="9:30" x14ac:dyDescent="0.25">
      <c r="I336" s="2"/>
      <c r="P336" s="2"/>
      <c r="W336" s="2"/>
      <c r="X336" s="2"/>
      <c r="Y336" s="2"/>
      <c r="Z336" s="2"/>
      <c r="AD336" s="7">
        <f t="shared" si="5"/>
      </c>
    </row>
    <row r="337" spans="9:30" x14ac:dyDescent="0.25">
      <c r="I337" s="2"/>
      <c r="P337" s="2"/>
      <c r="W337" s="2"/>
      <c r="X337" s="2"/>
      <c r="Y337" s="2"/>
      <c r="Z337" s="2"/>
      <c r="AD337" s="7">
        <f t="shared" si="5"/>
      </c>
    </row>
    <row r="338" spans="9:30" x14ac:dyDescent="0.25">
      <c r="I338" s="2"/>
      <c r="P338" s="2"/>
      <c r="W338" s="2"/>
      <c r="X338" s="2"/>
      <c r="Y338" s="2"/>
      <c r="Z338" s="2"/>
      <c r="AD338" s="7">
        <f t="shared" si="5"/>
      </c>
    </row>
    <row r="339" spans="9:30" x14ac:dyDescent="0.25">
      <c r="I339" s="2"/>
      <c r="P339" s="2"/>
      <c r="W339" s="2"/>
      <c r="X339" s="2"/>
      <c r="Y339" s="2"/>
      <c r="Z339" s="2"/>
      <c r="AD339" s="7">
        <f t="shared" si="5"/>
      </c>
    </row>
    <row r="340" spans="9:30" x14ac:dyDescent="0.25">
      <c r="I340" s="2"/>
      <c r="P340" s="2"/>
      <c r="W340" s="2"/>
      <c r="X340" s="2"/>
      <c r="Y340" s="2"/>
      <c r="Z340" s="2"/>
      <c r="AD340" s="7">
        <f t="shared" si="5"/>
      </c>
    </row>
    <row r="341" spans="9:30" x14ac:dyDescent="0.25">
      <c r="I341" s="2"/>
      <c r="P341" s="2"/>
      <c r="W341" s="2"/>
      <c r="X341" s="2"/>
      <c r="Y341" s="2"/>
      <c r="Z341" s="2"/>
      <c r="AD341" s="7">
        <f t="shared" si="5"/>
      </c>
    </row>
    <row r="342" spans="9:30" x14ac:dyDescent="0.25">
      <c r="I342" s="2"/>
      <c r="P342" s="2"/>
      <c r="W342" s="2"/>
      <c r="X342" s="2"/>
      <c r="Y342" s="2"/>
      <c r="Z342" s="2"/>
      <c r="AD342" s="7">
        <f t="shared" si="5"/>
      </c>
    </row>
    <row r="343" spans="9:30" x14ac:dyDescent="0.25">
      <c r="I343" s="2"/>
      <c r="P343" s="2"/>
      <c r="W343" s="2"/>
      <c r="X343" s="2"/>
      <c r="Y343" s="2"/>
      <c r="Z343" s="2"/>
      <c r="AD343" s="7">
        <f t="shared" si="5"/>
      </c>
    </row>
    <row r="344" spans="9:30" x14ac:dyDescent="0.25">
      <c r="I344" s="2"/>
      <c r="P344" s="2"/>
      <c r="W344" s="2"/>
      <c r="X344" s="2"/>
      <c r="Y344" s="2"/>
      <c r="Z344" s="2"/>
      <c r="AD344" s="7">
        <f t="shared" si="5"/>
      </c>
    </row>
    <row r="345" spans="9:30" x14ac:dyDescent="0.25">
      <c r="I345" s="2"/>
      <c r="P345" s="2"/>
      <c r="W345" s="2"/>
      <c r="X345" s="2"/>
      <c r="Y345" s="2"/>
      <c r="Z345" s="2"/>
      <c r="AD345" s="7">
        <f t="shared" si="5"/>
      </c>
    </row>
    <row r="346" spans="9:30" x14ac:dyDescent="0.25">
      <c r="I346" s="2"/>
      <c r="P346" s="2"/>
      <c r="W346" s="2"/>
      <c r="X346" s="2"/>
      <c r="Y346" s="2"/>
      <c r="Z346" s="2"/>
      <c r="AD346" s="7">
        <f t="shared" si="5"/>
      </c>
    </row>
    <row r="347" spans="9:30" x14ac:dyDescent="0.25">
      <c r="I347" s="2"/>
      <c r="P347" s="2"/>
      <c r="W347" s="2"/>
      <c r="X347" s="2"/>
      <c r="Y347" s="2"/>
      <c r="Z347" s="2"/>
      <c r="AD347" s="7">
        <f t="shared" si="5"/>
      </c>
    </row>
    <row r="348" spans="9:30" x14ac:dyDescent="0.25">
      <c r="I348" s="2"/>
      <c r="P348" s="2"/>
      <c r="W348" s="2"/>
      <c r="X348" s="2"/>
      <c r="Y348" s="2"/>
      <c r="Z348" s="2"/>
      <c r="AD348" s="7">
        <f t="shared" si="5"/>
      </c>
    </row>
    <row r="349" spans="9:30" x14ac:dyDescent="0.25">
      <c r="I349" s="2"/>
      <c r="P349" s="2"/>
      <c r="W349" s="2"/>
      <c r="X349" s="2"/>
      <c r="Y349" s="2"/>
      <c r="Z349" s="2"/>
      <c r="AD349" s="7">
        <f t="shared" si="5"/>
      </c>
    </row>
    <row r="350" spans="9:30" x14ac:dyDescent="0.25">
      <c r="I350" s="2"/>
      <c r="P350" s="2"/>
      <c r="W350" s="2"/>
      <c r="X350" s="2"/>
      <c r="Y350" s="2"/>
      <c r="Z350" s="2"/>
      <c r="AD350" s="7">
        <f t="shared" si="5"/>
      </c>
    </row>
    <row r="351" spans="9:30" x14ac:dyDescent="0.25">
      <c r="I351" s="2"/>
      <c r="P351" s="2"/>
      <c r="W351" s="2"/>
      <c r="X351" s="2"/>
      <c r="Y351" s="2"/>
      <c r="Z351" s="2"/>
      <c r="AD351" s="7">
        <f t="shared" si="5"/>
      </c>
    </row>
    <row r="352" spans="9:30" x14ac:dyDescent="0.25">
      <c r="I352" s="2"/>
      <c r="P352" s="2"/>
      <c r="W352" s="2"/>
      <c r="X352" s="2"/>
      <c r="Y352" s="2"/>
      <c r="Z352" s="2"/>
      <c r="AD352" s="7">
        <f t="shared" si="5"/>
      </c>
    </row>
    <row r="353" spans="9:30" x14ac:dyDescent="0.25">
      <c r="I353" s="2"/>
      <c r="P353" s="2"/>
      <c r="W353" s="2"/>
      <c r="X353" s="2"/>
      <c r="Y353" s="2"/>
      <c r="Z353" s="2"/>
      <c r="AD353" s="7">
        <f t="shared" si="5"/>
      </c>
    </row>
    <row r="354" spans="9:30" x14ac:dyDescent="0.25">
      <c r="I354" s="2"/>
      <c r="P354" s="2"/>
      <c r="W354" s="2"/>
      <c r="X354" s="2"/>
      <c r="Y354" s="2"/>
      <c r="Z354" s="2"/>
      <c r="AD354" s="7">
        <f t="shared" si="5"/>
      </c>
    </row>
    <row r="355" spans="9:30" x14ac:dyDescent="0.25">
      <c r="I355" s="2"/>
      <c r="P355" s="2"/>
      <c r="W355" s="2"/>
      <c r="X355" s="2"/>
      <c r="Y355" s="2"/>
      <c r="Z355" s="2"/>
      <c r="AD355" s="7">
        <f t="shared" si="5"/>
      </c>
    </row>
    <row r="356" spans="9:30" x14ac:dyDescent="0.25">
      <c r="I356" s="2"/>
      <c r="P356" s="2"/>
      <c r="W356" s="2"/>
      <c r="X356" s="2"/>
      <c r="Y356" s="2"/>
      <c r="Z356" s="2"/>
      <c r="AD356" s="7">
        <f t="shared" si="5"/>
      </c>
    </row>
    <row r="357" spans="9:30" x14ac:dyDescent="0.25">
      <c r="I357" s="2"/>
      <c r="P357" s="2"/>
      <c r="W357" s="2"/>
      <c r="X357" s="2"/>
      <c r="Y357" s="2"/>
      <c r="Z357" s="2"/>
      <c r="AD357" s="7">
        <f t="shared" si="5"/>
      </c>
    </row>
    <row r="358" spans="9:30" x14ac:dyDescent="0.25">
      <c r="I358" s="2"/>
      <c r="P358" s="2"/>
      <c r="W358" s="2"/>
      <c r="X358" s="2"/>
      <c r="Y358" s="2"/>
      <c r="Z358" s="2"/>
      <c r="AD358" s="7">
        <f t="shared" si="5"/>
      </c>
    </row>
    <row r="359" spans="9:30" x14ac:dyDescent="0.25">
      <c r="I359" s="2"/>
      <c r="P359" s="2"/>
      <c r="W359" s="2"/>
      <c r="X359" s="2"/>
      <c r="Y359" s="2"/>
      <c r="Z359" s="2"/>
      <c r="AD359" s="7">
        <f t="shared" si="5"/>
      </c>
    </row>
    <row r="360" spans="9:30" x14ac:dyDescent="0.25">
      <c r="I360" s="2"/>
      <c r="P360" s="2"/>
      <c r="W360" s="2"/>
      <c r="X360" s="2"/>
      <c r="Y360" s="2"/>
      <c r="Z360" s="2"/>
      <c r="AD360" s="7">
        <f t="shared" si="5"/>
      </c>
    </row>
    <row r="361" spans="9:30" x14ac:dyDescent="0.25">
      <c r="I361" s="2"/>
      <c r="P361" s="2"/>
      <c r="W361" s="2"/>
      <c r="X361" s="2"/>
      <c r="Y361" s="2"/>
      <c r="Z361" s="2"/>
      <c r="AD361" s="7">
        <f t="shared" si="5"/>
      </c>
    </row>
    <row r="362" spans="9:30" x14ac:dyDescent="0.25">
      <c r="I362" s="2"/>
      <c r="P362" s="2"/>
      <c r="W362" s="2"/>
      <c r="X362" s="2"/>
      <c r="Y362" s="2"/>
      <c r="Z362" s="2"/>
      <c r="AD362" s="7">
        <f t="shared" si="5"/>
      </c>
    </row>
    <row r="363" spans="9:30" x14ac:dyDescent="0.25">
      <c r="I363" s="2"/>
      <c r="P363" s="2"/>
      <c r="W363" s="2"/>
      <c r="X363" s="2"/>
      <c r="Y363" s="2"/>
      <c r="Z363" s="2"/>
      <c r="AD363" s="7">
        <f t="shared" si="5"/>
      </c>
    </row>
    <row r="364" spans="9:30" x14ac:dyDescent="0.25">
      <c r="I364" s="2"/>
      <c r="P364" s="2"/>
      <c r="W364" s="2"/>
      <c r="X364" s="2"/>
      <c r="Y364" s="2"/>
      <c r="Z364" s="2"/>
      <c r="AD364" s="7">
        <f t="shared" si="5"/>
      </c>
    </row>
    <row r="365" spans="9:30" x14ac:dyDescent="0.25">
      <c r="I365" s="2"/>
      <c r="P365" s="2"/>
      <c r="W365" s="2"/>
      <c r="X365" s="2"/>
      <c r="Y365" s="2"/>
      <c r="Z365" s="2"/>
      <c r="AD365" s="7">
        <f t="shared" si="5"/>
      </c>
    </row>
    <row r="366" spans="9:30" x14ac:dyDescent="0.25">
      <c r="I366" s="2"/>
      <c r="P366" s="2"/>
      <c r="W366" s="2"/>
      <c r="X366" s="2"/>
      <c r="Y366" s="2"/>
      <c r="Z366" s="2"/>
      <c r="AD366" s="7">
        <f t="shared" si="5"/>
      </c>
    </row>
    <row r="367" spans="9:30" x14ac:dyDescent="0.25">
      <c r="I367" s="2"/>
      <c r="P367" s="2"/>
      <c r="W367" s="2"/>
      <c r="X367" s="2"/>
      <c r="Y367" s="2"/>
      <c r="Z367" s="2"/>
      <c r="AD367" s="7">
        <f t="shared" si="5"/>
      </c>
    </row>
    <row r="368" spans="9:30" x14ac:dyDescent="0.25">
      <c r="I368" s="2"/>
      <c r="P368" s="2"/>
      <c r="W368" s="2"/>
      <c r="X368" s="2"/>
      <c r="Y368" s="2"/>
      <c r="Z368" s="2"/>
      <c r="AD368" s="7">
        <f t="shared" si="5"/>
      </c>
    </row>
    <row r="369" spans="9:30" x14ac:dyDescent="0.25">
      <c r="I369" s="2"/>
      <c r="P369" s="2"/>
      <c r="W369" s="2"/>
      <c r="X369" s="2"/>
      <c r="Y369" s="2"/>
      <c r="Z369" s="2"/>
      <c r="AD369" s="7">
        <f t="shared" si="5"/>
      </c>
    </row>
    <row r="370" spans="9:30" x14ac:dyDescent="0.25">
      <c r="I370" s="2"/>
      <c r="P370" s="2"/>
      <c r="W370" s="2"/>
      <c r="X370" s="2"/>
      <c r="Y370" s="2"/>
      <c r="Z370" s="2"/>
      <c r="AD370" s="7">
        <f t="shared" si="5"/>
      </c>
    </row>
    <row r="371" spans="9:30" x14ac:dyDescent="0.25">
      <c r="I371" s="2"/>
      <c r="P371" s="2"/>
      <c r="W371" s="2"/>
      <c r="X371" s="2"/>
      <c r="Y371" s="2"/>
      <c r="Z371" s="2"/>
      <c r="AD371" s="7">
        <f t="shared" si="5"/>
      </c>
    </row>
    <row r="372" spans="9:30" x14ac:dyDescent="0.25">
      <c r="I372" s="2"/>
      <c r="P372" s="2"/>
      <c r="W372" s="2"/>
      <c r="X372" s="2"/>
      <c r="Y372" s="2"/>
      <c r="Z372" s="2"/>
      <c r="AD372" s="7">
        <f t="shared" si="5"/>
      </c>
    </row>
    <row r="373" spans="9:30" x14ac:dyDescent="0.25">
      <c r="I373" s="2"/>
      <c r="P373" s="2"/>
      <c r="W373" s="2"/>
      <c r="X373" s="2"/>
      <c r="Y373" s="2"/>
      <c r="Z373" s="2"/>
      <c r="AD373" s="7">
        <f t="shared" si="5"/>
      </c>
    </row>
    <row r="374" spans="9:30" x14ac:dyDescent="0.25">
      <c r="I374" s="2"/>
      <c r="P374" s="2"/>
      <c r="W374" s="2"/>
      <c r="X374" s="2"/>
      <c r="Y374" s="2"/>
      <c r="Z374" s="2"/>
      <c r="AD374" s="7">
        <f t="shared" si="5"/>
      </c>
    </row>
    <row r="375" spans="9:30" x14ac:dyDescent="0.25">
      <c r="I375" s="2"/>
      <c r="P375" s="2"/>
      <c r="W375" s="2"/>
      <c r="X375" s="2"/>
      <c r="Y375" s="2"/>
      <c r="Z375" s="2"/>
      <c r="AD375" s="7">
        <f t="shared" si="5"/>
      </c>
    </row>
    <row r="376" spans="9:30" x14ac:dyDescent="0.25">
      <c r="I376" s="2"/>
      <c r="P376" s="2"/>
      <c r="W376" s="2"/>
      <c r="X376" s="2"/>
      <c r="Y376" s="2"/>
      <c r="Z376" s="2"/>
      <c r="AD376" s="7">
        <f t="shared" si="5"/>
      </c>
    </row>
    <row r="377" spans="9:30" x14ac:dyDescent="0.25">
      <c r="I377" s="2"/>
      <c r="P377" s="2"/>
      <c r="W377" s="2"/>
      <c r="X377" s="2"/>
      <c r="Y377" s="2"/>
      <c r="Z377" s="2"/>
      <c r="AD377" s="7">
        <f t="shared" si="5"/>
      </c>
    </row>
    <row r="378" spans="9:30" x14ac:dyDescent="0.25">
      <c r="I378" s="2"/>
      <c r="P378" s="2"/>
      <c r="W378" s="2"/>
      <c r="X378" s="2"/>
      <c r="Y378" s="2"/>
      <c r="Z378" s="2"/>
      <c r="AD378" s="7">
        <f t="shared" si="5"/>
      </c>
    </row>
    <row r="379" spans="9:30" x14ac:dyDescent="0.25">
      <c r="I379" s="2"/>
      <c r="P379" s="2"/>
      <c r="W379" s="2"/>
      <c r="X379" s="2"/>
      <c r="Y379" s="2"/>
      <c r="Z379" s="2"/>
      <c r="AD379" s="7">
        <f t="shared" si="5"/>
      </c>
    </row>
    <row r="380" spans="9:30" x14ac:dyDescent="0.25">
      <c r="I380" s="2"/>
      <c r="P380" s="2"/>
      <c r="W380" s="2"/>
      <c r="X380" s="2"/>
      <c r="Y380" s="2"/>
      <c r="Z380" s="2"/>
      <c r="AD380" s="7">
        <f t="shared" si="5"/>
      </c>
    </row>
    <row r="381" spans="9:30" x14ac:dyDescent="0.25">
      <c r="I381" s="2"/>
      <c r="P381" s="2"/>
      <c r="W381" s="2"/>
      <c r="X381" s="2"/>
      <c r="Y381" s="2"/>
      <c r="Z381" s="2"/>
      <c r="AD381" s="7">
        <f t="shared" si="5"/>
      </c>
    </row>
    <row r="382" spans="9:30" x14ac:dyDescent="0.25">
      <c r="I382" s="2"/>
      <c r="P382" s="2"/>
      <c r="W382" s="2"/>
      <c r="X382" s="2"/>
      <c r="Y382" s="2"/>
      <c r="Z382" s="2"/>
      <c r="AD382" s="7">
        <f t="shared" si="5"/>
      </c>
    </row>
    <row r="383" spans="9:30" x14ac:dyDescent="0.25">
      <c r="I383" s="2"/>
      <c r="P383" s="2"/>
      <c r="W383" s="2"/>
      <c r="X383" s="2"/>
      <c r="Y383" s="2"/>
      <c r="Z383" s="2"/>
      <c r="AD383" s="7">
        <f t="shared" si="5"/>
      </c>
    </row>
    <row r="384" spans="9:30" x14ac:dyDescent="0.25">
      <c r="I384" s="2"/>
      <c r="P384" s="2"/>
      <c r="W384" s="2"/>
      <c r="X384" s="2"/>
      <c r="Y384" s="2"/>
      <c r="Z384" s="2"/>
      <c r="AD384" s="7">
        <f t="shared" si="5"/>
      </c>
    </row>
    <row r="385" spans="9:30" x14ac:dyDescent="0.25">
      <c r="I385" s="2"/>
      <c r="P385" s="2"/>
      <c r="W385" s="2"/>
      <c r="X385" s="2"/>
      <c r="Y385" s="2"/>
      <c r="Z385" s="2"/>
      <c r="AD385" s="7">
        <f t="shared" si="5"/>
      </c>
    </row>
    <row r="386" spans="9:30" x14ac:dyDescent="0.25">
      <c r="I386" s="2"/>
      <c r="P386" s="2"/>
      <c r="W386" s="2"/>
      <c r="X386" s="2"/>
      <c r="Y386" s="2"/>
      <c r="Z386" s="2"/>
      <c r="AD386" s="7">
        <f t="shared" si="5"/>
      </c>
    </row>
    <row r="387" spans="9:30" x14ac:dyDescent="0.25">
      <c r="I387" s="2"/>
      <c r="P387" s="2"/>
      <c r="W387" s="2"/>
      <c r="X387" s="2"/>
      <c r="Y387" s="2"/>
      <c r="Z387" s="2"/>
      <c r="AD387" s="7">
        <f t="shared" si="5"/>
      </c>
    </row>
    <row r="388" spans="9:30" x14ac:dyDescent="0.25">
      <c r="I388" s="2"/>
      <c r="P388" s="2"/>
      <c r="W388" s="2"/>
      <c r="X388" s="2"/>
      <c r="Y388" s="2"/>
      <c r="Z388" s="2"/>
      <c r="AD388" s="7">
        <f t="shared" si="5"/>
      </c>
    </row>
    <row r="389" spans="9:30" x14ac:dyDescent="0.25">
      <c r="I389" s="2"/>
      <c r="P389" s="2"/>
      <c r="W389" s="2"/>
      <c r="X389" s="2"/>
      <c r="Y389" s="2"/>
      <c r="Z389" s="2"/>
      <c r="AD389" s="7">
        <f t="shared" si="5"/>
      </c>
    </row>
    <row r="390" spans="9:30" x14ac:dyDescent="0.25">
      <c r="I390" s="2"/>
      <c r="P390" s="2"/>
      <c r="W390" s="2"/>
      <c r="X390" s="2"/>
      <c r="Y390" s="2"/>
      <c r="Z390" s="2"/>
      <c r="AD390" s="7">
        <f t="shared" si="5"/>
      </c>
    </row>
    <row r="391" spans="9:30" x14ac:dyDescent="0.25">
      <c r="I391" s="2"/>
      <c r="P391" s="2"/>
      <c r="W391" s="2"/>
      <c r="X391" s="2"/>
      <c r="Y391" s="2"/>
      <c r="Z391" s="2"/>
      <c r="AD391" s="7">
        <f t="shared" si="5"/>
      </c>
    </row>
    <row r="392" spans="9:30" x14ac:dyDescent="0.25">
      <c r="I392" s="2"/>
      <c r="P392" s="2"/>
      <c r="W392" s="2"/>
      <c r="X392" s="2"/>
      <c r="Y392" s="2"/>
      <c r="Z392" s="2"/>
      <c r="AD392" s="7">
        <f t="shared" si="5"/>
      </c>
    </row>
    <row r="393" spans="9:30" x14ac:dyDescent="0.25">
      <c r="I393" s="2"/>
      <c r="P393" s="2"/>
      <c r="W393" s="2"/>
      <c r="X393" s="2"/>
      <c r="Y393" s="2"/>
      <c r="Z393" s="2"/>
      <c r="AD393" s="7">
        <f t="shared" si="5"/>
      </c>
    </row>
    <row r="394" spans="9:30" x14ac:dyDescent="0.25">
      <c r="I394" s="2"/>
      <c r="P394" s="2"/>
      <c r="W394" s="2"/>
      <c r="X394" s="2"/>
      <c r="Y394" s="2"/>
      <c r="Z394" s="2"/>
      <c r="AD394" s="7">
        <f t="shared" ref="AD394:AD457" si="6">IF(P394 = "", "", Y394/P394)</f>
      </c>
    </row>
    <row r="395" spans="9:30" x14ac:dyDescent="0.25">
      <c r="I395" s="2"/>
      <c r="P395" s="2"/>
      <c r="W395" s="2"/>
      <c r="X395" s="2"/>
      <c r="Y395" s="2"/>
      <c r="Z395" s="2"/>
      <c r="AD395" s="7">
        <f t="shared" si="6"/>
      </c>
    </row>
    <row r="396" spans="9:30" x14ac:dyDescent="0.25">
      <c r="I396" s="2"/>
      <c r="P396" s="2"/>
      <c r="W396" s="2"/>
      <c r="X396" s="2"/>
      <c r="Y396" s="2"/>
      <c r="Z396" s="2"/>
      <c r="AD396" s="7">
        <f t="shared" si="6"/>
      </c>
    </row>
    <row r="397" spans="9:30" x14ac:dyDescent="0.25">
      <c r="I397" s="2"/>
      <c r="P397" s="2"/>
      <c r="W397" s="2"/>
      <c r="X397" s="2"/>
      <c r="Y397" s="2"/>
      <c r="Z397" s="2"/>
      <c r="AD397" s="7">
        <f t="shared" si="6"/>
      </c>
    </row>
    <row r="398" spans="9:30" x14ac:dyDescent="0.25">
      <c r="I398" s="2"/>
      <c r="P398" s="2"/>
      <c r="W398" s="2"/>
      <c r="X398" s="2"/>
      <c r="Y398" s="2"/>
      <c r="Z398" s="2"/>
      <c r="AD398" s="7">
        <f t="shared" si="6"/>
      </c>
    </row>
    <row r="399" spans="9:30" x14ac:dyDescent="0.25">
      <c r="I399" s="2"/>
      <c r="P399" s="2"/>
      <c r="W399" s="2"/>
      <c r="X399" s="2"/>
      <c r="Y399" s="2"/>
      <c r="Z399" s="2"/>
      <c r="AD399" s="7">
        <f t="shared" si="6"/>
      </c>
    </row>
    <row r="400" spans="9:30" x14ac:dyDescent="0.25">
      <c r="I400" s="2"/>
      <c r="P400" s="2"/>
      <c r="W400" s="2"/>
      <c r="X400" s="2"/>
      <c r="Y400" s="2"/>
      <c r="Z400" s="2"/>
      <c r="AD400" s="7">
        <f t="shared" si="6"/>
      </c>
    </row>
    <row r="401" spans="9:30" x14ac:dyDescent="0.25">
      <c r="I401" s="2"/>
      <c r="P401" s="2"/>
      <c r="W401" s="2"/>
      <c r="X401" s="2"/>
      <c r="Y401" s="2"/>
      <c r="Z401" s="2"/>
      <c r="AD401" s="7">
        <f t="shared" si="6"/>
      </c>
    </row>
    <row r="402" spans="9:30" x14ac:dyDescent="0.25">
      <c r="I402" s="2"/>
      <c r="P402" s="2"/>
      <c r="W402" s="2"/>
      <c r="X402" s="2"/>
      <c r="Y402" s="2"/>
      <c r="Z402" s="2"/>
      <c r="AD402" s="7">
        <f t="shared" si="6"/>
      </c>
    </row>
    <row r="403" spans="9:30" x14ac:dyDescent="0.25">
      <c r="I403" s="2"/>
      <c r="P403" s="2"/>
      <c r="W403" s="2"/>
      <c r="X403" s="2"/>
      <c r="Y403" s="2"/>
      <c r="Z403" s="2"/>
      <c r="AD403" s="7">
        <f t="shared" si="6"/>
      </c>
    </row>
    <row r="404" spans="9:30" x14ac:dyDescent="0.25">
      <c r="I404" s="2"/>
      <c r="P404" s="2"/>
      <c r="W404" s="2"/>
      <c r="X404" s="2"/>
      <c r="Y404" s="2"/>
      <c r="Z404" s="2"/>
      <c r="AD404" s="7">
        <f t="shared" si="6"/>
      </c>
    </row>
    <row r="405" spans="9:30" x14ac:dyDescent="0.25">
      <c r="I405" s="2"/>
      <c r="P405" s="2"/>
      <c r="W405" s="2"/>
      <c r="X405" s="2"/>
      <c r="Y405" s="2"/>
      <c r="Z405" s="2"/>
      <c r="AD405" s="7">
        <f t="shared" si="6"/>
      </c>
    </row>
    <row r="406" spans="9:30" x14ac:dyDescent="0.25">
      <c r="I406" s="2"/>
      <c r="P406" s="2"/>
      <c r="W406" s="2"/>
      <c r="X406" s="2"/>
      <c r="Y406" s="2"/>
      <c r="Z406" s="2"/>
      <c r="AD406" s="7">
        <f t="shared" si="6"/>
      </c>
    </row>
    <row r="407" spans="9:30" x14ac:dyDescent="0.25">
      <c r="I407" s="2"/>
      <c r="P407" s="2"/>
      <c r="W407" s="2"/>
      <c r="X407" s="2"/>
      <c r="Y407" s="2"/>
      <c r="Z407" s="2"/>
      <c r="AD407" s="7">
        <f t="shared" si="6"/>
      </c>
    </row>
    <row r="408" spans="9:30" x14ac:dyDescent="0.25">
      <c r="I408" s="2"/>
      <c r="P408" s="2"/>
      <c r="W408" s="2"/>
      <c r="X408" s="2"/>
      <c r="Y408" s="2"/>
      <c r="Z408" s="2"/>
      <c r="AD408" s="7">
        <f t="shared" si="6"/>
      </c>
    </row>
    <row r="409" spans="9:30" x14ac:dyDescent="0.25">
      <c r="I409" s="2"/>
      <c r="P409" s="2"/>
      <c r="W409" s="2"/>
      <c r="X409" s="2"/>
      <c r="Y409" s="2"/>
      <c r="Z409" s="2"/>
      <c r="AD409" s="7">
        <f t="shared" si="6"/>
      </c>
    </row>
    <row r="410" spans="9:30" x14ac:dyDescent="0.25">
      <c r="I410" s="2"/>
      <c r="P410" s="2"/>
      <c r="W410" s="2"/>
      <c r="X410" s="2"/>
      <c r="Y410" s="2"/>
      <c r="Z410" s="2"/>
      <c r="AD410" s="7">
        <f t="shared" si="6"/>
      </c>
    </row>
    <row r="411" spans="9:30" x14ac:dyDescent="0.25">
      <c r="I411" s="2"/>
      <c r="P411" s="2"/>
      <c r="W411" s="2"/>
      <c r="X411" s="2"/>
      <c r="Y411" s="2"/>
      <c r="Z411" s="2"/>
      <c r="AD411" s="7">
        <f t="shared" si="6"/>
      </c>
    </row>
    <row r="412" spans="9:30" x14ac:dyDescent="0.25">
      <c r="I412" s="2"/>
      <c r="P412" s="2"/>
      <c r="W412" s="2"/>
      <c r="X412" s="2"/>
      <c r="Y412" s="2"/>
      <c r="Z412" s="2"/>
      <c r="AD412" s="7">
        <f t="shared" si="6"/>
      </c>
    </row>
    <row r="413" spans="9:30" x14ac:dyDescent="0.25">
      <c r="I413" s="2"/>
      <c r="P413" s="2"/>
      <c r="W413" s="2"/>
      <c r="X413" s="2"/>
      <c r="Y413" s="2"/>
      <c r="Z413" s="2"/>
      <c r="AD413" s="7">
        <f t="shared" si="6"/>
      </c>
    </row>
    <row r="414" spans="9:30" x14ac:dyDescent="0.25">
      <c r="I414" s="2"/>
      <c r="P414" s="2"/>
      <c r="W414" s="2"/>
      <c r="X414" s="2"/>
      <c r="Y414" s="2"/>
      <c r="Z414" s="2"/>
      <c r="AD414" s="7">
        <f t="shared" si="6"/>
      </c>
    </row>
    <row r="415" spans="9:30" x14ac:dyDescent="0.25">
      <c r="I415" s="2"/>
      <c r="P415" s="2"/>
      <c r="W415" s="2"/>
      <c r="X415" s="2"/>
      <c r="Y415" s="2"/>
      <c r="Z415" s="2"/>
      <c r="AD415" s="7">
        <f t="shared" si="6"/>
      </c>
    </row>
    <row r="416" spans="9:30" x14ac:dyDescent="0.25">
      <c r="I416" s="2"/>
      <c r="P416" s="2"/>
      <c r="W416" s="2"/>
      <c r="X416" s="2"/>
      <c r="Y416" s="2"/>
      <c r="Z416" s="2"/>
      <c r="AD416" s="7">
        <f t="shared" si="6"/>
      </c>
    </row>
    <row r="417" spans="9:30" x14ac:dyDescent="0.25">
      <c r="I417" s="2"/>
      <c r="P417" s="2"/>
      <c r="W417" s="2"/>
      <c r="X417" s="2"/>
      <c r="Y417" s="2"/>
      <c r="Z417" s="2"/>
      <c r="AD417" s="7">
        <f t="shared" si="6"/>
      </c>
    </row>
    <row r="418" spans="9:30" x14ac:dyDescent="0.25">
      <c r="I418" s="2"/>
      <c r="P418" s="2"/>
      <c r="W418" s="2"/>
      <c r="X418" s="2"/>
      <c r="Y418" s="2"/>
      <c r="Z418" s="2"/>
      <c r="AD418" s="7">
        <f t="shared" si="6"/>
      </c>
    </row>
    <row r="419" spans="9:30" x14ac:dyDescent="0.25">
      <c r="I419" s="2"/>
      <c r="P419" s="2"/>
      <c r="W419" s="2"/>
      <c r="X419" s="2"/>
      <c r="Y419" s="2"/>
      <c r="Z419" s="2"/>
      <c r="AD419" s="7">
        <f t="shared" si="6"/>
      </c>
    </row>
    <row r="420" spans="9:30" x14ac:dyDescent="0.25">
      <c r="I420" s="2"/>
      <c r="P420" s="2"/>
      <c r="W420" s="2"/>
      <c r="X420" s="2"/>
      <c r="Y420" s="2"/>
      <c r="Z420" s="2"/>
      <c r="AD420" s="7">
        <f t="shared" si="6"/>
      </c>
    </row>
    <row r="421" spans="9:30" x14ac:dyDescent="0.25">
      <c r="I421" s="2"/>
      <c r="P421" s="2"/>
      <c r="W421" s="2"/>
      <c r="X421" s="2"/>
      <c r="Y421" s="2"/>
      <c r="Z421" s="2"/>
      <c r="AD421" s="7">
        <f t="shared" si="6"/>
      </c>
    </row>
    <row r="422" spans="9:30" x14ac:dyDescent="0.25">
      <c r="I422" s="2"/>
      <c r="P422" s="2"/>
      <c r="W422" s="2"/>
      <c r="X422" s="2"/>
      <c r="Y422" s="2"/>
      <c r="Z422" s="2"/>
      <c r="AD422" s="7">
        <f t="shared" si="6"/>
      </c>
    </row>
    <row r="423" spans="9:30" x14ac:dyDescent="0.25">
      <c r="I423" s="2"/>
      <c r="P423" s="2"/>
      <c r="W423" s="2"/>
      <c r="X423" s="2"/>
      <c r="Y423" s="2"/>
      <c r="Z423" s="2"/>
      <c r="AD423" s="7">
        <f t="shared" si="6"/>
      </c>
    </row>
    <row r="424" spans="9:30" x14ac:dyDescent="0.25">
      <c r="I424" s="2"/>
      <c r="P424" s="2"/>
      <c r="W424" s="2"/>
      <c r="X424" s="2"/>
      <c r="Y424" s="2"/>
      <c r="Z424" s="2"/>
      <c r="AD424" s="7">
        <f t="shared" si="6"/>
      </c>
    </row>
    <row r="425" spans="9:30" x14ac:dyDescent="0.25">
      <c r="I425" s="2"/>
      <c r="P425" s="2"/>
      <c r="W425" s="2"/>
      <c r="X425" s="2"/>
      <c r="Y425" s="2"/>
      <c r="Z425" s="2"/>
      <c r="AD425" s="7">
        <f t="shared" si="6"/>
      </c>
    </row>
    <row r="426" spans="9:30" x14ac:dyDescent="0.25">
      <c r="I426" s="2"/>
      <c r="P426" s="2"/>
      <c r="W426" s="2"/>
      <c r="X426" s="2"/>
      <c r="Y426" s="2"/>
      <c r="Z426" s="2"/>
      <c r="AD426" s="7">
        <f t="shared" si="6"/>
      </c>
    </row>
    <row r="427" spans="9:30" x14ac:dyDescent="0.25">
      <c r="I427" s="2"/>
      <c r="P427" s="2"/>
      <c r="W427" s="2"/>
      <c r="X427" s="2"/>
      <c r="Y427" s="2"/>
      <c r="Z427" s="2"/>
      <c r="AD427" s="7">
        <f t="shared" si="6"/>
      </c>
    </row>
    <row r="428" spans="9:30" x14ac:dyDescent="0.25">
      <c r="I428" s="2"/>
      <c r="P428" s="2"/>
      <c r="W428" s="2"/>
      <c r="X428" s="2"/>
      <c r="Y428" s="2"/>
      <c r="Z428" s="2"/>
      <c r="AD428" s="7">
        <f t="shared" si="6"/>
      </c>
    </row>
    <row r="429" spans="9:30" x14ac:dyDescent="0.25">
      <c r="I429" s="2"/>
      <c r="P429" s="2"/>
      <c r="W429" s="2"/>
      <c r="X429" s="2"/>
      <c r="Y429" s="2"/>
      <c r="Z429" s="2"/>
      <c r="AD429" s="7">
        <f t="shared" si="6"/>
      </c>
    </row>
    <row r="430" spans="9:30" x14ac:dyDescent="0.25">
      <c r="I430" s="2"/>
      <c r="P430" s="2"/>
      <c r="W430" s="2"/>
      <c r="X430" s="2"/>
      <c r="Y430" s="2"/>
      <c r="Z430" s="2"/>
      <c r="AD430" s="7">
        <f t="shared" si="6"/>
      </c>
    </row>
    <row r="431" spans="9:30" x14ac:dyDescent="0.25">
      <c r="I431" s="2"/>
      <c r="P431" s="2"/>
      <c r="W431" s="2"/>
      <c r="X431" s="2"/>
      <c r="Y431" s="2"/>
      <c r="Z431" s="2"/>
      <c r="AD431" s="7">
        <f t="shared" si="6"/>
      </c>
    </row>
    <row r="432" spans="9:30" x14ac:dyDescent="0.25">
      <c r="I432" s="2"/>
      <c r="P432" s="2"/>
      <c r="W432" s="2"/>
      <c r="X432" s="2"/>
      <c r="Y432" s="2"/>
      <c r="Z432" s="2"/>
      <c r="AD432" s="7">
        <f t="shared" si="6"/>
      </c>
    </row>
    <row r="433" spans="9:30" x14ac:dyDescent="0.25">
      <c r="I433" s="2"/>
      <c r="P433" s="2"/>
      <c r="W433" s="2"/>
      <c r="X433" s="2"/>
      <c r="Y433" s="2"/>
      <c r="Z433" s="2"/>
      <c r="AD433" s="7">
        <f t="shared" si="6"/>
      </c>
    </row>
    <row r="434" spans="9:30" x14ac:dyDescent="0.25">
      <c r="I434" s="2"/>
      <c r="P434" s="2"/>
      <c r="W434" s="2"/>
      <c r="X434" s="2"/>
      <c r="Y434" s="2"/>
      <c r="Z434" s="2"/>
      <c r="AD434" s="7">
        <f t="shared" si="6"/>
      </c>
    </row>
    <row r="435" spans="9:30" x14ac:dyDescent="0.25">
      <c r="I435" s="2"/>
      <c r="P435" s="2"/>
      <c r="W435" s="2"/>
      <c r="X435" s="2"/>
      <c r="Y435" s="2"/>
      <c r="Z435" s="2"/>
      <c r="AD435" s="7">
        <f t="shared" si="6"/>
      </c>
    </row>
    <row r="436" spans="9:30" x14ac:dyDescent="0.25">
      <c r="I436" s="2"/>
      <c r="P436" s="2"/>
      <c r="W436" s="2"/>
      <c r="X436" s="2"/>
      <c r="Y436" s="2"/>
      <c r="Z436" s="2"/>
      <c r="AD436" s="7">
        <f t="shared" si="6"/>
      </c>
    </row>
    <row r="437" spans="9:30" x14ac:dyDescent="0.25">
      <c r="I437" s="2"/>
      <c r="P437" s="2"/>
      <c r="W437" s="2"/>
      <c r="X437" s="2"/>
      <c r="Y437" s="2"/>
      <c r="Z437" s="2"/>
      <c r="AD437" s="7">
        <f t="shared" si="6"/>
      </c>
    </row>
    <row r="438" spans="9:30" x14ac:dyDescent="0.25">
      <c r="I438" s="2"/>
      <c r="P438" s="2"/>
      <c r="W438" s="2"/>
      <c r="X438" s="2"/>
      <c r="Y438" s="2"/>
      <c r="Z438" s="2"/>
      <c r="AD438" s="7">
        <f t="shared" si="6"/>
      </c>
    </row>
    <row r="439" spans="9:30" x14ac:dyDescent="0.25">
      <c r="I439" s="2"/>
      <c r="P439" s="2"/>
      <c r="W439" s="2"/>
      <c r="X439" s="2"/>
      <c r="Y439" s="2"/>
      <c r="Z439" s="2"/>
      <c r="AD439" s="7">
        <f t="shared" si="6"/>
      </c>
    </row>
    <row r="440" spans="9:30" x14ac:dyDescent="0.25">
      <c r="I440" s="2"/>
      <c r="P440" s="2"/>
      <c r="W440" s="2"/>
      <c r="X440" s="2"/>
      <c r="Y440" s="2"/>
      <c r="Z440" s="2"/>
      <c r="AD440" s="7">
        <f t="shared" si="6"/>
      </c>
    </row>
    <row r="441" spans="9:30" x14ac:dyDescent="0.25">
      <c r="I441" s="2"/>
      <c r="P441" s="2"/>
      <c r="W441" s="2"/>
      <c r="X441" s="2"/>
      <c r="Y441" s="2"/>
      <c r="Z441" s="2"/>
      <c r="AD441" s="7">
        <f t="shared" si="6"/>
      </c>
    </row>
    <row r="442" spans="9:30" x14ac:dyDescent="0.25">
      <c r="I442" s="2"/>
      <c r="P442" s="2"/>
      <c r="W442" s="2"/>
      <c r="X442" s="2"/>
      <c r="Y442" s="2"/>
      <c r="Z442" s="2"/>
      <c r="AD442" s="7">
        <f t="shared" si="6"/>
      </c>
    </row>
    <row r="443" spans="9:30" x14ac:dyDescent="0.25">
      <c r="I443" s="2"/>
      <c r="P443" s="2"/>
      <c r="W443" s="2"/>
      <c r="X443" s="2"/>
      <c r="Y443" s="2"/>
      <c r="Z443" s="2"/>
      <c r="AD443" s="7">
        <f t="shared" si="6"/>
      </c>
    </row>
    <row r="444" spans="9:30" x14ac:dyDescent="0.25">
      <c r="I444" s="2"/>
      <c r="P444" s="2"/>
      <c r="W444" s="2"/>
      <c r="X444" s="2"/>
      <c r="Y444" s="2"/>
      <c r="Z444" s="2"/>
      <c r="AD444" s="7">
        <f t="shared" si="6"/>
      </c>
    </row>
    <row r="445" spans="9:30" x14ac:dyDescent="0.25">
      <c r="I445" s="2"/>
      <c r="P445" s="2"/>
      <c r="W445" s="2"/>
      <c r="X445" s="2"/>
      <c r="Y445" s="2"/>
      <c r="Z445" s="2"/>
      <c r="AD445" s="7">
        <f t="shared" si="6"/>
      </c>
    </row>
    <row r="446" spans="9:30" x14ac:dyDescent="0.25">
      <c r="I446" s="2"/>
      <c r="P446" s="2"/>
      <c r="W446" s="2"/>
      <c r="X446" s="2"/>
      <c r="Y446" s="2"/>
      <c r="Z446" s="2"/>
      <c r="AD446" s="7">
        <f t="shared" si="6"/>
      </c>
    </row>
    <row r="447" spans="9:30" x14ac:dyDescent="0.25">
      <c r="I447" s="2"/>
      <c r="P447" s="2"/>
      <c r="W447" s="2"/>
      <c r="X447" s="2"/>
      <c r="Y447" s="2"/>
      <c r="Z447" s="2"/>
      <c r="AD447" s="7">
        <f t="shared" si="6"/>
      </c>
    </row>
    <row r="448" spans="9:30" x14ac:dyDescent="0.25">
      <c r="I448" s="2"/>
      <c r="P448" s="2"/>
      <c r="W448" s="2"/>
      <c r="X448" s="2"/>
      <c r="Y448" s="2"/>
      <c r="Z448" s="2"/>
      <c r="AD448" s="7">
        <f t="shared" si="6"/>
      </c>
    </row>
    <row r="449" spans="9:30" x14ac:dyDescent="0.25">
      <c r="I449" s="2"/>
      <c r="P449" s="2"/>
      <c r="W449" s="2"/>
      <c r="X449" s="2"/>
      <c r="Y449" s="2"/>
      <c r="Z449" s="2"/>
      <c r="AD449" s="7">
        <f t="shared" si="6"/>
      </c>
    </row>
    <row r="450" spans="9:30" x14ac:dyDescent="0.25">
      <c r="I450" s="2"/>
      <c r="P450" s="2"/>
      <c r="W450" s="2"/>
      <c r="X450" s="2"/>
      <c r="Y450" s="2"/>
      <c r="Z450" s="2"/>
      <c r="AD450" s="7">
        <f t="shared" si="6"/>
      </c>
    </row>
    <row r="451" spans="9:30" x14ac:dyDescent="0.25">
      <c r="I451" s="2"/>
      <c r="P451" s="2"/>
      <c r="W451" s="2"/>
      <c r="X451" s="2"/>
      <c r="Y451" s="2"/>
      <c r="Z451" s="2"/>
      <c r="AD451" s="7">
        <f t="shared" si="6"/>
      </c>
    </row>
    <row r="452" spans="9:30" x14ac:dyDescent="0.25">
      <c r="I452" s="2"/>
      <c r="P452" s="2"/>
      <c r="W452" s="2"/>
      <c r="X452" s="2"/>
      <c r="Y452" s="2"/>
      <c r="Z452" s="2"/>
      <c r="AD452" s="7">
        <f t="shared" si="6"/>
      </c>
    </row>
    <row r="453" spans="9:30" x14ac:dyDescent="0.25">
      <c r="I453" s="2"/>
      <c r="P453" s="2"/>
      <c r="W453" s="2"/>
      <c r="X453" s="2"/>
      <c r="Y453" s="2"/>
      <c r="Z453" s="2"/>
      <c r="AD453" s="7">
        <f t="shared" si="6"/>
      </c>
    </row>
    <row r="454" spans="9:30" x14ac:dyDescent="0.25">
      <c r="I454" s="2"/>
      <c r="P454" s="2"/>
      <c r="W454" s="2"/>
      <c r="X454" s="2"/>
      <c r="Y454" s="2"/>
      <c r="Z454" s="2"/>
      <c r="AD454" s="7">
        <f t="shared" si="6"/>
      </c>
    </row>
    <row r="455" spans="9:30" x14ac:dyDescent="0.25">
      <c r="I455" s="2"/>
      <c r="P455" s="2"/>
      <c r="W455" s="2"/>
      <c r="X455" s="2"/>
      <c r="Y455" s="2"/>
      <c r="Z455" s="2"/>
      <c r="AD455" s="7">
        <f t="shared" si="6"/>
      </c>
    </row>
    <row r="456" spans="9:30" x14ac:dyDescent="0.25">
      <c r="I456" s="2"/>
      <c r="P456" s="2"/>
      <c r="W456" s="2"/>
      <c r="X456" s="2"/>
      <c r="Y456" s="2"/>
      <c r="Z456" s="2"/>
      <c r="AD456" s="7">
        <f t="shared" si="6"/>
      </c>
    </row>
    <row r="457" spans="9:30" x14ac:dyDescent="0.25">
      <c r="I457" s="2"/>
      <c r="P457" s="2"/>
      <c r="W457" s="2"/>
      <c r="X457" s="2"/>
      <c r="Y457" s="2"/>
      <c r="Z457" s="2"/>
      <c r="AD457" s="7">
        <f t="shared" si="6"/>
      </c>
    </row>
    <row r="458" spans="9:30" x14ac:dyDescent="0.25">
      <c r="I458" s="2"/>
      <c r="P458" s="2"/>
      <c r="W458" s="2"/>
      <c r="X458" s="2"/>
      <c r="Y458" s="2"/>
      <c r="Z458" s="2"/>
      <c r="AD458" s="7">
        <f t="shared" ref="AD458:AD501" si="7">IF(P458 = "", "", Y458/P458)</f>
      </c>
    </row>
    <row r="459" spans="9:30" x14ac:dyDescent="0.25">
      <c r="I459" s="2"/>
      <c r="P459" s="2"/>
      <c r="W459" s="2"/>
      <c r="X459" s="2"/>
      <c r="Y459" s="2"/>
      <c r="Z459" s="2"/>
      <c r="AD459" s="7">
        <f t="shared" si="7"/>
      </c>
    </row>
    <row r="460" spans="9:30" x14ac:dyDescent="0.25">
      <c r="I460" s="2"/>
      <c r="P460" s="2"/>
      <c r="W460" s="2"/>
      <c r="X460" s="2"/>
      <c r="Y460" s="2"/>
      <c r="Z460" s="2"/>
      <c r="AD460" s="7">
        <f t="shared" si="7"/>
      </c>
    </row>
    <row r="461" spans="9:30" x14ac:dyDescent="0.25">
      <c r="I461" s="2"/>
      <c r="P461" s="2"/>
      <c r="W461" s="2"/>
      <c r="X461" s="2"/>
      <c r="Y461" s="2"/>
      <c r="Z461" s="2"/>
      <c r="AD461" s="7">
        <f t="shared" si="7"/>
      </c>
    </row>
    <row r="462" spans="9:30" x14ac:dyDescent="0.25">
      <c r="I462" s="2"/>
      <c r="P462" s="2"/>
      <c r="W462" s="2"/>
      <c r="X462" s="2"/>
      <c r="Y462" s="2"/>
      <c r="Z462" s="2"/>
      <c r="AD462" s="7">
        <f t="shared" si="7"/>
      </c>
    </row>
    <row r="463" spans="9:30" x14ac:dyDescent="0.25">
      <c r="I463" s="2"/>
      <c r="P463" s="2"/>
      <c r="W463" s="2"/>
      <c r="X463" s="2"/>
      <c r="Y463" s="2"/>
      <c r="Z463" s="2"/>
      <c r="AD463" s="7">
        <f t="shared" si="7"/>
      </c>
    </row>
    <row r="464" spans="9:30" x14ac:dyDescent="0.25">
      <c r="I464" s="2"/>
      <c r="P464" s="2"/>
      <c r="W464" s="2"/>
      <c r="X464" s="2"/>
      <c r="Y464" s="2"/>
      <c r="Z464" s="2"/>
      <c r="AD464" s="7">
        <f t="shared" si="7"/>
      </c>
    </row>
    <row r="465" spans="9:30" x14ac:dyDescent="0.25">
      <c r="I465" s="2"/>
      <c r="P465" s="2"/>
      <c r="W465" s="2"/>
      <c r="X465" s="2"/>
      <c r="Y465" s="2"/>
      <c r="Z465" s="2"/>
      <c r="AD465" s="7">
        <f t="shared" si="7"/>
      </c>
    </row>
    <row r="466" spans="9:30" x14ac:dyDescent="0.25">
      <c r="I466" s="2"/>
      <c r="P466" s="2"/>
      <c r="W466" s="2"/>
      <c r="X466" s="2"/>
      <c r="Y466" s="2"/>
      <c r="Z466" s="2"/>
      <c r="AD466" s="7">
        <f t="shared" si="7"/>
      </c>
    </row>
    <row r="467" spans="9:30" x14ac:dyDescent="0.25">
      <c r="I467" s="2"/>
      <c r="P467" s="2"/>
      <c r="W467" s="2"/>
      <c r="X467" s="2"/>
      <c r="Y467" s="2"/>
      <c r="Z467" s="2"/>
      <c r="AD467" s="7">
        <f t="shared" si="7"/>
      </c>
    </row>
    <row r="468" spans="9:30" x14ac:dyDescent="0.25">
      <c r="I468" s="2"/>
      <c r="P468" s="2"/>
      <c r="W468" s="2"/>
      <c r="X468" s="2"/>
      <c r="Y468" s="2"/>
      <c r="Z468" s="2"/>
      <c r="AD468" s="7">
        <f t="shared" si="7"/>
      </c>
    </row>
    <row r="469" spans="9:30" x14ac:dyDescent="0.25">
      <c r="I469" s="2"/>
      <c r="P469" s="2"/>
      <c r="W469" s="2"/>
      <c r="X469" s="2"/>
      <c r="Y469" s="2"/>
      <c r="Z469" s="2"/>
      <c r="AD469" s="7">
        <f t="shared" si="7"/>
      </c>
    </row>
    <row r="470" spans="9:30" x14ac:dyDescent="0.25">
      <c r="I470" s="2"/>
      <c r="P470" s="2"/>
      <c r="W470" s="2"/>
      <c r="X470" s="2"/>
      <c r="Y470" s="2"/>
      <c r="Z470" s="2"/>
      <c r="AD470" s="7">
        <f t="shared" si="7"/>
      </c>
    </row>
    <row r="471" spans="9:30" x14ac:dyDescent="0.25">
      <c r="I471" s="2"/>
      <c r="P471" s="2"/>
      <c r="W471" s="2"/>
      <c r="X471" s="2"/>
      <c r="Y471" s="2"/>
      <c r="Z471" s="2"/>
      <c r="AD471" s="7">
        <f t="shared" si="7"/>
      </c>
    </row>
    <row r="472" spans="9:30" x14ac:dyDescent="0.25">
      <c r="I472" s="2"/>
      <c r="P472" s="2"/>
      <c r="W472" s="2"/>
      <c r="X472" s="2"/>
      <c r="Y472" s="2"/>
      <c r="Z472" s="2"/>
      <c r="AD472" s="7">
        <f t="shared" si="7"/>
      </c>
    </row>
    <row r="473" spans="9:30" x14ac:dyDescent="0.25">
      <c r="I473" s="2"/>
      <c r="P473" s="2"/>
      <c r="W473" s="2"/>
      <c r="X473" s="2"/>
      <c r="Y473" s="2"/>
      <c r="Z473" s="2"/>
      <c r="AD473" s="7">
        <f t="shared" si="7"/>
      </c>
    </row>
    <row r="474" spans="9:30" x14ac:dyDescent="0.25">
      <c r="I474" s="2"/>
      <c r="P474" s="2"/>
      <c r="W474" s="2"/>
      <c r="X474" s="2"/>
      <c r="Y474" s="2"/>
      <c r="Z474" s="2"/>
      <c r="AD474" s="7">
        <f t="shared" si="7"/>
      </c>
    </row>
    <row r="475" spans="9:30" x14ac:dyDescent="0.25">
      <c r="I475" s="2"/>
      <c r="P475" s="2"/>
      <c r="W475" s="2"/>
      <c r="X475" s="2"/>
      <c r="Y475" s="2"/>
      <c r="Z475" s="2"/>
      <c r="AD475" s="7">
        <f t="shared" si="7"/>
      </c>
    </row>
    <row r="476" spans="9:30" x14ac:dyDescent="0.25">
      <c r="I476" s="2"/>
      <c r="P476" s="2"/>
      <c r="W476" s="2"/>
      <c r="X476" s="2"/>
      <c r="Y476" s="2"/>
      <c r="Z476" s="2"/>
      <c r="AD476" s="7">
        <f t="shared" si="7"/>
      </c>
    </row>
    <row r="477" spans="9:30" x14ac:dyDescent="0.25">
      <c r="I477" s="2"/>
      <c r="P477" s="2"/>
      <c r="W477" s="2"/>
      <c r="X477" s="2"/>
      <c r="Y477" s="2"/>
      <c r="Z477" s="2"/>
      <c r="AD477" s="7">
        <f t="shared" si="7"/>
      </c>
    </row>
    <row r="478" spans="9:30" x14ac:dyDescent="0.25">
      <c r="I478" s="2"/>
      <c r="P478" s="2"/>
      <c r="W478" s="2"/>
      <c r="X478" s="2"/>
      <c r="Y478" s="2"/>
      <c r="Z478" s="2"/>
      <c r="AD478" s="7">
        <f t="shared" si="7"/>
      </c>
    </row>
    <row r="479" spans="9:30" x14ac:dyDescent="0.25">
      <c r="I479" s="2"/>
      <c r="P479" s="2"/>
      <c r="W479" s="2"/>
      <c r="X479" s="2"/>
      <c r="Y479" s="2"/>
      <c r="Z479" s="2"/>
      <c r="AD479" s="7">
        <f t="shared" si="7"/>
      </c>
    </row>
    <row r="480" spans="9:30" x14ac:dyDescent="0.25">
      <c r="I480" s="2"/>
      <c r="P480" s="2"/>
      <c r="W480" s="2"/>
      <c r="X480" s="2"/>
      <c r="Y480" s="2"/>
      <c r="Z480" s="2"/>
      <c r="AD480" s="7">
        <f t="shared" si="7"/>
      </c>
    </row>
    <row r="481" spans="9:30" x14ac:dyDescent="0.25">
      <c r="I481" s="2"/>
      <c r="P481" s="2"/>
      <c r="W481" s="2"/>
      <c r="X481" s="2"/>
      <c r="Y481" s="2"/>
      <c r="Z481" s="2"/>
      <c r="AD481" s="7">
        <f t="shared" si="7"/>
      </c>
    </row>
    <row r="482" spans="9:30" x14ac:dyDescent="0.25">
      <c r="I482" s="2"/>
      <c r="P482" s="2"/>
      <c r="W482" s="2"/>
      <c r="X482" s="2"/>
      <c r="Y482" s="2"/>
      <c r="Z482" s="2"/>
      <c r="AD482" s="7">
        <f t="shared" si="7"/>
      </c>
    </row>
    <row r="483" spans="9:30" x14ac:dyDescent="0.25">
      <c r="I483" s="2"/>
      <c r="P483" s="2"/>
      <c r="W483" s="2"/>
      <c r="X483" s="2"/>
      <c r="Y483" s="2"/>
      <c r="Z483" s="2"/>
      <c r="AD483" s="7">
        <f t="shared" si="7"/>
      </c>
    </row>
    <row r="484" spans="9:30" x14ac:dyDescent="0.25">
      <c r="I484" s="2"/>
      <c r="P484" s="2"/>
      <c r="W484" s="2"/>
      <c r="X484" s="2"/>
      <c r="Y484" s="2"/>
      <c r="Z484" s="2"/>
      <c r="AD484" s="7">
        <f t="shared" si="7"/>
      </c>
    </row>
    <row r="485" spans="9:30" x14ac:dyDescent="0.25">
      <c r="I485" s="2"/>
      <c r="P485" s="2"/>
      <c r="W485" s="2"/>
      <c r="X485" s="2"/>
      <c r="Y485" s="2"/>
      <c r="Z485" s="2"/>
      <c r="AD485" s="7">
        <f t="shared" si="7"/>
      </c>
    </row>
    <row r="486" spans="9:30" x14ac:dyDescent="0.25">
      <c r="I486" s="2"/>
      <c r="P486" s="2"/>
      <c r="W486" s="2"/>
      <c r="X486" s="2"/>
      <c r="Y486" s="2"/>
      <c r="Z486" s="2"/>
      <c r="AD486" s="7">
        <f t="shared" si="7"/>
      </c>
    </row>
    <row r="487" spans="9:30" x14ac:dyDescent="0.25">
      <c r="I487" s="2"/>
      <c r="P487" s="2"/>
      <c r="W487" s="2"/>
      <c r="X487" s="2"/>
      <c r="Y487" s="2"/>
      <c r="Z487" s="2"/>
      <c r="AD487" s="7">
        <f t="shared" si="7"/>
      </c>
    </row>
    <row r="488" spans="9:30" x14ac:dyDescent="0.25">
      <c r="I488" s="2"/>
      <c r="P488" s="2"/>
      <c r="W488" s="2"/>
      <c r="X488" s="2"/>
      <c r="Y488" s="2"/>
      <c r="Z488" s="2"/>
      <c r="AD488" s="7">
        <f t="shared" si="7"/>
      </c>
    </row>
    <row r="489" spans="9:30" x14ac:dyDescent="0.25">
      <c r="I489" s="2"/>
      <c r="P489" s="2"/>
      <c r="W489" s="2"/>
      <c r="X489" s="2"/>
      <c r="Y489" s="2"/>
      <c r="Z489" s="2"/>
      <c r="AD489" s="7">
        <f t="shared" si="7"/>
      </c>
    </row>
    <row r="490" spans="9:30" x14ac:dyDescent="0.25">
      <c r="I490" s="2"/>
      <c r="P490" s="2"/>
      <c r="W490" s="2"/>
      <c r="X490" s="2"/>
      <c r="Y490" s="2"/>
      <c r="Z490" s="2"/>
      <c r="AD490" s="7">
        <f t="shared" si="7"/>
      </c>
    </row>
    <row r="491" spans="9:30" x14ac:dyDescent="0.25">
      <c r="I491" s="2"/>
      <c r="P491" s="2"/>
      <c r="W491" s="2"/>
      <c r="X491" s="2"/>
      <c r="Y491" s="2"/>
      <c r="Z491" s="2"/>
      <c r="AD491" s="7">
        <f t="shared" si="7"/>
      </c>
    </row>
    <row r="492" spans="9:30" x14ac:dyDescent="0.25">
      <c r="I492" s="2"/>
      <c r="P492" s="2"/>
      <c r="W492" s="2"/>
      <c r="X492" s="2"/>
      <c r="Y492" s="2"/>
      <c r="Z492" s="2"/>
      <c r="AD492" s="7">
        <f t="shared" si="7"/>
      </c>
    </row>
    <row r="493" spans="9:30" x14ac:dyDescent="0.25">
      <c r="I493" s="2"/>
      <c r="P493" s="2"/>
      <c r="W493" s="2"/>
      <c r="X493" s="2"/>
      <c r="Y493" s="2"/>
      <c r="Z493" s="2"/>
      <c r="AD493" s="7">
        <f t="shared" si="7"/>
      </c>
    </row>
    <row r="494" spans="9:30" x14ac:dyDescent="0.25">
      <c r="I494" s="2"/>
      <c r="P494" s="2"/>
      <c r="W494" s="2"/>
      <c r="X494" s="2"/>
      <c r="Y494" s="2"/>
      <c r="Z494" s="2"/>
      <c r="AD494" s="7">
        <f t="shared" si="7"/>
      </c>
    </row>
    <row r="495" spans="9:30" x14ac:dyDescent="0.25">
      <c r="I495" s="2"/>
      <c r="P495" s="2"/>
      <c r="W495" s="2"/>
      <c r="X495" s="2"/>
      <c r="Y495" s="2"/>
      <c r="Z495" s="2"/>
      <c r="AD495" s="7">
        <f t="shared" si="7"/>
      </c>
    </row>
    <row r="496" spans="9:30" x14ac:dyDescent="0.25">
      <c r="I496" s="2"/>
      <c r="P496" s="2"/>
      <c r="W496" s="2"/>
      <c r="X496" s="2"/>
      <c r="Y496" s="2"/>
      <c r="Z496" s="2"/>
      <c r="AD496" s="7">
        <f t="shared" si="7"/>
      </c>
    </row>
    <row r="497" spans="9:30" x14ac:dyDescent="0.25">
      <c r="I497" s="2"/>
      <c r="P497" s="2"/>
      <c r="W497" s="2"/>
      <c r="X497" s="2"/>
      <c r="Y497" s="2"/>
      <c r="Z497" s="2"/>
      <c r="AD497" s="7">
        <f t="shared" si="7"/>
      </c>
    </row>
    <row r="498" spans="9:30" x14ac:dyDescent="0.25">
      <c r="I498" s="2"/>
      <c r="P498" s="2"/>
      <c r="W498" s="2"/>
      <c r="X498" s="2"/>
      <c r="Y498" s="2"/>
      <c r="Z498" s="2"/>
      <c r="AD498" s="7">
        <f t="shared" si="7"/>
      </c>
    </row>
    <row r="499" spans="9:30" x14ac:dyDescent="0.25">
      <c r="I499" s="2"/>
      <c r="P499" s="2"/>
      <c r="W499" s="2"/>
      <c r="X499" s="2"/>
      <c r="Y499" s="2"/>
      <c r="Z499" s="2"/>
      <c r="AD499" s="7">
        <f t="shared" si="7"/>
      </c>
    </row>
    <row r="500" spans="9:30" x14ac:dyDescent="0.25">
      <c r="I500" s="2"/>
      <c r="P500" s="2"/>
      <c r="W500" s="2"/>
      <c r="X500" s="2"/>
      <c r="Y500" s="2"/>
      <c r="Z500" s="2"/>
      <c r="AD500" s="7">
        <f t="shared" si="7"/>
      </c>
    </row>
    <row r="501" spans="9:30" x14ac:dyDescent="0.25">
      <c r="I501" s="2"/>
      <c r="P501" s="2"/>
      <c r="W501" s="2"/>
      <c r="X501" s="2"/>
      <c r="Y501" s="2"/>
      <c r="Z501" s="2"/>
      <c r="AD501" s="7">
        <f t="shared" si="7"/>
      </c>
    </row>
  </sheetData>
  <mergeCells count="2">
    <mergeCell ref="K1:L1"/>
    <mergeCell ref="M1:O1"/>
  </mergeCells>
  <pageMargins left="0.15748031496062992" right="0.15748031496062992" top="0.3" bottom="0.16" header="0.5118110236220472" footer="0.16"/>
  <pageSetup paperSize="9" orientation="landscape" horizontalDpi="4294967295" verticalDpi="4294967295" scale="55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1"/>
  <sheetViews>
    <sheetView workbookViewId="0" showGridLines="0" zoomScale="100" zoomScaleNormal="100">
      <selection activeCell="D38" sqref="D38"/>
    </sheetView>
  </sheetViews>
  <sheetFormatPr defaultRowHeight="12" outlineLevelRow="0" outlineLevelCol="0" x14ac:dyDescent="0.15" customHeight="1"/>
  <cols>
    <col min="1" max="1" width="6.44140625" style="1" customWidth="1"/>
    <col min="2" max="2" width="7.77734375" style="2" customWidth="1"/>
    <col min="3" max="3" width="2.5546875" style="2" customWidth="1"/>
    <col min="4" max="4" width="7.77734375" style="2" customWidth="1"/>
    <col min="5" max="5" width="12.33203125" style="2" customWidth="1"/>
    <col min="6" max="6" width="7.77734375" style="2" customWidth="1"/>
    <col min="7" max="8" width="8.109375" style="2" customWidth="1"/>
    <col min="9" max="9" width="8.109375" style="3" customWidth="1"/>
    <col min="10" max="14" width="8.109375" style="2" customWidth="1"/>
    <col min="15" max="16" width="8.109375" style="4" customWidth="1"/>
    <col min="17" max="17" width="7.44140625" style="2" customWidth="1"/>
    <col min="18" max="19" width="7.88671875" style="2" customWidth="1"/>
    <col min="20" max="20" width="6.6640625" style="2" customWidth="1"/>
    <col min="21" max="21" width="6.6640625" style="5" customWidth="1"/>
    <col min="22" max="22" width="6.6640625" style="2" customWidth="1"/>
    <col min="23" max="23" width="7.77734375" style="3" customWidth="1"/>
    <col min="24" max="25" width="10.21875" style="6" customWidth="1"/>
    <col min="26" max="26" width="10.21875" style="7" customWidth="1"/>
    <col min="27" max="27" width="9.6640625" style="2" customWidth="1"/>
    <col min="28" max="28" width="7.77734375" style="2" customWidth="1"/>
    <col min="29" max="29" width="16.33203125" style="2" customWidth="1"/>
    <col min="30" max="30" width="10.5546875" style="7" customWidth="1"/>
    <col min="31" max="16384" width="8.88671875" style="2" customWidth="1"/>
  </cols>
  <sheetData>
    <row r="1" ht="18.75" customHeight="1" spans="1:26" x14ac:dyDescent="0.25">
      <c r="A1" s="8"/>
      <c r="D1" s="8"/>
      <c r="G1" s="9"/>
      <c r="H1" s="10"/>
      <c r="I1" s="2"/>
      <c r="J1" s="11"/>
      <c r="K1" s="12"/>
      <c r="L1" s="12"/>
      <c r="M1" s="10"/>
      <c r="N1" s="13"/>
      <c r="O1" s="13"/>
      <c r="P1" s="2"/>
      <c r="U1" s="2"/>
      <c r="W1" s="2"/>
      <c r="Z1" s="6"/>
    </row>
    <row r="2" ht="13.5" customHeight="1" spans="4:41" s="14" customFormat="1" x14ac:dyDescent="0.25">
      <c r="D2" s="14"/>
      <c r="G2" s="14"/>
      <c r="J2" s="15"/>
      <c r="K2" s="15"/>
      <c r="M2" s="9"/>
      <c r="N2" s="15"/>
      <c r="Q2" s="2"/>
      <c r="R2" s="2"/>
      <c r="S2" s="2"/>
      <c r="T2" s="2"/>
      <c r="U2" s="2"/>
      <c r="V2" s="2"/>
      <c r="W2" s="2"/>
      <c r="X2" s="6"/>
      <c r="Y2" s="6"/>
      <c r="Z2" s="6"/>
      <c r="AA2" s="2"/>
      <c r="AB2" s="2"/>
      <c r="AC2" s="2"/>
      <c r="AD2" s="7"/>
      <c r="AE2" s="2"/>
      <c r="AF2" s="2"/>
      <c r="AG2" s="2"/>
      <c r="AH2" s="14"/>
      <c r="AI2" s="14"/>
      <c r="AJ2" s="14"/>
      <c r="AK2" s="14"/>
      <c r="AL2" s="14"/>
      <c r="AM2" s="14"/>
      <c r="AN2" s="14"/>
      <c r="AO2" s="14"/>
    </row>
    <row r="3" ht="7.5" customHeight="1" spans="6:41" s="14" customFormat="1" x14ac:dyDescent="0.25">
      <c r="F3" s="14"/>
      <c r="G3" s="16"/>
      <c r="H3" s="14"/>
      <c r="I3" s="14"/>
      <c r="J3" s="14"/>
      <c r="K3" s="14"/>
      <c r="L3" s="14"/>
      <c r="M3" s="16"/>
      <c r="P3" s="9"/>
      <c r="Q3" s="2"/>
      <c r="R3" s="2"/>
      <c r="S3" s="2"/>
      <c r="T3" s="2"/>
      <c r="U3" s="2"/>
      <c r="V3" s="2"/>
      <c r="W3" s="17"/>
      <c r="X3" s="18"/>
      <c r="Y3" s="18"/>
      <c r="Z3" s="18"/>
      <c r="AA3" s="2"/>
      <c r="AB3" s="2"/>
      <c r="AC3" s="2"/>
      <c r="AD3" s="7"/>
      <c r="AE3" s="17"/>
      <c r="AF3" s="2"/>
      <c r="AG3" s="2"/>
      <c r="AH3" s="14"/>
      <c r="AI3" s="14"/>
      <c r="AJ3" s="14"/>
      <c r="AK3" s="14"/>
      <c r="AL3" s="14"/>
      <c r="AM3" s="14"/>
      <c r="AN3" s="14"/>
      <c r="AO3" s="14"/>
    </row>
    <row r="4" spans="4:30" s="19" customFormat="1" x14ac:dyDescent="0.25">
      <c r="D4" s="20" t="s">
        <v>2</v>
      </c>
      <c r="E4" s="20" t="s">
        <v>3</v>
      </c>
      <c r="F4" s="20" t="s">
        <v>4</v>
      </c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2"/>
      <c r="Y4" s="22"/>
      <c r="Z4" s="22"/>
      <c r="AA4" s="21"/>
      <c r="AB4" s="21"/>
      <c r="AD4" s="23"/>
    </row>
    <row r="5" spans="4:30" s="2" customFormat="1" x14ac:dyDescent="0.25">
      <c r="D5" s="24">
        <v>1</v>
      </c>
      <c r="E5" s="25"/>
      <c r="F5" s="2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2"/>
      <c r="Y5" s="22"/>
      <c r="Z5" s="22"/>
      <c r="AA5" s="27"/>
      <c r="AB5" s="28"/>
      <c r="AD5" s="7"/>
    </row>
    <row r="6" spans="4:30" s="2" customFormat="1" x14ac:dyDescent="0.25">
      <c r="D6" s="24"/>
      <c r="E6" s="2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9"/>
      <c r="R6" s="29"/>
      <c r="S6" s="29"/>
      <c r="T6" s="29"/>
      <c r="U6" s="29"/>
      <c r="V6" s="29"/>
      <c r="W6" s="29"/>
      <c r="X6" s="30"/>
      <c r="Y6" s="30"/>
      <c r="Z6" s="30"/>
      <c r="AA6" s="29"/>
      <c r="AB6" s="31"/>
      <c r="AC6" s="4"/>
      <c r="AD6" s="7"/>
    </row>
    <row r="7" ht="13.5" customHeight="1" spans="4:33" s="32" customFormat="1" x14ac:dyDescent="0.25">
      <c r="D7" s="33"/>
      <c r="E7" s="33"/>
      <c r="F7" s="34">
        <f>SUM(F5:F6)</f>
        <v>0</v>
      </c>
      <c r="G7" s="34">
        <f>SUM(G5:G6)</f>
        <v>0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2"/>
      <c r="Y7" s="22"/>
      <c r="Z7" s="22"/>
      <c r="AA7" s="27"/>
      <c r="AB7" s="21"/>
      <c r="AC7" s="35"/>
      <c r="AD7" s="23"/>
      <c r="AE7" s="35"/>
      <c r="AF7" s="35"/>
      <c r="AG7" s="35"/>
    </row>
    <row r="8" spans="1:29" x14ac:dyDescent="0.25">
      <c r="A8" s="36"/>
      <c r="B8" s="17"/>
      <c r="C8" s="36"/>
      <c r="D8" s="17"/>
      <c r="E8" s="36"/>
      <c r="F8" s="17"/>
      <c r="G8" s="36"/>
      <c r="H8" s="17"/>
      <c r="I8" s="36"/>
      <c r="J8" s="17"/>
      <c r="K8" s="36"/>
      <c r="L8" s="17"/>
      <c r="M8" s="36"/>
      <c r="N8" s="17"/>
      <c r="O8" s="36"/>
      <c r="P8" s="17"/>
      <c r="Q8" s="36"/>
      <c r="R8" s="36"/>
      <c r="S8" s="36"/>
      <c r="T8" s="17"/>
      <c r="U8" s="17"/>
      <c r="V8" s="17"/>
      <c r="W8" s="36"/>
      <c r="X8" s="18"/>
      <c r="Y8" s="18"/>
      <c r="Z8" s="18"/>
      <c r="AA8" s="36"/>
      <c r="AB8" s="17"/>
      <c r="AC8" s="25"/>
    </row>
    <row r="9" ht="12.75" customHeight="1" spans="1:30" s="17" customFormat="1" x14ac:dyDescent="0.25">
      <c r="A9" s="37" t="s">
        <v>7</v>
      </c>
      <c r="B9" s="37" t="s">
        <v>8</v>
      </c>
      <c r="C9" s="38">
        <v>1</v>
      </c>
      <c r="D9" s="37" t="s">
        <v>9</v>
      </c>
      <c r="E9" s="37"/>
      <c r="F9" s="37"/>
      <c r="G9" s="37" t="s">
        <v>10</v>
      </c>
      <c r="H9" s="37"/>
      <c r="I9" s="37" t="s">
        <v>11</v>
      </c>
      <c r="J9" s="37"/>
      <c r="K9" s="37" t="s">
        <v>12</v>
      </c>
      <c r="L9" s="39" t="s">
        <v>13</v>
      </c>
      <c r="M9" s="39" t="s">
        <v>14</v>
      </c>
      <c r="N9" s="39" t="s">
        <v>15</v>
      </c>
      <c r="O9" s="37" t="s">
        <v>16</v>
      </c>
      <c r="P9" s="37" t="s">
        <v>17</v>
      </c>
      <c r="Q9" s="37" t="s">
        <v>18</v>
      </c>
      <c r="R9" s="37" t="s">
        <v>19</v>
      </c>
      <c r="S9" s="37" t="s">
        <v>20</v>
      </c>
      <c r="T9" s="37" t="s">
        <v>21</v>
      </c>
      <c r="U9" s="37" t="s">
        <v>22</v>
      </c>
      <c r="V9" s="37"/>
      <c r="W9" s="37" t="s">
        <v>23</v>
      </c>
      <c r="X9" s="40" t="s">
        <v>24</v>
      </c>
      <c r="Y9" s="40" t="s">
        <v>25</v>
      </c>
      <c r="Z9" s="40" t="s">
        <v>26</v>
      </c>
      <c r="AA9" s="37" t="s">
        <v>27</v>
      </c>
      <c r="AB9" s="37"/>
      <c r="AC9" s="41" t="s">
        <v>28</v>
      </c>
      <c r="AD9" s="42" t="s">
        <v>29</v>
      </c>
    </row>
    <row r="10" ht="12.75" customHeight="1" spans="12:30" x14ac:dyDescent="0.25">
      <c r="L10" s="5"/>
      <c r="M10" s="5"/>
      <c r="N10" s="5"/>
      <c r="AD10" s="7">
        <f t="shared" ref="AD10:AD73" si="0">IF(P10 = "", "", Y10/P10)</f>
      </c>
    </row>
    <row r="11" spans="30:30" x14ac:dyDescent="0.25">
      <c r="AD11" s="7">
        <f t="shared" si="0"/>
      </c>
    </row>
    <row r="12" spans="30:30" x14ac:dyDescent="0.25">
      <c r="AD12" s="7">
        <f t="shared" si="0"/>
      </c>
    </row>
    <row r="13" spans="30:30" x14ac:dyDescent="0.25">
      <c r="AD13" s="7">
        <f t="shared" si="0"/>
      </c>
    </row>
    <row r="14" spans="30:30" x14ac:dyDescent="0.25">
      <c r="AD14" s="7">
        <f t="shared" si="0"/>
      </c>
    </row>
    <row r="15" spans="30:30" x14ac:dyDescent="0.25">
      <c r="AD15" s="7">
        <f t="shared" si="0"/>
      </c>
    </row>
    <row r="16" spans="30:30" x14ac:dyDescent="0.25">
      <c r="AD16" s="7">
        <f t="shared" si="0"/>
      </c>
    </row>
    <row r="17" spans="9:30" x14ac:dyDescent="0.25">
      <c r="I17" s="2"/>
      <c r="P17" s="2"/>
      <c r="W17" s="2"/>
      <c r="X17" s="2"/>
      <c r="Y17" s="2"/>
      <c r="Z17" s="2"/>
      <c r="AD17" s="7">
        <f t="shared" si="0"/>
      </c>
    </row>
    <row r="18" spans="9:30" x14ac:dyDescent="0.25">
      <c r="I18" s="2"/>
      <c r="P18" s="2"/>
      <c r="W18" s="2"/>
      <c r="X18" s="2"/>
      <c r="Y18" s="2"/>
      <c r="Z18" s="2"/>
      <c r="AD18" s="7">
        <f t="shared" si="0"/>
      </c>
    </row>
    <row r="19" spans="9:30" x14ac:dyDescent="0.25">
      <c r="I19" s="2"/>
      <c r="P19" s="2"/>
      <c r="W19" s="2"/>
      <c r="X19" s="2"/>
      <c r="Y19" s="2"/>
      <c r="Z19" s="2"/>
      <c r="AD19" s="7">
        <f t="shared" si="0"/>
      </c>
    </row>
    <row r="20" spans="9:30" x14ac:dyDescent="0.25">
      <c r="I20" s="2"/>
      <c r="P20" s="2"/>
      <c r="W20" s="2"/>
      <c r="X20" s="2"/>
      <c r="Y20" s="2"/>
      <c r="Z20" s="2"/>
      <c r="AD20" s="7">
        <f t="shared" si="0"/>
      </c>
    </row>
    <row r="21" spans="9:30" x14ac:dyDescent="0.25">
      <c r="I21" s="2"/>
      <c r="P21" s="2"/>
      <c r="W21" s="2"/>
      <c r="X21" s="2"/>
      <c r="Y21" s="2"/>
      <c r="Z21" s="2"/>
      <c r="AD21" s="7">
        <f t="shared" si="0"/>
      </c>
    </row>
    <row r="22" spans="9:30" x14ac:dyDescent="0.25">
      <c r="I22" s="2"/>
      <c r="P22" s="2"/>
      <c r="W22" s="2"/>
      <c r="X22" s="2"/>
      <c r="Y22" s="2"/>
      <c r="Z22" s="2"/>
      <c r="AD22" s="7">
        <f t="shared" si="0"/>
      </c>
    </row>
    <row r="23" spans="9:30" x14ac:dyDescent="0.25">
      <c r="I23" s="2"/>
      <c r="P23" s="2"/>
      <c r="W23" s="2"/>
      <c r="X23" s="2"/>
      <c r="Y23" s="2"/>
      <c r="Z23" s="2"/>
      <c r="AD23" s="7">
        <f t="shared" si="0"/>
      </c>
    </row>
    <row r="24" spans="9:30" x14ac:dyDescent="0.25">
      <c r="I24" s="2"/>
      <c r="P24" s="2"/>
      <c r="W24" s="2"/>
      <c r="X24" s="2"/>
      <c r="Y24" s="2"/>
      <c r="Z24" s="2"/>
      <c r="AD24" s="7">
        <f t="shared" si="0"/>
      </c>
    </row>
    <row r="25" spans="9:30" x14ac:dyDescent="0.25">
      <c r="I25" s="2"/>
      <c r="P25" s="2"/>
      <c r="W25" s="2"/>
      <c r="X25" s="2"/>
      <c r="Y25" s="2"/>
      <c r="Z25" s="2"/>
      <c r="AD25" s="7">
        <f t="shared" si="0"/>
      </c>
    </row>
    <row r="26" spans="9:30" x14ac:dyDescent="0.25">
      <c r="I26" s="2"/>
      <c r="P26" s="2"/>
      <c r="W26" s="2"/>
      <c r="X26" s="2"/>
      <c r="Y26" s="2"/>
      <c r="Z26" s="2"/>
      <c r="AD26" s="7">
        <f t="shared" si="0"/>
      </c>
    </row>
    <row r="27" spans="9:30" x14ac:dyDescent="0.25">
      <c r="I27" s="2"/>
      <c r="P27" s="2"/>
      <c r="W27" s="2"/>
      <c r="X27" s="2"/>
      <c r="Y27" s="2"/>
      <c r="Z27" s="2"/>
      <c r="AD27" s="7">
        <f t="shared" si="0"/>
      </c>
    </row>
    <row r="28" spans="9:30" x14ac:dyDescent="0.25">
      <c r="I28" s="2"/>
      <c r="P28" s="2"/>
      <c r="W28" s="2"/>
      <c r="X28" s="2"/>
      <c r="Y28" s="2"/>
      <c r="Z28" s="2"/>
      <c r="AD28" s="7">
        <f t="shared" si="0"/>
      </c>
    </row>
    <row r="29" spans="9:30" x14ac:dyDescent="0.25">
      <c r="I29" s="2"/>
      <c r="P29" s="2"/>
      <c r="W29" s="2"/>
      <c r="X29" s="2"/>
      <c r="Y29" s="2"/>
      <c r="Z29" s="2"/>
      <c r="AD29" s="7">
        <f t="shared" si="0"/>
      </c>
    </row>
    <row r="30" spans="9:30" x14ac:dyDescent="0.25">
      <c r="I30" s="2"/>
      <c r="P30" s="2"/>
      <c r="W30" s="2"/>
      <c r="X30" s="2"/>
      <c r="Y30" s="2"/>
      <c r="Z30" s="2"/>
      <c r="AD30" s="7">
        <f t="shared" si="0"/>
      </c>
    </row>
    <row r="31" spans="9:30" x14ac:dyDescent="0.25">
      <c r="I31" s="2"/>
      <c r="P31" s="2"/>
      <c r="W31" s="2"/>
      <c r="X31" s="2"/>
      <c r="Y31" s="2"/>
      <c r="Z31" s="2"/>
      <c r="AD31" s="7">
        <f t="shared" si="0"/>
      </c>
    </row>
    <row r="32" spans="9:30" x14ac:dyDescent="0.25">
      <c r="I32" s="2"/>
      <c r="P32" s="2"/>
      <c r="W32" s="2"/>
      <c r="X32" s="2"/>
      <c r="Y32" s="2"/>
      <c r="Z32" s="2"/>
      <c r="AD32" s="7">
        <f t="shared" si="0"/>
      </c>
    </row>
    <row r="33" spans="9:30" x14ac:dyDescent="0.25">
      <c r="I33" s="2"/>
      <c r="P33" s="2"/>
      <c r="W33" s="2"/>
      <c r="X33" s="2"/>
      <c r="Y33" s="2"/>
      <c r="Z33" s="2"/>
      <c r="AD33" s="7">
        <f t="shared" si="0"/>
      </c>
    </row>
    <row r="34" spans="9:30" x14ac:dyDescent="0.25">
      <c r="I34" s="2"/>
      <c r="P34" s="2"/>
      <c r="W34" s="2"/>
      <c r="X34" s="2"/>
      <c r="Y34" s="2"/>
      <c r="Z34" s="2"/>
      <c r="AD34" s="7">
        <f t="shared" si="0"/>
      </c>
    </row>
    <row r="35" spans="9:30" x14ac:dyDescent="0.25">
      <c r="I35" s="2"/>
      <c r="P35" s="2"/>
      <c r="W35" s="2"/>
      <c r="X35" s="2"/>
      <c r="Y35" s="2"/>
      <c r="Z35" s="2"/>
      <c r="AD35" s="7">
        <f t="shared" si="0"/>
      </c>
    </row>
    <row r="36" spans="9:30" x14ac:dyDescent="0.25">
      <c r="I36" s="2"/>
      <c r="P36" s="2"/>
      <c r="W36" s="2"/>
      <c r="X36" s="2"/>
      <c r="Y36" s="2"/>
      <c r="Z36" s="2"/>
      <c r="AD36" s="7">
        <f t="shared" si="0"/>
      </c>
    </row>
    <row r="37" spans="9:30" x14ac:dyDescent="0.25">
      <c r="I37" s="2"/>
      <c r="P37" s="2"/>
      <c r="W37" s="2"/>
      <c r="X37" s="2"/>
      <c r="Y37" s="2"/>
      <c r="Z37" s="2"/>
      <c r="AD37" s="7">
        <f t="shared" si="0"/>
      </c>
    </row>
    <row r="38" spans="9:30" x14ac:dyDescent="0.25">
      <c r="I38" s="2"/>
      <c r="P38" s="2"/>
      <c r="W38" s="2"/>
      <c r="X38" s="2"/>
      <c r="Y38" s="2"/>
      <c r="Z38" s="2"/>
      <c r="AD38" s="7">
        <f t="shared" si="0"/>
      </c>
    </row>
    <row r="39" spans="9:30" x14ac:dyDescent="0.25">
      <c r="I39" s="2"/>
      <c r="P39" s="2"/>
      <c r="W39" s="2"/>
      <c r="X39" s="2"/>
      <c r="Y39" s="2"/>
      <c r="Z39" s="2"/>
      <c r="AD39" s="7">
        <f t="shared" si="0"/>
      </c>
    </row>
    <row r="40" spans="9:30" x14ac:dyDescent="0.25">
      <c r="I40" s="2"/>
      <c r="P40" s="2"/>
      <c r="W40" s="2"/>
      <c r="X40" s="2"/>
      <c r="Y40" s="2"/>
      <c r="Z40" s="2"/>
      <c r="AD40" s="7">
        <f t="shared" si="0"/>
      </c>
    </row>
    <row r="41" spans="9:30" x14ac:dyDescent="0.25">
      <c r="I41" s="2"/>
      <c r="P41" s="2"/>
      <c r="W41" s="2"/>
      <c r="X41" s="2"/>
      <c r="Y41" s="2"/>
      <c r="Z41" s="2"/>
      <c r="AD41" s="7">
        <f t="shared" si="0"/>
      </c>
    </row>
    <row r="42" spans="9:30" x14ac:dyDescent="0.25">
      <c r="I42" s="2"/>
      <c r="P42" s="2"/>
      <c r="W42" s="2"/>
      <c r="X42" s="2"/>
      <c r="Y42" s="2"/>
      <c r="Z42" s="2"/>
      <c r="AD42" s="7">
        <f t="shared" si="0"/>
      </c>
    </row>
    <row r="43" spans="9:30" x14ac:dyDescent="0.25">
      <c r="I43" s="2"/>
      <c r="P43" s="2"/>
      <c r="W43" s="2"/>
      <c r="X43" s="2"/>
      <c r="Y43" s="2"/>
      <c r="Z43" s="2"/>
      <c r="AD43" s="7">
        <f t="shared" si="0"/>
      </c>
    </row>
    <row r="44" spans="9:30" x14ac:dyDescent="0.25">
      <c r="I44" s="2"/>
      <c r="P44" s="2"/>
      <c r="W44" s="2"/>
      <c r="X44" s="2"/>
      <c r="Y44" s="2"/>
      <c r="Z44" s="2"/>
      <c r="AD44" s="7">
        <f t="shared" si="0"/>
      </c>
    </row>
    <row r="45" spans="9:30" x14ac:dyDescent="0.25">
      <c r="I45" s="2"/>
      <c r="P45" s="2"/>
      <c r="W45" s="2"/>
      <c r="X45" s="2"/>
      <c r="Y45" s="2"/>
      <c r="Z45" s="2"/>
      <c r="AD45" s="7">
        <f t="shared" si="0"/>
      </c>
    </row>
    <row r="46" spans="9:30" x14ac:dyDescent="0.25">
      <c r="I46" s="2"/>
      <c r="P46" s="2"/>
      <c r="W46" s="2"/>
      <c r="X46" s="2"/>
      <c r="Y46" s="2"/>
      <c r="Z46" s="2"/>
      <c r="AD46" s="7">
        <f t="shared" si="0"/>
      </c>
    </row>
    <row r="47" spans="9:30" x14ac:dyDescent="0.25">
      <c r="I47" s="2"/>
      <c r="P47" s="2"/>
      <c r="W47" s="2"/>
      <c r="X47" s="2"/>
      <c r="Y47" s="2"/>
      <c r="Z47" s="2"/>
      <c r="AD47" s="7">
        <f t="shared" si="0"/>
      </c>
    </row>
    <row r="48" spans="9:30" x14ac:dyDescent="0.25">
      <c r="I48" s="2"/>
      <c r="P48" s="2"/>
      <c r="W48" s="2"/>
      <c r="X48" s="2"/>
      <c r="Y48" s="2"/>
      <c r="Z48" s="2"/>
      <c r="AD48" s="7">
        <f t="shared" si="0"/>
      </c>
    </row>
    <row r="49" spans="9:30" x14ac:dyDescent="0.25">
      <c r="I49" s="2"/>
      <c r="P49" s="2"/>
      <c r="W49" s="2"/>
      <c r="X49" s="2"/>
      <c r="Y49" s="2"/>
      <c r="Z49" s="2"/>
      <c r="AD49" s="7">
        <f t="shared" si="0"/>
      </c>
    </row>
    <row r="50" spans="9:30" x14ac:dyDescent="0.25">
      <c r="I50" s="2"/>
      <c r="P50" s="2"/>
      <c r="W50" s="2"/>
      <c r="X50" s="2"/>
      <c r="Y50" s="2"/>
      <c r="Z50" s="2"/>
      <c r="AD50" s="7">
        <f t="shared" si="0"/>
      </c>
    </row>
    <row r="51" spans="9:30" x14ac:dyDescent="0.25">
      <c r="I51" s="2"/>
      <c r="P51" s="2"/>
      <c r="W51" s="2"/>
      <c r="X51" s="2"/>
      <c r="Y51" s="2"/>
      <c r="Z51" s="2"/>
      <c r="AD51" s="7">
        <f t="shared" si="0"/>
      </c>
    </row>
    <row r="52" spans="9:30" x14ac:dyDescent="0.25">
      <c r="I52" s="2"/>
      <c r="P52" s="2"/>
      <c r="W52" s="2"/>
      <c r="X52" s="2"/>
      <c r="Y52" s="2"/>
      <c r="Z52" s="2"/>
      <c r="AD52" s="7">
        <f t="shared" si="0"/>
      </c>
    </row>
    <row r="53" spans="9:30" x14ac:dyDescent="0.25">
      <c r="I53" s="2"/>
      <c r="P53" s="2"/>
      <c r="W53" s="2"/>
      <c r="X53" s="2"/>
      <c r="Y53" s="2"/>
      <c r="Z53" s="2"/>
      <c r="AD53" s="7">
        <f t="shared" si="0"/>
      </c>
    </row>
    <row r="54" spans="9:30" x14ac:dyDescent="0.25">
      <c r="I54" s="2"/>
      <c r="P54" s="2"/>
      <c r="W54" s="2"/>
      <c r="X54" s="2"/>
      <c r="Y54" s="2"/>
      <c r="Z54" s="2"/>
      <c r="AD54" s="7">
        <f t="shared" si="0"/>
      </c>
    </row>
    <row r="55" spans="9:30" x14ac:dyDescent="0.25">
      <c r="I55" s="2"/>
      <c r="P55" s="2"/>
      <c r="W55" s="2"/>
      <c r="X55" s="2"/>
      <c r="Y55" s="2"/>
      <c r="Z55" s="2"/>
      <c r="AD55" s="7">
        <f t="shared" si="0"/>
      </c>
    </row>
    <row r="56" spans="9:30" x14ac:dyDescent="0.25">
      <c r="I56" s="2"/>
      <c r="P56" s="2"/>
      <c r="W56" s="2"/>
      <c r="X56" s="2"/>
      <c r="Y56" s="2"/>
      <c r="Z56" s="2"/>
      <c r="AD56" s="7">
        <f t="shared" si="0"/>
      </c>
    </row>
    <row r="57" spans="9:30" x14ac:dyDescent="0.25">
      <c r="I57" s="2"/>
      <c r="P57" s="2"/>
      <c r="W57" s="2"/>
      <c r="X57" s="2"/>
      <c r="Y57" s="2"/>
      <c r="Z57" s="2"/>
      <c r="AD57" s="7">
        <f t="shared" si="0"/>
      </c>
    </row>
    <row r="58" spans="9:30" x14ac:dyDescent="0.25">
      <c r="I58" s="2"/>
      <c r="P58" s="2"/>
      <c r="W58" s="2"/>
      <c r="X58" s="2"/>
      <c r="Y58" s="2"/>
      <c r="Z58" s="2"/>
      <c r="AD58" s="7">
        <f t="shared" si="0"/>
      </c>
    </row>
    <row r="59" spans="9:30" x14ac:dyDescent="0.25">
      <c r="I59" s="2"/>
      <c r="P59" s="2"/>
      <c r="W59" s="2"/>
      <c r="X59" s="2"/>
      <c r="Y59" s="2"/>
      <c r="Z59" s="2"/>
      <c r="AD59" s="7">
        <f t="shared" si="0"/>
      </c>
    </row>
    <row r="60" spans="9:30" x14ac:dyDescent="0.25">
      <c r="I60" s="2"/>
      <c r="P60" s="2"/>
      <c r="W60" s="2"/>
      <c r="X60" s="2"/>
      <c r="Y60" s="2"/>
      <c r="Z60" s="2"/>
      <c r="AD60" s="7">
        <f t="shared" si="0"/>
      </c>
    </row>
    <row r="61" spans="9:30" x14ac:dyDescent="0.25">
      <c r="I61" s="2"/>
      <c r="P61" s="2"/>
      <c r="W61" s="2"/>
      <c r="X61" s="2"/>
      <c r="Y61" s="2"/>
      <c r="Z61" s="2"/>
      <c r="AD61" s="7">
        <f t="shared" si="0"/>
      </c>
    </row>
    <row r="62" spans="9:30" x14ac:dyDescent="0.25">
      <c r="I62" s="2"/>
      <c r="P62" s="2"/>
      <c r="W62" s="2"/>
      <c r="X62" s="2"/>
      <c r="Y62" s="2"/>
      <c r="Z62" s="2"/>
      <c r="AD62" s="7">
        <f t="shared" si="0"/>
      </c>
    </row>
    <row r="63" spans="9:30" x14ac:dyDescent="0.25">
      <c r="I63" s="2"/>
      <c r="P63" s="2"/>
      <c r="W63" s="2"/>
      <c r="X63" s="2"/>
      <c r="Y63" s="2"/>
      <c r="Z63" s="2"/>
      <c r="AD63" s="7">
        <f t="shared" si="0"/>
      </c>
    </row>
    <row r="64" spans="9:30" x14ac:dyDescent="0.25">
      <c r="I64" s="2"/>
      <c r="P64" s="2"/>
      <c r="W64" s="2"/>
      <c r="X64" s="2"/>
      <c r="Y64" s="2"/>
      <c r="Z64" s="2"/>
      <c r="AD64" s="7">
        <f t="shared" si="0"/>
      </c>
    </row>
    <row r="65" spans="9:30" x14ac:dyDescent="0.25">
      <c r="I65" s="2"/>
      <c r="P65" s="2"/>
      <c r="W65" s="2"/>
      <c r="X65" s="2"/>
      <c r="Y65" s="2"/>
      <c r="Z65" s="2"/>
      <c r="AD65" s="7">
        <f t="shared" si="0"/>
      </c>
    </row>
    <row r="66" spans="9:30" x14ac:dyDescent="0.25">
      <c r="I66" s="2"/>
      <c r="P66" s="2"/>
      <c r="W66" s="2"/>
      <c r="X66" s="2"/>
      <c r="Y66" s="2"/>
      <c r="Z66" s="2"/>
      <c r="AD66" s="7">
        <f t="shared" si="0"/>
      </c>
    </row>
    <row r="67" spans="9:30" x14ac:dyDescent="0.25">
      <c r="I67" s="2"/>
      <c r="P67" s="2"/>
      <c r="W67" s="2"/>
      <c r="X67" s="2"/>
      <c r="Y67" s="2"/>
      <c r="Z67" s="2"/>
      <c r="AD67" s="7">
        <f t="shared" si="0"/>
      </c>
    </row>
    <row r="68" spans="9:30" x14ac:dyDescent="0.25">
      <c r="I68" s="2"/>
      <c r="P68" s="2"/>
      <c r="W68" s="2"/>
      <c r="X68" s="2"/>
      <c r="Y68" s="2"/>
      <c r="Z68" s="2"/>
      <c r="AD68" s="7">
        <f t="shared" si="0"/>
      </c>
    </row>
    <row r="69" spans="9:30" x14ac:dyDescent="0.25">
      <c r="I69" s="2"/>
      <c r="P69" s="2"/>
      <c r="W69" s="2"/>
      <c r="X69" s="2"/>
      <c r="Y69" s="2"/>
      <c r="Z69" s="2"/>
      <c r="AD69" s="7">
        <f t="shared" si="0"/>
      </c>
    </row>
    <row r="70" spans="9:30" x14ac:dyDescent="0.25">
      <c r="I70" s="2"/>
      <c r="P70" s="2"/>
      <c r="W70" s="2"/>
      <c r="X70" s="2"/>
      <c r="Y70" s="2"/>
      <c r="Z70" s="2"/>
      <c r="AD70" s="7">
        <f t="shared" si="0"/>
      </c>
    </row>
    <row r="71" spans="9:30" x14ac:dyDescent="0.25">
      <c r="I71" s="2"/>
      <c r="P71" s="2"/>
      <c r="W71" s="2"/>
      <c r="X71" s="2"/>
      <c r="Y71" s="2"/>
      <c r="Z71" s="2"/>
      <c r="AD71" s="7">
        <f t="shared" si="0"/>
      </c>
    </row>
    <row r="72" spans="9:30" x14ac:dyDescent="0.25">
      <c r="I72" s="2"/>
      <c r="P72" s="2"/>
      <c r="W72" s="2"/>
      <c r="X72" s="2"/>
      <c r="Y72" s="2"/>
      <c r="Z72" s="2"/>
      <c r="AD72" s="7">
        <f t="shared" si="0"/>
      </c>
    </row>
    <row r="73" spans="9:30" x14ac:dyDescent="0.25">
      <c r="I73" s="2"/>
      <c r="P73" s="2"/>
      <c r="W73" s="2"/>
      <c r="X73" s="2"/>
      <c r="Y73" s="2"/>
      <c r="Z73" s="2"/>
      <c r="AD73" s="7">
        <f t="shared" si="0"/>
      </c>
    </row>
    <row r="74" spans="9:30" x14ac:dyDescent="0.25">
      <c r="I74" s="2"/>
      <c r="P74" s="2"/>
      <c r="W74" s="2"/>
      <c r="X74" s="2"/>
      <c r="Y74" s="2"/>
      <c r="Z74" s="2"/>
      <c r="AD74" s="7">
        <f t="shared" ref="AD74:AD137" si="1">IF(P74 = "", "", Y74/P74)</f>
      </c>
    </row>
    <row r="75" spans="9:30" x14ac:dyDescent="0.25">
      <c r="I75" s="2"/>
      <c r="P75" s="2"/>
      <c r="W75" s="2"/>
      <c r="X75" s="2"/>
      <c r="Y75" s="2"/>
      <c r="Z75" s="2"/>
      <c r="AD75" s="7">
        <f t="shared" si="1"/>
      </c>
    </row>
    <row r="76" spans="9:30" x14ac:dyDescent="0.25">
      <c r="I76" s="2"/>
      <c r="P76" s="2"/>
      <c r="W76" s="2"/>
      <c r="X76" s="2"/>
      <c r="Y76" s="2"/>
      <c r="Z76" s="2"/>
      <c r="AD76" s="7">
        <f t="shared" si="1"/>
      </c>
    </row>
    <row r="77" spans="9:30" x14ac:dyDescent="0.25">
      <c r="I77" s="2"/>
      <c r="P77" s="2"/>
      <c r="W77" s="2"/>
      <c r="X77" s="2"/>
      <c r="Y77" s="2"/>
      <c r="Z77" s="2"/>
      <c r="AD77" s="7">
        <f t="shared" si="1"/>
      </c>
    </row>
    <row r="78" spans="9:30" x14ac:dyDescent="0.25">
      <c r="I78" s="2"/>
      <c r="P78" s="2"/>
      <c r="W78" s="2"/>
      <c r="X78" s="2"/>
      <c r="Y78" s="2"/>
      <c r="Z78" s="2"/>
      <c r="AD78" s="7">
        <f t="shared" si="1"/>
      </c>
    </row>
    <row r="79" spans="9:30" x14ac:dyDescent="0.25">
      <c r="I79" s="2"/>
      <c r="P79" s="2"/>
      <c r="W79" s="2"/>
      <c r="X79" s="2"/>
      <c r="Y79" s="2"/>
      <c r="Z79" s="2"/>
      <c r="AD79" s="7">
        <f t="shared" si="1"/>
      </c>
    </row>
    <row r="80" spans="9:30" x14ac:dyDescent="0.25">
      <c r="I80" s="2"/>
      <c r="P80" s="2"/>
      <c r="W80" s="2"/>
      <c r="X80" s="2"/>
      <c r="Y80" s="2"/>
      <c r="Z80" s="2"/>
      <c r="AD80" s="7">
        <f t="shared" si="1"/>
      </c>
    </row>
    <row r="81" spans="9:30" x14ac:dyDescent="0.25">
      <c r="I81" s="2"/>
      <c r="P81" s="2"/>
      <c r="W81" s="2"/>
      <c r="X81" s="2"/>
      <c r="Y81" s="2"/>
      <c r="Z81" s="2"/>
      <c r="AD81" s="7">
        <f t="shared" si="1"/>
      </c>
    </row>
    <row r="82" spans="9:30" x14ac:dyDescent="0.25">
      <c r="I82" s="2"/>
      <c r="P82" s="2"/>
      <c r="W82" s="2"/>
      <c r="X82" s="2"/>
      <c r="Y82" s="2"/>
      <c r="Z82" s="2"/>
      <c r="AD82" s="7">
        <f t="shared" si="1"/>
      </c>
    </row>
    <row r="83" spans="9:30" x14ac:dyDescent="0.25">
      <c r="I83" s="2"/>
      <c r="P83" s="2"/>
      <c r="W83" s="2"/>
      <c r="X83" s="2"/>
      <c r="Y83" s="2"/>
      <c r="Z83" s="2"/>
      <c r="AD83" s="7">
        <f t="shared" si="1"/>
      </c>
    </row>
    <row r="84" spans="9:30" x14ac:dyDescent="0.25">
      <c r="I84" s="2"/>
      <c r="P84" s="2"/>
      <c r="W84" s="2"/>
      <c r="X84" s="2"/>
      <c r="Y84" s="2"/>
      <c r="Z84" s="2"/>
      <c r="AD84" s="7">
        <f t="shared" si="1"/>
      </c>
    </row>
    <row r="85" spans="9:30" x14ac:dyDescent="0.25">
      <c r="I85" s="2"/>
      <c r="P85" s="2"/>
      <c r="W85" s="2"/>
      <c r="X85" s="2"/>
      <c r="Y85" s="2"/>
      <c r="Z85" s="2"/>
      <c r="AD85" s="7">
        <f t="shared" si="1"/>
      </c>
    </row>
    <row r="86" spans="9:30" x14ac:dyDescent="0.25">
      <c r="I86" s="2"/>
      <c r="P86" s="2"/>
      <c r="W86" s="2"/>
      <c r="X86" s="2"/>
      <c r="Y86" s="2"/>
      <c r="Z86" s="2"/>
      <c r="AD86" s="7">
        <f t="shared" si="1"/>
      </c>
    </row>
    <row r="87" spans="9:30" x14ac:dyDescent="0.25">
      <c r="I87" s="2"/>
      <c r="P87" s="2"/>
      <c r="W87" s="2"/>
      <c r="X87" s="2"/>
      <c r="Y87" s="2"/>
      <c r="Z87" s="2"/>
      <c r="AD87" s="7">
        <f t="shared" si="1"/>
      </c>
    </row>
    <row r="88" spans="9:30" x14ac:dyDescent="0.25">
      <c r="I88" s="2"/>
      <c r="P88" s="2"/>
      <c r="W88" s="2"/>
      <c r="X88" s="2"/>
      <c r="Y88" s="2"/>
      <c r="Z88" s="2"/>
      <c r="AD88" s="7">
        <f t="shared" si="1"/>
      </c>
    </row>
    <row r="89" spans="9:30" x14ac:dyDescent="0.25">
      <c r="I89" s="2"/>
      <c r="P89" s="2"/>
      <c r="W89" s="2"/>
      <c r="X89" s="2"/>
      <c r="Y89" s="2"/>
      <c r="Z89" s="2"/>
      <c r="AD89" s="7">
        <f t="shared" si="1"/>
      </c>
    </row>
    <row r="90" spans="9:30" x14ac:dyDescent="0.25">
      <c r="I90" s="2"/>
      <c r="P90" s="2"/>
      <c r="W90" s="2"/>
      <c r="X90" s="2"/>
      <c r="Y90" s="2"/>
      <c r="Z90" s="2"/>
      <c r="AD90" s="7">
        <f t="shared" si="1"/>
      </c>
    </row>
    <row r="91" spans="9:30" x14ac:dyDescent="0.25">
      <c r="I91" s="2"/>
      <c r="P91" s="2"/>
      <c r="W91" s="2"/>
      <c r="X91" s="2"/>
      <c r="Y91" s="2"/>
      <c r="Z91" s="2"/>
      <c r="AD91" s="7">
        <f t="shared" si="1"/>
      </c>
    </row>
    <row r="92" spans="9:30" x14ac:dyDescent="0.25">
      <c r="I92" s="2"/>
      <c r="P92" s="2"/>
      <c r="W92" s="2"/>
      <c r="X92" s="2"/>
      <c r="Y92" s="2"/>
      <c r="Z92" s="2"/>
      <c r="AD92" s="7">
        <f t="shared" si="1"/>
      </c>
    </row>
    <row r="93" spans="9:30" x14ac:dyDescent="0.25">
      <c r="I93" s="2"/>
      <c r="P93" s="2"/>
      <c r="W93" s="2"/>
      <c r="X93" s="2"/>
      <c r="Y93" s="2"/>
      <c r="Z93" s="2"/>
      <c r="AD93" s="7">
        <f t="shared" si="1"/>
      </c>
    </row>
    <row r="94" spans="9:30" x14ac:dyDescent="0.25">
      <c r="I94" s="2"/>
      <c r="P94" s="2"/>
      <c r="W94" s="2"/>
      <c r="X94" s="2"/>
      <c r="Y94" s="2"/>
      <c r="Z94" s="2"/>
      <c r="AD94" s="7">
        <f t="shared" si="1"/>
      </c>
    </row>
    <row r="95" spans="9:30" x14ac:dyDescent="0.25">
      <c r="I95" s="2"/>
      <c r="P95" s="2"/>
      <c r="W95" s="2"/>
      <c r="X95" s="2"/>
      <c r="Y95" s="2"/>
      <c r="Z95" s="2"/>
      <c r="AD95" s="7">
        <f t="shared" si="1"/>
      </c>
    </row>
    <row r="96" spans="9:30" x14ac:dyDescent="0.25">
      <c r="I96" s="2"/>
      <c r="P96" s="2"/>
      <c r="W96" s="2"/>
      <c r="X96" s="2"/>
      <c r="Y96" s="2"/>
      <c r="Z96" s="2"/>
      <c r="AD96" s="7">
        <f t="shared" si="1"/>
      </c>
    </row>
    <row r="97" spans="9:30" x14ac:dyDescent="0.25">
      <c r="I97" s="2"/>
      <c r="P97" s="2"/>
      <c r="W97" s="2"/>
      <c r="X97" s="2"/>
      <c r="Y97" s="2"/>
      <c r="Z97" s="2"/>
      <c r="AD97" s="7">
        <f t="shared" si="1"/>
      </c>
    </row>
    <row r="98" spans="9:30" x14ac:dyDescent="0.25">
      <c r="I98" s="2"/>
      <c r="P98" s="2"/>
      <c r="W98" s="2"/>
      <c r="X98" s="2"/>
      <c r="Y98" s="2"/>
      <c r="Z98" s="2"/>
      <c r="AD98" s="7">
        <f t="shared" si="1"/>
      </c>
    </row>
    <row r="99" spans="9:30" x14ac:dyDescent="0.25">
      <c r="I99" s="2"/>
      <c r="P99" s="2"/>
      <c r="W99" s="2"/>
      <c r="X99" s="2"/>
      <c r="Y99" s="2"/>
      <c r="Z99" s="2"/>
      <c r="AD99" s="7">
        <f t="shared" si="1"/>
      </c>
    </row>
    <row r="100" spans="9:30" x14ac:dyDescent="0.25">
      <c r="I100" s="2"/>
      <c r="P100" s="2"/>
      <c r="W100" s="2"/>
      <c r="X100" s="2"/>
      <c r="Y100" s="2"/>
      <c r="Z100" s="2"/>
      <c r="AD100" s="7">
        <f t="shared" si="1"/>
      </c>
    </row>
    <row r="101" spans="9:30" x14ac:dyDescent="0.25">
      <c r="I101" s="2"/>
      <c r="P101" s="2"/>
      <c r="W101" s="2"/>
      <c r="X101" s="2"/>
      <c r="Y101" s="2"/>
      <c r="Z101" s="2"/>
      <c r="AD101" s="7">
        <f t="shared" si="1"/>
      </c>
    </row>
    <row r="102" spans="9:30" x14ac:dyDescent="0.25">
      <c r="I102" s="2"/>
      <c r="P102" s="2"/>
      <c r="W102" s="2"/>
      <c r="X102" s="2"/>
      <c r="Y102" s="2"/>
      <c r="Z102" s="2"/>
      <c r="AD102" s="7">
        <f t="shared" si="1"/>
      </c>
    </row>
    <row r="103" spans="9:30" x14ac:dyDescent="0.25">
      <c r="I103" s="2"/>
      <c r="P103" s="2"/>
      <c r="W103" s="2"/>
      <c r="X103" s="2"/>
      <c r="Y103" s="2"/>
      <c r="Z103" s="2"/>
      <c r="AD103" s="7">
        <f t="shared" si="1"/>
      </c>
    </row>
    <row r="104" spans="9:30" x14ac:dyDescent="0.25">
      <c r="I104" s="2"/>
      <c r="P104" s="2"/>
      <c r="W104" s="2"/>
      <c r="X104" s="2"/>
      <c r="Y104" s="2"/>
      <c r="Z104" s="2"/>
      <c r="AD104" s="7">
        <f t="shared" si="1"/>
      </c>
    </row>
    <row r="105" spans="9:30" x14ac:dyDescent="0.25">
      <c r="I105" s="2"/>
      <c r="P105" s="2"/>
      <c r="W105" s="2"/>
      <c r="X105" s="2"/>
      <c r="Y105" s="2"/>
      <c r="Z105" s="2"/>
      <c r="AD105" s="7">
        <f t="shared" si="1"/>
      </c>
    </row>
    <row r="106" spans="9:30" x14ac:dyDescent="0.25">
      <c r="I106" s="2"/>
      <c r="P106" s="2"/>
      <c r="W106" s="2"/>
      <c r="X106" s="2"/>
      <c r="Y106" s="2"/>
      <c r="Z106" s="2"/>
      <c r="AD106" s="7">
        <f t="shared" si="1"/>
      </c>
    </row>
    <row r="107" spans="9:30" x14ac:dyDescent="0.25">
      <c r="I107" s="2"/>
      <c r="P107" s="2"/>
      <c r="W107" s="2"/>
      <c r="X107" s="2"/>
      <c r="Y107" s="2"/>
      <c r="Z107" s="2"/>
      <c r="AD107" s="7">
        <f t="shared" si="1"/>
      </c>
    </row>
    <row r="108" spans="9:30" x14ac:dyDescent="0.25">
      <c r="I108" s="2"/>
      <c r="P108" s="2"/>
      <c r="W108" s="2"/>
      <c r="X108" s="2"/>
      <c r="Y108" s="2"/>
      <c r="Z108" s="2"/>
      <c r="AD108" s="7">
        <f t="shared" si="1"/>
      </c>
    </row>
    <row r="109" spans="9:30" x14ac:dyDescent="0.25">
      <c r="I109" s="2"/>
      <c r="P109" s="2"/>
      <c r="W109" s="2"/>
      <c r="X109" s="2"/>
      <c r="Y109" s="2"/>
      <c r="Z109" s="2"/>
      <c r="AD109" s="7">
        <f t="shared" si="1"/>
      </c>
    </row>
    <row r="110" spans="9:30" x14ac:dyDescent="0.25">
      <c r="I110" s="2"/>
      <c r="P110" s="2"/>
      <c r="W110" s="2"/>
      <c r="X110" s="2"/>
      <c r="Y110" s="2"/>
      <c r="Z110" s="2"/>
      <c r="AD110" s="7">
        <f t="shared" si="1"/>
      </c>
    </row>
    <row r="111" spans="9:30" x14ac:dyDescent="0.25">
      <c r="I111" s="2"/>
      <c r="P111" s="2"/>
      <c r="W111" s="2"/>
      <c r="X111" s="2"/>
      <c r="Y111" s="2"/>
      <c r="Z111" s="2"/>
      <c r="AD111" s="7">
        <f t="shared" si="1"/>
      </c>
    </row>
    <row r="112" spans="9:30" x14ac:dyDescent="0.25">
      <c r="I112" s="2"/>
      <c r="P112" s="2"/>
      <c r="W112" s="2"/>
      <c r="X112" s="2"/>
      <c r="Y112" s="2"/>
      <c r="Z112" s="2"/>
      <c r="AD112" s="7">
        <f t="shared" si="1"/>
      </c>
    </row>
    <row r="113" spans="9:30" x14ac:dyDescent="0.25">
      <c r="I113" s="2"/>
      <c r="P113" s="2"/>
      <c r="W113" s="2"/>
      <c r="X113" s="2"/>
      <c r="Y113" s="2"/>
      <c r="Z113" s="2"/>
      <c r="AD113" s="7">
        <f t="shared" si="1"/>
      </c>
    </row>
    <row r="114" spans="9:30" x14ac:dyDescent="0.25">
      <c r="I114" s="2"/>
      <c r="P114" s="2"/>
      <c r="W114" s="2"/>
      <c r="X114" s="2"/>
      <c r="Y114" s="2"/>
      <c r="Z114" s="2"/>
      <c r="AD114" s="7">
        <f t="shared" si="1"/>
      </c>
    </row>
    <row r="115" spans="9:30" x14ac:dyDescent="0.25">
      <c r="I115" s="2"/>
      <c r="P115" s="2"/>
      <c r="W115" s="2"/>
      <c r="X115" s="2"/>
      <c r="Y115" s="2"/>
      <c r="Z115" s="2"/>
      <c r="AD115" s="7">
        <f t="shared" si="1"/>
      </c>
    </row>
    <row r="116" spans="9:30" x14ac:dyDescent="0.25">
      <c r="I116" s="2"/>
      <c r="P116" s="2"/>
      <c r="W116" s="2"/>
      <c r="X116" s="2"/>
      <c r="Y116" s="2"/>
      <c r="Z116" s="2"/>
      <c r="AD116" s="7">
        <f t="shared" si="1"/>
      </c>
    </row>
    <row r="117" spans="9:30" x14ac:dyDescent="0.25">
      <c r="I117" s="2"/>
      <c r="P117" s="2"/>
      <c r="W117" s="2"/>
      <c r="X117" s="2"/>
      <c r="Y117" s="2"/>
      <c r="Z117" s="2"/>
      <c r="AD117" s="7">
        <f t="shared" si="1"/>
      </c>
    </row>
    <row r="118" spans="9:30" x14ac:dyDescent="0.25">
      <c r="I118" s="2"/>
      <c r="P118" s="2"/>
      <c r="W118" s="2"/>
      <c r="X118" s="2"/>
      <c r="Y118" s="2"/>
      <c r="Z118" s="2"/>
      <c r="AD118" s="7">
        <f t="shared" si="1"/>
      </c>
    </row>
    <row r="119" spans="9:30" x14ac:dyDescent="0.25">
      <c r="I119" s="2"/>
      <c r="P119" s="2"/>
      <c r="W119" s="2"/>
      <c r="X119" s="2"/>
      <c r="Y119" s="2"/>
      <c r="Z119" s="2"/>
      <c r="AD119" s="7">
        <f t="shared" si="1"/>
      </c>
    </row>
    <row r="120" spans="9:30" x14ac:dyDescent="0.25">
      <c r="I120" s="2"/>
      <c r="P120" s="2"/>
      <c r="W120" s="2"/>
      <c r="X120" s="2"/>
      <c r="Y120" s="2"/>
      <c r="Z120" s="2"/>
      <c r="AD120" s="7">
        <f t="shared" si="1"/>
      </c>
    </row>
    <row r="121" spans="9:30" x14ac:dyDescent="0.25">
      <c r="I121" s="2"/>
      <c r="P121" s="2"/>
      <c r="W121" s="2"/>
      <c r="X121" s="2"/>
      <c r="Y121" s="2"/>
      <c r="Z121" s="2"/>
      <c r="AD121" s="7">
        <f t="shared" si="1"/>
      </c>
    </row>
    <row r="122" spans="9:30" x14ac:dyDescent="0.25">
      <c r="I122" s="2"/>
      <c r="P122" s="2"/>
      <c r="W122" s="2"/>
      <c r="X122" s="2"/>
      <c r="Y122" s="2"/>
      <c r="Z122" s="2"/>
      <c r="AD122" s="7">
        <f t="shared" si="1"/>
      </c>
    </row>
    <row r="123" spans="9:30" x14ac:dyDescent="0.25">
      <c r="I123" s="2"/>
      <c r="P123" s="2"/>
      <c r="W123" s="2"/>
      <c r="X123" s="2"/>
      <c r="Y123" s="2"/>
      <c r="Z123" s="2"/>
      <c r="AD123" s="7">
        <f t="shared" si="1"/>
      </c>
    </row>
    <row r="124" spans="9:30" x14ac:dyDescent="0.25">
      <c r="I124" s="2"/>
      <c r="P124" s="2"/>
      <c r="W124" s="2"/>
      <c r="X124" s="2"/>
      <c r="Y124" s="2"/>
      <c r="Z124" s="2"/>
      <c r="AD124" s="7">
        <f t="shared" si="1"/>
      </c>
    </row>
    <row r="125" spans="9:30" x14ac:dyDescent="0.25">
      <c r="I125" s="2"/>
      <c r="P125" s="2"/>
      <c r="W125" s="2"/>
      <c r="X125" s="2"/>
      <c r="Y125" s="2"/>
      <c r="Z125" s="2"/>
      <c r="AD125" s="7">
        <f t="shared" si="1"/>
      </c>
    </row>
    <row r="126" spans="9:30" x14ac:dyDescent="0.25">
      <c r="I126" s="2"/>
      <c r="P126" s="2"/>
      <c r="W126" s="2"/>
      <c r="X126" s="2"/>
      <c r="Y126" s="2"/>
      <c r="Z126" s="2"/>
      <c r="AD126" s="7">
        <f t="shared" si="1"/>
      </c>
    </row>
    <row r="127" spans="9:30" x14ac:dyDescent="0.25">
      <c r="I127" s="2"/>
      <c r="P127" s="2"/>
      <c r="W127" s="2"/>
      <c r="X127" s="2"/>
      <c r="Y127" s="2"/>
      <c r="Z127" s="2"/>
      <c r="AD127" s="7">
        <f t="shared" si="1"/>
      </c>
    </row>
    <row r="128" spans="9:30" x14ac:dyDescent="0.25">
      <c r="I128" s="2"/>
      <c r="P128" s="2"/>
      <c r="W128" s="2"/>
      <c r="X128" s="2"/>
      <c r="Y128" s="2"/>
      <c r="Z128" s="2"/>
      <c r="AD128" s="7">
        <f t="shared" si="1"/>
      </c>
    </row>
    <row r="129" spans="9:30" x14ac:dyDescent="0.25">
      <c r="I129" s="2"/>
      <c r="P129" s="2"/>
      <c r="W129" s="2"/>
      <c r="X129" s="2"/>
      <c r="Y129" s="2"/>
      <c r="Z129" s="2"/>
      <c r="AD129" s="7">
        <f t="shared" si="1"/>
      </c>
    </row>
    <row r="130" spans="9:30" x14ac:dyDescent="0.25">
      <c r="I130" s="2"/>
      <c r="P130" s="2"/>
      <c r="W130" s="2"/>
      <c r="X130" s="2"/>
      <c r="Y130" s="2"/>
      <c r="Z130" s="2"/>
      <c r="AD130" s="7">
        <f t="shared" si="1"/>
      </c>
    </row>
    <row r="131" spans="9:30" x14ac:dyDescent="0.25">
      <c r="I131" s="2"/>
      <c r="P131" s="2"/>
      <c r="W131" s="2"/>
      <c r="X131" s="2"/>
      <c r="Y131" s="2"/>
      <c r="Z131" s="2"/>
      <c r="AD131" s="7">
        <f t="shared" si="1"/>
      </c>
    </row>
    <row r="132" spans="9:30" x14ac:dyDescent="0.25">
      <c r="I132" s="2"/>
      <c r="P132" s="2"/>
      <c r="W132" s="2"/>
      <c r="X132" s="2"/>
      <c r="Y132" s="2"/>
      <c r="Z132" s="2"/>
      <c r="AD132" s="7">
        <f t="shared" si="1"/>
      </c>
    </row>
    <row r="133" spans="9:30" x14ac:dyDescent="0.25">
      <c r="I133" s="2"/>
      <c r="P133" s="2"/>
      <c r="W133" s="2"/>
      <c r="X133" s="2"/>
      <c r="Y133" s="2"/>
      <c r="Z133" s="2"/>
      <c r="AD133" s="7">
        <f t="shared" si="1"/>
      </c>
    </row>
    <row r="134" spans="9:30" x14ac:dyDescent="0.25">
      <c r="I134" s="2"/>
      <c r="P134" s="2"/>
      <c r="W134" s="2"/>
      <c r="X134" s="2"/>
      <c r="Y134" s="2"/>
      <c r="Z134" s="2"/>
      <c r="AD134" s="7">
        <f t="shared" si="1"/>
      </c>
    </row>
    <row r="135" spans="9:30" x14ac:dyDescent="0.25">
      <c r="I135" s="2"/>
      <c r="P135" s="2"/>
      <c r="W135" s="2"/>
      <c r="X135" s="2"/>
      <c r="Y135" s="2"/>
      <c r="Z135" s="2"/>
      <c r="AD135" s="7">
        <f t="shared" si="1"/>
      </c>
    </row>
    <row r="136" spans="9:30" x14ac:dyDescent="0.25">
      <c r="I136" s="2"/>
      <c r="P136" s="2"/>
      <c r="W136" s="2"/>
      <c r="X136" s="2"/>
      <c r="Y136" s="2"/>
      <c r="Z136" s="2"/>
      <c r="AD136" s="7">
        <f t="shared" si="1"/>
      </c>
    </row>
    <row r="137" spans="9:30" x14ac:dyDescent="0.25">
      <c r="I137" s="2"/>
      <c r="P137" s="2"/>
      <c r="W137" s="2"/>
      <c r="X137" s="2"/>
      <c r="Y137" s="2"/>
      <c r="Z137" s="2"/>
      <c r="AD137" s="7">
        <f t="shared" si="1"/>
      </c>
    </row>
    <row r="138" spans="9:30" x14ac:dyDescent="0.25">
      <c r="I138" s="2"/>
      <c r="P138" s="2"/>
      <c r="W138" s="2"/>
      <c r="X138" s="2"/>
      <c r="Y138" s="2"/>
      <c r="Z138" s="2"/>
      <c r="AD138" s="7">
        <f t="shared" ref="AD138:AD201" si="2">IF(P138 = "", "", Y138/P138)</f>
      </c>
    </row>
    <row r="139" spans="9:30" x14ac:dyDescent="0.25">
      <c r="I139" s="2"/>
      <c r="P139" s="2"/>
      <c r="W139" s="2"/>
      <c r="X139" s="2"/>
      <c r="Y139" s="2"/>
      <c r="Z139" s="2"/>
      <c r="AD139" s="7">
        <f t="shared" si="2"/>
      </c>
    </row>
    <row r="140" spans="9:30" x14ac:dyDescent="0.25">
      <c r="I140" s="2"/>
      <c r="P140" s="2"/>
      <c r="W140" s="2"/>
      <c r="X140" s="2"/>
      <c r="Y140" s="2"/>
      <c r="Z140" s="2"/>
      <c r="AD140" s="7">
        <f t="shared" si="2"/>
      </c>
    </row>
    <row r="141" spans="9:30" x14ac:dyDescent="0.25">
      <c r="I141" s="2"/>
      <c r="P141" s="2"/>
      <c r="W141" s="2"/>
      <c r="X141" s="2"/>
      <c r="Y141" s="2"/>
      <c r="Z141" s="2"/>
      <c r="AD141" s="7">
        <f t="shared" si="2"/>
      </c>
    </row>
    <row r="142" spans="9:30" x14ac:dyDescent="0.25">
      <c r="I142" s="2"/>
      <c r="P142" s="2"/>
      <c r="W142" s="2"/>
      <c r="X142" s="2"/>
      <c r="Y142" s="2"/>
      <c r="Z142" s="2"/>
      <c r="AD142" s="7">
        <f t="shared" si="2"/>
      </c>
    </row>
    <row r="143" spans="9:30" x14ac:dyDescent="0.25">
      <c r="I143" s="2"/>
      <c r="P143" s="2"/>
      <c r="W143" s="2"/>
      <c r="X143" s="2"/>
      <c r="Y143" s="2"/>
      <c r="Z143" s="2"/>
      <c r="AD143" s="7">
        <f t="shared" si="2"/>
      </c>
    </row>
    <row r="144" spans="9:30" x14ac:dyDescent="0.25">
      <c r="I144" s="2"/>
      <c r="P144" s="2"/>
      <c r="W144" s="2"/>
      <c r="X144" s="2"/>
      <c r="Y144" s="2"/>
      <c r="Z144" s="2"/>
      <c r="AD144" s="7">
        <f t="shared" si="2"/>
      </c>
    </row>
    <row r="145" spans="9:30" x14ac:dyDescent="0.25">
      <c r="I145" s="2"/>
      <c r="P145" s="2"/>
      <c r="W145" s="2"/>
      <c r="X145" s="2"/>
      <c r="Y145" s="2"/>
      <c r="Z145" s="2"/>
      <c r="AD145" s="7">
        <f t="shared" si="2"/>
      </c>
    </row>
    <row r="146" spans="9:30" x14ac:dyDescent="0.25">
      <c r="I146" s="2"/>
      <c r="P146" s="2"/>
      <c r="W146" s="2"/>
      <c r="X146" s="2"/>
      <c r="Y146" s="2"/>
      <c r="Z146" s="2"/>
      <c r="AD146" s="7">
        <f t="shared" si="2"/>
      </c>
    </row>
    <row r="147" spans="9:30" x14ac:dyDescent="0.25">
      <c r="I147" s="2"/>
      <c r="P147" s="2"/>
      <c r="W147" s="2"/>
      <c r="X147" s="2"/>
      <c r="Y147" s="2"/>
      <c r="Z147" s="2"/>
      <c r="AD147" s="7">
        <f t="shared" si="2"/>
      </c>
    </row>
    <row r="148" spans="9:30" x14ac:dyDescent="0.25">
      <c r="I148" s="2"/>
      <c r="P148" s="2"/>
      <c r="W148" s="2"/>
      <c r="X148" s="2"/>
      <c r="Y148" s="2"/>
      <c r="Z148" s="2"/>
      <c r="AD148" s="7">
        <f t="shared" si="2"/>
      </c>
    </row>
    <row r="149" spans="9:30" x14ac:dyDescent="0.25">
      <c r="I149" s="2"/>
      <c r="P149" s="2"/>
      <c r="W149" s="2"/>
      <c r="X149" s="2"/>
      <c r="Y149" s="2"/>
      <c r="Z149" s="2"/>
      <c r="AD149" s="7">
        <f t="shared" si="2"/>
      </c>
    </row>
    <row r="150" spans="9:30" x14ac:dyDescent="0.25">
      <c r="I150" s="2"/>
      <c r="P150" s="2"/>
      <c r="W150" s="2"/>
      <c r="X150" s="2"/>
      <c r="Y150" s="2"/>
      <c r="Z150" s="2"/>
      <c r="AD150" s="7">
        <f t="shared" si="2"/>
      </c>
    </row>
    <row r="151" spans="9:30" x14ac:dyDescent="0.25">
      <c r="I151" s="2"/>
      <c r="P151" s="2"/>
      <c r="W151" s="2"/>
      <c r="X151" s="2"/>
      <c r="Y151" s="2"/>
      <c r="Z151" s="2"/>
      <c r="AD151" s="7">
        <f t="shared" si="2"/>
      </c>
    </row>
    <row r="152" spans="9:30" x14ac:dyDescent="0.25">
      <c r="I152" s="2"/>
      <c r="P152" s="2"/>
      <c r="W152" s="2"/>
      <c r="X152" s="2"/>
      <c r="Y152" s="2"/>
      <c r="Z152" s="2"/>
      <c r="AD152" s="7">
        <f t="shared" si="2"/>
      </c>
    </row>
    <row r="153" spans="9:30" x14ac:dyDescent="0.25">
      <c r="I153" s="2"/>
      <c r="P153" s="2"/>
      <c r="W153" s="2"/>
      <c r="X153" s="2"/>
      <c r="Y153" s="2"/>
      <c r="Z153" s="2"/>
      <c r="AD153" s="7">
        <f t="shared" si="2"/>
      </c>
    </row>
    <row r="154" spans="9:30" x14ac:dyDescent="0.25">
      <c r="I154" s="2"/>
      <c r="P154" s="2"/>
      <c r="W154" s="2"/>
      <c r="X154" s="2"/>
      <c r="Y154" s="2"/>
      <c r="Z154" s="2"/>
      <c r="AD154" s="7">
        <f t="shared" si="2"/>
      </c>
    </row>
    <row r="155" spans="9:30" x14ac:dyDescent="0.25">
      <c r="I155" s="2"/>
      <c r="P155" s="2"/>
      <c r="W155" s="2"/>
      <c r="X155" s="2"/>
      <c r="Y155" s="2"/>
      <c r="Z155" s="2"/>
      <c r="AD155" s="7">
        <f t="shared" si="2"/>
      </c>
    </row>
    <row r="156" spans="9:30" x14ac:dyDescent="0.25">
      <c r="I156" s="2"/>
      <c r="P156" s="2"/>
      <c r="W156" s="2"/>
      <c r="X156" s="2"/>
      <c r="Y156" s="2"/>
      <c r="Z156" s="2"/>
      <c r="AD156" s="7">
        <f t="shared" si="2"/>
      </c>
    </row>
    <row r="157" spans="9:30" x14ac:dyDescent="0.25">
      <c r="I157" s="2"/>
      <c r="P157" s="2"/>
      <c r="W157" s="2"/>
      <c r="X157" s="2"/>
      <c r="Y157" s="2"/>
      <c r="Z157" s="2"/>
      <c r="AD157" s="7">
        <f t="shared" si="2"/>
      </c>
    </row>
    <row r="158" spans="9:30" x14ac:dyDescent="0.25">
      <c r="I158" s="2"/>
      <c r="P158" s="2"/>
      <c r="W158" s="2"/>
      <c r="X158" s="2"/>
      <c r="Y158" s="2"/>
      <c r="Z158" s="2"/>
      <c r="AD158" s="7">
        <f t="shared" si="2"/>
      </c>
    </row>
    <row r="159" spans="9:30" x14ac:dyDescent="0.25">
      <c r="I159" s="2"/>
      <c r="P159" s="2"/>
      <c r="W159" s="2"/>
      <c r="X159" s="2"/>
      <c r="Y159" s="2"/>
      <c r="Z159" s="2"/>
      <c r="AD159" s="7">
        <f t="shared" si="2"/>
      </c>
    </row>
    <row r="160" spans="9:30" x14ac:dyDescent="0.25">
      <c r="I160" s="2"/>
      <c r="P160" s="2"/>
      <c r="W160" s="2"/>
      <c r="X160" s="2"/>
      <c r="Y160" s="2"/>
      <c r="Z160" s="2"/>
      <c r="AD160" s="7">
        <f t="shared" si="2"/>
      </c>
    </row>
    <row r="161" spans="9:30" x14ac:dyDescent="0.25">
      <c r="I161" s="2"/>
      <c r="P161" s="2"/>
      <c r="W161" s="2"/>
      <c r="X161" s="2"/>
      <c r="Y161" s="2"/>
      <c r="Z161" s="2"/>
      <c r="AD161" s="7">
        <f t="shared" si="2"/>
      </c>
    </row>
    <row r="162" spans="9:30" x14ac:dyDescent="0.25">
      <c r="I162" s="2"/>
      <c r="P162" s="2"/>
      <c r="W162" s="2"/>
      <c r="X162" s="2"/>
      <c r="Y162" s="2"/>
      <c r="Z162" s="2"/>
      <c r="AD162" s="7">
        <f t="shared" si="2"/>
      </c>
    </row>
    <row r="163" spans="9:30" x14ac:dyDescent="0.25">
      <c r="I163" s="2"/>
      <c r="P163" s="2"/>
      <c r="W163" s="2"/>
      <c r="X163" s="2"/>
      <c r="Y163" s="2"/>
      <c r="Z163" s="2"/>
      <c r="AD163" s="7">
        <f t="shared" si="2"/>
      </c>
    </row>
    <row r="164" spans="9:30" x14ac:dyDescent="0.25">
      <c r="I164" s="2"/>
      <c r="P164" s="2"/>
      <c r="W164" s="2"/>
      <c r="X164" s="2"/>
      <c r="Y164" s="2"/>
      <c r="Z164" s="2"/>
      <c r="AD164" s="7">
        <f t="shared" si="2"/>
      </c>
    </row>
    <row r="165" spans="9:30" x14ac:dyDescent="0.25">
      <c r="I165" s="2"/>
      <c r="P165" s="2"/>
      <c r="W165" s="2"/>
      <c r="X165" s="2"/>
      <c r="Y165" s="2"/>
      <c r="Z165" s="2"/>
      <c r="AD165" s="7">
        <f t="shared" si="2"/>
      </c>
    </row>
    <row r="166" spans="9:30" x14ac:dyDescent="0.25">
      <c r="I166" s="2"/>
      <c r="P166" s="2"/>
      <c r="W166" s="2"/>
      <c r="X166" s="2"/>
      <c r="Y166" s="2"/>
      <c r="Z166" s="2"/>
      <c r="AD166" s="7">
        <f t="shared" si="2"/>
      </c>
    </row>
    <row r="167" spans="9:30" x14ac:dyDescent="0.25">
      <c r="I167" s="2"/>
      <c r="P167" s="2"/>
      <c r="W167" s="2"/>
      <c r="X167" s="2"/>
      <c r="Y167" s="2"/>
      <c r="Z167" s="2"/>
      <c r="AD167" s="7">
        <f t="shared" si="2"/>
      </c>
    </row>
    <row r="168" spans="9:30" x14ac:dyDescent="0.25">
      <c r="I168" s="2"/>
      <c r="P168" s="2"/>
      <c r="W168" s="2"/>
      <c r="X168" s="2"/>
      <c r="Y168" s="2"/>
      <c r="Z168" s="2"/>
      <c r="AD168" s="7">
        <f t="shared" si="2"/>
      </c>
    </row>
    <row r="169" spans="9:30" x14ac:dyDescent="0.25">
      <c r="I169" s="2"/>
      <c r="P169" s="2"/>
      <c r="W169" s="2"/>
      <c r="X169" s="2"/>
      <c r="Y169" s="2"/>
      <c r="Z169" s="2"/>
      <c r="AD169" s="7">
        <f t="shared" si="2"/>
      </c>
    </row>
    <row r="170" spans="9:30" x14ac:dyDescent="0.25">
      <c r="I170" s="2"/>
      <c r="P170" s="2"/>
      <c r="W170" s="2"/>
      <c r="X170" s="2"/>
      <c r="Y170" s="2"/>
      <c r="Z170" s="2"/>
      <c r="AD170" s="7">
        <f t="shared" si="2"/>
      </c>
    </row>
    <row r="171" spans="9:30" x14ac:dyDescent="0.25">
      <c r="I171" s="2"/>
      <c r="P171" s="2"/>
      <c r="W171" s="2"/>
      <c r="X171" s="2"/>
      <c r="Y171" s="2"/>
      <c r="Z171" s="2"/>
      <c r="AD171" s="7">
        <f t="shared" si="2"/>
      </c>
    </row>
    <row r="172" spans="9:30" x14ac:dyDescent="0.25">
      <c r="I172" s="2"/>
      <c r="P172" s="2"/>
      <c r="W172" s="2"/>
      <c r="X172" s="2"/>
      <c r="Y172" s="2"/>
      <c r="Z172" s="2"/>
      <c r="AD172" s="7">
        <f t="shared" si="2"/>
      </c>
    </row>
    <row r="173" spans="9:30" x14ac:dyDescent="0.25">
      <c r="I173" s="2"/>
      <c r="P173" s="2"/>
      <c r="W173" s="2"/>
      <c r="X173" s="2"/>
      <c r="Y173" s="2"/>
      <c r="Z173" s="2"/>
      <c r="AD173" s="7">
        <f t="shared" si="2"/>
      </c>
    </row>
    <row r="174" spans="9:30" x14ac:dyDescent="0.25">
      <c r="I174" s="2"/>
      <c r="P174" s="2"/>
      <c r="W174" s="2"/>
      <c r="X174" s="2"/>
      <c r="Y174" s="2"/>
      <c r="Z174" s="2"/>
      <c r="AD174" s="7">
        <f t="shared" si="2"/>
      </c>
    </row>
    <row r="175" spans="9:30" x14ac:dyDescent="0.25">
      <c r="I175" s="2"/>
      <c r="P175" s="2"/>
      <c r="W175" s="2"/>
      <c r="X175" s="2"/>
      <c r="Y175" s="2"/>
      <c r="Z175" s="2"/>
      <c r="AD175" s="7">
        <f t="shared" si="2"/>
      </c>
    </row>
    <row r="176" spans="9:30" x14ac:dyDescent="0.25">
      <c r="I176" s="2"/>
      <c r="P176" s="2"/>
      <c r="W176" s="2"/>
      <c r="X176" s="2"/>
      <c r="Y176" s="2"/>
      <c r="Z176" s="2"/>
      <c r="AD176" s="7">
        <f t="shared" si="2"/>
      </c>
    </row>
    <row r="177" spans="9:30" x14ac:dyDescent="0.25">
      <c r="I177" s="2"/>
      <c r="P177" s="2"/>
      <c r="W177" s="2"/>
      <c r="X177" s="2"/>
      <c r="Y177" s="2"/>
      <c r="Z177" s="2"/>
      <c r="AD177" s="7">
        <f t="shared" si="2"/>
      </c>
    </row>
    <row r="178" spans="9:30" x14ac:dyDescent="0.25">
      <c r="I178" s="2"/>
      <c r="P178" s="2"/>
      <c r="W178" s="2"/>
      <c r="X178" s="2"/>
      <c r="Y178" s="2"/>
      <c r="Z178" s="2"/>
      <c r="AD178" s="7">
        <f t="shared" si="2"/>
      </c>
    </row>
    <row r="179" spans="9:30" x14ac:dyDescent="0.25">
      <c r="I179" s="2"/>
      <c r="P179" s="2"/>
      <c r="W179" s="2"/>
      <c r="X179" s="2"/>
      <c r="Y179" s="2"/>
      <c r="Z179" s="2"/>
      <c r="AD179" s="7">
        <f t="shared" si="2"/>
      </c>
    </row>
    <row r="180" spans="9:30" x14ac:dyDescent="0.25">
      <c r="I180" s="2"/>
      <c r="P180" s="2"/>
      <c r="W180" s="2"/>
      <c r="X180" s="2"/>
      <c r="Y180" s="2"/>
      <c r="Z180" s="2"/>
      <c r="AD180" s="7">
        <f t="shared" si="2"/>
      </c>
    </row>
    <row r="181" spans="9:30" x14ac:dyDescent="0.25">
      <c r="I181" s="2"/>
      <c r="P181" s="2"/>
      <c r="W181" s="2"/>
      <c r="X181" s="2"/>
      <c r="Y181" s="2"/>
      <c r="Z181" s="2"/>
      <c r="AD181" s="7">
        <f t="shared" si="2"/>
      </c>
    </row>
    <row r="182" spans="9:30" x14ac:dyDescent="0.25">
      <c r="I182" s="2"/>
      <c r="P182" s="2"/>
      <c r="W182" s="2"/>
      <c r="X182" s="2"/>
      <c r="Y182" s="2"/>
      <c r="Z182" s="2"/>
      <c r="AD182" s="7">
        <f t="shared" si="2"/>
      </c>
    </row>
    <row r="183" spans="9:30" x14ac:dyDescent="0.25">
      <c r="I183" s="2"/>
      <c r="P183" s="2"/>
      <c r="W183" s="2"/>
      <c r="X183" s="2"/>
      <c r="Y183" s="2"/>
      <c r="Z183" s="2"/>
      <c r="AD183" s="7">
        <f t="shared" si="2"/>
      </c>
    </row>
    <row r="184" spans="9:30" x14ac:dyDescent="0.25">
      <c r="I184" s="2"/>
      <c r="P184" s="2"/>
      <c r="W184" s="2"/>
      <c r="X184" s="2"/>
      <c r="Y184" s="2"/>
      <c r="Z184" s="2"/>
      <c r="AD184" s="7">
        <f t="shared" si="2"/>
      </c>
    </row>
    <row r="185" spans="9:30" x14ac:dyDescent="0.25">
      <c r="I185" s="2"/>
      <c r="P185" s="2"/>
      <c r="W185" s="2"/>
      <c r="X185" s="2"/>
      <c r="Y185" s="2"/>
      <c r="Z185" s="2"/>
      <c r="AD185" s="7">
        <f t="shared" si="2"/>
      </c>
    </row>
    <row r="186" spans="9:30" x14ac:dyDescent="0.25">
      <c r="I186" s="2"/>
      <c r="P186" s="2"/>
      <c r="W186" s="2"/>
      <c r="X186" s="2"/>
      <c r="Y186" s="2"/>
      <c r="Z186" s="2"/>
      <c r="AD186" s="7">
        <f t="shared" si="2"/>
      </c>
    </row>
    <row r="187" spans="9:30" x14ac:dyDescent="0.25">
      <c r="I187" s="2"/>
      <c r="P187" s="2"/>
      <c r="W187" s="2"/>
      <c r="X187" s="2"/>
      <c r="Y187" s="2"/>
      <c r="Z187" s="2"/>
      <c r="AD187" s="7">
        <f t="shared" si="2"/>
      </c>
    </row>
    <row r="188" spans="9:30" x14ac:dyDescent="0.25">
      <c r="I188" s="2"/>
      <c r="P188" s="2"/>
      <c r="W188" s="2"/>
      <c r="X188" s="2"/>
      <c r="Y188" s="2"/>
      <c r="Z188" s="2"/>
      <c r="AD188" s="7">
        <f t="shared" si="2"/>
      </c>
    </row>
    <row r="189" spans="9:30" x14ac:dyDescent="0.25">
      <c r="I189" s="2"/>
      <c r="P189" s="2"/>
      <c r="W189" s="2"/>
      <c r="X189" s="2"/>
      <c r="Y189" s="2"/>
      <c r="Z189" s="2"/>
      <c r="AD189" s="7">
        <f t="shared" si="2"/>
      </c>
    </row>
    <row r="190" spans="9:30" x14ac:dyDescent="0.25">
      <c r="I190" s="2"/>
      <c r="P190" s="2"/>
      <c r="W190" s="2"/>
      <c r="X190" s="2"/>
      <c r="Y190" s="2"/>
      <c r="Z190" s="2"/>
      <c r="AD190" s="7">
        <f t="shared" si="2"/>
      </c>
    </row>
    <row r="191" spans="9:30" x14ac:dyDescent="0.25">
      <c r="I191" s="2"/>
      <c r="P191" s="2"/>
      <c r="W191" s="2"/>
      <c r="X191" s="2"/>
      <c r="Y191" s="2"/>
      <c r="Z191" s="2"/>
      <c r="AD191" s="7">
        <f t="shared" si="2"/>
      </c>
    </row>
    <row r="192" spans="9:30" x14ac:dyDescent="0.25">
      <c r="I192" s="2"/>
      <c r="P192" s="2"/>
      <c r="W192" s="2"/>
      <c r="X192" s="2"/>
      <c r="Y192" s="2"/>
      <c r="Z192" s="2"/>
      <c r="AD192" s="7">
        <f t="shared" si="2"/>
      </c>
    </row>
    <row r="193" spans="9:30" x14ac:dyDescent="0.25">
      <c r="I193" s="2"/>
      <c r="P193" s="2"/>
      <c r="W193" s="2"/>
      <c r="X193" s="2"/>
      <c r="Y193" s="2"/>
      <c r="Z193" s="2"/>
      <c r="AD193" s="7">
        <f t="shared" si="2"/>
      </c>
    </row>
    <row r="194" spans="9:30" x14ac:dyDescent="0.25">
      <c r="I194" s="2"/>
      <c r="P194" s="2"/>
      <c r="W194" s="2"/>
      <c r="X194" s="2"/>
      <c r="Y194" s="2"/>
      <c r="Z194" s="2"/>
      <c r="AD194" s="7">
        <f t="shared" si="2"/>
      </c>
    </row>
    <row r="195" spans="9:30" x14ac:dyDescent="0.25">
      <c r="I195" s="2"/>
      <c r="P195" s="2"/>
      <c r="W195" s="2"/>
      <c r="X195" s="2"/>
      <c r="Y195" s="2"/>
      <c r="Z195" s="2"/>
      <c r="AD195" s="7">
        <f t="shared" si="2"/>
      </c>
    </row>
    <row r="196" spans="9:30" x14ac:dyDescent="0.25">
      <c r="I196" s="2"/>
      <c r="P196" s="2"/>
      <c r="W196" s="2"/>
      <c r="X196" s="2"/>
      <c r="Y196" s="2"/>
      <c r="Z196" s="2"/>
      <c r="AD196" s="7">
        <f t="shared" si="2"/>
      </c>
    </row>
    <row r="197" spans="9:30" x14ac:dyDescent="0.25">
      <c r="I197" s="2"/>
      <c r="P197" s="2"/>
      <c r="W197" s="2"/>
      <c r="X197" s="2"/>
      <c r="Y197" s="2"/>
      <c r="Z197" s="2"/>
      <c r="AD197" s="7">
        <f t="shared" si="2"/>
      </c>
    </row>
    <row r="198" spans="9:30" x14ac:dyDescent="0.25">
      <c r="I198" s="2"/>
      <c r="P198" s="2"/>
      <c r="W198" s="2"/>
      <c r="X198" s="2"/>
      <c r="Y198" s="2"/>
      <c r="Z198" s="2"/>
      <c r="AD198" s="7">
        <f t="shared" si="2"/>
      </c>
    </row>
    <row r="199" spans="9:30" x14ac:dyDescent="0.25">
      <c r="I199" s="2"/>
      <c r="P199" s="2"/>
      <c r="W199" s="2"/>
      <c r="X199" s="2"/>
      <c r="Y199" s="2"/>
      <c r="Z199" s="2"/>
      <c r="AD199" s="7">
        <f t="shared" si="2"/>
      </c>
    </row>
    <row r="200" spans="9:30" x14ac:dyDescent="0.25">
      <c r="I200" s="2"/>
      <c r="P200" s="2"/>
      <c r="W200" s="2"/>
      <c r="X200" s="2"/>
      <c r="Y200" s="2"/>
      <c r="Z200" s="2"/>
      <c r="AD200" s="7">
        <f t="shared" si="2"/>
      </c>
    </row>
    <row r="201" spans="9:30" x14ac:dyDescent="0.25">
      <c r="I201" s="2"/>
      <c r="P201" s="2"/>
      <c r="W201" s="2"/>
      <c r="X201" s="2"/>
      <c r="Y201" s="2"/>
      <c r="Z201" s="2"/>
      <c r="AD201" s="7">
        <f t="shared" si="2"/>
      </c>
    </row>
    <row r="202" spans="9:30" x14ac:dyDescent="0.25">
      <c r="I202" s="2"/>
      <c r="P202" s="2"/>
      <c r="W202" s="2"/>
      <c r="X202" s="2"/>
      <c r="Y202" s="2"/>
      <c r="Z202" s="2"/>
      <c r="AD202" s="7">
        <f t="shared" ref="AD202:AD265" si="3">IF(P202 = "", "", Y202/P202)</f>
      </c>
    </row>
    <row r="203" spans="9:30" x14ac:dyDescent="0.25">
      <c r="I203" s="2"/>
      <c r="P203" s="2"/>
      <c r="W203" s="2"/>
      <c r="X203" s="2"/>
      <c r="Y203" s="2"/>
      <c r="Z203" s="2"/>
      <c r="AD203" s="7">
        <f t="shared" si="3"/>
      </c>
    </row>
    <row r="204" spans="9:30" x14ac:dyDescent="0.25">
      <c r="I204" s="2"/>
      <c r="P204" s="2"/>
      <c r="W204" s="2"/>
      <c r="X204" s="2"/>
      <c r="Y204" s="2"/>
      <c r="Z204" s="2"/>
      <c r="AD204" s="7">
        <f t="shared" si="3"/>
      </c>
    </row>
    <row r="205" spans="9:30" x14ac:dyDescent="0.25">
      <c r="I205" s="2"/>
      <c r="P205" s="2"/>
      <c r="W205" s="2"/>
      <c r="X205" s="2"/>
      <c r="Y205" s="2"/>
      <c r="Z205" s="2"/>
      <c r="AD205" s="7">
        <f t="shared" si="3"/>
      </c>
    </row>
    <row r="206" spans="9:30" x14ac:dyDescent="0.25">
      <c r="I206" s="2"/>
      <c r="P206" s="2"/>
      <c r="W206" s="2"/>
      <c r="X206" s="2"/>
      <c r="Y206" s="2"/>
      <c r="Z206" s="2"/>
      <c r="AD206" s="7">
        <f t="shared" si="3"/>
      </c>
    </row>
    <row r="207" spans="9:30" x14ac:dyDescent="0.25">
      <c r="I207" s="2"/>
      <c r="P207" s="2"/>
      <c r="W207" s="2"/>
      <c r="X207" s="2"/>
      <c r="Y207" s="2"/>
      <c r="Z207" s="2"/>
      <c r="AD207" s="7">
        <f t="shared" si="3"/>
      </c>
    </row>
    <row r="208" spans="9:30" x14ac:dyDescent="0.25">
      <c r="I208" s="2"/>
      <c r="P208" s="2"/>
      <c r="W208" s="2"/>
      <c r="X208" s="2"/>
      <c r="Y208" s="2"/>
      <c r="Z208" s="2"/>
      <c r="AD208" s="7">
        <f t="shared" si="3"/>
      </c>
    </row>
    <row r="209" spans="9:30" x14ac:dyDescent="0.25">
      <c r="I209" s="2"/>
      <c r="P209" s="2"/>
      <c r="W209" s="2"/>
      <c r="X209" s="2"/>
      <c r="Y209" s="2"/>
      <c r="Z209" s="2"/>
      <c r="AD209" s="7">
        <f t="shared" si="3"/>
      </c>
    </row>
    <row r="210" spans="9:30" x14ac:dyDescent="0.25">
      <c r="I210" s="2"/>
      <c r="P210" s="2"/>
      <c r="W210" s="2"/>
      <c r="X210" s="2"/>
      <c r="Y210" s="2"/>
      <c r="Z210" s="2"/>
      <c r="AD210" s="7">
        <f t="shared" si="3"/>
      </c>
    </row>
    <row r="211" spans="9:30" x14ac:dyDescent="0.25">
      <c r="I211" s="2"/>
      <c r="P211" s="2"/>
      <c r="W211" s="2"/>
      <c r="X211" s="2"/>
      <c r="Y211" s="2"/>
      <c r="Z211" s="2"/>
      <c r="AD211" s="7">
        <f t="shared" si="3"/>
      </c>
    </row>
    <row r="212" spans="9:30" x14ac:dyDescent="0.25">
      <c r="I212" s="2"/>
      <c r="P212" s="2"/>
      <c r="W212" s="2"/>
      <c r="X212" s="2"/>
      <c r="Y212" s="2"/>
      <c r="Z212" s="2"/>
      <c r="AD212" s="7">
        <f t="shared" si="3"/>
      </c>
    </row>
    <row r="213" spans="9:30" x14ac:dyDescent="0.25">
      <c r="I213" s="2"/>
      <c r="P213" s="2"/>
      <c r="W213" s="2"/>
      <c r="X213" s="2"/>
      <c r="Y213" s="2"/>
      <c r="Z213" s="2"/>
      <c r="AD213" s="7">
        <f t="shared" si="3"/>
      </c>
    </row>
    <row r="214" spans="9:30" x14ac:dyDescent="0.25">
      <c r="I214" s="2"/>
      <c r="P214" s="2"/>
      <c r="W214" s="2"/>
      <c r="X214" s="2"/>
      <c r="Y214" s="2"/>
      <c r="Z214" s="2"/>
      <c r="AD214" s="7">
        <f t="shared" si="3"/>
      </c>
    </row>
    <row r="215" spans="9:30" x14ac:dyDescent="0.25">
      <c r="I215" s="2"/>
      <c r="P215" s="2"/>
      <c r="W215" s="2"/>
      <c r="X215" s="2"/>
      <c r="Y215" s="2"/>
      <c r="Z215" s="2"/>
      <c r="AD215" s="7">
        <f t="shared" si="3"/>
      </c>
    </row>
    <row r="216" spans="9:30" x14ac:dyDescent="0.25">
      <c r="I216" s="2"/>
      <c r="P216" s="2"/>
      <c r="W216" s="2"/>
      <c r="X216" s="2"/>
      <c r="Y216" s="2"/>
      <c r="Z216" s="2"/>
      <c r="AD216" s="7">
        <f t="shared" si="3"/>
      </c>
    </row>
    <row r="217" spans="9:30" x14ac:dyDescent="0.25">
      <c r="I217" s="2"/>
      <c r="P217" s="2"/>
      <c r="W217" s="2"/>
      <c r="X217" s="2"/>
      <c r="Y217" s="2"/>
      <c r="Z217" s="2"/>
      <c r="AD217" s="7">
        <f t="shared" si="3"/>
      </c>
    </row>
    <row r="218" spans="9:30" x14ac:dyDescent="0.25">
      <c r="I218" s="2"/>
      <c r="P218" s="2"/>
      <c r="W218" s="2"/>
      <c r="X218" s="2"/>
      <c r="Y218" s="2"/>
      <c r="Z218" s="2"/>
      <c r="AD218" s="7">
        <f t="shared" si="3"/>
      </c>
    </row>
    <row r="219" spans="9:30" x14ac:dyDescent="0.25">
      <c r="I219" s="2"/>
      <c r="P219" s="2"/>
      <c r="W219" s="2"/>
      <c r="X219" s="2"/>
      <c r="Y219" s="2"/>
      <c r="Z219" s="2"/>
      <c r="AD219" s="7">
        <f t="shared" si="3"/>
      </c>
    </row>
    <row r="220" spans="9:30" x14ac:dyDescent="0.25">
      <c r="I220" s="2"/>
      <c r="P220" s="2"/>
      <c r="W220" s="2"/>
      <c r="X220" s="2"/>
      <c r="Y220" s="2"/>
      <c r="Z220" s="2"/>
      <c r="AD220" s="7">
        <f t="shared" si="3"/>
      </c>
    </row>
    <row r="221" spans="9:30" x14ac:dyDescent="0.25">
      <c r="I221" s="2"/>
      <c r="P221" s="2"/>
      <c r="W221" s="2"/>
      <c r="X221" s="2"/>
      <c r="Y221" s="2"/>
      <c r="Z221" s="2"/>
      <c r="AD221" s="7">
        <f t="shared" si="3"/>
      </c>
    </row>
    <row r="222" spans="9:30" x14ac:dyDescent="0.25">
      <c r="I222" s="2"/>
      <c r="P222" s="2"/>
      <c r="W222" s="2"/>
      <c r="X222" s="2"/>
      <c r="Y222" s="2"/>
      <c r="Z222" s="2"/>
      <c r="AD222" s="7">
        <f t="shared" si="3"/>
      </c>
    </row>
    <row r="223" spans="9:30" x14ac:dyDescent="0.25">
      <c r="I223" s="2"/>
      <c r="P223" s="2"/>
      <c r="W223" s="2"/>
      <c r="X223" s="2"/>
      <c r="Y223" s="2"/>
      <c r="Z223" s="2"/>
      <c r="AD223" s="7">
        <f t="shared" si="3"/>
      </c>
    </row>
    <row r="224" spans="9:30" x14ac:dyDescent="0.25">
      <c r="I224" s="2"/>
      <c r="P224" s="2"/>
      <c r="W224" s="2"/>
      <c r="X224" s="2"/>
      <c r="Y224" s="2"/>
      <c r="Z224" s="2"/>
      <c r="AD224" s="7">
        <f t="shared" si="3"/>
      </c>
    </row>
    <row r="225" spans="9:30" x14ac:dyDescent="0.25">
      <c r="I225" s="2"/>
      <c r="P225" s="2"/>
      <c r="W225" s="2"/>
      <c r="X225" s="2"/>
      <c r="Y225" s="2"/>
      <c r="Z225" s="2"/>
      <c r="AD225" s="7">
        <f t="shared" si="3"/>
      </c>
    </row>
    <row r="226" spans="9:30" x14ac:dyDescent="0.25">
      <c r="I226" s="2"/>
      <c r="P226" s="2"/>
      <c r="W226" s="2"/>
      <c r="X226" s="2"/>
      <c r="Y226" s="2"/>
      <c r="Z226" s="2"/>
      <c r="AD226" s="7">
        <f t="shared" si="3"/>
      </c>
    </row>
    <row r="227" spans="9:30" x14ac:dyDescent="0.25">
      <c r="I227" s="2"/>
      <c r="P227" s="2"/>
      <c r="W227" s="2"/>
      <c r="X227" s="2"/>
      <c r="Y227" s="2"/>
      <c r="Z227" s="2"/>
      <c r="AD227" s="7">
        <f t="shared" si="3"/>
      </c>
    </row>
    <row r="228" spans="9:30" x14ac:dyDescent="0.25">
      <c r="I228" s="2"/>
      <c r="P228" s="2"/>
      <c r="W228" s="2"/>
      <c r="X228" s="2"/>
      <c r="Y228" s="2"/>
      <c r="Z228" s="2"/>
      <c r="AD228" s="7">
        <f t="shared" si="3"/>
      </c>
    </row>
    <row r="229" spans="9:30" x14ac:dyDescent="0.25">
      <c r="I229" s="2"/>
      <c r="P229" s="2"/>
      <c r="W229" s="2"/>
      <c r="X229" s="2"/>
      <c r="Y229" s="2"/>
      <c r="Z229" s="2"/>
      <c r="AD229" s="7">
        <f t="shared" si="3"/>
      </c>
    </row>
    <row r="230" spans="9:30" x14ac:dyDescent="0.25">
      <c r="I230" s="2"/>
      <c r="P230" s="2"/>
      <c r="W230" s="2"/>
      <c r="X230" s="2"/>
      <c r="Y230" s="2"/>
      <c r="Z230" s="2"/>
      <c r="AD230" s="7">
        <f t="shared" si="3"/>
      </c>
    </row>
    <row r="231" spans="9:30" x14ac:dyDescent="0.25">
      <c r="I231" s="2"/>
      <c r="P231" s="2"/>
      <c r="W231" s="2"/>
      <c r="X231" s="2"/>
      <c r="Y231" s="2"/>
      <c r="Z231" s="2"/>
      <c r="AD231" s="7">
        <f t="shared" si="3"/>
      </c>
    </row>
    <row r="232" spans="9:30" x14ac:dyDescent="0.25">
      <c r="I232" s="2"/>
      <c r="P232" s="2"/>
      <c r="W232" s="2"/>
      <c r="X232" s="2"/>
      <c r="Y232" s="2"/>
      <c r="Z232" s="2"/>
      <c r="AD232" s="7">
        <f t="shared" si="3"/>
      </c>
    </row>
    <row r="233" spans="9:30" x14ac:dyDescent="0.25">
      <c r="I233" s="2"/>
      <c r="P233" s="2"/>
      <c r="W233" s="2"/>
      <c r="X233" s="2"/>
      <c r="Y233" s="2"/>
      <c r="Z233" s="2"/>
      <c r="AD233" s="7">
        <f t="shared" si="3"/>
      </c>
    </row>
    <row r="234" spans="9:30" x14ac:dyDescent="0.25">
      <c r="I234" s="2"/>
      <c r="P234" s="2"/>
      <c r="W234" s="2"/>
      <c r="X234" s="2"/>
      <c r="Y234" s="2"/>
      <c r="Z234" s="2"/>
      <c r="AD234" s="7">
        <f t="shared" si="3"/>
      </c>
    </row>
    <row r="235" spans="9:30" x14ac:dyDescent="0.25">
      <c r="I235" s="2"/>
      <c r="P235" s="2"/>
      <c r="W235" s="2"/>
      <c r="X235" s="2"/>
      <c r="Y235" s="2"/>
      <c r="Z235" s="2"/>
      <c r="AD235" s="7">
        <f t="shared" si="3"/>
      </c>
    </row>
    <row r="236" spans="9:30" x14ac:dyDescent="0.25">
      <c r="I236" s="2"/>
      <c r="P236" s="2"/>
      <c r="W236" s="2"/>
      <c r="X236" s="2"/>
      <c r="Y236" s="2"/>
      <c r="Z236" s="2"/>
      <c r="AD236" s="7">
        <f t="shared" si="3"/>
      </c>
    </row>
    <row r="237" spans="9:30" x14ac:dyDescent="0.25">
      <c r="I237" s="2"/>
      <c r="P237" s="2"/>
      <c r="W237" s="2"/>
      <c r="X237" s="2"/>
      <c r="Y237" s="2"/>
      <c r="Z237" s="2"/>
      <c r="AD237" s="7">
        <f t="shared" si="3"/>
      </c>
    </row>
    <row r="238" spans="9:30" x14ac:dyDescent="0.25">
      <c r="I238" s="2"/>
      <c r="P238" s="2"/>
      <c r="W238" s="2"/>
      <c r="X238" s="2"/>
      <c r="Y238" s="2"/>
      <c r="Z238" s="2"/>
      <c r="AD238" s="7">
        <f t="shared" si="3"/>
      </c>
    </row>
    <row r="239" spans="9:30" x14ac:dyDescent="0.25">
      <c r="I239" s="2"/>
      <c r="P239" s="2"/>
      <c r="W239" s="2"/>
      <c r="X239" s="2"/>
      <c r="Y239" s="2"/>
      <c r="Z239" s="2"/>
      <c r="AD239" s="7">
        <f t="shared" si="3"/>
      </c>
    </row>
    <row r="240" spans="9:30" x14ac:dyDescent="0.25">
      <c r="I240" s="2"/>
      <c r="P240" s="2"/>
      <c r="W240" s="2"/>
      <c r="X240" s="2"/>
      <c r="Y240" s="2"/>
      <c r="Z240" s="2"/>
      <c r="AD240" s="7">
        <f t="shared" si="3"/>
      </c>
    </row>
    <row r="241" spans="9:30" x14ac:dyDescent="0.25">
      <c r="I241" s="2"/>
      <c r="P241" s="2"/>
      <c r="W241" s="2"/>
      <c r="X241" s="2"/>
      <c r="Y241" s="2"/>
      <c r="Z241" s="2"/>
      <c r="AD241" s="7">
        <f t="shared" si="3"/>
      </c>
    </row>
    <row r="242" spans="9:30" x14ac:dyDescent="0.25">
      <c r="I242" s="2"/>
      <c r="P242" s="2"/>
      <c r="W242" s="2"/>
      <c r="X242" s="2"/>
      <c r="Y242" s="2"/>
      <c r="Z242" s="2"/>
      <c r="AD242" s="7">
        <f t="shared" si="3"/>
      </c>
    </row>
    <row r="243" spans="9:30" x14ac:dyDescent="0.25">
      <c r="I243" s="2"/>
      <c r="P243" s="2"/>
      <c r="W243" s="2"/>
      <c r="X243" s="2"/>
      <c r="Y243" s="2"/>
      <c r="Z243" s="2"/>
      <c r="AD243" s="7">
        <f t="shared" si="3"/>
      </c>
    </row>
    <row r="244" spans="9:30" x14ac:dyDescent="0.25">
      <c r="I244" s="2"/>
      <c r="P244" s="2"/>
      <c r="W244" s="2"/>
      <c r="X244" s="2"/>
      <c r="Y244" s="2"/>
      <c r="Z244" s="2"/>
      <c r="AD244" s="7">
        <f t="shared" si="3"/>
      </c>
    </row>
    <row r="245" spans="9:30" x14ac:dyDescent="0.25">
      <c r="I245" s="2"/>
      <c r="P245" s="2"/>
      <c r="W245" s="2"/>
      <c r="X245" s="2"/>
      <c r="Y245" s="2"/>
      <c r="Z245" s="2"/>
      <c r="AD245" s="7">
        <f t="shared" si="3"/>
      </c>
    </row>
    <row r="246" spans="9:30" x14ac:dyDescent="0.25">
      <c r="I246" s="2"/>
      <c r="P246" s="2"/>
      <c r="W246" s="2"/>
      <c r="X246" s="2"/>
      <c r="Y246" s="2"/>
      <c r="Z246" s="2"/>
      <c r="AD246" s="7">
        <f t="shared" si="3"/>
      </c>
    </row>
    <row r="247" spans="9:30" x14ac:dyDescent="0.25">
      <c r="I247" s="2"/>
      <c r="P247" s="2"/>
      <c r="W247" s="2"/>
      <c r="X247" s="2"/>
      <c r="Y247" s="2"/>
      <c r="Z247" s="2"/>
      <c r="AD247" s="7">
        <f t="shared" si="3"/>
      </c>
    </row>
    <row r="248" spans="9:30" x14ac:dyDescent="0.25">
      <c r="I248" s="2"/>
      <c r="P248" s="2"/>
      <c r="W248" s="2"/>
      <c r="X248" s="2"/>
      <c r="Y248" s="2"/>
      <c r="Z248" s="2"/>
      <c r="AD248" s="7">
        <f t="shared" si="3"/>
      </c>
    </row>
    <row r="249" spans="9:30" x14ac:dyDescent="0.25">
      <c r="I249" s="2"/>
      <c r="P249" s="2"/>
      <c r="W249" s="2"/>
      <c r="X249" s="2"/>
      <c r="Y249" s="2"/>
      <c r="Z249" s="2"/>
      <c r="AD249" s="7">
        <f t="shared" si="3"/>
      </c>
    </row>
    <row r="250" spans="9:30" x14ac:dyDescent="0.25">
      <c r="I250" s="2"/>
      <c r="P250" s="2"/>
      <c r="W250" s="2"/>
      <c r="X250" s="2"/>
      <c r="Y250" s="2"/>
      <c r="Z250" s="2"/>
      <c r="AD250" s="7">
        <f t="shared" si="3"/>
      </c>
    </row>
    <row r="251" spans="9:30" x14ac:dyDescent="0.25">
      <c r="I251" s="2"/>
      <c r="P251" s="2"/>
      <c r="W251" s="2"/>
      <c r="X251" s="2"/>
      <c r="Y251" s="2"/>
      <c r="Z251" s="2"/>
      <c r="AD251" s="7">
        <f t="shared" si="3"/>
      </c>
    </row>
    <row r="252" spans="9:30" x14ac:dyDescent="0.25">
      <c r="I252" s="2"/>
      <c r="P252" s="2"/>
      <c r="W252" s="2"/>
      <c r="X252" s="2"/>
      <c r="Y252" s="2"/>
      <c r="Z252" s="2"/>
      <c r="AD252" s="7">
        <f t="shared" si="3"/>
      </c>
    </row>
    <row r="253" spans="9:30" x14ac:dyDescent="0.25">
      <c r="I253" s="2"/>
      <c r="P253" s="2"/>
      <c r="W253" s="2"/>
      <c r="X253" s="2"/>
      <c r="Y253" s="2"/>
      <c r="Z253" s="2"/>
      <c r="AD253" s="7">
        <f t="shared" si="3"/>
      </c>
    </row>
    <row r="254" spans="9:30" x14ac:dyDescent="0.25">
      <c r="I254" s="2"/>
      <c r="P254" s="2"/>
      <c r="W254" s="2"/>
      <c r="X254" s="2"/>
      <c r="Y254" s="2"/>
      <c r="Z254" s="2"/>
      <c r="AD254" s="7">
        <f t="shared" si="3"/>
      </c>
    </row>
    <row r="255" spans="9:30" x14ac:dyDescent="0.25">
      <c r="I255" s="2"/>
      <c r="P255" s="2"/>
      <c r="W255" s="2"/>
      <c r="X255" s="2"/>
      <c r="Y255" s="2"/>
      <c r="Z255" s="2"/>
      <c r="AD255" s="7">
        <f t="shared" si="3"/>
      </c>
    </row>
    <row r="256" spans="9:30" x14ac:dyDescent="0.25">
      <c r="I256" s="2"/>
      <c r="P256" s="2"/>
      <c r="W256" s="2"/>
      <c r="X256" s="2"/>
      <c r="Y256" s="2"/>
      <c r="Z256" s="2"/>
      <c r="AD256" s="7">
        <f t="shared" si="3"/>
      </c>
    </row>
    <row r="257" spans="9:30" x14ac:dyDescent="0.25">
      <c r="I257" s="2"/>
      <c r="P257" s="2"/>
      <c r="W257" s="2"/>
      <c r="X257" s="2"/>
      <c r="Y257" s="2"/>
      <c r="Z257" s="2"/>
      <c r="AD257" s="7">
        <f t="shared" si="3"/>
      </c>
    </row>
    <row r="258" spans="9:30" x14ac:dyDescent="0.25">
      <c r="I258" s="2"/>
      <c r="P258" s="2"/>
      <c r="W258" s="2"/>
      <c r="X258" s="2"/>
      <c r="Y258" s="2"/>
      <c r="Z258" s="2"/>
      <c r="AD258" s="7">
        <f t="shared" si="3"/>
      </c>
    </row>
    <row r="259" spans="9:30" x14ac:dyDescent="0.25">
      <c r="I259" s="2"/>
      <c r="P259" s="2"/>
      <c r="W259" s="2"/>
      <c r="X259" s="2"/>
      <c r="Y259" s="2"/>
      <c r="Z259" s="2"/>
      <c r="AD259" s="7">
        <f t="shared" si="3"/>
      </c>
    </row>
    <row r="260" spans="9:30" x14ac:dyDescent="0.25">
      <c r="I260" s="2"/>
      <c r="P260" s="2"/>
      <c r="W260" s="2"/>
      <c r="X260" s="2"/>
      <c r="Y260" s="2"/>
      <c r="Z260" s="2"/>
      <c r="AD260" s="7">
        <f t="shared" si="3"/>
      </c>
    </row>
    <row r="261" spans="9:30" x14ac:dyDescent="0.25">
      <c r="I261" s="2"/>
      <c r="P261" s="2"/>
      <c r="W261" s="2"/>
      <c r="X261" s="2"/>
      <c r="Y261" s="2"/>
      <c r="Z261" s="2"/>
      <c r="AD261" s="7">
        <f t="shared" si="3"/>
      </c>
    </row>
    <row r="262" spans="9:30" x14ac:dyDescent="0.25">
      <c r="I262" s="2"/>
      <c r="P262" s="2"/>
      <c r="W262" s="2"/>
      <c r="X262" s="2"/>
      <c r="Y262" s="2"/>
      <c r="Z262" s="2"/>
      <c r="AD262" s="7">
        <f t="shared" si="3"/>
      </c>
    </row>
    <row r="263" spans="9:30" x14ac:dyDescent="0.25">
      <c r="I263" s="2"/>
      <c r="P263" s="2"/>
      <c r="W263" s="2"/>
      <c r="X263" s="2"/>
      <c r="Y263" s="2"/>
      <c r="Z263" s="2"/>
      <c r="AD263" s="7">
        <f t="shared" si="3"/>
      </c>
    </row>
    <row r="264" spans="9:30" x14ac:dyDescent="0.25">
      <c r="I264" s="2"/>
      <c r="P264" s="2"/>
      <c r="W264" s="2"/>
      <c r="X264" s="2"/>
      <c r="Y264" s="2"/>
      <c r="Z264" s="2"/>
      <c r="AD264" s="7">
        <f t="shared" si="3"/>
      </c>
    </row>
    <row r="265" spans="9:30" x14ac:dyDescent="0.25">
      <c r="I265" s="2"/>
      <c r="P265" s="2"/>
      <c r="W265" s="2"/>
      <c r="X265" s="2"/>
      <c r="Y265" s="2"/>
      <c r="Z265" s="2"/>
      <c r="AD265" s="7">
        <f t="shared" si="3"/>
      </c>
    </row>
    <row r="266" spans="9:30" x14ac:dyDescent="0.25">
      <c r="I266" s="2"/>
      <c r="P266" s="2"/>
      <c r="W266" s="2"/>
      <c r="X266" s="2"/>
      <c r="Y266" s="2"/>
      <c r="Z266" s="2"/>
      <c r="AD266" s="7">
        <f t="shared" ref="AD266:AD329" si="4">IF(P266 = "", "", Y266/P266)</f>
      </c>
    </row>
    <row r="267" spans="9:30" x14ac:dyDescent="0.25">
      <c r="I267" s="2"/>
      <c r="P267" s="2"/>
      <c r="W267" s="2"/>
      <c r="X267" s="2"/>
      <c r="Y267" s="2"/>
      <c r="Z267" s="2"/>
      <c r="AD267" s="7">
        <f t="shared" si="4"/>
      </c>
    </row>
    <row r="268" spans="9:30" x14ac:dyDescent="0.25">
      <c r="I268" s="2"/>
      <c r="P268" s="2"/>
      <c r="W268" s="2"/>
      <c r="X268" s="2"/>
      <c r="Y268" s="2"/>
      <c r="Z268" s="2"/>
      <c r="AD268" s="7">
        <f t="shared" si="4"/>
      </c>
    </row>
    <row r="269" spans="9:30" x14ac:dyDescent="0.25">
      <c r="I269" s="2"/>
      <c r="P269" s="2"/>
      <c r="W269" s="2"/>
      <c r="X269" s="2"/>
      <c r="Y269" s="2"/>
      <c r="Z269" s="2"/>
      <c r="AD269" s="7">
        <f t="shared" si="4"/>
      </c>
    </row>
    <row r="270" spans="9:30" x14ac:dyDescent="0.25">
      <c r="I270" s="2"/>
      <c r="P270" s="2"/>
      <c r="W270" s="2"/>
      <c r="X270" s="2"/>
      <c r="Y270" s="2"/>
      <c r="Z270" s="2"/>
      <c r="AD270" s="7">
        <f t="shared" si="4"/>
      </c>
    </row>
    <row r="271" spans="9:30" x14ac:dyDescent="0.25">
      <c r="I271" s="2"/>
      <c r="P271" s="2"/>
      <c r="W271" s="2"/>
      <c r="X271" s="2"/>
      <c r="Y271" s="2"/>
      <c r="Z271" s="2"/>
      <c r="AD271" s="7">
        <f t="shared" si="4"/>
      </c>
    </row>
    <row r="272" spans="9:30" x14ac:dyDescent="0.25">
      <c r="I272" s="2"/>
      <c r="P272" s="2"/>
      <c r="W272" s="2"/>
      <c r="X272" s="2"/>
      <c r="Y272" s="2"/>
      <c r="Z272" s="2"/>
      <c r="AD272" s="7">
        <f t="shared" si="4"/>
      </c>
    </row>
    <row r="273" spans="9:30" x14ac:dyDescent="0.25">
      <c r="I273" s="2"/>
      <c r="P273" s="2"/>
      <c r="W273" s="2"/>
      <c r="X273" s="2"/>
      <c r="Y273" s="2"/>
      <c r="Z273" s="2"/>
      <c r="AD273" s="7">
        <f t="shared" si="4"/>
      </c>
    </row>
    <row r="274" spans="9:30" x14ac:dyDescent="0.25">
      <c r="I274" s="2"/>
      <c r="P274" s="2"/>
      <c r="W274" s="2"/>
      <c r="X274" s="2"/>
      <c r="Y274" s="2"/>
      <c r="Z274" s="2"/>
      <c r="AD274" s="7">
        <f t="shared" si="4"/>
      </c>
    </row>
    <row r="275" spans="9:30" x14ac:dyDescent="0.25">
      <c r="I275" s="2"/>
      <c r="P275" s="2"/>
      <c r="W275" s="2"/>
      <c r="X275" s="2"/>
      <c r="Y275" s="2"/>
      <c r="Z275" s="2"/>
      <c r="AD275" s="7">
        <f t="shared" si="4"/>
      </c>
    </row>
    <row r="276" spans="9:30" x14ac:dyDescent="0.25">
      <c r="I276" s="2"/>
      <c r="P276" s="2"/>
      <c r="W276" s="2"/>
      <c r="X276" s="2"/>
      <c r="Y276" s="2"/>
      <c r="Z276" s="2"/>
      <c r="AD276" s="7">
        <f t="shared" si="4"/>
      </c>
    </row>
    <row r="277" spans="9:30" x14ac:dyDescent="0.25">
      <c r="I277" s="2"/>
      <c r="P277" s="2"/>
      <c r="W277" s="2"/>
      <c r="X277" s="2"/>
      <c r="Y277" s="2"/>
      <c r="Z277" s="2"/>
      <c r="AD277" s="7">
        <f t="shared" si="4"/>
      </c>
    </row>
    <row r="278" spans="9:30" x14ac:dyDescent="0.25">
      <c r="I278" s="2"/>
      <c r="P278" s="2"/>
      <c r="W278" s="2"/>
      <c r="X278" s="2"/>
      <c r="Y278" s="2"/>
      <c r="Z278" s="2"/>
      <c r="AD278" s="7">
        <f t="shared" si="4"/>
      </c>
    </row>
    <row r="279" spans="9:30" x14ac:dyDescent="0.25">
      <c r="I279" s="2"/>
      <c r="P279" s="2"/>
      <c r="W279" s="2"/>
      <c r="X279" s="2"/>
      <c r="Y279" s="2"/>
      <c r="Z279" s="2"/>
      <c r="AD279" s="7">
        <f t="shared" si="4"/>
      </c>
    </row>
    <row r="280" spans="9:30" x14ac:dyDescent="0.25">
      <c r="I280" s="2"/>
      <c r="P280" s="2"/>
      <c r="W280" s="2"/>
      <c r="X280" s="2"/>
      <c r="Y280" s="2"/>
      <c r="Z280" s="2"/>
      <c r="AD280" s="7">
        <f t="shared" si="4"/>
      </c>
    </row>
    <row r="281" spans="9:30" x14ac:dyDescent="0.25">
      <c r="I281" s="2"/>
      <c r="P281" s="2"/>
      <c r="W281" s="2"/>
      <c r="X281" s="2"/>
      <c r="Y281" s="2"/>
      <c r="Z281" s="2"/>
      <c r="AD281" s="7">
        <f t="shared" si="4"/>
      </c>
    </row>
    <row r="282" spans="9:30" x14ac:dyDescent="0.25">
      <c r="I282" s="2"/>
      <c r="P282" s="2"/>
      <c r="W282" s="2"/>
      <c r="X282" s="2"/>
      <c r="Y282" s="2"/>
      <c r="Z282" s="2"/>
      <c r="AD282" s="7">
        <f t="shared" si="4"/>
      </c>
    </row>
    <row r="283" spans="9:30" x14ac:dyDescent="0.25">
      <c r="I283" s="2"/>
      <c r="P283" s="2"/>
      <c r="W283" s="2"/>
      <c r="X283" s="2"/>
      <c r="Y283" s="2"/>
      <c r="Z283" s="2"/>
      <c r="AD283" s="7">
        <f t="shared" si="4"/>
      </c>
    </row>
    <row r="284" spans="9:30" x14ac:dyDescent="0.25">
      <c r="I284" s="2"/>
      <c r="P284" s="2"/>
      <c r="W284" s="2"/>
      <c r="X284" s="2"/>
      <c r="Y284" s="2"/>
      <c r="Z284" s="2"/>
      <c r="AD284" s="7">
        <f t="shared" si="4"/>
      </c>
    </row>
    <row r="285" spans="9:30" x14ac:dyDescent="0.25">
      <c r="I285" s="2"/>
      <c r="P285" s="2"/>
      <c r="W285" s="2"/>
      <c r="X285" s="2"/>
      <c r="Y285" s="2"/>
      <c r="Z285" s="2"/>
      <c r="AD285" s="7">
        <f t="shared" si="4"/>
      </c>
    </row>
    <row r="286" spans="9:30" x14ac:dyDescent="0.25">
      <c r="I286" s="2"/>
      <c r="P286" s="2"/>
      <c r="W286" s="2"/>
      <c r="X286" s="2"/>
      <c r="Y286" s="2"/>
      <c r="Z286" s="2"/>
      <c r="AD286" s="7">
        <f t="shared" si="4"/>
      </c>
    </row>
    <row r="287" spans="9:30" x14ac:dyDescent="0.25">
      <c r="I287" s="2"/>
      <c r="P287" s="2"/>
      <c r="W287" s="2"/>
      <c r="X287" s="2"/>
      <c r="Y287" s="2"/>
      <c r="Z287" s="2"/>
      <c r="AD287" s="7">
        <f t="shared" si="4"/>
      </c>
    </row>
    <row r="288" spans="9:30" x14ac:dyDescent="0.25">
      <c r="I288" s="2"/>
      <c r="P288" s="2"/>
      <c r="W288" s="2"/>
      <c r="X288" s="2"/>
      <c r="Y288" s="2"/>
      <c r="Z288" s="2"/>
      <c r="AD288" s="7">
        <f t="shared" si="4"/>
      </c>
    </row>
    <row r="289" spans="9:30" x14ac:dyDescent="0.25">
      <c r="I289" s="2"/>
      <c r="P289" s="2"/>
      <c r="W289" s="2"/>
      <c r="X289" s="2"/>
      <c r="Y289" s="2"/>
      <c r="Z289" s="2"/>
      <c r="AD289" s="7">
        <f t="shared" si="4"/>
      </c>
    </row>
    <row r="290" spans="9:30" x14ac:dyDescent="0.25">
      <c r="I290" s="2"/>
      <c r="P290" s="2"/>
      <c r="W290" s="2"/>
      <c r="X290" s="2"/>
      <c r="Y290" s="2"/>
      <c r="Z290" s="2"/>
      <c r="AD290" s="7">
        <f t="shared" si="4"/>
      </c>
    </row>
    <row r="291" spans="9:30" x14ac:dyDescent="0.25">
      <c r="I291" s="2"/>
      <c r="P291" s="2"/>
      <c r="W291" s="2"/>
      <c r="X291" s="2"/>
      <c r="Y291" s="2"/>
      <c r="Z291" s="2"/>
      <c r="AD291" s="7">
        <f t="shared" si="4"/>
      </c>
    </row>
    <row r="292" spans="9:30" x14ac:dyDescent="0.25">
      <c r="I292" s="2"/>
      <c r="P292" s="2"/>
      <c r="W292" s="2"/>
      <c r="X292" s="2"/>
      <c r="Y292" s="2"/>
      <c r="Z292" s="2"/>
      <c r="AD292" s="7">
        <f t="shared" si="4"/>
      </c>
    </row>
    <row r="293" spans="9:30" x14ac:dyDescent="0.25">
      <c r="I293" s="2"/>
      <c r="P293" s="2"/>
      <c r="W293" s="2"/>
      <c r="X293" s="2"/>
      <c r="Y293" s="2"/>
      <c r="Z293" s="2"/>
      <c r="AD293" s="7">
        <f t="shared" si="4"/>
      </c>
    </row>
    <row r="294" spans="9:30" x14ac:dyDescent="0.25">
      <c r="I294" s="2"/>
      <c r="P294" s="2"/>
      <c r="W294" s="2"/>
      <c r="X294" s="2"/>
      <c r="Y294" s="2"/>
      <c r="Z294" s="2"/>
      <c r="AD294" s="7">
        <f t="shared" si="4"/>
      </c>
    </row>
    <row r="295" spans="9:30" x14ac:dyDescent="0.25">
      <c r="I295" s="2"/>
      <c r="P295" s="2"/>
      <c r="W295" s="2"/>
      <c r="X295" s="2"/>
      <c r="Y295" s="2"/>
      <c r="Z295" s="2"/>
      <c r="AD295" s="7">
        <f t="shared" si="4"/>
      </c>
    </row>
    <row r="296" spans="9:30" x14ac:dyDescent="0.25">
      <c r="I296" s="2"/>
      <c r="P296" s="2"/>
      <c r="W296" s="2"/>
      <c r="X296" s="2"/>
      <c r="Y296" s="2"/>
      <c r="Z296" s="2"/>
      <c r="AD296" s="7">
        <f t="shared" si="4"/>
      </c>
    </row>
    <row r="297" spans="9:30" x14ac:dyDescent="0.25">
      <c r="I297" s="2"/>
      <c r="P297" s="2"/>
      <c r="W297" s="2"/>
      <c r="X297" s="2"/>
      <c r="Y297" s="2"/>
      <c r="Z297" s="2"/>
      <c r="AD297" s="7">
        <f t="shared" si="4"/>
      </c>
    </row>
    <row r="298" spans="9:30" x14ac:dyDescent="0.25">
      <c r="I298" s="2"/>
      <c r="P298" s="2"/>
      <c r="W298" s="2"/>
      <c r="X298" s="2"/>
      <c r="Y298" s="2"/>
      <c r="Z298" s="2"/>
      <c r="AD298" s="7">
        <f t="shared" si="4"/>
      </c>
    </row>
    <row r="299" spans="9:30" x14ac:dyDescent="0.25">
      <c r="I299" s="2"/>
      <c r="P299" s="2"/>
      <c r="W299" s="2"/>
      <c r="X299" s="2"/>
      <c r="Y299" s="2"/>
      <c r="Z299" s="2"/>
      <c r="AD299" s="7">
        <f t="shared" si="4"/>
      </c>
    </row>
    <row r="300" spans="9:30" x14ac:dyDescent="0.25">
      <c r="I300" s="2"/>
      <c r="P300" s="2"/>
      <c r="W300" s="2"/>
      <c r="X300" s="2"/>
      <c r="Y300" s="2"/>
      <c r="Z300" s="2"/>
      <c r="AD300" s="7">
        <f t="shared" si="4"/>
      </c>
    </row>
    <row r="301" spans="9:30" x14ac:dyDescent="0.25">
      <c r="I301" s="2"/>
      <c r="P301" s="2"/>
      <c r="W301" s="2"/>
      <c r="X301" s="2"/>
      <c r="Y301" s="2"/>
      <c r="Z301" s="2"/>
      <c r="AD301" s="7">
        <f t="shared" si="4"/>
      </c>
    </row>
    <row r="302" spans="9:30" x14ac:dyDescent="0.25">
      <c r="I302" s="2"/>
      <c r="P302" s="2"/>
      <c r="W302" s="2"/>
      <c r="X302" s="2"/>
      <c r="Y302" s="2"/>
      <c r="Z302" s="2"/>
      <c r="AD302" s="7">
        <f t="shared" si="4"/>
      </c>
    </row>
    <row r="303" spans="9:30" x14ac:dyDescent="0.25">
      <c r="I303" s="2"/>
      <c r="P303" s="2"/>
      <c r="W303" s="2"/>
      <c r="X303" s="2"/>
      <c r="Y303" s="2"/>
      <c r="Z303" s="2"/>
      <c r="AD303" s="7">
        <f t="shared" si="4"/>
      </c>
    </row>
    <row r="304" spans="9:30" x14ac:dyDescent="0.25">
      <c r="I304" s="2"/>
      <c r="P304" s="2"/>
      <c r="W304" s="2"/>
      <c r="X304" s="2"/>
      <c r="Y304" s="2"/>
      <c r="Z304" s="2"/>
      <c r="AD304" s="7">
        <f t="shared" si="4"/>
      </c>
    </row>
    <row r="305" spans="9:30" x14ac:dyDescent="0.25">
      <c r="I305" s="2"/>
      <c r="P305" s="2"/>
      <c r="W305" s="2"/>
      <c r="X305" s="2"/>
      <c r="Y305" s="2"/>
      <c r="Z305" s="2"/>
      <c r="AD305" s="7">
        <f t="shared" si="4"/>
      </c>
    </row>
    <row r="306" spans="9:30" x14ac:dyDescent="0.25">
      <c r="I306" s="2"/>
      <c r="P306" s="2"/>
      <c r="W306" s="2"/>
      <c r="X306" s="2"/>
      <c r="Y306" s="2"/>
      <c r="Z306" s="2"/>
      <c r="AD306" s="7">
        <f t="shared" si="4"/>
      </c>
    </row>
    <row r="307" spans="9:30" x14ac:dyDescent="0.25">
      <c r="I307" s="2"/>
      <c r="P307" s="2"/>
      <c r="W307" s="2"/>
      <c r="X307" s="2"/>
      <c r="Y307" s="2"/>
      <c r="Z307" s="2"/>
      <c r="AD307" s="7">
        <f t="shared" si="4"/>
      </c>
    </row>
    <row r="308" spans="9:30" x14ac:dyDescent="0.25">
      <c r="I308" s="2"/>
      <c r="P308" s="2"/>
      <c r="W308" s="2"/>
      <c r="X308" s="2"/>
      <c r="Y308" s="2"/>
      <c r="Z308" s="2"/>
      <c r="AD308" s="7">
        <f t="shared" si="4"/>
      </c>
    </row>
    <row r="309" spans="9:30" x14ac:dyDescent="0.25">
      <c r="I309" s="2"/>
      <c r="P309" s="2"/>
      <c r="W309" s="2"/>
      <c r="X309" s="2"/>
      <c r="Y309" s="2"/>
      <c r="Z309" s="2"/>
      <c r="AD309" s="7">
        <f t="shared" si="4"/>
      </c>
    </row>
    <row r="310" spans="9:30" x14ac:dyDescent="0.25">
      <c r="I310" s="2"/>
      <c r="P310" s="2"/>
      <c r="W310" s="2"/>
      <c r="X310" s="2"/>
      <c r="Y310" s="2"/>
      <c r="Z310" s="2"/>
      <c r="AD310" s="7">
        <f t="shared" si="4"/>
      </c>
    </row>
    <row r="311" spans="9:30" x14ac:dyDescent="0.25">
      <c r="I311" s="2"/>
      <c r="P311" s="2"/>
      <c r="W311" s="2"/>
      <c r="X311" s="2"/>
      <c r="Y311" s="2"/>
      <c r="Z311" s="2"/>
      <c r="AD311" s="7">
        <f t="shared" si="4"/>
      </c>
    </row>
    <row r="312" spans="9:30" x14ac:dyDescent="0.25">
      <c r="I312" s="2"/>
      <c r="P312" s="2"/>
      <c r="W312" s="2"/>
      <c r="X312" s="2"/>
      <c r="Y312" s="2"/>
      <c r="Z312" s="2"/>
      <c r="AD312" s="7">
        <f t="shared" si="4"/>
      </c>
    </row>
    <row r="313" spans="9:30" x14ac:dyDescent="0.25">
      <c r="I313" s="2"/>
      <c r="P313" s="2"/>
      <c r="W313" s="2"/>
      <c r="X313" s="2"/>
      <c r="Y313" s="2"/>
      <c r="Z313" s="2"/>
      <c r="AD313" s="7">
        <f t="shared" si="4"/>
      </c>
    </row>
    <row r="314" spans="9:30" x14ac:dyDescent="0.25">
      <c r="I314" s="2"/>
      <c r="P314" s="2"/>
      <c r="W314" s="2"/>
      <c r="X314" s="2"/>
      <c r="Y314" s="2"/>
      <c r="Z314" s="2"/>
      <c r="AD314" s="7">
        <f t="shared" si="4"/>
      </c>
    </row>
    <row r="315" spans="9:30" x14ac:dyDescent="0.25">
      <c r="I315" s="2"/>
      <c r="P315" s="2"/>
      <c r="W315" s="2"/>
      <c r="X315" s="2"/>
      <c r="Y315" s="2"/>
      <c r="Z315" s="2"/>
      <c r="AD315" s="7">
        <f t="shared" si="4"/>
      </c>
    </row>
    <row r="316" spans="9:30" x14ac:dyDescent="0.25">
      <c r="I316" s="2"/>
      <c r="P316" s="2"/>
      <c r="W316" s="2"/>
      <c r="X316" s="2"/>
      <c r="Y316" s="2"/>
      <c r="Z316" s="2"/>
      <c r="AD316" s="7">
        <f t="shared" si="4"/>
      </c>
    </row>
    <row r="317" spans="9:30" x14ac:dyDescent="0.25">
      <c r="I317" s="2"/>
      <c r="P317" s="2"/>
      <c r="W317" s="2"/>
      <c r="X317" s="2"/>
      <c r="Y317" s="2"/>
      <c r="Z317" s="2"/>
      <c r="AD317" s="7">
        <f t="shared" si="4"/>
      </c>
    </row>
    <row r="318" spans="9:30" x14ac:dyDescent="0.25">
      <c r="I318" s="2"/>
      <c r="P318" s="2"/>
      <c r="W318" s="2"/>
      <c r="X318" s="2"/>
      <c r="Y318" s="2"/>
      <c r="Z318" s="2"/>
      <c r="AD318" s="7">
        <f t="shared" si="4"/>
      </c>
    </row>
    <row r="319" spans="9:30" x14ac:dyDescent="0.25">
      <c r="I319" s="2"/>
      <c r="P319" s="2"/>
      <c r="W319" s="2"/>
      <c r="X319" s="2"/>
      <c r="Y319" s="2"/>
      <c r="Z319" s="2"/>
      <c r="AD319" s="7">
        <f t="shared" si="4"/>
      </c>
    </row>
    <row r="320" spans="9:30" x14ac:dyDescent="0.25">
      <c r="I320" s="2"/>
      <c r="P320" s="2"/>
      <c r="W320" s="2"/>
      <c r="X320" s="2"/>
      <c r="Y320" s="2"/>
      <c r="Z320" s="2"/>
      <c r="AD320" s="7">
        <f t="shared" si="4"/>
      </c>
    </row>
    <row r="321" spans="9:30" x14ac:dyDescent="0.25">
      <c r="I321" s="2"/>
      <c r="P321" s="2"/>
      <c r="W321" s="2"/>
      <c r="X321" s="2"/>
      <c r="Y321" s="2"/>
      <c r="Z321" s="2"/>
      <c r="AD321" s="7">
        <f t="shared" si="4"/>
      </c>
    </row>
    <row r="322" spans="9:30" x14ac:dyDescent="0.25">
      <c r="I322" s="2"/>
      <c r="P322" s="2"/>
      <c r="W322" s="2"/>
      <c r="X322" s="2"/>
      <c r="Y322" s="2"/>
      <c r="Z322" s="2"/>
      <c r="AD322" s="7">
        <f t="shared" si="4"/>
      </c>
    </row>
    <row r="323" spans="9:30" x14ac:dyDescent="0.25">
      <c r="I323" s="2"/>
      <c r="P323" s="2"/>
      <c r="W323" s="2"/>
      <c r="X323" s="2"/>
      <c r="Y323" s="2"/>
      <c r="Z323" s="2"/>
      <c r="AD323" s="7">
        <f t="shared" si="4"/>
      </c>
    </row>
    <row r="324" spans="9:30" x14ac:dyDescent="0.25">
      <c r="I324" s="2"/>
      <c r="P324" s="2"/>
      <c r="W324" s="2"/>
      <c r="X324" s="2"/>
      <c r="Y324" s="2"/>
      <c r="Z324" s="2"/>
      <c r="AD324" s="7">
        <f t="shared" si="4"/>
      </c>
    </row>
    <row r="325" spans="9:30" x14ac:dyDescent="0.25">
      <c r="I325" s="2"/>
      <c r="P325" s="2"/>
      <c r="W325" s="2"/>
      <c r="X325" s="2"/>
      <c r="Y325" s="2"/>
      <c r="Z325" s="2"/>
      <c r="AD325" s="7">
        <f t="shared" si="4"/>
      </c>
    </row>
    <row r="326" spans="9:30" x14ac:dyDescent="0.25">
      <c r="I326" s="2"/>
      <c r="P326" s="2"/>
      <c r="W326" s="2"/>
      <c r="X326" s="2"/>
      <c r="Y326" s="2"/>
      <c r="Z326" s="2"/>
      <c r="AD326" s="7">
        <f t="shared" si="4"/>
      </c>
    </row>
    <row r="327" spans="9:30" x14ac:dyDescent="0.25">
      <c r="I327" s="2"/>
      <c r="P327" s="2"/>
      <c r="W327" s="2"/>
      <c r="X327" s="2"/>
      <c r="Y327" s="2"/>
      <c r="Z327" s="2"/>
      <c r="AD327" s="7">
        <f t="shared" si="4"/>
      </c>
    </row>
    <row r="328" spans="9:30" x14ac:dyDescent="0.25">
      <c r="I328" s="2"/>
      <c r="P328" s="2"/>
      <c r="W328" s="2"/>
      <c r="X328" s="2"/>
      <c r="Y328" s="2"/>
      <c r="Z328" s="2"/>
      <c r="AD328" s="7">
        <f t="shared" si="4"/>
      </c>
    </row>
    <row r="329" spans="9:30" x14ac:dyDescent="0.25">
      <c r="I329" s="2"/>
      <c r="P329" s="2"/>
      <c r="W329" s="2"/>
      <c r="X329" s="2"/>
      <c r="Y329" s="2"/>
      <c r="Z329" s="2"/>
      <c r="AD329" s="7">
        <f t="shared" si="4"/>
      </c>
    </row>
    <row r="330" spans="9:30" x14ac:dyDescent="0.25">
      <c r="I330" s="2"/>
      <c r="P330" s="2"/>
      <c r="W330" s="2"/>
      <c r="X330" s="2"/>
      <c r="Y330" s="2"/>
      <c r="Z330" s="2"/>
      <c r="AD330" s="7">
        <f t="shared" ref="AD330:AD393" si="5">IF(P330 = "", "", Y330/P330)</f>
      </c>
    </row>
    <row r="331" spans="9:30" x14ac:dyDescent="0.25">
      <c r="I331" s="2"/>
      <c r="P331" s="2"/>
      <c r="W331" s="2"/>
      <c r="X331" s="2"/>
      <c r="Y331" s="2"/>
      <c r="Z331" s="2"/>
      <c r="AD331" s="7">
        <f t="shared" si="5"/>
      </c>
    </row>
    <row r="332" spans="9:30" x14ac:dyDescent="0.25">
      <c r="I332" s="2"/>
      <c r="P332" s="2"/>
      <c r="W332" s="2"/>
      <c r="X332" s="2"/>
      <c r="Y332" s="2"/>
      <c r="Z332" s="2"/>
      <c r="AD332" s="7">
        <f t="shared" si="5"/>
      </c>
    </row>
    <row r="333" spans="9:30" x14ac:dyDescent="0.25">
      <c r="I333" s="2"/>
      <c r="P333" s="2"/>
      <c r="W333" s="2"/>
      <c r="X333" s="2"/>
      <c r="Y333" s="2"/>
      <c r="Z333" s="2"/>
      <c r="AD333" s="7">
        <f t="shared" si="5"/>
      </c>
    </row>
    <row r="334" spans="9:30" x14ac:dyDescent="0.25">
      <c r="I334" s="2"/>
      <c r="P334" s="2"/>
      <c r="W334" s="2"/>
      <c r="X334" s="2"/>
      <c r="Y334" s="2"/>
      <c r="Z334" s="2"/>
      <c r="AD334" s="7">
        <f t="shared" si="5"/>
      </c>
    </row>
    <row r="335" spans="9:30" x14ac:dyDescent="0.25">
      <c r="I335" s="2"/>
      <c r="P335" s="2"/>
      <c r="W335" s="2"/>
      <c r="X335" s="2"/>
      <c r="Y335" s="2"/>
      <c r="Z335" s="2"/>
      <c r="AD335" s="7">
        <f t="shared" si="5"/>
      </c>
    </row>
    <row r="336" spans="9:30" x14ac:dyDescent="0.25">
      <c r="I336" s="2"/>
      <c r="P336" s="2"/>
      <c r="W336" s="2"/>
      <c r="X336" s="2"/>
      <c r="Y336" s="2"/>
      <c r="Z336" s="2"/>
      <c r="AD336" s="7">
        <f t="shared" si="5"/>
      </c>
    </row>
    <row r="337" spans="9:30" x14ac:dyDescent="0.25">
      <c r="I337" s="2"/>
      <c r="P337" s="2"/>
      <c r="W337" s="2"/>
      <c r="X337" s="2"/>
      <c r="Y337" s="2"/>
      <c r="Z337" s="2"/>
      <c r="AD337" s="7">
        <f t="shared" si="5"/>
      </c>
    </row>
    <row r="338" spans="9:30" x14ac:dyDescent="0.25">
      <c r="I338" s="2"/>
      <c r="P338" s="2"/>
      <c r="W338" s="2"/>
      <c r="X338" s="2"/>
      <c r="Y338" s="2"/>
      <c r="Z338" s="2"/>
      <c r="AD338" s="7">
        <f t="shared" si="5"/>
      </c>
    </row>
    <row r="339" spans="9:30" x14ac:dyDescent="0.25">
      <c r="I339" s="2"/>
      <c r="P339" s="2"/>
      <c r="W339" s="2"/>
      <c r="X339" s="2"/>
      <c r="Y339" s="2"/>
      <c r="Z339" s="2"/>
      <c r="AD339" s="7">
        <f t="shared" si="5"/>
      </c>
    </row>
    <row r="340" spans="9:30" x14ac:dyDescent="0.25">
      <c r="I340" s="2"/>
      <c r="P340" s="2"/>
      <c r="W340" s="2"/>
      <c r="X340" s="2"/>
      <c r="Y340" s="2"/>
      <c r="Z340" s="2"/>
      <c r="AD340" s="7">
        <f t="shared" si="5"/>
      </c>
    </row>
    <row r="341" spans="9:30" x14ac:dyDescent="0.25">
      <c r="I341" s="2"/>
      <c r="P341" s="2"/>
      <c r="W341" s="2"/>
      <c r="X341" s="2"/>
      <c r="Y341" s="2"/>
      <c r="Z341" s="2"/>
      <c r="AD341" s="7">
        <f t="shared" si="5"/>
      </c>
    </row>
    <row r="342" spans="9:30" x14ac:dyDescent="0.25">
      <c r="I342" s="2"/>
      <c r="P342" s="2"/>
      <c r="W342" s="2"/>
      <c r="X342" s="2"/>
      <c r="Y342" s="2"/>
      <c r="Z342" s="2"/>
      <c r="AD342" s="7">
        <f t="shared" si="5"/>
      </c>
    </row>
    <row r="343" spans="9:30" x14ac:dyDescent="0.25">
      <c r="I343" s="2"/>
      <c r="P343" s="2"/>
      <c r="W343" s="2"/>
      <c r="X343" s="2"/>
      <c r="Y343" s="2"/>
      <c r="Z343" s="2"/>
      <c r="AD343" s="7">
        <f t="shared" si="5"/>
      </c>
    </row>
    <row r="344" spans="9:30" x14ac:dyDescent="0.25">
      <c r="I344" s="2"/>
      <c r="P344" s="2"/>
      <c r="W344" s="2"/>
      <c r="X344" s="2"/>
      <c r="Y344" s="2"/>
      <c r="Z344" s="2"/>
      <c r="AD344" s="7">
        <f t="shared" si="5"/>
      </c>
    </row>
    <row r="345" spans="9:30" x14ac:dyDescent="0.25">
      <c r="I345" s="2"/>
      <c r="P345" s="2"/>
      <c r="W345" s="2"/>
      <c r="X345" s="2"/>
      <c r="Y345" s="2"/>
      <c r="Z345" s="2"/>
      <c r="AD345" s="7">
        <f t="shared" si="5"/>
      </c>
    </row>
    <row r="346" spans="9:30" x14ac:dyDescent="0.25">
      <c r="I346" s="2"/>
      <c r="P346" s="2"/>
      <c r="W346" s="2"/>
      <c r="X346" s="2"/>
      <c r="Y346" s="2"/>
      <c r="Z346" s="2"/>
      <c r="AD346" s="7">
        <f t="shared" si="5"/>
      </c>
    </row>
    <row r="347" spans="9:30" x14ac:dyDescent="0.25">
      <c r="I347" s="2"/>
      <c r="P347" s="2"/>
      <c r="W347" s="2"/>
      <c r="X347" s="2"/>
      <c r="Y347" s="2"/>
      <c r="Z347" s="2"/>
      <c r="AD347" s="7">
        <f t="shared" si="5"/>
      </c>
    </row>
    <row r="348" spans="9:30" x14ac:dyDescent="0.25">
      <c r="I348" s="2"/>
      <c r="P348" s="2"/>
      <c r="W348" s="2"/>
      <c r="X348" s="2"/>
      <c r="Y348" s="2"/>
      <c r="Z348" s="2"/>
      <c r="AD348" s="7">
        <f t="shared" si="5"/>
      </c>
    </row>
    <row r="349" spans="9:30" x14ac:dyDescent="0.25">
      <c r="I349" s="2"/>
      <c r="P349" s="2"/>
      <c r="W349" s="2"/>
      <c r="X349" s="2"/>
      <c r="Y349" s="2"/>
      <c r="Z349" s="2"/>
      <c r="AD349" s="7">
        <f t="shared" si="5"/>
      </c>
    </row>
    <row r="350" spans="9:30" x14ac:dyDescent="0.25">
      <c r="I350" s="2"/>
      <c r="P350" s="2"/>
      <c r="W350" s="2"/>
      <c r="X350" s="2"/>
      <c r="Y350" s="2"/>
      <c r="Z350" s="2"/>
      <c r="AD350" s="7">
        <f t="shared" si="5"/>
      </c>
    </row>
    <row r="351" spans="9:30" x14ac:dyDescent="0.25">
      <c r="I351" s="2"/>
      <c r="P351" s="2"/>
      <c r="W351" s="2"/>
      <c r="X351" s="2"/>
      <c r="Y351" s="2"/>
      <c r="Z351" s="2"/>
      <c r="AD351" s="7">
        <f t="shared" si="5"/>
      </c>
    </row>
    <row r="352" spans="9:30" x14ac:dyDescent="0.25">
      <c r="I352" s="2"/>
      <c r="P352" s="2"/>
      <c r="W352" s="2"/>
      <c r="X352" s="2"/>
      <c r="Y352" s="2"/>
      <c r="Z352" s="2"/>
      <c r="AD352" s="7">
        <f t="shared" si="5"/>
      </c>
    </row>
    <row r="353" spans="9:30" x14ac:dyDescent="0.25">
      <c r="I353" s="2"/>
      <c r="P353" s="2"/>
      <c r="W353" s="2"/>
      <c r="X353" s="2"/>
      <c r="Y353" s="2"/>
      <c r="Z353" s="2"/>
      <c r="AD353" s="7">
        <f t="shared" si="5"/>
      </c>
    </row>
    <row r="354" spans="9:30" x14ac:dyDescent="0.25">
      <c r="I354" s="2"/>
      <c r="P354" s="2"/>
      <c r="W354" s="2"/>
      <c r="X354" s="2"/>
      <c r="Y354" s="2"/>
      <c r="Z354" s="2"/>
      <c r="AD354" s="7">
        <f t="shared" si="5"/>
      </c>
    </row>
    <row r="355" spans="9:30" x14ac:dyDescent="0.25">
      <c r="I355" s="2"/>
      <c r="P355" s="2"/>
      <c r="W355" s="2"/>
      <c r="X355" s="2"/>
      <c r="Y355" s="2"/>
      <c r="Z355" s="2"/>
      <c r="AD355" s="7">
        <f t="shared" si="5"/>
      </c>
    </row>
    <row r="356" spans="9:30" x14ac:dyDescent="0.25">
      <c r="I356" s="2"/>
      <c r="P356" s="2"/>
      <c r="W356" s="2"/>
      <c r="X356" s="2"/>
      <c r="Y356" s="2"/>
      <c r="Z356" s="2"/>
      <c r="AD356" s="7">
        <f t="shared" si="5"/>
      </c>
    </row>
    <row r="357" spans="9:30" x14ac:dyDescent="0.25">
      <c r="I357" s="2"/>
      <c r="P357" s="2"/>
      <c r="W357" s="2"/>
      <c r="X357" s="2"/>
      <c r="Y357" s="2"/>
      <c r="Z357" s="2"/>
      <c r="AD357" s="7">
        <f t="shared" si="5"/>
      </c>
    </row>
    <row r="358" spans="9:30" x14ac:dyDescent="0.25">
      <c r="I358" s="2"/>
      <c r="P358" s="2"/>
      <c r="W358" s="2"/>
      <c r="X358" s="2"/>
      <c r="Y358" s="2"/>
      <c r="Z358" s="2"/>
      <c r="AD358" s="7">
        <f t="shared" si="5"/>
      </c>
    </row>
    <row r="359" spans="9:30" x14ac:dyDescent="0.25">
      <c r="I359" s="2"/>
      <c r="P359" s="2"/>
      <c r="W359" s="2"/>
      <c r="X359" s="2"/>
      <c r="Y359" s="2"/>
      <c r="Z359" s="2"/>
      <c r="AD359" s="7">
        <f t="shared" si="5"/>
      </c>
    </row>
    <row r="360" spans="9:30" x14ac:dyDescent="0.25">
      <c r="I360" s="2"/>
      <c r="P360" s="2"/>
      <c r="W360" s="2"/>
      <c r="X360" s="2"/>
      <c r="Y360" s="2"/>
      <c r="Z360" s="2"/>
      <c r="AD360" s="7">
        <f t="shared" si="5"/>
      </c>
    </row>
    <row r="361" spans="9:30" x14ac:dyDescent="0.25">
      <c r="I361" s="2"/>
      <c r="P361" s="2"/>
      <c r="W361" s="2"/>
      <c r="X361" s="2"/>
      <c r="Y361" s="2"/>
      <c r="Z361" s="2"/>
      <c r="AD361" s="7">
        <f t="shared" si="5"/>
      </c>
    </row>
    <row r="362" spans="9:30" x14ac:dyDescent="0.25">
      <c r="I362" s="2"/>
      <c r="P362" s="2"/>
      <c r="W362" s="2"/>
      <c r="X362" s="2"/>
      <c r="Y362" s="2"/>
      <c r="Z362" s="2"/>
      <c r="AD362" s="7">
        <f t="shared" si="5"/>
      </c>
    </row>
    <row r="363" spans="9:30" x14ac:dyDescent="0.25">
      <c r="I363" s="2"/>
      <c r="P363" s="2"/>
      <c r="W363" s="2"/>
      <c r="X363" s="2"/>
      <c r="Y363" s="2"/>
      <c r="Z363" s="2"/>
      <c r="AD363" s="7">
        <f t="shared" si="5"/>
      </c>
    </row>
    <row r="364" spans="9:30" x14ac:dyDescent="0.25">
      <c r="I364" s="2"/>
      <c r="P364" s="2"/>
      <c r="W364" s="2"/>
      <c r="X364" s="2"/>
      <c r="Y364" s="2"/>
      <c r="Z364" s="2"/>
      <c r="AD364" s="7">
        <f t="shared" si="5"/>
      </c>
    </row>
    <row r="365" spans="9:30" x14ac:dyDescent="0.25">
      <c r="I365" s="2"/>
      <c r="P365" s="2"/>
      <c r="W365" s="2"/>
      <c r="X365" s="2"/>
      <c r="Y365" s="2"/>
      <c r="Z365" s="2"/>
      <c r="AD365" s="7">
        <f t="shared" si="5"/>
      </c>
    </row>
    <row r="366" spans="9:30" x14ac:dyDescent="0.25">
      <c r="I366" s="2"/>
      <c r="P366" s="2"/>
      <c r="W366" s="2"/>
      <c r="X366" s="2"/>
      <c r="Y366" s="2"/>
      <c r="Z366" s="2"/>
      <c r="AD366" s="7">
        <f t="shared" si="5"/>
      </c>
    </row>
    <row r="367" spans="9:30" x14ac:dyDescent="0.25">
      <c r="I367" s="2"/>
      <c r="P367" s="2"/>
      <c r="W367" s="2"/>
      <c r="X367" s="2"/>
      <c r="Y367" s="2"/>
      <c r="Z367" s="2"/>
      <c r="AD367" s="7">
        <f t="shared" si="5"/>
      </c>
    </row>
    <row r="368" spans="9:30" x14ac:dyDescent="0.25">
      <c r="I368" s="2"/>
      <c r="P368" s="2"/>
      <c r="W368" s="2"/>
      <c r="X368" s="2"/>
      <c r="Y368" s="2"/>
      <c r="Z368" s="2"/>
      <c r="AD368" s="7">
        <f t="shared" si="5"/>
      </c>
    </row>
    <row r="369" spans="9:30" x14ac:dyDescent="0.25">
      <c r="I369" s="2"/>
      <c r="P369" s="2"/>
      <c r="W369" s="2"/>
      <c r="X369" s="2"/>
      <c r="Y369" s="2"/>
      <c r="Z369" s="2"/>
      <c r="AD369" s="7">
        <f t="shared" si="5"/>
      </c>
    </row>
    <row r="370" spans="9:30" x14ac:dyDescent="0.25">
      <c r="I370" s="2"/>
      <c r="P370" s="2"/>
      <c r="W370" s="2"/>
      <c r="X370" s="2"/>
      <c r="Y370" s="2"/>
      <c r="Z370" s="2"/>
      <c r="AD370" s="7">
        <f t="shared" si="5"/>
      </c>
    </row>
    <row r="371" spans="9:30" x14ac:dyDescent="0.25">
      <c r="I371" s="2"/>
      <c r="P371" s="2"/>
      <c r="W371" s="2"/>
      <c r="X371" s="2"/>
      <c r="Y371" s="2"/>
      <c r="Z371" s="2"/>
      <c r="AD371" s="7">
        <f t="shared" si="5"/>
      </c>
    </row>
    <row r="372" spans="9:30" x14ac:dyDescent="0.25">
      <c r="I372" s="2"/>
      <c r="P372" s="2"/>
      <c r="W372" s="2"/>
      <c r="X372" s="2"/>
      <c r="Y372" s="2"/>
      <c r="Z372" s="2"/>
      <c r="AD372" s="7">
        <f t="shared" si="5"/>
      </c>
    </row>
    <row r="373" spans="9:30" x14ac:dyDescent="0.25">
      <c r="I373" s="2"/>
      <c r="P373" s="2"/>
      <c r="W373" s="2"/>
      <c r="X373" s="2"/>
      <c r="Y373" s="2"/>
      <c r="Z373" s="2"/>
      <c r="AD373" s="7">
        <f t="shared" si="5"/>
      </c>
    </row>
    <row r="374" spans="9:30" x14ac:dyDescent="0.25">
      <c r="I374" s="2"/>
      <c r="P374" s="2"/>
      <c r="W374" s="2"/>
      <c r="X374" s="2"/>
      <c r="Y374" s="2"/>
      <c r="Z374" s="2"/>
      <c r="AD374" s="7">
        <f t="shared" si="5"/>
      </c>
    </row>
    <row r="375" spans="9:30" x14ac:dyDescent="0.25">
      <c r="I375" s="2"/>
      <c r="P375" s="2"/>
      <c r="W375" s="2"/>
      <c r="X375" s="2"/>
      <c r="Y375" s="2"/>
      <c r="Z375" s="2"/>
      <c r="AD375" s="7">
        <f t="shared" si="5"/>
      </c>
    </row>
    <row r="376" spans="9:30" x14ac:dyDescent="0.25">
      <c r="I376" s="2"/>
      <c r="P376" s="2"/>
      <c r="W376" s="2"/>
      <c r="X376" s="2"/>
      <c r="Y376" s="2"/>
      <c r="Z376" s="2"/>
      <c r="AD376" s="7">
        <f t="shared" si="5"/>
      </c>
    </row>
    <row r="377" spans="9:30" x14ac:dyDescent="0.25">
      <c r="I377" s="2"/>
      <c r="P377" s="2"/>
      <c r="W377" s="2"/>
      <c r="X377" s="2"/>
      <c r="Y377" s="2"/>
      <c r="Z377" s="2"/>
      <c r="AD377" s="7">
        <f t="shared" si="5"/>
      </c>
    </row>
    <row r="378" spans="9:30" x14ac:dyDescent="0.25">
      <c r="I378" s="2"/>
      <c r="P378" s="2"/>
      <c r="W378" s="2"/>
      <c r="X378" s="2"/>
      <c r="Y378" s="2"/>
      <c r="Z378" s="2"/>
      <c r="AD378" s="7">
        <f t="shared" si="5"/>
      </c>
    </row>
    <row r="379" spans="9:30" x14ac:dyDescent="0.25">
      <c r="I379" s="2"/>
      <c r="P379" s="2"/>
      <c r="W379" s="2"/>
      <c r="X379" s="2"/>
      <c r="Y379" s="2"/>
      <c r="Z379" s="2"/>
      <c r="AD379" s="7">
        <f t="shared" si="5"/>
      </c>
    </row>
    <row r="380" spans="9:30" x14ac:dyDescent="0.25">
      <c r="I380" s="2"/>
      <c r="P380" s="2"/>
      <c r="W380" s="2"/>
      <c r="X380" s="2"/>
      <c r="Y380" s="2"/>
      <c r="Z380" s="2"/>
      <c r="AD380" s="7">
        <f t="shared" si="5"/>
      </c>
    </row>
    <row r="381" spans="9:30" x14ac:dyDescent="0.25">
      <c r="I381" s="2"/>
      <c r="P381" s="2"/>
      <c r="W381" s="2"/>
      <c r="X381" s="2"/>
      <c r="Y381" s="2"/>
      <c r="Z381" s="2"/>
      <c r="AD381" s="7">
        <f t="shared" si="5"/>
      </c>
    </row>
    <row r="382" spans="9:30" x14ac:dyDescent="0.25">
      <c r="I382" s="2"/>
      <c r="P382" s="2"/>
      <c r="W382" s="2"/>
      <c r="X382" s="2"/>
      <c r="Y382" s="2"/>
      <c r="Z382" s="2"/>
      <c r="AD382" s="7">
        <f t="shared" si="5"/>
      </c>
    </row>
    <row r="383" spans="9:30" x14ac:dyDescent="0.25">
      <c r="I383" s="2"/>
      <c r="P383" s="2"/>
      <c r="W383" s="2"/>
      <c r="X383" s="2"/>
      <c r="Y383" s="2"/>
      <c r="Z383" s="2"/>
      <c r="AD383" s="7">
        <f t="shared" si="5"/>
      </c>
    </row>
    <row r="384" spans="9:30" x14ac:dyDescent="0.25">
      <c r="I384" s="2"/>
      <c r="P384" s="2"/>
      <c r="W384" s="2"/>
      <c r="X384" s="2"/>
      <c r="Y384" s="2"/>
      <c r="Z384" s="2"/>
      <c r="AD384" s="7">
        <f t="shared" si="5"/>
      </c>
    </row>
    <row r="385" spans="9:30" x14ac:dyDescent="0.25">
      <c r="I385" s="2"/>
      <c r="P385" s="2"/>
      <c r="W385" s="2"/>
      <c r="X385" s="2"/>
      <c r="Y385" s="2"/>
      <c r="Z385" s="2"/>
      <c r="AD385" s="7">
        <f t="shared" si="5"/>
      </c>
    </row>
    <row r="386" spans="9:30" x14ac:dyDescent="0.25">
      <c r="I386" s="2"/>
      <c r="P386" s="2"/>
      <c r="W386" s="2"/>
      <c r="X386" s="2"/>
      <c r="Y386" s="2"/>
      <c r="Z386" s="2"/>
      <c r="AD386" s="7">
        <f t="shared" si="5"/>
      </c>
    </row>
    <row r="387" spans="9:30" x14ac:dyDescent="0.25">
      <c r="I387" s="2"/>
      <c r="P387" s="2"/>
      <c r="W387" s="2"/>
      <c r="X387" s="2"/>
      <c r="Y387" s="2"/>
      <c r="Z387" s="2"/>
      <c r="AD387" s="7">
        <f t="shared" si="5"/>
      </c>
    </row>
    <row r="388" spans="9:30" x14ac:dyDescent="0.25">
      <c r="I388" s="2"/>
      <c r="P388" s="2"/>
      <c r="W388" s="2"/>
      <c r="X388" s="2"/>
      <c r="Y388" s="2"/>
      <c r="Z388" s="2"/>
      <c r="AD388" s="7">
        <f t="shared" si="5"/>
      </c>
    </row>
    <row r="389" spans="9:30" x14ac:dyDescent="0.25">
      <c r="I389" s="2"/>
      <c r="P389" s="2"/>
      <c r="W389" s="2"/>
      <c r="X389" s="2"/>
      <c r="Y389" s="2"/>
      <c r="Z389" s="2"/>
      <c r="AD389" s="7">
        <f t="shared" si="5"/>
      </c>
    </row>
    <row r="390" spans="9:30" x14ac:dyDescent="0.25">
      <c r="I390" s="2"/>
      <c r="P390" s="2"/>
      <c r="W390" s="2"/>
      <c r="X390" s="2"/>
      <c r="Y390" s="2"/>
      <c r="Z390" s="2"/>
      <c r="AD390" s="7">
        <f t="shared" si="5"/>
      </c>
    </row>
    <row r="391" spans="9:30" x14ac:dyDescent="0.25">
      <c r="I391" s="2"/>
      <c r="P391" s="2"/>
      <c r="W391" s="2"/>
      <c r="X391" s="2"/>
      <c r="Y391" s="2"/>
      <c r="Z391" s="2"/>
      <c r="AD391" s="7">
        <f t="shared" si="5"/>
      </c>
    </row>
    <row r="392" spans="9:30" x14ac:dyDescent="0.25">
      <c r="I392" s="2"/>
      <c r="P392" s="2"/>
      <c r="W392" s="2"/>
      <c r="X392" s="2"/>
      <c r="Y392" s="2"/>
      <c r="Z392" s="2"/>
      <c r="AD392" s="7">
        <f t="shared" si="5"/>
      </c>
    </row>
    <row r="393" spans="9:30" x14ac:dyDescent="0.25">
      <c r="I393" s="2"/>
      <c r="P393" s="2"/>
      <c r="W393" s="2"/>
      <c r="X393" s="2"/>
      <c r="Y393" s="2"/>
      <c r="Z393" s="2"/>
      <c r="AD393" s="7">
        <f t="shared" si="5"/>
      </c>
    </row>
    <row r="394" spans="9:30" x14ac:dyDescent="0.25">
      <c r="I394" s="2"/>
      <c r="P394" s="2"/>
      <c r="W394" s="2"/>
      <c r="X394" s="2"/>
      <c r="Y394" s="2"/>
      <c r="Z394" s="2"/>
      <c r="AD394" s="7">
        <f t="shared" ref="AD394:AD457" si="6">IF(P394 = "", "", Y394/P394)</f>
      </c>
    </row>
    <row r="395" spans="9:30" x14ac:dyDescent="0.25">
      <c r="I395" s="2"/>
      <c r="P395" s="2"/>
      <c r="W395" s="2"/>
      <c r="X395" s="2"/>
      <c r="Y395" s="2"/>
      <c r="Z395" s="2"/>
      <c r="AD395" s="7">
        <f t="shared" si="6"/>
      </c>
    </row>
    <row r="396" spans="9:30" x14ac:dyDescent="0.25">
      <c r="I396" s="2"/>
      <c r="P396" s="2"/>
      <c r="W396" s="2"/>
      <c r="X396" s="2"/>
      <c r="Y396" s="2"/>
      <c r="Z396" s="2"/>
      <c r="AD396" s="7">
        <f t="shared" si="6"/>
      </c>
    </row>
    <row r="397" spans="9:30" x14ac:dyDescent="0.25">
      <c r="I397" s="2"/>
      <c r="P397" s="2"/>
      <c r="W397" s="2"/>
      <c r="X397" s="2"/>
      <c r="Y397" s="2"/>
      <c r="Z397" s="2"/>
      <c r="AD397" s="7">
        <f t="shared" si="6"/>
      </c>
    </row>
    <row r="398" spans="9:30" x14ac:dyDescent="0.25">
      <c r="I398" s="2"/>
      <c r="P398" s="2"/>
      <c r="W398" s="2"/>
      <c r="X398" s="2"/>
      <c r="Y398" s="2"/>
      <c r="Z398" s="2"/>
      <c r="AD398" s="7">
        <f t="shared" si="6"/>
      </c>
    </row>
    <row r="399" spans="9:30" x14ac:dyDescent="0.25">
      <c r="I399" s="2"/>
      <c r="P399" s="2"/>
      <c r="W399" s="2"/>
      <c r="X399" s="2"/>
      <c r="Y399" s="2"/>
      <c r="Z399" s="2"/>
      <c r="AD399" s="7">
        <f t="shared" si="6"/>
      </c>
    </row>
    <row r="400" spans="9:30" x14ac:dyDescent="0.25">
      <c r="I400" s="2"/>
      <c r="P400" s="2"/>
      <c r="W400" s="2"/>
      <c r="X400" s="2"/>
      <c r="Y400" s="2"/>
      <c r="Z400" s="2"/>
      <c r="AD400" s="7">
        <f t="shared" si="6"/>
      </c>
    </row>
    <row r="401" spans="9:30" x14ac:dyDescent="0.25">
      <c r="I401" s="2"/>
      <c r="P401" s="2"/>
      <c r="W401" s="2"/>
      <c r="X401" s="2"/>
      <c r="Y401" s="2"/>
      <c r="Z401" s="2"/>
      <c r="AD401" s="7">
        <f t="shared" si="6"/>
      </c>
    </row>
    <row r="402" spans="9:30" x14ac:dyDescent="0.25">
      <c r="I402" s="2"/>
      <c r="P402" s="2"/>
      <c r="W402" s="2"/>
      <c r="X402" s="2"/>
      <c r="Y402" s="2"/>
      <c r="Z402" s="2"/>
      <c r="AD402" s="7">
        <f t="shared" si="6"/>
      </c>
    </row>
    <row r="403" spans="9:30" x14ac:dyDescent="0.25">
      <c r="I403" s="2"/>
      <c r="P403" s="2"/>
      <c r="W403" s="2"/>
      <c r="X403" s="2"/>
      <c r="Y403" s="2"/>
      <c r="Z403" s="2"/>
      <c r="AD403" s="7">
        <f t="shared" si="6"/>
      </c>
    </row>
    <row r="404" spans="9:30" x14ac:dyDescent="0.25">
      <c r="I404" s="2"/>
      <c r="P404" s="2"/>
      <c r="W404" s="2"/>
      <c r="X404" s="2"/>
      <c r="Y404" s="2"/>
      <c r="Z404" s="2"/>
      <c r="AD404" s="7">
        <f t="shared" si="6"/>
      </c>
    </row>
    <row r="405" spans="9:30" x14ac:dyDescent="0.25">
      <c r="I405" s="2"/>
      <c r="P405" s="2"/>
      <c r="W405" s="2"/>
      <c r="X405" s="2"/>
      <c r="Y405" s="2"/>
      <c r="Z405" s="2"/>
      <c r="AD405" s="7">
        <f t="shared" si="6"/>
      </c>
    </row>
    <row r="406" spans="9:30" x14ac:dyDescent="0.25">
      <c r="I406" s="2"/>
      <c r="P406" s="2"/>
      <c r="W406" s="2"/>
      <c r="X406" s="2"/>
      <c r="Y406" s="2"/>
      <c r="Z406" s="2"/>
      <c r="AD406" s="7">
        <f t="shared" si="6"/>
      </c>
    </row>
    <row r="407" spans="9:30" x14ac:dyDescent="0.25">
      <c r="I407" s="2"/>
      <c r="P407" s="2"/>
      <c r="W407" s="2"/>
      <c r="X407" s="2"/>
      <c r="Y407" s="2"/>
      <c r="Z407" s="2"/>
      <c r="AD407" s="7">
        <f t="shared" si="6"/>
      </c>
    </row>
    <row r="408" spans="9:30" x14ac:dyDescent="0.25">
      <c r="I408" s="2"/>
      <c r="P408" s="2"/>
      <c r="W408" s="2"/>
      <c r="X408" s="2"/>
      <c r="Y408" s="2"/>
      <c r="Z408" s="2"/>
      <c r="AD408" s="7">
        <f t="shared" si="6"/>
      </c>
    </row>
    <row r="409" spans="9:30" x14ac:dyDescent="0.25">
      <c r="I409" s="2"/>
      <c r="P409" s="2"/>
      <c r="W409" s="2"/>
      <c r="X409" s="2"/>
      <c r="Y409" s="2"/>
      <c r="Z409" s="2"/>
      <c r="AD409" s="7">
        <f t="shared" si="6"/>
      </c>
    </row>
    <row r="410" spans="9:30" x14ac:dyDescent="0.25">
      <c r="I410" s="2"/>
      <c r="P410" s="2"/>
      <c r="W410" s="2"/>
      <c r="X410" s="2"/>
      <c r="Y410" s="2"/>
      <c r="Z410" s="2"/>
      <c r="AD410" s="7">
        <f t="shared" si="6"/>
      </c>
    </row>
    <row r="411" spans="9:30" x14ac:dyDescent="0.25">
      <c r="I411" s="2"/>
      <c r="P411" s="2"/>
      <c r="W411" s="2"/>
      <c r="X411" s="2"/>
      <c r="Y411" s="2"/>
      <c r="Z411" s="2"/>
      <c r="AD411" s="7">
        <f t="shared" si="6"/>
      </c>
    </row>
    <row r="412" spans="9:30" x14ac:dyDescent="0.25">
      <c r="I412" s="2"/>
      <c r="P412" s="2"/>
      <c r="W412" s="2"/>
      <c r="X412" s="2"/>
      <c r="Y412" s="2"/>
      <c r="Z412" s="2"/>
      <c r="AD412" s="7">
        <f t="shared" si="6"/>
      </c>
    </row>
    <row r="413" spans="9:30" x14ac:dyDescent="0.25">
      <c r="I413" s="2"/>
      <c r="P413" s="2"/>
      <c r="W413" s="2"/>
      <c r="X413" s="2"/>
      <c r="Y413" s="2"/>
      <c r="Z413" s="2"/>
      <c r="AD413" s="7">
        <f t="shared" si="6"/>
      </c>
    </row>
    <row r="414" spans="9:30" x14ac:dyDescent="0.25">
      <c r="I414" s="2"/>
      <c r="P414" s="2"/>
      <c r="W414" s="2"/>
      <c r="X414" s="2"/>
      <c r="Y414" s="2"/>
      <c r="Z414" s="2"/>
      <c r="AD414" s="7">
        <f t="shared" si="6"/>
      </c>
    </row>
    <row r="415" spans="9:30" x14ac:dyDescent="0.25">
      <c r="I415" s="2"/>
      <c r="P415" s="2"/>
      <c r="W415" s="2"/>
      <c r="X415" s="2"/>
      <c r="Y415" s="2"/>
      <c r="Z415" s="2"/>
      <c r="AD415" s="7">
        <f t="shared" si="6"/>
      </c>
    </row>
    <row r="416" spans="9:30" x14ac:dyDescent="0.25">
      <c r="I416" s="2"/>
      <c r="P416" s="2"/>
      <c r="W416" s="2"/>
      <c r="X416" s="2"/>
      <c r="Y416" s="2"/>
      <c r="Z416" s="2"/>
      <c r="AD416" s="7">
        <f t="shared" si="6"/>
      </c>
    </row>
    <row r="417" spans="9:30" x14ac:dyDescent="0.25">
      <c r="I417" s="2"/>
      <c r="P417" s="2"/>
      <c r="W417" s="2"/>
      <c r="X417" s="2"/>
      <c r="Y417" s="2"/>
      <c r="Z417" s="2"/>
      <c r="AD417" s="7">
        <f t="shared" si="6"/>
      </c>
    </row>
    <row r="418" spans="9:30" x14ac:dyDescent="0.25">
      <c r="I418" s="2"/>
      <c r="P418" s="2"/>
      <c r="W418" s="2"/>
      <c r="X418" s="2"/>
      <c r="Y418" s="2"/>
      <c r="Z418" s="2"/>
      <c r="AD418" s="7">
        <f t="shared" si="6"/>
      </c>
    </row>
    <row r="419" spans="9:30" x14ac:dyDescent="0.25">
      <c r="I419" s="2"/>
      <c r="P419" s="2"/>
      <c r="W419" s="2"/>
      <c r="X419" s="2"/>
      <c r="Y419" s="2"/>
      <c r="Z419" s="2"/>
      <c r="AD419" s="7">
        <f t="shared" si="6"/>
      </c>
    </row>
    <row r="420" spans="9:30" x14ac:dyDescent="0.25">
      <c r="I420" s="2"/>
      <c r="P420" s="2"/>
      <c r="W420" s="2"/>
      <c r="X420" s="2"/>
      <c r="Y420" s="2"/>
      <c r="Z420" s="2"/>
      <c r="AD420" s="7">
        <f t="shared" si="6"/>
      </c>
    </row>
    <row r="421" spans="9:30" x14ac:dyDescent="0.25">
      <c r="I421" s="2"/>
      <c r="P421" s="2"/>
      <c r="W421" s="2"/>
      <c r="X421" s="2"/>
      <c r="Y421" s="2"/>
      <c r="Z421" s="2"/>
      <c r="AD421" s="7">
        <f t="shared" si="6"/>
      </c>
    </row>
    <row r="422" spans="9:30" x14ac:dyDescent="0.25">
      <c r="I422" s="2"/>
      <c r="P422" s="2"/>
      <c r="W422" s="2"/>
      <c r="X422" s="2"/>
      <c r="Y422" s="2"/>
      <c r="Z422" s="2"/>
      <c r="AD422" s="7">
        <f t="shared" si="6"/>
      </c>
    </row>
    <row r="423" spans="9:30" x14ac:dyDescent="0.25">
      <c r="I423" s="2"/>
      <c r="P423" s="2"/>
      <c r="W423" s="2"/>
      <c r="X423" s="2"/>
      <c r="Y423" s="2"/>
      <c r="Z423" s="2"/>
      <c r="AD423" s="7">
        <f t="shared" si="6"/>
      </c>
    </row>
    <row r="424" spans="9:30" x14ac:dyDescent="0.25">
      <c r="I424" s="2"/>
      <c r="P424" s="2"/>
      <c r="W424" s="2"/>
      <c r="X424" s="2"/>
      <c r="Y424" s="2"/>
      <c r="Z424" s="2"/>
      <c r="AD424" s="7">
        <f t="shared" si="6"/>
      </c>
    </row>
    <row r="425" spans="9:30" x14ac:dyDescent="0.25">
      <c r="I425" s="2"/>
      <c r="P425" s="2"/>
      <c r="W425" s="2"/>
      <c r="X425" s="2"/>
      <c r="Y425" s="2"/>
      <c r="Z425" s="2"/>
      <c r="AD425" s="7">
        <f t="shared" si="6"/>
      </c>
    </row>
    <row r="426" spans="9:30" x14ac:dyDescent="0.25">
      <c r="I426" s="2"/>
      <c r="P426" s="2"/>
      <c r="W426" s="2"/>
      <c r="X426" s="2"/>
      <c r="Y426" s="2"/>
      <c r="Z426" s="2"/>
      <c r="AD426" s="7">
        <f t="shared" si="6"/>
      </c>
    </row>
    <row r="427" spans="9:30" x14ac:dyDescent="0.25">
      <c r="I427" s="2"/>
      <c r="P427" s="2"/>
      <c r="W427" s="2"/>
      <c r="X427" s="2"/>
      <c r="Y427" s="2"/>
      <c r="Z427" s="2"/>
      <c r="AD427" s="7">
        <f t="shared" si="6"/>
      </c>
    </row>
    <row r="428" spans="9:30" x14ac:dyDescent="0.25">
      <c r="I428" s="2"/>
      <c r="P428" s="2"/>
      <c r="W428" s="2"/>
      <c r="X428" s="2"/>
      <c r="Y428" s="2"/>
      <c r="Z428" s="2"/>
      <c r="AD428" s="7">
        <f t="shared" si="6"/>
      </c>
    </row>
    <row r="429" spans="9:30" x14ac:dyDescent="0.25">
      <c r="I429" s="2"/>
      <c r="P429" s="2"/>
      <c r="W429" s="2"/>
      <c r="X429" s="2"/>
      <c r="Y429" s="2"/>
      <c r="Z429" s="2"/>
      <c r="AD429" s="7">
        <f t="shared" si="6"/>
      </c>
    </row>
    <row r="430" spans="9:30" x14ac:dyDescent="0.25">
      <c r="I430" s="2"/>
      <c r="P430" s="2"/>
      <c r="W430" s="2"/>
      <c r="X430" s="2"/>
      <c r="Y430" s="2"/>
      <c r="Z430" s="2"/>
      <c r="AD430" s="7">
        <f t="shared" si="6"/>
      </c>
    </row>
    <row r="431" spans="9:30" x14ac:dyDescent="0.25">
      <c r="I431" s="2"/>
      <c r="P431" s="2"/>
      <c r="W431" s="2"/>
      <c r="X431" s="2"/>
      <c r="Y431" s="2"/>
      <c r="Z431" s="2"/>
      <c r="AD431" s="7">
        <f t="shared" si="6"/>
      </c>
    </row>
    <row r="432" spans="9:30" x14ac:dyDescent="0.25">
      <c r="I432" s="2"/>
      <c r="P432" s="2"/>
      <c r="W432" s="2"/>
      <c r="X432" s="2"/>
      <c r="Y432" s="2"/>
      <c r="Z432" s="2"/>
      <c r="AD432" s="7">
        <f t="shared" si="6"/>
      </c>
    </row>
    <row r="433" spans="9:30" x14ac:dyDescent="0.25">
      <c r="I433" s="2"/>
      <c r="P433" s="2"/>
      <c r="W433" s="2"/>
      <c r="X433" s="2"/>
      <c r="Y433" s="2"/>
      <c r="Z433" s="2"/>
      <c r="AD433" s="7">
        <f t="shared" si="6"/>
      </c>
    </row>
    <row r="434" spans="9:30" x14ac:dyDescent="0.25">
      <c r="I434" s="2"/>
      <c r="P434" s="2"/>
      <c r="W434" s="2"/>
      <c r="X434" s="2"/>
      <c r="Y434" s="2"/>
      <c r="Z434" s="2"/>
      <c r="AD434" s="7">
        <f t="shared" si="6"/>
      </c>
    </row>
    <row r="435" spans="9:30" x14ac:dyDescent="0.25">
      <c r="I435" s="2"/>
      <c r="P435" s="2"/>
      <c r="W435" s="2"/>
      <c r="X435" s="2"/>
      <c r="Y435" s="2"/>
      <c r="Z435" s="2"/>
      <c r="AD435" s="7">
        <f t="shared" si="6"/>
      </c>
    </row>
    <row r="436" spans="9:30" x14ac:dyDescent="0.25">
      <c r="I436" s="2"/>
      <c r="P436" s="2"/>
      <c r="W436" s="2"/>
      <c r="X436" s="2"/>
      <c r="Y436" s="2"/>
      <c r="Z436" s="2"/>
      <c r="AD436" s="7">
        <f t="shared" si="6"/>
      </c>
    </row>
    <row r="437" spans="9:30" x14ac:dyDescent="0.25">
      <c r="I437" s="2"/>
      <c r="P437" s="2"/>
      <c r="W437" s="2"/>
      <c r="X437" s="2"/>
      <c r="Y437" s="2"/>
      <c r="Z437" s="2"/>
      <c r="AD437" s="7">
        <f t="shared" si="6"/>
      </c>
    </row>
    <row r="438" spans="9:30" x14ac:dyDescent="0.25">
      <c r="I438" s="2"/>
      <c r="P438" s="2"/>
      <c r="W438" s="2"/>
      <c r="X438" s="2"/>
      <c r="Y438" s="2"/>
      <c r="Z438" s="2"/>
      <c r="AD438" s="7">
        <f t="shared" si="6"/>
      </c>
    </row>
    <row r="439" spans="9:30" x14ac:dyDescent="0.25">
      <c r="I439" s="2"/>
      <c r="P439" s="2"/>
      <c r="W439" s="2"/>
      <c r="X439" s="2"/>
      <c r="Y439" s="2"/>
      <c r="Z439" s="2"/>
      <c r="AD439" s="7">
        <f t="shared" si="6"/>
      </c>
    </row>
    <row r="440" spans="9:30" x14ac:dyDescent="0.25">
      <c r="I440" s="2"/>
      <c r="P440" s="2"/>
      <c r="W440" s="2"/>
      <c r="X440" s="2"/>
      <c r="Y440" s="2"/>
      <c r="Z440" s="2"/>
      <c r="AD440" s="7">
        <f t="shared" si="6"/>
      </c>
    </row>
    <row r="441" spans="9:30" x14ac:dyDescent="0.25">
      <c r="I441" s="2"/>
      <c r="P441" s="2"/>
      <c r="W441" s="2"/>
      <c r="X441" s="2"/>
      <c r="Y441" s="2"/>
      <c r="Z441" s="2"/>
      <c r="AD441" s="7">
        <f t="shared" si="6"/>
      </c>
    </row>
    <row r="442" spans="9:30" x14ac:dyDescent="0.25">
      <c r="I442" s="2"/>
      <c r="P442" s="2"/>
      <c r="W442" s="2"/>
      <c r="X442" s="2"/>
      <c r="Y442" s="2"/>
      <c r="Z442" s="2"/>
      <c r="AD442" s="7">
        <f t="shared" si="6"/>
      </c>
    </row>
    <row r="443" spans="9:30" x14ac:dyDescent="0.25">
      <c r="I443" s="2"/>
      <c r="P443" s="2"/>
      <c r="W443" s="2"/>
      <c r="X443" s="2"/>
      <c r="Y443" s="2"/>
      <c r="Z443" s="2"/>
      <c r="AD443" s="7">
        <f t="shared" si="6"/>
      </c>
    </row>
    <row r="444" spans="9:30" x14ac:dyDescent="0.25">
      <c r="I444" s="2"/>
      <c r="P444" s="2"/>
      <c r="W444" s="2"/>
      <c r="X444" s="2"/>
      <c r="Y444" s="2"/>
      <c r="Z444" s="2"/>
      <c r="AD444" s="7">
        <f t="shared" si="6"/>
      </c>
    </row>
    <row r="445" spans="9:30" x14ac:dyDescent="0.25">
      <c r="I445" s="2"/>
      <c r="P445" s="2"/>
      <c r="W445" s="2"/>
      <c r="X445" s="2"/>
      <c r="Y445" s="2"/>
      <c r="Z445" s="2"/>
      <c r="AD445" s="7">
        <f t="shared" si="6"/>
      </c>
    </row>
    <row r="446" spans="9:30" x14ac:dyDescent="0.25">
      <c r="I446" s="2"/>
      <c r="P446" s="2"/>
      <c r="W446" s="2"/>
      <c r="X446" s="2"/>
      <c r="Y446" s="2"/>
      <c r="Z446" s="2"/>
      <c r="AD446" s="7">
        <f t="shared" si="6"/>
      </c>
    </row>
    <row r="447" spans="9:30" x14ac:dyDescent="0.25">
      <c r="I447" s="2"/>
      <c r="P447" s="2"/>
      <c r="W447" s="2"/>
      <c r="X447" s="2"/>
      <c r="Y447" s="2"/>
      <c r="Z447" s="2"/>
      <c r="AD447" s="7">
        <f t="shared" si="6"/>
      </c>
    </row>
    <row r="448" spans="9:30" x14ac:dyDescent="0.25">
      <c r="I448" s="2"/>
      <c r="P448" s="2"/>
      <c r="W448" s="2"/>
      <c r="X448" s="2"/>
      <c r="Y448" s="2"/>
      <c r="Z448" s="2"/>
      <c r="AD448" s="7">
        <f t="shared" si="6"/>
      </c>
    </row>
    <row r="449" spans="9:30" x14ac:dyDescent="0.25">
      <c r="I449" s="2"/>
      <c r="P449" s="2"/>
      <c r="W449" s="2"/>
      <c r="X449" s="2"/>
      <c r="Y449" s="2"/>
      <c r="Z449" s="2"/>
      <c r="AD449" s="7">
        <f t="shared" si="6"/>
      </c>
    </row>
    <row r="450" spans="9:30" x14ac:dyDescent="0.25">
      <c r="I450" s="2"/>
      <c r="P450" s="2"/>
      <c r="W450" s="2"/>
      <c r="X450" s="2"/>
      <c r="Y450" s="2"/>
      <c r="Z450" s="2"/>
      <c r="AD450" s="7">
        <f t="shared" si="6"/>
      </c>
    </row>
    <row r="451" spans="9:30" x14ac:dyDescent="0.25">
      <c r="I451" s="2"/>
      <c r="P451" s="2"/>
      <c r="W451" s="2"/>
      <c r="X451" s="2"/>
      <c r="Y451" s="2"/>
      <c r="Z451" s="2"/>
      <c r="AD451" s="7">
        <f t="shared" si="6"/>
      </c>
    </row>
    <row r="452" spans="9:30" x14ac:dyDescent="0.25">
      <c r="I452" s="2"/>
      <c r="P452" s="2"/>
      <c r="W452" s="2"/>
      <c r="X452" s="2"/>
      <c r="Y452" s="2"/>
      <c r="Z452" s="2"/>
      <c r="AD452" s="7">
        <f t="shared" si="6"/>
      </c>
    </row>
    <row r="453" spans="9:30" x14ac:dyDescent="0.25">
      <c r="I453" s="2"/>
      <c r="P453" s="2"/>
      <c r="W453" s="2"/>
      <c r="X453" s="2"/>
      <c r="Y453" s="2"/>
      <c r="Z453" s="2"/>
      <c r="AD453" s="7">
        <f t="shared" si="6"/>
      </c>
    </row>
    <row r="454" spans="9:30" x14ac:dyDescent="0.25">
      <c r="I454" s="2"/>
      <c r="P454" s="2"/>
      <c r="W454" s="2"/>
      <c r="X454" s="2"/>
      <c r="Y454" s="2"/>
      <c r="Z454" s="2"/>
      <c r="AD454" s="7">
        <f t="shared" si="6"/>
      </c>
    </row>
    <row r="455" spans="9:30" x14ac:dyDescent="0.25">
      <c r="I455" s="2"/>
      <c r="P455" s="2"/>
      <c r="W455" s="2"/>
      <c r="X455" s="2"/>
      <c r="Y455" s="2"/>
      <c r="Z455" s="2"/>
      <c r="AD455" s="7">
        <f t="shared" si="6"/>
      </c>
    </row>
    <row r="456" spans="9:30" x14ac:dyDescent="0.25">
      <c r="I456" s="2"/>
      <c r="P456" s="2"/>
      <c r="W456" s="2"/>
      <c r="X456" s="2"/>
      <c r="Y456" s="2"/>
      <c r="Z456" s="2"/>
      <c r="AD456" s="7">
        <f t="shared" si="6"/>
      </c>
    </row>
    <row r="457" spans="9:30" x14ac:dyDescent="0.25">
      <c r="I457" s="2"/>
      <c r="P457" s="2"/>
      <c r="W457" s="2"/>
      <c r="X457" s="2"/>
      <c r="Y457" s="2"/>
      <c r="Z457" s="2"/>
      <c r="AD457" s="7">
        <f t="shared" si="6"/>
      </c>
    </row>
    <row r="458" spans="9:30" x14ac:dyDescent="0.25">
      <c r="I458" s="2"/>
      <c r="P458" s="2"/>
      <c r="W458" s="2"/>
      <c r="X458" s="2"/>
      <c r="Y458" s="2"/>
      <c r="Z458" s="2"/>
      <c r="AD458" s="7">
        <f t="shared" ref="AD458:AD501" si="7">IF(P458 = "", "", Y458/P458)</f>
      </c>
    </row>
    <row r="459" spans="9:30" x14ac:dyDescent="0.25">
      <c r="I459" s="2"/>
      <c r="P459" s="2"/>
      <c r="W459" s="2"/>
      <c r="X459" s="2"/>
      <c r="Y459" s="2"/>
      <c r="Z459" s="2"/>
      <c r="AD459" s="7">
        <f t="shared" si="7"/>
      </c>
    </row>
    <row r="460" spans="9:30" x14ac:dyDescent="0.25">
      <c r="I460" s="2"/>
      <c r="P460" s="2"/>
      <c r="W460" s="2"/>
      <c r="X460" s="2"/>
      <c r="Y460" s="2"/>
      <c r="Z460" s="2"/>
      <c r="AD460" s="7">
        <f t="shared" si="7"/>
      </c>
    </row>
    <row r="461" spans="9:30" x14ac:dyDescent="0.25">
      <c r="I461" s="2"/>
      <c r="P461" s="2"/>
      <c r="W461" s="2"/>
      <c r="X461" s="2"/>
      <c r="Y461" s="2"/>
      <c r="Z461" s="2"/>
      <c r="AD461" s="7">
        <f t="shared" si="7"/>
      </c>
    </row>
    <row r="462" spans="9:30" x14ac:dyDescent="0.25">
      <c r="I462" s="2"/>
      <c r="P462" s="2"/>
      <c r="W462" s="2"/>
      <c r="X462" s="2"/>
      <c r="Y462" s="2"/>
      <c r="Z462" s="2"/>
      <c r="AD462" s="7">
        <f t="shared" si="7"/>
      </c>
    </row>
    <row r="463" spans="9:30" x14ac:dyDescent="0.25">
      <c r="I463" s="2"/>
      <c r="P463" s="2"/>
      <c r="W463" s="2"/>
      <c r="X463" s="2"/>
      <c r="Y463" s="2"/>
      <c r="Z463" s="2"/>
      <c r="AD463" s="7">
        <f t="shared" si="7"/>
      </c>
    </row>
    <row r="464" spans="9:30" x14ac:dyDescent="0.25">
      <c r="I464" s="2"/>
      <c r="P464" s="2"/>
      <c r="W464" s="2"/>
      <c r="X464" s="2"/>
      <c r="Y464" s="2"/>
      <c r="Z464" s="2"/>
      <c r="AD464" s="7">
        <f t="shared" si="7"/>
      </c>
    </row>
    <row r="465" spans="9:30" x14ac:dyDescent="0.25">
      <c r="I465" s="2"/>
      <c r="P465" s="2"/>
      <c r="W465" s="2"/>
      <c r="X465" s="2"/>
      <c r="Y465" s="2"/>
      <c r="Z465" s="2"/>
      <c r="AD465" s="7">
        <f t="shared" si="7"/>
      </c>
    </row>
    <row r="466" spans="9:30" x14ac:dyDescent="0.25">
      <c r="I466" s="2"/>
      <c r="P466" s="2"/>
      <c r="W466" s="2"/>
      <c r="X466" s="2"/>
      <c r="Y466" s="2"/>
      <c r="Z466" s="2"/>
      <c r="AD466" s="7">
        <f t="shared" si="7"/>
      </c>
    </row>
    <row r="467" spans="9:30" x14ac:dyDescent="0.25">
      <c r="I467" s="2"/>
      <c r="P467" s="2"/>
      <c r="W467" s="2"/>
      <c r="X467" s="2"/>
      <c r="Y467" s="2"/>
      <c r="Z467" s="2"/>
      <c r="AD467" s="7">
        <f t="shared" si="7"/>
      </c>
    </row>
    <row r="468" spans="9:30" x14ac:dyDescent="0.25">
      <c r="I468" s="2"/>
      <c r="P468" s="2"/>
      <c r="W468" s="2"/>
      <c r="X468" s="2"/>
      <c r="Y468" s="2"/>
      <c r="Z468" s="2"/>
      <c r="AD468" s="7">
        <f t="shared" si="7"/>
      </c>
    </row>
    <row r="469" spans="9:30" x14ac:dyDescent="0.25">
      <c r="I469" s="2"/>
      <c r="P469" s="2"/>
      <c r="W469" s="2"/>
      <c r="X469" s="2"/>
      <c r="Y469" s="2"/>
      <c r="Z469" s="2"/>
      <c r="AD469" s="7">
        <f t="shared" si="7"/>
      </c>
    </row>
    <row r="470" spans="9:30" x14ac:dyDescent="0.25">
      <c r="I470" s="2"/>
      <c r="P470" s="2"/>
      <c r="W470" s="2"/>
      <c r="X470" s="2"/>
      <c r="Y470" s="2"/>
      <c r="Z470" s="2"/>
      <c r="AD470" s="7">
        <f t="shared" si="7"/>
      </c>
    </row>
    <row r="471" spans="9:30" x14ac:dyDescent="0.25">
      <c r="I471" s="2"/>
      <c r="P471" s="2"/>
      <c r="W471" s="2"/>
      <c r="X471" s="2"/>
      <c r="Y471" s="2"/>
      <c r="Z471" s="2"/>
      <c r="AD471" s="7">
        <f t="shared" si="7"/>
      </c>
    </row>
    <row r="472" spans="9:30" x14ac:dyDescent="0.25">
      <c r="I472" s="2"/>
      <c r="P472" s="2"/>
      <c r="W472" s="2"/>
      <c r="X472" s="2"/>
      <c r="Y472" s="2"/>
      <c r="Z472" s="2"/>
      <c r="AD472" s="7">
        <f t="shared" si="7"/>
      </c>
    </row>
    <row r="473" spans="9:30" x14ac:dyDescent="0.25">
      <c r="I473" s="2"/>
      <c r="P473" s="2"/>
      <c r="W473" s="2"/>
      <c r="X473" s="2"/>
      <c r="Y473" s="2"/>
      <c r="Z473" s="2"/>
      <c r="AD473" s="7">
        <f t="shared" si="7"/>
      </c>
    </row>
    <row r="474" spans="9:30" x14ac:dyDescent="0.25">
      <c r="I474" s="2"/>
      <c r="P474" s="2"/>
      <c r="W474" s="2"/>
      <c r="X474" s="2"/>
      <c r="Y474" s="2"/>
      <c r="Z474" s="2"/>
      <c r="AD474" s="7">
        <f t="shared" si="7"/>
      </c>
    </row>
    <row r="475" spans="9:30" x14ac:dyDescent="0.25">
      <c r="I475" s="2"/>
      <c r="P475" s="2"/>
      <c r="W475" s="2"/>
      <c r="X475" s="2"/>
      <c r="Y475" s="2"/>
      <c r="Z475" s="2"/>
      <c r="AD475" s="7">
        <f t="shared" si="7"/>
      </c>
    </row>
    <row r="476" spans="9:30" x14ac:dyDescent="0.25">
      <c r="I476" s="2"/>
      <c r="P476" s="2"/>
      <c r="W476" s="2"/>
      <c r="X476" s="2"/>
      <c r="Y476" s="2"/>
      <c r="Z476" s="2"/>
      <c r="AD476" s="7">
        <f t="shared" si="7"/>
      </c>
    </row>
    <row r="477" spans="9:30" x14ac:dyDescent="0.25">
      <c r="I477" s="2"/>
      <c r="P477" s="2"/>
      <c r="W477" s="2"/>
      <c r="X477" s="2"/>
      <c r="Y477" s="2"/>
      <c r="Z477" s="2"/>
      <c r="AD477" s="7">
        <f t="shared" si="7"/>
      </c>
    </row>
    <row r="478" spans="9:30" x14ac:dyDescent="0.25">
      <c r="I478" s="2"/>
      <c r="P478" s="2"/>
      <c r="W478" s="2"/>
      <c r="X478" s="2"/>
      <c r="Y478" s="2"/>
      <c r="Z478" s="2"/>
      <c r="AD478" s="7">
        <f t="shared" si="7"/>
      </c>
    </row>
    <row r="479" spans="9:30" x14ac:dyDescent="0.25">
      <c r="I479" s="2"/>
      <c r="P479" s="2"/>
      <c r="W479" s="2"/>
      <c r="X479" s="2"/>
      <c r="Y479" s="2"/>
      <c r="Z479" s="2"/>
      <c r="AD479" s="7">
        <f t="shared" si="7"/>
      </c>
    </row>
    <row r="480" spans="9:30" x14ac:dyDescent="0.25">
      <c r="I480" s="2"/>
      <c r="P480" s="2"/>
      <c r="W480" s="2"/>
      <c r="X480" s="2"/>
      <c r="Y480" s="2"/>
      <c r="Z480" s="2"/>
      <c r="AD480" s="7">
        <f t="shared" si="7"/>
      </c>
    </row>
    <row r="481" spans="9:30" x14ac:dyDescent="0.25">
      <c r="I481" s="2"/>
      <c r="P481" s="2"/>
      <c r="W481" s="2"/>
      <c r="X481" s="2"/>
      <c r="Y481" s="2"/>
      <c r="Z481" s="2"/>
      <c r="AD481" s="7">
        <f t="shared" si="7"/>
      </c>
    </row>
    <row r="482" spans="9:30" x14ac:dyDescent="0.25">
      <c r="I482" s="2"/>
      <c r="P482" s="2"/>
      <c r="W482" s="2"/>
      <c r="X482" s="2"/>
      <c r="Y482" s="2"/>
      <c r="Z482" s="2"/>
      <c r="AD482" s="7">
        <f t="shared" si="7"/>
      </c>
    </row>
    <row r="483" spans="9:30" x14ac:dyDescent="0.25">
      <c r="I483" s="2"/>
      <c r="P483" s="2"/>
      <c r="W483" s="2"/>
      <c r="X483" s="2"/>
      <c r="Y483" s="2"/>
      <c r="Z483" s="2"/>
      <c r="AD483" s="7">
        <f t="shared" si="7"/>
      </c>
    </row>
    <row r="484" spans="9:30" x14ac:dyDescent="0.25">
      <c r="I484" s="2"/>
      <c r="P484" s="2"/>
      <c r="W484" s="2"/>
      <c r="X484" s="2"/>
      <c r="Y484" s="2"/>
      <c r="Z484" s="2"/>
      <c r="AD484" s="7">
        <f t="shared" si="7"/>
      </c>
    </row>
    <row r="485" spans="9:30" x14ac:dyDescent="0.25">
      <c r="I485" s="2"/>
      <c r="P485" s="2"/>
      <c r="W485" s="2"/>
      <c r="X485" s="2"/>
      <c r="Y485" s="2"/>
      <c r="Z485" s="2"/>
      <c r="AD485" s="7">
        <f t="shared" si="7"/>
      </c>
    </row>
    <row r="486" spans="9:30" x14ac:dyDescent="0.25">
      <c r="I486" s="2"/>
      <c r="P486" s="2"/>
      <c r="W486" s="2"/>
      <c r="X486" s="2"/>
      <c r="Y486" s="2"/>
      <c r="Z486" s="2"/>
      <c r="AD486" s="7">
        <f t="shared" si="7"/>
      </c>
    </row>
    <row r="487" spans="9:30" x14ac:dyDescent="0.25">
      <c r="I487" s="2"/>
      <c r="P487" s="2"/>
      <c r="W487" s="2"/>
      <c r="X487" s="2"/>
      <c r="Y487" s="2"/>
      <c r="Z487" s="2"/>
      <c r="AD487" s="7">
        <f t="shared" si="7"/>
      </c>
    </row>
    <row r="488" spans="9:30" x14ac:dyDescent="0.25">
      <c r="I488" s="2"/>
      <c r="P488" s="2"/>
      <c r="W488" s="2"/>
      <c r="X488" s="2"/>
      <c r="Y488" s="2"/>
      <c r="Z488" s="2"/>
      <c r="AD488" s="7">
        <f t="shared" si="7"/>
      </c>
    </row>
    <row r="489" spans="9:30" x14ac:dyDescent="0.25">
      <c r="I489" s="2"/>
      <c r="P489" s="2"/>
      <c r="W489" s="2"/>
      <c r="X489" s="2"/>
      <c r="Y489" s="2"/>
      <c r="Z489" s="2"/>
      <c r="AD489" s="7">
        <f t="shared" si="7"/>
      </c>
    </row>
    <row r="490" spans="9:30" x14ac:dyDescent="0.25">
      <c r="I490" s="2"/>
      <c r="P490" s="2"/>
      <c r="W490" s="2"/>
      <c r="X490" s="2"/>
      <c r="Y490" s="2"/>
      <c r="Z490" s="2"/>
      <c r="AD490" s="7">
        <f t="shared" si="7"/>
      </c>
    </row>
    <row r="491" spans="9:30" x14ac:dyDescent="0.25">
      <c r="I491" s="2"/>
      <c r="P491" s="2"/>
      <c r="W491" s="2"/>
      <c r="X491" s="2"/>
      <c r="Y491" s="2"/>
      <c r="Z491" s="2"/>
      <c r="AD491" s="7">
        <f t="shared" si="7"/>
      </c>
    </row>
    <row r="492" spans="9:30" x14ac:dyDescent="0.25">
      <c r="I492" s="2"/>
      <c r="P492" s="2"/>
      <c r="W492" s="2"/>
      <c r="X492" s="2"/>
      <c r="Y492" s="2"/>
      <c r="Z492" s="2"/>
      <c r="AD492" s="7">
        <f t="shared" si="7"/>
      </c>
    </row>
    <row r="493" spans="9:30" x14ac:dyDescent="0.25">
      <c r="I493" s="2"/>
      <c r="P493" s="2"/>
      <c r="W493" s="2"/>
      <c r="X493" s="2"/>
      <c r="Y493" s="2"/>
      <c r="Z493" s="2"/>
      <c r="AD493" s="7">
        <f t="shared" si="7"/>
      </c>
    </row>
    <row r="494" spans="9:30" x14ac:dyDescent="0.25">
      <c r="I494" s="2"/>
      <c r="P494" s="2"/>
      <c r="W494" s="2"/>
      <c r="X494" s="2"/>
      <c r="Y494" s="2"/>
      <c r="Z494" s="2"/>
      <c r="AD494" s="7">
        <f t="shared" si="7"/>
      </c>
    </row>
    <row r="495" spans="9:30" x14ac:dyDescent="0.25">
      <c r="I495" s="2"/>
      <c r="P495" s="2"/>
      <c r="W495" s="2"/>
      <c r="X495" s="2"/>
      <c r="Y495" s="2"/>
      <c r="Z495" s="2"/>
      <c r="AD495" s="7">
        <f t="shared" si="7"/>
      </c>
    </row>
    <row r="496" spans="9:30" x14ac:dyDescent="0.25">
      <c r="I496" s="2"/>
      <c r="P496" s="2"/>
      <c r="W496" s="2"/>
      <c r="X496" s="2"/>
      <c r="Y496" s="2"/>
      <c r="Z496" s="2"/>
      <c r="AD496" s="7">
        <f t="shared" si="7"/>
      </c>
    </row>
    <row r="497" spans="9:30" x14ac:dyDescent="0.25">
      <c r="I497" s="2"/>
      <c r="P497" s="2"/>
      <c r="W497" s="2"/>
      <c r="X497" s="2"/>
      <c r="Y497" s="2"/>
      <c r="Z497" s="2"/>
      <c r="AD497" s="7">
        <f t="shared" si="7"/>
      </c>
    </row>
    <row r="498" spans="9:30" x14ac:dyDescent="0.25">
      <c r="I498" s="2"/>
      <c r="P498" s="2"/>
      <c r="W498" s="2"/>
      <c r="X498" s="2"/>
      <c r="Y498" s="2"/>
      <c r="Z498" s="2"/>
      <c r="AD498" s="7">
        <f t="shared" si="7"/>
      </c>
    </row>
    <row r="499" spans="9:30" x14ac:dyDescent="0.25">
      <c r="I499" s="2"/>
      <c r="P499" s="2"/>
      <c r="W499" s="2"/>
      <c r="X499" s="2"/>
      <c r="Y499" s="2"/>
      <c r="Z499" s="2"/>
      <c r="AD499" s="7">
        <f t="shared" si="7"/>
      </c>
    </row>
    <row r="500" spans="9:30" x14ac:dyDescent="0.25">
      <c r="I500" s="2"/>
      <c r="P500" s="2"/>
      <c r="W500" s="2"/>
      <c r="X500" s="2"/>
      <c r="Y500" s="2"/>
      <c r="Z500" s="2"/>
      <c r="AD500" s="7">
        <f t="shared" si="7"/>
      </c>
    </row>
    <row r="501" spans="9:30" x14ac:dyDescent="0.25">
      <c r="I501" s="2"/>
      <c r="P501" s="2"/>
      <c r="W501" s="2"/>
      <c r="X501" s="2"/>
      <c r="Y501" s="2"/>
      <c r="Z501" s="2"/>
      <c r="AD501" s="7">
        <f t="shared" si="7"/>
      </c>
    </row>
  </sheetData>
  <mergeCells count="2">
    <mergeCell ref="K1:L1"/>
    <mergeCell ref="M1:O1"/>
  </mergeCells>
  <pageMargins left="0.15748031496062992" right="0.15748031496062992" top="0.3" bottom="0.16" header="0.5118110236220472" footer="0.16"/>
  <pageSetup paperSize="9" orientation="landscape" horizontalDpi="4294967295" verticalDpi="4294967295" scale="55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1"/>
  <sheetViews>
    <sheetView workbookViewId="0" showGridLines="0" zoomScale="100" zoomScaleNormal="100">
      <selection activeCell="E30" sqref="E30"/>
    </sheetView>
  </sheetViews>
  <sheetFormatPr defaultRowHeight="12" outlineLevelRow="0" outlineLevelCol="0" x14ac:dyDescent="0.15" customHeight="1"/>
  <cols>
    <col min="1" max="1" width="6.44140625" style="1" customWidth="1"/>
    <col min="2" max="2" width="7.77734375" style="2" customWidth="1"/>
    <col min="3" max="3" width="2.5546875" style="2" customWidth="1"/>
    <col min="4" max="4" width="7.77734375" style="2" customWidth="1"/>
    <col min="5" max="5" width="12.33203125" style="2" customWidth="1"/>
    <col min="6" max="6" width="7.77734375" style="2" customWidth="1"/>
    <col min="7" max="8" width="8.109375" style="2" customWidth="1"/>
    <col min="9" max="9" width="8.109375" style="3" customWidth="1"/>
    <col min="10" max="14" width="8.109375" style="2" customWidth="1"/>
    <col min="15" max="16" width="8.109375" style="4" customWidth="1"/>
    <col min="17" max="17" width="7.44140625" style="2" customWidth="1"/>
    <col min="18" max="19" width="7.88671875" style="2" customWidth="1"/>
    <col min="20" max="20" width="6.6640625" style="2" customWidth="1"/>
    <col min="21" max="21" width="6.6640625" style="5" customWidth="1"/>
    <col min="22" max="22" width="6.6640625" style="2" customWidth="1"/>
    <col min="23" max="23" width="7.77734375" style="3" customWidth="1"/>
    <col min="24" max="25" width="10.21875" style="6" customWidth="1"/>
    <col min="26" max="26" width="10.21875" style="7" customWidth="1"/>
    <col min="27" max="27" width="9.6640625" style="2" customWidth="1"/>
    <col min="28" max="28" width="7.77734375" style="2" customWidth="1"/>
    <col min="29" max="29" width="16.33203125" style="2" customWidth="1"/>
    <col min="30" max="30" width="10.5546875" style="7" customWidth="1"/>
    <col min="31" max="16384" width="8.88671875" style="2" customWidth="1"/>
  </cols>
  <sheetData>
    <row r="1" ht="18.75" customHeight="1" spans="1:26" x14ac:dyDescent="0.25">
      <c r="A1" s="8"/>
      <c r="D1" s="8"/>
      <c r="G1" s="9"/>
      <c r="H1" s="10"/>
      <c r="I1" s="2"/>
      <c r="J1" s="11"/>
      <c r="K1" s="12"/>
      <c r="L1" s="12"/>
      <c r="M1" s="10"/>
      <c r="N1" s="13"/>
      <c r="O1" s="13"/>
      <c r="P1" s="2"/>
      <c r="U1" s="2"/>
      <c r="W1" s="2"/>
      <c r="Z1" s="6"/>
    </row>
    <row r="2" ht="13.5" customHeight="1" spans="4:41" s="14" customFormat="1" x14ac:dyDescent="0.25">
      <c r="D2" s="14"/>
      <c r="G2" s="14"/>
      <c r="J2" s="15"/>
      <c r="K2" s="15"/>
      <c r="M2" s="9"/>
      <c r="N2" s="15"/>
      <c r="Q2" s="2"/>
      <c r="R2" s="2"/>
      <c r="S2" s="2"/>
      <c r="T2" s="2"/>
      <c r="U2" s="2"/>
      <c r="V2" s="2"/>
      <c r="W2" s="2"/>
      <c r="X2" s="6"/>
      <c r="Y2" s="6"/>
      <c r="Z2" s="6"/>
      <c r="AA2" s="2"/>
      <c r="AB2" s="2"/>
      <c r="AC2" s="2"/>
      <c r="AD2" s="7"/>
      <c r="AE2" s="2"/>
      <c r="AF2" s="2"/>
      <c r="AG2" s="2"/>
      <c r="AH2" s="14"/>
      <c r="AI2" s="14"/>
      <c r="AJ2" s="14"/>
      <c r="AK2" s="14"/>
      <c r="AL2" s="14"/>
      <c r="AM2" s="14"/>
      <c r="AN2" s="14"/>
      <c r="AO2" s="14"/>
    </row>
    <row r="3" ht="7.5" customHeight="1" spans="6:41" s="14" customFormat="1" x14ac:dyDescent="0.25">
      <c r="F3" s="14"/>
      <c r="G3" s="16"/>
      <c r="H3" s="14"/>
      <c r="I3" s="14"/>
      <c r="J3" s="14"/>
      <c r="K3" s="14"/>
      <c r="L3" s="14"/>
      <c r="M3" s="16"/>
      <c r="P3" s="9"/>
      <c r="Q3" s="2"/>
      <c r="R3" s="2"/>
      <c r="S3" s="2"/>
      <c r="T3" s="2"/>
      <c r="U3" s="2"/>
      <c r="V3" s="2"/>
      <c r="W3" s="17"/>
      <c r="X3" s="18"/>
      <c r="Y3" s="18"/>
      <c r="Z3" s="18"/>
      <c r="AA3" s="2"/>
      <c r="AB3" s="2"/>
      <c r="AC3" s="2"/>
      <c r="AD3" s="7"/>
      <c r="AE3" s="17"/>
      <c r="AF3" s="2"/>
      <c r="AG3" s="2"/>
      <c r="AH3" s="14"/>
      <c r="AI3" s="14"/>
      <c r="AJ3" s="14"/>
      <c r="AK3" s="14"/>
      <c r="AL3" s="14"/>
      <c r="AM3" s="14"/>
      <c r="AN3" s="14"/>
      <c r="AO3" s="14"/>
    </row>
    <row r="4" spans="4:30" s="19" customFormat="1" x14ac:dyDescent="0.25">
      <c r="D4" s="20" t="s">
        <v>2</v>
      </c>
      <c r="E4" s="20" t="s">
        <v>3</v>
      </c>
      <c r="F4" s="20" t="s">
        <v>4</v>
      </c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2"/>
      <c r="Y4" s="22"/>
      <c r="Z4" s="22"/>
      <c r="AA4" s="21"/>
      <c r="AB4" s="21"/>
      <c r="AD4" s="23"/>
    </row>
    <row r="5" spans="4:30" s="2" customFormat="1" x14ac:dyDescent="0.25">
      <c r="D5" s="24">
        <v>1</v>
      </c>
      <c r="E5" s="25"/>
      <c r="F5" s="26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2"/>
      <c r="Y5" s="22"/>
      <c r="Z5" s="22"/>
      <c r="AA5" s="27"/>
      <c r="AB5" s="28"/>
      <c r="AD5" s="7"/>
    </row>
    <row r="6" spans="4:30" s="2" customFormat="1" x14ac:dyDescent="0.25">
      <c r="D6" s="24"/>
      <c r="E6" s="2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9"/>
      <c r="R6" s="29"/>
      <c r="S6" s="29"/>
      <c r="T6" s="29"/>
      <c r="U6" s="29"/>
      <c r="V6" s="29"/>
      <c r="W6" s="29"/>
      <c r="X6" s="30"/>
      <c r="Y6" s="30"/>
      <c r="Z6" s="30"/>
      <c r="AA6" s="29"/>
      <c r="AB6" s="31"/>
      <c r="AC6" s="4"/>
      <c r="AD6" s="7"/>
    </row>
    <row r="7" ht="13.5" customHeight="1" spans="4:33" s="32" customFormat="1" x14ac:dyDescent="0.25">
      <c r="D7" s="33"/>
      <c r="E7" s="33"/>
      <c r="F7" s="34">
        <f>SUM(F5:F6)</f>
        <v>0</v>
      </c>
      <c r="G7" s="34">
        <f>SUM(G5:G6)</f>
        <v>0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2"/>
      <c r="Y7" s="22"/>
      <c r="Z7" s="22"/>
      <c r="AA7" s="27"/>
      <c r="AB7" s="21"/>
      <c r="AC7" s="35"/>
      <c r="AD7" s="23"/>
      <c r="AE7" s="35"/>
      <c r="AF7" s="35"/>
      <c r="AG7" s="35"/>
    </row>
    <row r="8" spans="1:29" x14ac:dyDescent="0.25">
      <c r="A8" s="36"/>
      <c r="B8" s="17"/>
      <c r="C8" s="36"/>
      <c r="D8" s="17"/>
      <c r="E8" s="36"/>
      <c r="F8" s="17"/>
      <c r="G8" s="36"/>
      <c r="H8" s="17"/>
      <c r="I8" s="36"/>
      <c r="J8" s="17"/>
      <c r="K8" s="36"/>
      <c r="L8" s="17"/>
      <c r="M8" s="36"/>
      <c r="N8" s="17"/>
      <c r="O8" s="36"/>
      <c r="P8" s="17"/>
      <c r="Q8" s="36"/>
      <c r="R8" s="36"/>
      <c r="S8" s="36"/>
      <c r="T8" s="17"/>
      <c r="U8" s="17"/>
      <c r="V8" s="17"/>
      <c r="W8" s="36"/>
      <c r="X8" s="18"/>
      <c r="Y8" s="18"/>
      <c r="Z8" s="18"/>
      <c r="AA8" s="36"/>
      <c r="AB8" s="17"/>
      <c r="AC8" s="25"/>
    </row>
    <row r="9" ht="12.75" customHeight="1" spans="1:30" s="17" customFormat="1" x14ac:dyDescent="0.25">
      <c r="A9" s="37" t="s">
        <v>7</v>
      </c>
      <c r="B9" s="37" t="s">
        <v>8</v>
      </c>
      <c r="C9" s="38">
        <v>1</v>
      </c>
      <c r="D9" s="37" t="s">
        <v>9</v>
      </c>
      <c r="E9" s="37"/>
      <c r="F9" s="37"/>
      <c r="G9" s="37" t="s">
        <v>10</v>
      </c>
      <c r="H9" s="37"/>
      <c r="I9" s="37" t="s">
        <v>11</v>
      </c>
      <c r="J9" s="37"/>
      <c r="K9" s="37" t="s">
        <v>12</v>
      </c>
      <c r="L9" s="39" t="s">
        <v>13</v>
      </c>
      <c r="M9" s="39" t="s">
        <v>14</v>
      </c>
      <c r="N9" s="39" t="s">
        <v>15</v>
      </c>
      <c r="O9" s="37" t="s">
        <v>16</v>
      </c>
      <c r="P9" s="37" t="s">
        <v>17</v>
      </c>
      <c r="Q9" s="37" t="s">
        <v>18</v>
      </c>
      <c r="R9" s="37" t="s">
        <v>19</v>
      </c>
      <c r="S9" s="37" t="s">
        <v>20</v>
      </c>
      <c r="T9" s="37" t="s">
        <v>21</v>
      </c>
      <c r="U9" s="37" t="s">
        <v>22</v>
      </c>
      <c r="V9" s="37"/>
      <c r="W9" s="37" t="s">
        <v>23</v>
      </c>
      <c r="X9" s="40" t="s">
        <v>24</v>
      </c>
      <c r="Y9" s="40" t="s">
        <v>25</v>
      </c>
      <c r="Z9" s="40" t="s">
        <v>26</v>
      </c>
      <c r="AA9" s="37" t="s">
        <v>27</v>
      </c>
      <c r="AB9" s="37"/>
      <c r="AC9" s="41" t="s">
        <v>28</v>
      </c>
      <c r="AD9" s="42" t="s">
        <v>29</v>
      </c>
    </row>
    <row r="10" ht="12.75" customHeight="1" spans="12:30" x14ac:dyDescent="0.25">
      <c r="L10" s="5"/>
      <c r="M10" s="5"/>
      <c r="N10" s="5"/>
      <c r="AD10" s="7">
        <f t="shared" ref="AD10:AD73" si="0">IF(P10 = "", "", Y10/P10)</f>
      </c>
    </row>
    <row r="11" spans="30:30" x14ac:dyDescent="0.25">
      <c r="AD11" s="7">
        <f t="shared" si="0"/>
      </c>
    </row>
    <row r="12" spans="30:30" x14ac:dyDescent="0.25">
      <c r="AD12" s="7">
        <f t="shared" si="0"/>
      </c>
    </row>
    <row r="13" spans="30:30" x14ac:dyDescent="0.25">
      <c r="AD13" s="7">
        <f t="shared" si="0"/>
      </c>
    </row>
    <row r="14" spans="30:30" x14ac:dyDescent="0.25">
      <c r="AD14" s="7">
        <f t="shared" si="0"/>
      </c>
    </row>
    <row r="15" spans="30:30" x14ac:dyDescent="0.25">
      <c r="AD15" s="7">
        <f t="shared" si="0"/>
      </c>
    </row>
    <row r="16" spans="30:30" x14ac:dyDescent="0.25">
      <c r="AD16" s="7">
        <f t="shared" si="0"/>
      </c>
    </row>
    <row r="17" spans="9:30" x14ac:dyDescent="0.25">
      <c r="I17" s="2"/>
      <c r="P17" s="2"/>
      <c r="W17" s="2"/>
      <c r="X17" s="2"/>
      <c r="Y17" s="2"/>
      <c r="Z17" s="2"/>
      <c r="AD17" s="7">
        <f t="shared" si="0"/>
      </c>
    </row>
    <row r="18" spans="9:30" x14ac:dyDescent="0.25">
      <c r="I18" s="2"/>
      <c r="P18" s="2"/>
      <c r="W18" s="2"/>
      <c r="X18" s="2"/>
      <c r="Y18" s="2"/>
      <c r="Z18" s="2"/>
      <c r="AD18" s="7">
        <f t="shared" si="0"/>
      </c>
    </row>
    <row r="19" spans="9:30" x14ac:dyDescent="0.25">
      <c r="I19" s="2"/>
      <c r="P19" s="2"/>
      <c r="W19" s="2"/>
      <c r="X19" s="2"/>
      <c r="Y19" s="2"/>
      <c r="Z19" s="2"/>
      <c r="AD19" s="7">
        <f t="shared" si="0"/>
      </c>
    </row>
    <row r="20" spans="9:30" x14ac:dyDescent="0.25">
      <c r="I20" s="2"/>
      <c r="P20" s="2"/>
      <c r="W20" s="2"/>
      <c r="X20" s="2"/>
      <c r="Y20" s="2"/>
      <c r="Z20" s="2"/>
      <c r="AD20" s="7">
        <f t="shared" si="0"/>
      </c>
    </row>
    <row r="21" spans="9:30" x14ac:dyDescent="0.25">
      <c r="I21" s="2"/>
      <c r="P21" s="2"/>
      <c r="W21" s="2"/>
      <c r="X21" s="2"/>
      <c r="Y21" s="2"/>
      <c r="Z21" s="2"/>
      <c r="AD21" s="7">
        <f t="shared" si="0"/>
      </c>
    </row>
    <row r="22" spans="9:30" x14ac:dyDescent="0.25">
      <c r="I22" s="2"/>
      <c r="P22" s="2"/>
      <c r="W22" s="2"/>
      <c r="X22" s="2"/>
      <c r="Y22" s="2"/>
      <c r="Z22" s="2"/>
      <c r="AD22" s="7">
        <f t="shared" si="0"/>
      </c>
    </row>
    <row r="23" spans="9:30" x14ac:dyDescent="0.25">
      <c r="I23" s="2"/>
      <c r="P23" s="2"/>
      <c r="W23" s="2"/>
      <c r="X23" s="2"/>
      <c r="Y23" s="2"/>
      <c r="Z23" s="2"/>
      <c r="AD23" s="7">
        <f t="shared" si="0"/>
      </c>
    </row>
    <row r="24" spans="9:30" x14ac:dyDescent="0.25">
      <c r="I24" s="2"/>
      <c r="P24" s="2"/>
      <c r="W24" s="2"/>
      <c r="X24" s="2"/>
      <c r="Y24" s="2"/>
      <c r="Z24" s="2"/>
      <c r="AD24" s="7">
        <f t="shared" si="0"/>
      </c>
    </row>
    <row r="25" spans="9:30" x14ac:dyDescent="0.25">
      <c r="I25" s="2"/>
      <c r="P25" s="2"/>
      <c r="W25" s="2"/>
      <c r="X25" s="2"/>
      <c r="Y25" s="2"/>
      <c r="Z25" s="2"/>
      <c r="AD25" s="7">
        <f t="shared" si="0"/>
      </c>
    </row>
    <row r="26" spans="9:30" x14ac:dyDescent="0.25">
      <c r="I26" s="2"/>
      <c r="P26" s="2"/>
      <c r="W26" s="2"/>
      <c r="X26" s="2"/>
      <c r="Y26" s="2"/>
      <c r="Z26" s="2"/>
      <c r="AD26" s="7">
        <f t="shared" si="0"/>
      </c>
    </row>
    <row r="27" spans="9:30" x14ac:dyDescent="0.25">
      <c r="I27" s="2"/>
      <c r="P27" s="2"/>
      <c r="W27" s="2"/>
      <c r="X27" s="2"/>
      <c r="Y27" s="2"/>
      <c r="Z27" s="2"/>
      <c r="AD27" s="7">
        <f t="shared" si="0"/>
      </c>
    </row>
    <row r="28" spans="9:30" x14ac:dyDescent="0.25">
      <c r="I28" s="2"/>
      <c r="P28" s="2"/>
      <c r="W28" s="2"/>
      <c r="X28" s="2"/>
      <c r="Y28" s="2"/>
      <c r="Z28" s="2"/>
      <c r="AD28" s="7">
        <f t="shared" si="0"/>
      </c>
    </row>
    <row r="29" spans="9:30" x14ac:dyDescent="0.25">
      <c r="I29" s="2"/>
      <c r="P29" s="2"/>
      <c r="W29" s="2"/>
      <c r="X29" s="2"/>
      <c r="Y29" s="2"/>
      <c r="Z29" s="2"/>
      <c r="AD29" s="7">
        <f t="shared" si="0"/>
      </c>
    </row>
    <row r="30" spans="9:30" x14ac:dyDescent="0.25">
      <c r="I30" s="2"/>
      <c r="P30" s="2"/>
      <c r="W30" s="2"/>
      <c r="X30" s="2"/>
      <c r="Y30" s="2"/>
      <c r="Z30" s="2"/>
      <c r="AD30" s="7">
        <f t="shared" si="0"/>
      </c>
    </row>
    <row r="31" spans="9:30" x14ac:dyDescent="0.25">
      <c r="I31" s="2"/>
      <c r="P31" s="2"/>
      <c r="W31" s="2"/>
      <c r="X31" s="2"/>
      <c r="Y31" s="2"/>
      <c r="Z31" s="2"/>
      <c r="AD31" s="7">
        <f t="shared" si="0"/>
      </c>
    </row>
    <row r="32" spans="9:30" x14ac:dyDescent="0.25">
      <c r="I32" s="2"/>
      <c r="P32" s="2"/>
      <c r="W32" s="2"/>
      <c r="X32" s="2"/>
      <c r="Y32" s="2"/>
      <c r="Z32" s="2"/>
      <c r="AD32" s="7">
        <f t="shared" si="0"/>
      </c>
    </row>
    <row r="33" spans="9:30" x14ac:dyDescent="0.25">
      <c r="I33" s="2"/>
      <c r="P33" s="2"/>
      <c r="W33" s="2"/>
      <c r="X33" s="2"/>
      <c r="Y33" s="2"/>
      <c r="Z33" s="2"/>
      <c r="AD33" s="7">
        <f t="shared" si="0"/>
      </c>
    </row>
    <row r="34" spans="9:30" x14ac:dyDescent="0.25">
      <c r="I34" s="2"/>
      <c r="P34" s="2"/>
      <c r="W34" s="2"/>
      <c r="X34" s="2"/>
      <c r="Y34" s="2"/>
      <c r="Z34" s="2"/>
      <c r="AD34" s="7">
        <f t="shared" si="0"/>
      </c>
    </row>
    <row r="35" spans="9:30" x14ac:dyDescent="0.25">
      <c r="I35" s="2"/>
      <c r="P35" s="2"/>
      <c r="W35" s="2"/>
      <c r="X35" s="2"/>
      <c r="Y35" s="2"/>
      <c r="Z35" s="2"/>
      <c r="AD35" s="7">
        <f t="shared" si="0"/>
      </c>
    </row>
    <row r="36" spans="9:30" x14ac:dyDescent="0.25">
      <c r="I36" s="2"/>
      <c r="P36" s="2"/>
      <c r="W36" s="2"/>
      <c r="X36" s="2"/>
      <c r="Y36" s="2"/>
      <c r="Z36" s="2"/>
      <c r="AD36" s="7">
        <f t="shared" si="0"/>
      </c>
    </row>
    <row r="37" spans="9:30" x14ac:dyDescent="0.25">
      <c r="I37" s="2"/>
      <c r="P37" s="2"/>
      <c r="W37" s="2"/>
      <c r="X37" s="2"/>
      <c r="Y37" s="2"/>
      <c r="Z37" s="2"/>
      <c r="AD37" s="7">
        <f t="shared" si="0"/>
      </c>
    </row>
    <row r="38" spans="9:30" x14ac:dyDescent="0.25">
      <c r="I38" s="2"/>
      <c r="P38" s="2"/>
      <c r="W38" s="2"/>
      <c r="X38" s="2"/>
      <c r="Y38" s="2"/>
      <c r="Z38" s="2"/>
      <c r="AD38" s="7">
        <f t="shared" si="0"/>
      </c>
    </row>
    <row r="39" spans="9:30" x14ac:dyDescent="0.25">
      <c r="I39" s="2"/>
      <c r="P39" s="2"/>
      <c r="W39" s="2"/>
      <c r="X39" s="2"/>
      <c r="Y39" s="2"/>
      <c r="Z39" s="2"/>
      <c r="AD39" s="7">
        <f t="shared" si="0"/>
      </c>
    </row>
    <row r="40" spans="9:30" x14ac:dyDescent="0.25">
      <c r="I40" s="2"/>
      <c r="P40" s="2"/>
      <c r="W40" s="2"/>
      <c r="X40" s="2"/>
      <c r="Y40" s="2"/>
      <c r="Z40" s="2"/>
      <c r="AD40" s="7">
        <f t="shared" si="0"/>
      </c>
    </row>
    <row r="41" spans="9:30" x14ac:dyDescent="0.25">
      <c r="I41" s="2"/>
      <c r="P41" s="2"/>
      <c r="W41" s="2"/>
      <c r="X41" s="2"/>
      <c r="Y41" s="2"/>
      <c r="Z41" s="2"/>
      <c r="AD41" s="7">
        <f t="shared" si="0"/>
      </c>
    </row>
    <row r="42" spans="9:30" x14ac:dyDescent="0.25">
      <c r="I42" s="2"/>
      <c r="P42" s="2"/>
      <c r="W42" s="2"/>
      <c r="X42" s="2"/>
      <c r="Y42" s="2"/>
      <c r="Z42" s="2"/>
      <c r="AD42" s="7">
        <f t="shared" si="0"/>
      </c>
    </row>
    <row r="43" spans="9:30" x14ac:dyDescent="0.25">
      <c r="I43" s="2"/>
      <c r="P43" s="2"/>
      <c r="W43" s="2"/>
      <c r="X43" s="2"/>
      <c r="Y43" s="2"/>
      <c r="Z43" s="2"/>
      <c r="AD43" s="7">
        <f t="shared" si="0"/>
      </c>
    </row>
    <row r="44" spans="9:30" x14ac:dyDescent="0.25">
      <c r="I44" s="2"/>
      <c r="P44" s="2"/>
      <c r="W44" s="2"/>
      <c r="X44" s="2"/>
      <c r="Y44" s="2"/>
      <c r="Z44" s="2"/>
      <c r="AD44" s="7">
        <f t="shared" si="0"/>
      </c>
    </row>
    <row r="45" spans="9:30" x14ac:dyDescent="0.25">
      <c r="I45" s="2"/>
      <c r="P45" s="2"/>
      <c r="W45" s="2"/>
      <c r="X45" s="2"/>
      <c r="Y45" s="2"/>
      <c r="Z45" s="2"/>
      <c r="AD45" s="7">
        <f t="shared" si="0"/>
      </c>
    </row>
    <row r="46" spans="9:30" x14ac:dyDescent="0.25">
      <c r="I46" s="2"/>
      <c r="P46" s="2"/>
      <c r="W46" s="2"/>
      <c r="X46" s="2"/>
      <c r="Y46" s="2"/>
      <c r="Z46" s="2"/>
      <c r="AD46" s="7">
        <f t="shared" si="0"/>
      </c>
    </row>
    <row r="47" spans="9:30" x14ac:dyDescent="0.25">
      <c r="I47" s="2"/>
      <c r="P47" s="2"/>
      <c r="W47" s="2"/>
      <c r="X47" s="2"/>
      <c r="Y47" s="2"/>
      <c r="Z47" s="2"/>
      <c r="AD47" s="7">
        <f t="shared" si="0"/>
      </c>
    </row>
    <row r="48" spans="9:30" x14ac:dyDescent="0.25">
      <c r="I48" s="2"/>
      <c r="P48" s="2"/>
      <c r="W48" s="2"/>
      <c r="X48" s="2"/>
      <c r="Y48" s="2"/>
      <c r="Z48" s="2"/>
      <c r="AD48" s="7">
        <f t="shared" si="0"/>
      </c>
    </row>
    <row r="49" spans="9:30" x14ac:dyDescent="0.25">
      <c r="I49" s="2"/>
      <c r="P49" s="2"/>
      <c r="W49" s="2"/>
      <c r="X49" s="2"/>
      <c r="Y49" s="2"/>
      <c r="Z49" s="2"/>
      <c r="AD49" s="7">
        <f t="shared" si="0"/>
      </c>
    </row>
    <row r="50" spans="9:30" x14ac:dyDescent="0.25">
      <c r="I50" s="2"/>
      <c r="P50" s="2"/>
      <c r="W50" s="2"/>
      <c r="X50" s="2"/>
      <c r="Y50" s="2"/>
      <c r="Z50" s="2"/>
      <c r="AD50" s="7">
        <f t="shared" si="0"/>
      </c>
    </row>
    <row r="51" spans="9:30" x14ac:dyDescent="0.25">
      <c r="I51" s="2"/>
      <c r="P51" s="2"/>
      <c r="W51" s="2"/>
      <c r="X51" s="2"/>
      <c r="Y51" s="2"/>
      <c r="Z51" s="2"/>
      <c r="AD51" s="7">
        <f t="shared" si="0"/>
      </c>
    </row>
    <row r="52" spans="9:30" x14ac:dyDescent="0.25">
      <c r="I52" s="2"/>
      <c r="P52" s="2"/>
      <c r="W52" s="2"/>
      <c r="X52" s="2"/>
      <c r="Y52" s="2"/>
      <c r="Z52" s="2"/>
      <c r="AD52" s="7">
        <f t="shared" si="0"/>
      </c>
    </row>
    <row r="53" spans="9:30" x14ac:dyDescent="0.25">
      <c r="I53" s="2"/>
      <c r="P53" s="2"/>
      <c r="W53" s="2"/>
      <c r="X53" s="2"/>
      <c r="Y53" s="2"/>
      <c r="Z53" s="2"/>
      <c r="AD53" s="7">
        <f t="shared" si="0"/>
      </c>
    </row>
    <row r="54" spans="9:30" x14ac:dyDescent="0.25">
      <c r="I54" s="2"/>
      <c r="P54" s="2"/>
      <c r="W54" s="2"/>
      <c r="X54" s="2"/>
      <c r="Y54" s="2"/>
      <c r="Z54" s="2"/>
      <c r="AD54" s="7">
        <f t="shared" si="0"/>
      </c>
    </row>
    <row r="55" spans="9:30" x14ac:dyDescent="0.25">
      <c r="I55" s="2"/>
      <c r="P55" s="2"/>
      <c r="W55" s="2"/>
      <c r="X55" s="2"/>
      <c r="Y55" s="2"/>
      <c r="Z55" s="2"/>
      <c r="AD55" s="7">
        <f t="shared" si="0"/>
      </c>
    </row>
    <row r="56" spans="9:30" x14ac:dyDescent="0.25">
      <c r="I56" s="2"/>
      <c r="P56" s="2"/>
      <c r="W56" s="2"/>
      <c r="X56" s="2"/>
      <c r="Y56" s="2"/>
      <c r="Z56" s="2"/>
      <c r="AD56" s="7">
        <f t="shared" si="0"/>
      </c>
    </row>
    <row r="57" spans="9:30" x14ac:dyDescent="0.25">
      <c r="I57" s="2"/>
      <c r="P57" s="2"/>
      <c r="W57" s="2"/>
      <c r="X57" s="2"/>
      <c r="Y57" s="2"/>
      <c r="Z57" s="2"/>
      <c r="AD57" s="7">
        <f t="shared" si="0"/>
      </c>
    </row>
    <row r="58" spans="9:30" x14ac:dyDescent="0.25">
      <c r="I58" s="2"/>
      <c r="P58" s="2"/>
      <c r="W58" s="2"/>
      <c r="X58" s="2"/>
      <c r="Y58" s="2"/>
      <c r="Z58" s="2"/>
      <c r="AD58" s="7">
        <f t="shared" si="0"/>
      </c>
    </row>
    <row r="59" spans="9:30" x14ac:dyDescent="0.25">
      <c r="I59" s="2"/>
      <c r="P59" s="2"/>
      <c r="W59" s="2"/>
      <c r="X59" s="2"/>
      <c r="Y59" s="2"/>
      <c r="Z59" s="2"/>
      <c r="AD59" s="7">
        <f t="shared" si="0"/>
      </c>
    </row>
    <row r="60" spans="9:30" x14ac:dyDescent="0.25">
      <c r="I60" s="2"/>
      <c r="P60" s="2"/>
      <c r="W60" s="2"/>
      <c r="X60" s="2"/>
      <c r="Y60" s="2"/>
      <c r="Z60" s="2"/>
      <c r="AD60" s="7">
        <f t="shared" si="0"/>
      </c>
    </row>
    <row r="61" spans="9:30" x14ac:dyDescent="0.25">
      <c r="I61" s="2"/>
      <c r="P61" s="2"/>
      <c r="W61" s="2"/>
      <c r="X61" s="2"/>
      <c r="Y61" s="2"/>
      <c r="Z61" s="2"/>
      <c r="AD61" s="7">
        <f t="shared" si="0"/>
      </c>
    </row>
    <row r="62" spans="9:30" x14ac:dyDescent="0.25">
      <c r="I62" s="2"/>
      <c r="P62" s="2"/>
      <c r="W62" s="2"/>
      <c r="X62" s="2"/>
      <c r="Y62" s="2"/>
      <c r="Z62" s="2"/>
      <c r="AD62" s="7">
        <f t="shared" si="0"/>
      </c>
    </row>
    <row r="63" spans="9:30" x14ac:dyDescent="0.25">
      <c r="I63" s="2"/>
      <c r="P63" s="2"/>
      <c r="W63" s="2"/>
      <c r="X63" s="2"/>
      <c r="Y63" s="2"/>
      <c r="Z63" s="2"/>
      <c r="AD63" s="7">
        <f t="shared" si="0"/>
      </c>
    </row>
    <row r="64" spans="9:30" x14ac:dyDescent="0.25">
      <c r="I64" s="2"/>
      <c r="P64" s="2"/>
      <c r="W64" s="2"/>
      <c r="X64" s="2"/>
      <c r="Y64" s="2"/>
      <c r="Z64" s="2"/>
      <c r="AD64" s="7">
        <f t="shared" si="0"/>
      </c>
    </row>
    <row r="65" spans="9:30" x14ac:dyDescent="0.25">
      <c r="I65" s="2"/>
      <c r="P65" s="2"/>
      <c r="W65" s="2"/>
      <c r="X65" s="2"/>
      <c r="Y65" s="2"/>
      <c r="Z65" s="2"/>
      <c r="AD65" s="7">
        <f t="shared" si="0"/>
      </c>
    </row>
    <row r="66" spans="9:30" x14ac:dyDescent="0.25">
      <c r="I66" s="2"/>
      <c r="P66" s="2"/>
      <c r="W66" s="2"/>
      <c r="X66" s="2"/>
      <c r="Y66" s="2"/>
      <c r="Z66" s="2"/>
      <c r="AD66" s="7">
        <f t="shared" si="0"/>
      </c>
    </row>
    <row r="67" spans="9:30" x14ac:dyDescent="0.25">
      <c r="I67" s="2"/>
      <c r="P67" s="2"/>
      <c r="W67" s="2"/>
      <c r="X67" s="2"/>
      <c r="Y67" s="2"/>
      <c r="Z67" s="2"/>
      <c r="AD67" s="7">
        <f t="shared" si="0"/>
      </c>
    </row>
    <row r="68" spans="9:30" x14ac:dyDescent="0.25">
      <c r="I68" s="2"/>
      <c r="P68" s="2"/>
      <c r="W68" s="2"/>
      <c r="X68" s="2"/>
      <c r="Y68" s="2"/>
      <c r="Z68" s="2"/>
      <c r="AD68" s="7">
        <f t="shared" si="0"/>
      </c>
    </row>
    <row r="69" spans="9:30" x14ac:dyDescent="0.25">
      <c r="I69" s="2"/>
      <c r="P69" s="2"/>
      <c r="W69" s="2"/>
      <c r="X69" s="2"/>
      <c r="Y69" s="2"/>
      <c r="Z69" s="2"/>
      <c r="AD69" s="7">
        <f t="shared" si="0"/>
      </c>
    </row>
    <row r="70" spans="9:30" x14ac:dyDescent="0.25">
      <c r="I70" s="2"/>
      <c r="P70" s="2"/>
      <c r="W70" s="2"/>
      <c r="X70" s="2"/>
      <c r="Y70" s="2"/>
      <c r="Z70" s="2"/>
      <c r="AD70" s="7">
        <f t="shared" si="0"/>
      </c>
    </row>
    <row r="71" spans="9:30" x14ac:dyDescent="0.25">
      <c r="I71" s="2"/>
      <c r="P71" s="2"/>
      <c r="W71" s="2"/>
      <c r="X71" s="2"/>
      <c r="Y71" s="2"/>
      <c r="Z71" s="2"/>
      <c r="AD71" s="7">
        <f t="shared" si="0"/>
      </c>
    </row>
    <row r="72" spans="9:30" x14ac:dyDescent="0.25">
      <c r="I72" s="2"/>
      <c r="P72" s="2"/>
      <c r="W72" s="2"/>
      <c r="X72" s="2"/>
      <c r="Y72" s="2"/>
      <c r="Z72" s="2"/>
      <c r="AD72" s="7">
        <f t="shared" si="0"/>
      </c>
    </row>
    <row r="73" spans="9:30" x14ac:dyDescent="0.25">
      <c r="I73" s="2"/>
      <c r="P73" s="2"/>
      <c r="W73" s="2"/>
      <c r="X73" s="2"/>
      <c r="Y73" s="2"/>
      <c r="Z73" s="2"/>
      <c r="AD73" s="7">
        <f t="shared" si="0"/>
      </c>
    </row>
    <row r="74" spans="9:30" x14ac:dyDescent="0.25">
      <c r="I74" s="2"/>
      <c r="P74" s="2"/>
      <c r="W74" s="2"/>
      <c r="X74" s="2"/>
      <c r="Y74" s="2"/>
      <c r="Z74" s="2"/>
      <c r="AD74" s="7">
        <f t="shared" ref="AD74:AD137" si="1">IF(P74 = "", "", Y74/P74)</f>
      </c>
    </row>
    <row r="75" spans="9:30" x14ac:dyDescent="0.25">
      <c r="I75" s="2"/>
      <c r="P75" s="2"/>
      <c r="W75" s="2"/>
      <c r="X75" s="2"/>
      <c r="Y75" s="2"/>
      <c r="Z75" s="2"/>
      <c r="AD75" s="7">
        <f t="shared" si="1"/>
      </c>
    </row>
    <row r="76" spans="9:30" x14ac:dyDescent="0.25">
      <c r="I76" s="2"/>
      <c r="P76" s="2"/>
      <c r="W76" s="2"/>
      <c r="X76" s="2"/>
      <c r="Y76" s="2"/>
      <c r="Z76" s="2"/>
      <c r="AD76" s="7">
        <f t="shared" si="1"/>
      </c>
    </row>
    <row r="77" spans="9:30" x14ac:dyDescent="0.25">
      <c r="I77" s="2"/>
      <c r="P77" s="2"/>
      <c r="W77" s="2"/>
      <c r="X77" s="2"/>
      <c r="Y77" s="2"/>
      <c r="Z77" s="2"/>
      <c r="AD77" s="7">
        <f t="shared" si="1"/>
      </c>
    </row>
    <row r="78" spans="9:30" x14ac:dyDescent="0.25">
      <c r="I78" s="2"/>
      <c r="P78" s="2"/>
      <c r="W78" s="2"/>
      <c r="X78" s="2"/>
      <c r="Y78" s="2"/>
      <c r="Z78" s="2"/>
      <c r="AD78" s="7">
        <f t="shared" si="1"/>
      </c>
    </row>
    <row r="79" spans="9:30" x14ac:dyDescent="0.25">
      <c r="I79" s="2"/>
      <c r="P79" s="2"/>
      <c r="W79" s="2"/>
      <c r="X79" s="2"/>
      <c r="Y79" s="2"/>
      <c r="Z79" s="2"/>
      <c r="AD79" s="7">
        <f t="shared" si="1"/>
      </c>
    </row>
    <row r="80" spans="9:30" x14ac:dyDescent="0.25">
      <c r="I80" s="2"/>
      <c r="P80" s="2"/>
      <c r="W80" s="2"/>
      <c r="X80" s="2"/>
      <c r="Y80" s="2"/>
      <c r="Z80" s="2"/>
      <c r="AD80" s="7">
        <f t="shared" si="1"/>
      </c>
    </row>
    <row r="81" spans="9:30" x14ac:dyDescent="0.25">
      <c r="I81" s="2"/>
      <c r="P81" s="2"/>
      <c r="W81" s="2"/>
      <c r="X81" s="2"/>
      <c r="Y81" s="2"/>
      <c r="Z81" s="2"/>
      <c r="AD81" s="7">
        <f t="shared" si="1"/>
      </c>
    </row>
    <row r="82" spans="9:30" x14ac:dyDescent="0.25">
      <c r="I82" s="2"/>
      <c r="P82" s="2"/>
      <c r="W82" s="2"/>
      <c r="X82" s="2"/>
      <c r="Y82" s="2"/>
      <c r="Z82" s="2"/>
      <c r="AD82" s="7">
        <f t="shared" si="1"/>
      </c>
    </row>
    <row r="83" spans="9:30" x14ac:dyDescent="0.25">
      <c r="I83" s="2"/>
      <c r="P83" s="2"/>
      <c r="W83" s="2"/>
      <c r="X83" s="2"/>
      <c r="Y83" s="2"/>
      <c r="Z83" s="2"/>
      <c r="AD83" s="7">
        <f t="shared" si="1"/>
      </c>
    </row>
    <row r="84" spans="9:30" x14ac:dyDescent="0.25">
      <c r="I84" s="2"/>
      <c r="P84" s="2"/>
      <c r="W84" s="2"/>
      <c r="X84" s="2"/>
      <c r="Y84" s="2"/>
      <c r="Z84" s="2"/>
      <c r="AD84" s="7">
        <f t="shared" si="1"/>
      </c>
    </row>
    <row r="85" spans="9:30" x14ac:dyDescent="0.25">
      <c r="I85" s="2"/>
      <c r="P85" s="2"/>
      <c r="W85" s="2"/>
      <c r="X85" s="2"/>
      <c r="Y85" s="2"/>
      <c r="Z85" s="2"/>
      <c r="AD85" s="7">
        <f t="shared" si="1"/>
      </c>
    </row>
    <row r="86" spans="9:30" x14ac:dyDescent="0.25">
      <c r="I86" s="2"/>
      <c r="P86" s="2"/>
      <c r="W86" s="2"/>
      <c r="X86" s="2"/>
      <c r="Y86" s="2"/>
      <c r="Z86" s="2"/>
      <c r="AD86" s="7">
        <f t="shared" si="1"/>
      </c>
    </row>
    <row r="87" spans="9:30" x14ac:dyDescent="0.25">
      <c r="I87" s="2"/>
      <c r="P87" s="2"/>
      <c r="W87" s="2"/>
      <c r="X87" s="2"/>
      <c r="Y87" s="2"/>
      <c r="Z87" s="2"/>
      <c r="AD87" s="7">
        <f t="shared" si="1"/>
      </c>
    </row>
    <row r="88" spans="9:30" x14ac:dyDescent="0.25">
      <c r="I88" s="2"/>
      <c r="P88" s="2"/>
      <c r="W88" s="2"/>
      <c r="X88" s="2"/>
      <c r="Y88" s="2"/>
      <c r="Z88" s="2"/>
      <c r="AD88" s="7">
        <f t="shared" si="1"/>
      </c>
    </row>
    <row r="89" spans="9:30" x14ac:dyDescent="0.25">
      <c r="I89" s="2"/>
      <c r="P89" s="2"/>
      <c r="W89" s="2"/>
      <c r="X89" s="2"/>
      <c r="Y89" s="2"/>
      <c r="Z89" s="2"/>
      <c r="AD89" s="7">
        <f t="shared" si="1"/>
      </c>
    </row>
    <row r="90" spans="9:30" x14ac:dyDescent="0.25">
      <c r="I90" s="2"/>
      <c r="P90" s="2"/>
      <c r="W90" s="2"/>
      <c r="X90" s="2"/>
      <c r="Y90" s="2"/>
      <c r="Z90" s="2"/>
      <c r="AD90" s="7">
        <f t="shared" si="1"/>
      </c>
    </row>
    <row r="91" spans="9:30" x14ac:dyDescent="0.25">
      <c r="I91" s="2"/>
      <c r="P91" s="2"/>
      <c r="W91" s="2"/>
      <c r="X91" s="2"/>
      <c r="Y91" s="2"/>
      <c r="Z91" s="2"/>
      <c r="AD91" s="7">
        <f t="shared" si="1"/>
      </c>
    </row>
    <row r="92" spans="9:30" x14ac:dyDescent="0.25">
      <c r="I92" s="2"/>
      <c r="P92" s="2"/>
      <c r="W92" s="2"/>
      <c r="X92" s="2"/>
      <c r="Y92" s="2"/>
      <c r="Z92" s="2"/>
      <c r="AD92" s="7">
        <f t="shared" si="1"/>
      </c>
    </row>
    <row r="93" spans="9:30" x14ac:dyDescent="0.25">
      <c r="I93" s="2"/>
      <c r="P93" s="2"/>
      <c r="W93" s="2"/>
      <c r="X93" s="2"/>
      <c r="Y93" s="2"/>
      <c r="Z93" s="2"/>
      <c r="AD93" s="7">
        <f t="shared" si="1"/>
      </c>
    </row>
    <row r="94" spans="9:30" x14ac:dyDescent="0.25">
      <c r="I94" s="2"/>
      <c r="P94" s="2"/>
      <c r="W94" s="2"/>
      <c r="X94" s="2"/>
      <c r="Y94" s="2"/>
      <c r="Z94" s="2"/>
      <c r="AD94" s="7">
        <f t="shared" si="1"/>
      </c>
    </row>
    <row r="95" spans="9:30" x14ac:dyDescent="0.25">
      <c r="I95" s="2"/>
      <c r="P95" s="2"/>
      <c r="W95" s="2"/>
      <c r="X95" s="2"/>
      <c r="Y95" s="2"/>
      <c r="Z95" s="2"/>
      <c r="AD95" s="7">
        <f t="shared" si="1"/>
      </c>
    </row>
    <row r="96" spans="9:30" x14ac:dyDescent="0.25">
      <c r="I96" s="2"/>
      <c r="P96" s="2"/>
      <c r="W96" s="2"/>
      <c r="X96" s="2"/>
      <c r="Y96" s="2"/>
      <c r="Z96" s="2"/>
      <c r="AD96" s="7">
        <f t="shared" si="1"/>
      </c>
    </row>
    <row r="97" spans="9:30" x14ac:dyDescent="0.25">
      <c r="I97" s="2"/>
      <c r="P97" s="2"/>
      <c r="W97" s="2"/>
      <c r="X97" s="2"/>
      <c r="Y97" s="2"/>
      <c r="Z97" s="2"/>
      <c r="AD97" s="7">
        <f t="shared" si="1"/>
      </c>
    </row>
    <row r="98" spans="9:30" x14ac:dyDescent="0.25">
      <c r="I98" s="2"/>
      <c r="P98" s="2"/>
      <c r="W98" s="2"/>
      <c r="X98" s="2"/>
      <c r="Y98" s="2"/>
      <c r="Z98" s="2"/>
      <c r="AD98" s="7">
        <f t="shared" si="1"/>
      </c>
    </row>
    <row r="99" spans="9:30" x14ac:dyDescent="0.25">
      <c r="I99" s="2"/>
      <c r="P99" s="2"/>
      <c r="W99" s="2"/>
      <c r="X99" s="2"/>
      <c r="Y99" s="2"/>
      <c r="Z99" s="2"/>
      <c r="AD99" s="7">
        <f t="shared" si="1"/>
      </c>
    </row>
    <row r="100" spans="9:30" x14ac:dyDescent="0.25">
      <c r="I100" s="2"/>
      <c r="P100" s="2"/>
      <c r="W100" s="2"/>
      <c r="X100" s="2"/>
      <c r="Y100" s="2"/>
      <c r="Z100" s="2"/>
      <c r="AD100" s="7">
        <f t="shared" si="1"/>
      </c>
    </row>
    <row r="101" spans="9:30" x14ac:dyDescent="0.25">
      <c r="I101" s="2"/>
      <c r="P101" s="2"/>
      <c r="W101" s="2"/>
      <c r="X101" s="2"/>
      <c r="Y101" s="2"/>
      <c r="Z101" s="2"/>
      <c r="AD101" s="7">
        <f t="shared" si="1"/>
      </c>
    </row>
    <row r="102" spans="9:30" x14ac:dyDescent="0.25">
      <c r="I102" s="2"/>
      <c r="P102" s="2"/>
      <c r="W102" s="2"/>
      <c r="X102" s="2"/>
      <c r="Y102" s="2"/>
      <c r="Z102" s="2"/>
      <c r="AD102" s="7">
        <f t="shared" si="1"/>
      </c>
    </row>
    <row r="103" spans="9:30" x14ac:dyDescent="0.25">
      <c r="I103" s="2"/>
      <c r="P103" s="2"/>
      <c r="W103" s="2"/>
      <c r="X103" s="2"/>
      <c r="Y103" s="2"/>
      <c r="Z103" s="2"/>
      <c r="AD103" s="7">
        <f t="shared" si="1"/>
      </c>
    </row>
    <row r="104" spans="9:30" x14ac:dyDescent="0.25">
      <c r="I104" s="2"/>
      <c r="P104" s="2"/>
      <c r="W104" s="2"/>
      <c r="X104" s="2"/>
      <c r="Y104" s="2"/>
      <c r="Z104" s="2"/>
      <c r="AD104" s="7">
        <f t="shared" si="1"/>
      </c>
    </row>
    <row r="105" spans="9:30" x14ac:dyDescent="0.25">
      <c r="I105" s="2"/>
      <c r="P105" s="2"/>
      <c r="W105" s="2"/>
      <c r="X105" s="2"/>
      <c r="Y105" s="2"/>
      <c r="Z105" s="2"/>
      <c r="AD105" s="7">
        <f t="shared" si="1"/>
      </c>
    </row>
    <row r="106" spans="9:30" x14ac:dyDescent="0.25">
      <c r="I106" s="2"/>
      <c r="P106" s="2"/>
      <c r="W106" s="2"/>
      <c r="X106" s="2"/>
      <c r="Y106" s="2"/>
      <c r="Z106" s="2"/>
      <c r="AD106" s="7">
        <f t="shared" si="1"/>
      </c>
    </row>
    <row r="107" spans="9:30" x14ac:dyDescent="0.25">
      <c r="I107" s="2"/>
      <c r="P107" s="2"/>
      <c r="W107" s="2"/>
      <c r="X107" s="2"/>
      <c r="Y107" s="2"/>
      <c r="Z107" s="2"/>
      <c r="AD107" s="7">
        <f t="shared" si="1"/>
      </c>
    </row>
    <row r="108" spans="9:30" x14ac:dyDescent="0.25">
      <c r="I108" s="2"/>
      <c r="P108" s="2"/>
      <c r="W108" s="2"/>
      <c r="X108" s="2"/>
      <c r="Y108" s="2"/>
      <c r="Z108" s="2"/>
      <c r="AD108" s="7">
        <f t="shared" si="1"/>
      </c>
    </row>
    <row r="109" spans="9:30" x14ac:dyDescent="0.25">
      <c r="I109" s="2"/>
      <c r="P109" s="2"/>
      <c r="W109" s="2"/>
      <c r="X109" s="2"/>
      <c r="Y109" s="2"/>
      <c r="Z109" s="2"/>
      <c r="AD109" s="7">
        <f t="shared" si="1"/>
      </c>
    </row>
    <row r="110" spans="9:30" x14ac:dyDescent="0.25">
      <c r="I110" s="2"/>
      <c r="P110" s="2"/>
      <c r="W110" s="2"/>
      <c r="X110" s="2"/>
      <c r="Y110" s="2"/>
      <c r="Z110" s="2"/>
      <c r="AD110" s="7">
        <f t="shared" si="1"/>
      </c>
    </row>
    <row r="111" spans="9:30" x14ac:dyDescent="0.25">
      <c r="I111" s="2"/>
      <c r="P111" s="2"/>
      <c r="W111" s="2"/>
      <c r="X111" s="2"/>
      <c r="Y111" s="2"/>
      <c r="Z111" s="2"/>
      <c r="AD111" s="7">
        <f t="shared" si="1"/>
      </c>
    </row>
    <row r="112" spans="9:30" x14ac:dyDescent="0.25">
      <c r="I112" s="2"/>
      <c r="P112" s="2"/>
      <c r="W112" s="2"/>
      <c r="X112" s="2"/>
      <c r="Y112" s="2"/>
      <c r="Z112" s="2"/>
      <c r="AD112" s="7">
        <f t="shared" si="1"/>
      </c>
    </row>
    <row r="113" spans="9:30" x14ac:dyDescent="0.25">
      <c r="I113" s="2"/>
      <c r="P113" s="2"/>
      <c r="W113" s="2"/>
      <c r="X113" s="2"/>
      <c r="Y113" s="2"/>
      <c r="Z113" s="2"/>
      <c r="AD113" s="7">
        <f t="shared" si="1"/>
      </c>
    </row>
    <row r="114" spans="9:30" x14ac:dyDescent="0.25">
      <c r="I114" s="2"/>
      <c r="P114" s="2"/>
      <c r="W114" s="2"/>
      <c r="X114" s="2"/>
      <c r="Y114" s="2"/>
      <c r="Z114" s="2"/>
      <c r="AD114" s="7">
        <f t="shared" si="1"/>
      </c>
    </row>
    <row r="115" spans="9:30" x14ac:dyDescent="0.25">
      <c r="I115" s="2"/>
      <c r="P115" s="2"/>
      <c r="W115" s="2"/>
      <c r="X115" s="2"/>
      <c r="Y115" s="2"/>
      <c r="Z115" s="2"/>
      <c r="AD115" s="7">
        <f t="shared" si="1"/>
      </c>
    </row>
    <row r="116" spans="9:30" x14ac:dyDescent="0.25">
      <c r="I116" s="2"/>
      <c r="P116" s="2"/>
      <c r="W116" s="2"/>
      <c r="X116" s="2"/>
      <c r="Y116" s="2"/>
      <c r="Z116" s="2"/>
      <c r="AD116" s="7">
        <f t="shared" si="1"/>
      </c>
    </row>
    <row r="117" spans="9:30" x14ac:dyDescent="0.25">
      <c r="I117" s="2"/>
      <c r="P117" s="2"/>
      <c r="W117" s="2"/>
      <c r="X117" s="2"/>
      <c r="Y117" s="2"/>
      <c r="Z117" s="2"/>
      <c r="AD117" s="7">
        <f t="shared" si="1"/>
      </c>
    </row>
    <row r="118" spans="9:30" x14ac:dyDescent="0.25">
      <c r="I118" s="2"/>
      <c r="P118" s="2"/>
      <c r="W118" s="2"/>
      <c r="X118" s="2"/>
      <c r="Y118" s="2"/>
      <c r="Z118" s="2"/>
      <c r="AD118" s="7">
        <f t="shared" si="1"/>
      </c>
    </row>
    <row r="119" spans="9:30" x14ac:dyDescent="0.25">
      <c r="I119" s="2"/>
      <c r="P119" s="2"/>
      <c r="W119" s="2"/>
      <c r="X119" s="2"/>
      <c r="Y119" s="2"/>
      <c r="Z119" s="2"/>
      <c r="AD119" s="7">
        <f t="shared" si="1"/>
      </c>
    </row>
    <row r="120" spans="9:30" x14ac:dyDescent="0.25">
      <c r="I120" s="2"/>
      <c r="P120" s="2"/>
      <c r="W120" s="2"/>
      <c r="X120" s="2"/>
      <c r="Y120" s="2"/>
      <c r="Z120" s="2"/>
      <c r="AD120" s="7">
        <f t="shared" si="1"/>
      </c>
    </row>
    <row r="121" spans="9:30" x14ac:dyDescent="0.25">
      <c r="I121" s="2"/>
      <c r="P121" s="2"/>
      <c r="W121" s="2"/>
      <c r="X121" s="2"/>
      <c r="Y121" s="2"/>
      <c r="Z121" s="2"/>
      <c r="AD121" s="7">
        <f t="shared" si="1"/>
      </c>
    </row>
    <row r="122" spans="9:30" x14ac:dyDescent="0.25">
      <c r="I122" s="2"/>
      <c r="P122" s="2"/>
      <c r="W122" s="2"/>
      <c r="X122" s="2"/>
      <c r="Y122" s="2"/>
      <c r="Z122" s="2"/>
      <c r="AD122" s="7">
        <f t="shared" si="1"/>
      </c>
    </row>
    <row r="123" spans="9:30" x14ac:dyDescent="0.25">
      <c r="I123" s="2"/>
      <c r="P123" s="2"/>
      <c r="W123" s="2"/>
      <c r="X123" s="2"/>
      <c r="Y123" s="2"/>
      <c r="Z123" s="2"/>
      <c r="AD123" s="7">
        <f t="shared" si="1"/>
      </c>
    </row>
    <row r="124" spans="9:30" x14ac:dyDescent="0.25">
      <c r="I124" s="2"/>
      <c r="P124" s="2"/>
      <c r="W124" s="2"/>
      <c r="X124" s="2"/>
      <c r="Y124" s="2"/>
      <c r="Z124" s="2"/>
      <c r="AD124" s="7">
        <f t="shared" si="1"/>
      </c>
    </row>
    <row r="125" spans="9:30" x14ac:dyDescent="0.25">
      <c r="I125" s="2"/>
      <c r="P125" s="2"/>
      <c r="W125" s="2"/>
      <c r="X125" s="2"/>
      <c r="Y125" s="2"/>
      <c r="Z125" s="2"/>
      <c r="AD125" s="7">
        <f t="shared" si="1"/>
      </c>
    </row>
    <row r="126" spans="9:30" x14ac:dyDescent="0.25">
      <c r="I126" s="2"/>
      <c r="P126" s="2"/>
      <c r="W126" s="2"/>
      <c r="X126" s="2"/>
      <c r="Y126" s="2"/>
      <c r="Z126" s="2"/>
      <c r="AD126" s="7">
        <f t="shared" si="1"/>
      </c>
    </row>
    <row r="127" spans="9:30" x14ac:dyDescent="0.25">
      <c r="I127" s="2"/>
      <c r="P127" s="2"/>
      <c r="W127" s="2"/>
      <c r="X127" s="2"/>
      <c r="Y127" s="2"/>
      <c r="Z127" s="2"/>
      <c r="AD127" s="7">
        <f t="shared" si="1"/>
      </c>
    </row>
    <row r="128" spans="9:30" x14ac:dyDescent="0.25">
      <c r="I128" s="2"/>
      <c r="P128" s="2"/>
      <c r="W128" s="2"/>
      <c r="X128" s="2"/>
      <c r="Y128" s="2"/>
      <c r="Z128" s="2"/>
      <c r="AD128" s="7">
        <f t="shared" si="1"/>
      </c>
    </row>
    <row r="129" spans="9:30" x14ac:dyDescent="0.25">
      <c r="I129" s="2"/>
      <c r="P129" s="2"/>
      <c r="W129" s="2"/>
      <c r="X129" s="2"/>
      <c r="Y129" s="2"/>
      <c r="Z129" s="2"/>
      <c r="AD129" s="7">
        <f t="shared" si="1"/>
      </c>
    </row>
    <row r="130" spans="9:30" x14ac:dyDescent="0.25">
      <c r="I130" s="2"/>
      <c r="P130" s="2"/>
      <c r="W130" s="2"/>
      <c r="X130" s="2"/>
      <c r="Y130" s="2"/>
      <c r="Z130" s="2"/>
      <c r="AD130" s="7">
        <f t="shared" si="1"/>
      </c>
    </row>
    <row r="131" spans="9:30" x14ac:dyDescent="0.25">
      <c r="I131" s="2"/>
      <c r="P131" s="2"/>
      <c r="W131" s="2"/>
      <c r="X131" s="2"/>
      <c r="Y131" s="2"/>
      <c r="Z131" s="2"/>
      <c r="AD131" s="7">
        <f t="shared" si="1"/>
      </c>
    </row>
    <row r="132" spans="9:30" x14ac:dyDescent="0.25">
      <c r="I132" s="2"/>
      <c r="P132" s="2"/>
      <c r="W132" s="2"/>
      <c r="X132" s="2"/>
      <c r="Y132" s="2"/>
      <c r="Z132" s="2"/>
      <c r="AD132" s="7">
        <f t="shared" si="1"/>
      </c>
    </row>
    <row r="133" spans="9:30" x14ac:dyDescent="0.25">
      <c r="I133" s="2"/>
      <c r="P133" s="2"/>
      <c r="W133" s="2"/>
      <c r="X133" s="2"/>
      <c r="Y133" s="2"/>
      <c r="Z133" s="2"/>
      <c r="AD133" s="7">
        <f t="shared" si="1"/>
      </c>
    </row>
    <row r="134" spans="9:30" x14ac:dyDescent="0.25">
      <c r="I134" s="2"/>
      <c r="P134" s="2"/>
      <c r="W134" s="2"/>
      <c r="X134" s="2"/>
      <c r="Y134" s="2"/>
      <c r="Z134" s="2"/>
      <c r="AD134" s="7">
        <f t="shared" si="1"/>
      </c>
    </row>
    <row r="135" spans="9:30" x14ac:dyDescent="0.25">
      <c r="I135" s="2"/>
      <c r="P135" s="2"/>
      <c r="W135" s="2"/>
      <c r="X135" s="2"/>
      <c r="Y135" s="2"/>
      <c r="Z135" s="2"/>
      <c r="AD135" s="7">
        <f t="shared" si="1"/>
      </c>
    </row>
    <row r="136" spans="9:30" x14ac:dyDescent="0.25">
      <c r="I136" s="2"/>
      <c r="P136" s="2"/>
      <c r="W136" s="2"/>
      <c r="X136" s="2"/>
      <c r="Y136" s="2"/>
      <c r="Z136" s="2"/>
      <c r="AD136" s="7">
        <f t="shared" si="1"/>
      </c>
    </row>
    <row r="137" spans="9:30" x14ac:dyDescent="0.25">
      <c r="I137" s="2"/>
      <c r="P137" s="2"/>
      <c r="W137" s="2"/>
      <c r="X137" s="2"/>
      <c r="Y137" s="2"/>
      <c r="Z137" s="2"/>
      <c r="AD137" s="7">
        <f t="shared" si="1"/>
      </c>
    </row>
    <row r="138" spans="9:30" x14ac:dyDescent="0.25">
      <c r="I138" s="2"/>
      <c r="P138" s="2"/>
      <c r="W138" s="2"/>
      <c r="X138" s="2"/>
      <c r="Y138" s="2"/>
      <c r="Z138" s="2"/>
      <c r="AD138" s="7">
        <f t="shared" ref="AD138:AD201" si="2">IF(P138 = "", "", Y138/P138)</f>
      </c>
    </row>
    <row r="139" spans="9:30" x14ac:dyDescent="0.25">
      <c r="I139" s="2"/>
      <c r="P139" s="2"/>
      <c r="W139" s="2"/>
      <c r="X139" s="2"/>
      <c r="Y139" s="2"/>
      <c r="Z139" s="2"/>
      <c r="AD139" s="7">
        <f t="shared" si="2"/>
      </c>
    </row>
    <row r="140" spans="9:30" x14ac:dyDescent="0.25">
      <c r="I140" s="2"/>
      <c r="P140" s="2"/>
      <c r="W140" s="2"/>
      <c r="X140" s="2"/>
      <c r="Y140" s="2"/>
      <c r="Z140" s="2"/>
      <c r="AD140" s="7">
        <f t="shared" si="2"/>
      </c>
    </row>
    <row r="141" spans="9:30" x14ac:dyDescent="0.25">
      <c r="I141" s="2"/>
      <c r="P141" s="2"/>
      <c r="W141" s="2"/>
      <c r="X141" s="2"/>
      <c r="Y141" s="2"/>
      <c r="Z141" s="2"/>
      <c r="AD141" s="7">
        <f t="shared" si="2"/>
      </c>
    </row>
    <row r="142" spans="9:30" x14ac:dyDescent="0.25">
      <c r="I142" s="2"/>
      <c r="P142" s="2"/>
      <c r="W142" s="2"/>
      <c r="X142" s="2"/>
      <c r="Y142" s="2"/>
      <c r="Z142" s="2"/>
      <c r="AD142" s="7">
        <f t="shared" si="2"/>
      </c>
    </row>
    <row r="143" spans="9:30" x14ac:dyDescent="0.25">
      <c r="I143" s="2"/>
      <c r="P143" s="2"/>
      <c r="W143" s="2"/>
      <c r="X143" s="2"/>
      <c r="Y143" s="2"/>
      <c r="Z143" s="2"/>
      <c r="AD143" s="7">
        <f t="shared" si="2"/>
      </c>
    </row>
    <row r="144" spans="9:30" x14ac:dyDescent="0.25">
      <c r="I144" s="2"/>
      <c r="P144" s="2"/>
      <c r="W144" s="2"/>
      <c r="X144" s="2"/>
      <c r="Y144" s="2"/>
      <c r="Z144" s="2"/>
      <c r="AD144" s="7">
        <f t="shared" si="2"/>
      </c>
    </row>
    <row r="145" spans="9:30" x14ac:dyDescent="0.25">
      <c r="I145" s="2"/>
      <c r="P145" s="2"/>
      <c r="W145" s="2"/>
      <c r="X145" s="2"/>
      <c r="Y145" s="2"/>
      <c r="Z145" s="2"/>
      <c r="AD145" s="7">
        <f t="shared" si="2"/>
      </c>
    </row>
    <row r="146" spans="9:30" x14ac:dyDescent="0.25">
      <c r="I146" s="2"/>
      <c r="P146" s="2"/>
      <c r="W146" s="2"/>
      <c r="X146" s="2"/>
      <c r="Y146" s="2"/>
      <c r="Z146" s="2"/>
      <c r="AD146" s="7">
        <f t="shared" si="2"/>
      </c>
    </row>
    <row r="147" spans="9:30" x14ac:dyDescent="0.25">
      <c r="I147" s="2"/>
      <c r="P147" s="2"/>
      <c r="W147" s="2"/>
      <c r="X147" s="2"/>
      <c r="Y147" s="2"/>
      <c r="Z147" s="2"/>
      <c r="AD147" s="7">
        <f t="shared" si="2"/>
      </c>
    </row>
    <row r="148" spans="9:30" x14ac:dyDescent="0.25">
      <c r="I148" s="2"/>
      <c r="P148" s="2"/>
      <c r="W148" s="2"/>
      <c r="X148" s="2"/>
      <c r="Y148" s="2"/>
      <c r="Z148" s="2"/>
      <c r="AD148" s="7">
        <f t="shared" si="2"/>
      </c>
    </row>
    <row r="149" spans="9:30" x14ac:dyDescent="0.25">
      <c r="I149" s="2"/>
      <c r="P149" s="2"/>
      <c r="W149" s="2"/>
      <c r="X149" s="2"/>
      <c r="Y149" s="2"/>
      <c r="Z149" s="2"/>
      <c r="AD149" s="7">
        <f t="shared" si="2"/>
      </c>
    </row>
    <row r="150" spans="9:30" x14ac:dyDescent="0.25">
      <c r="I150" s="2"/>
      <c r="P150" s="2"/>
      <c r="W150" s="2"/>
      <c r="X150" s="2"/>
      <c r="Y150" s="2"/>
      <c r="Z150" s="2"/>
      <c r="AD150" s="7">
        <f t="shared" si="2"/>
      </c>
    </row>
    <row r="151" spans="9:30" x14ac:dyDescent="0.25">
      <c r="I151" s="2"/>
      <c r="P151" s="2"/>
      <c r="W151" s="2"/>
      <c r="X151" s="2"/>
      <c r="Y151" s="2"/>
      <c r="Z151" s="2"/>
      <c r="AD151" s="7">
        <f t="shared" si="2"/>
      </c>
    </row>
    <row r="152" spans="9:30" x14ac:dyDescent="0.25">
      <c r="I152" s="2"/>
      <c r="P152" s="2"/>
      <c r="W152" s="2"/>
      <c r="X152" s="2"/>
      <c r="Y152" s="2"/>
      <c r="Z152" s="2"/>
      <c r="AD152" s="7">
        <f t="shared" si="2"/>
      </c>
    </row>
    <row r="153" spans="9:30" x14ac:dyDescent="0.25">
      <c r="I153" s="2"/>
      <c r="P153" s="2"/>
      <c r="W153" s="2"/>
      <c r="X153" s="2"/>
      <c r="Y153" s="2"/>
      <c r="Z153" s="2"/>
      <c r="AD153" s="7">
        <f t="shared" si="2"/>
      </c>
    </row>
    <row r="154" spans="9:30" x14ac:dyDescent="0.25">
      <c r="I154" s="2"/>
      <c r="P154" s="2"/>
      <c r="W154" s="2"/>
      <c r="X154" s="2"/>
      <c r="Y154" s="2"/>
      <c r="Z154" s="2"/>
      <c r="AD154" s="7">
        <f t="shared" si="2"/>
      </c>
    </row>
    <row r="155" spans="9:30" x14ac:dyDescent="0.25">
      <c r="I155" s="2"/>
      <c r="P155" s="2"/>
      <c r="W155" s="2"/>
      <c r="X155" s="2"/>
      <c r="Y155" s="2"/>
      <c r="Z155" s="2"/>
      <c r="AD155" s="7">
        <f t="shared" si="2"/>
      </c>
    </row>
    <row r="156" spans="9:30" x14ac:dyDescent="0.25">
      <c r="I156" s="2"/>
      <c r="P156" s="2"/>
      <c r="W156" s="2"/>
      <c r="X156" s="2"/>
      <c r="Y156" s="2"/>
      <c r="Z156" s="2"/>
      <c r="AD156" s="7">
        <f t="shared" si="2"/>
      </c>
    </row>
    <row r="157" spans="9:30" x14ac:dyDescent="0.25">
      <c r="I157" s="2"/>
      <c r="P157" s="2"/>
      <c r="W157" s="2"/>
      <c r="X157" s="2"/>
      <c r="Y157" s="2"/>
      <c r="Z157" s="2"/>
      <c r="AD157" s="7">
        <f t="shared" si="2"/>
      </c>
    </row>
    <row r="158" spans="9:30" x14ac:dyDescent="0.25">
      <c r="I158" s="2"/>
      <c r="P158" s="2"/>
      <c r="W158" s="2"/>
      <c r="X158" s="2"/>
      <c r="Y158" s="2"/>
      <c r="Z158" s="2"/>
      <c r="AD158" s="7">
        <f t="shared" si="2"/>
      </c>
    </row>
    <row r="159" spans="9:30" x14ac:dyDescent="0.25">
      <c r="I159" s="2"/>
      <c r="P159" s="2"/>
      <c r="W159" s="2"/>
      <c r="X159" s="2"/>
      <c r="Y159" s="2"/>
      <c r="Z159" s="2"/>
      <c r="AD159" s="7">
        <f t="shared" si="2"/>
      </c>
    </row>
    <row r="160" spans="9:30" x14ac:dyDescent="0.25">
      <c r="I160" s="2"/>
      <c r="P160" s="2"/>
      <c r="W160" s="2"/>
      <c r="X160" s="2"/>
      <c r="Y160" s="2"/>
      <c r="Z160" s="2"/>
      <c r="AD160" s="7">
        <f t="shared" si="2"/>
      </c>
    </row>
    <row r="161" spans="9:30" x14ac:dyDescent="0.25">
      <c r="I161" s="2"/>
      <c r="P161" s="2"/>
      <c r="W161" s="2"/>
      <c r="X161" s="2"/>
      <c r="Y161" s="2"/>
      <c r="Z161" s="2"/>
      <c r="AD161" s="7">
        <f t="shared" si="2"/>
      </c>
    </row>
    <row r="162" spans="9:30" x14ac:dyDescent="0.25">
      <c r="I162" s="2"/>
      <c r="P162" s="2"/>
      <c r="W162" s="2"/>
      <c r="X162" s="2"/>
      <c r="Y162" s="2"/>
      <c r="Z162" s="2"/>
      <c r="AD162" s="7">
        <f t="shared" si="2"/>
      </c>
    </row>
    <row r="163" spans="9:30" x14ac:dyDescent="0.25">
      <c r="I163" s="2"/>
      <c r="P163" s="2"/>
      <c r="W163" s="2"/>
      <c r="X163" s="2"/>
      <c r="Y163" s="2"/>
      <c r="Z163" s="2"/>
      <c r="AD163" s="7">
        <f t="shared" si="2"/>
      </c>
    </row>
    <row r="164" spans="9:30" x14ac:dyDescent="0.25">
      <c r="I164" s="2"/>
      <c r="P164" s="2"/>
      <c r="W164" s="2"/>
      <c r="X164" s="2"/>
      <c r="Y164" s="2"/>
      <c r="Z164" s="2"/>
      <c r="AD164" s="7">
        <f t="shared" si="2"/>
      </c>
    </row>
    <row r="165" spans="9:30" x14ac:dyDescent="0.25">
      <c r="I165" s="2"/>
      <c r="P165" s="2"/>
      <c r="W165" s="2"/>
      <c r="X165" s="2"/>
      <c r="Y165" s="2"/>
      <c r="Z165" s="2"/>
      <c r="AD165" s="7">
        <f t="shared" si="2"/>
      </c>
    </row>
    <row r="166" spans="9:30" x14ac:dyDescent="0.25">
      <c r="I166" s="2"/>
      <c r="P166" s="2"/>
      <c r="W166" s="2"/>
      <c r="X166" s="2"/>
      <c r="Y166" s="2"/>
      <c r="Z166" s="2"/>
      <c r="AD166" s="7">
        <f t="shared" si="2"/>
      </c>
    </row>
    <row r="167" spans="9:30" x14ac:dyDescent="0.25">
      <c r="I167" s="2"/>
      <c r="P167" s="2"/>
      <c r="W167" s="2"/>
      <c r="X167" s="2"/>
      <c r="Y167" s="2"/>
      <c r="Z167" s="2"/>
      <c r="AD167" s="7">
        <f t="shared" si="2"/>
      </c>
    </row>
    <row r="168" spans="9:30" x14ac:dyDescent="0.25">
      <c r="I168" s="2"/>
      <c r="P168" s="2"/>
      <c r="W168" s="2"/>
      <c r="X168" s="2"/>
      <c r="Y168" s="2"/>
      <c r="Z168" s="2"/>
      <c r="AD168" s="7">
        <f t="shared" si="2"/>
      </c>
    </row>
    <row r="169" spans="9:30" x14ac:dyDescent="0.25">
      <c r="I169" s="2"/>
      <c r="P169" s="2"/>
      <c r="W169" s="2"/>
      <c r="X169" s="2"/>
      <c r="Y169" s="2"/>
      <c r="Z169" s="2"/>
      <c r="AD169" s="7">
        <f t="shared" si="2"/>
      </c>
    </row>
    <row r="170" spans="9:30" x14ac:dyDescent="0.25">
      <c r="I170" s="2"/>
      <c r="P170" s="2"/>
      <c r="W170" s="2"/>
      <c r="X170" s="2"/>
      <c r="Y170" s="2"/>
      <c r="Z170" s="2"/>
      <c r="AD170" s="7">
        <f t="shared" si="2"/>
      </c>
    </row>
    <row r="171" spans="9:30" x14ac:dyDescent="0.25">
      <c r="I171" s="2"/>
      <c r="P171" s="2"/>
      <c r="W171" s="2"/>
      <c r="X171" s="2"/>
      <c r="Y171" s="2"/>
      <c r="Z171" s="2"/>
      <c r="AD171" s="7">
        <f t="shared" si="2"/>
      </c>
    </row>
    <row r="172" spans="9:30" x14ac:dyDescent="0.25">
      <c r="I172" s="2"/>
      <c r="P172" s="2"/>
      <c r="W172" s="2"/>
      <c r="X172" s="2"/>
      <c r="Y172" s="2"/>
      <c r="Z172" s="2"/>
      <c r="AD172" s="7">
        <f t="shared" si="2"/>
      </c>
    </row>
    <row r="173" spans="9:30" x14ac:dyDescent="0.25">
      <c r="I173" s="2"/>
      <c r="P173" s="2"/>
      <c r="W173" s="2"/>
      <c r="X173" s="2"/>
      <c r="Y173" s="2"/>
      <c r="Z173" s="2"/>
      <c r="AD173" s="7">
        <f t="shared" si="2"/>
      </c>
    </row>
    <row r="174" spans="9:30" x14ac:dyDescent="0.25">
      <c r="I174" s="2"/>
      <c r="P174" s="2"/>
      <c r="W174" s="2"/>
      <c r="X174" s="2"/>
      <c r="Y174" s="2"/>
      <c r="Z174" s="2"/>
      <c r="AD174" s="7">
        <f t="shared" si="2"/>
      </c>
    </row>
    <row r="175" spans="9:30" x14ac:dyDescent="0.25">
      <c r="I175" s="2"/>
      <c r="P175" s="2"/>
      <c r="W175" s="2"/>
      <c r="X175" s="2"/>
      <c r="Y175" s="2"/>
      <c r="Z175" s="2"/>
      <c r="AD175" s="7">
        <f t="shared" si="2"/>
      </c>
    </row>
    <row r="176" spans="9:30" x14ac:dyDescent="0.25">
      <c r="I176" s="2"/>
      <c r="P176" s="2"/>
      <c r="W176" s="2"/>
      <c r="X176" s="2"/>
      <c r="Y176" s="2"/>
      <c r="Z176" s="2"/>
      <c r="AD176" s="7">
        <f t="shared" si="2"/>
      </c>
    </row>
    <row r="177" spans="9:30" x14ac:dyDescent="0.25">
      <c r="I177" s="2"/>
      <c r="P177" s="2"/>
      <c r="W177" s="2"/>
      <c r="X177" s="2"/>
      <c r="Y177" s="2"/>
      <c r="Z177" s="2"/>
      <c r="AD177" s="7">
        <f t="shared" si="2"/>
      </c>
    </row>
    <row r="178" spans="9:30" x14ac:dyDescent="0.25">
      <c r="I178" s="2"/>
      <c r="P178" s="2"/>
      <c r="W178" s="2"/>
      <c r="X178" s="2"/>
      <c r="Y178" s="2"/>
      <c r="Z178" s="2"/>
      <c r="AD178" s="7">
        <f t="shared" si="2"/>
      </c>
    </row>
    <row r="179" spans="9:30" x14ac:dyDescent="0.25">
      <c r="I179" s="2"/>
      <c r="P179" s="2"/>
      <c r="W179" s="2"/>
      <c r="X179" s="2"/>
      <c r="Y179" s="2"/>
      <c r="Z179" s="2"/>
      <c r="AD179" s="7">
        <f t="shared" si="2"/>
      </c>
    </row>
    <row r="180" spans="9:30" x14ac:dyDescent="0.25">
      <c r="I180" s="2"/>
      <c r="P180" s="2"/>
      <c r="W180" s="2"/>
      <c r="X180" s="2"/>
      <c r="Y180" s="2"/>
      <c r="Z180" s="2"/>
      <c r="AD180" s="7">
        <f t="shared" si="2"/>
      </c>
    </row>
    <row r="181" spans="9:30" x14ac:dyDescent="0.25">
      <c r="I181" s="2"/>
      <c r="P181" s="2"/>
      <c r="W181" s="2"/>
      <c r="X181" s="2"/>
      <c r="Y181" s="2"/>
      <c r="Z181" s="2"/>
      <c r="AD181" s="7">
        <f t="shared" si="2"/>
      </c>
    </row>
    <row r="182" spans="9:30" x14ac:dyDescent="0.25">
      <c r="I182" s="2"/>
      <c r="P182" s="2"/>
      <c r="W182" s="2"/>
      <c r="X182" s="2"/>
      <c r="Y182" s="2"/>
      <c r="Z182" s="2"/>
      <c r="AD182" s="7">
        <f t="shared" si="2"/>
      </c>
    </row>
    <row r="183" spans="9:30" x14ac:dyDescent="0.25">
      <c r="I183" s="2"/>
      <c r="P183" s="2"/>
      <c r="W183" s="2"/>
      <c r="X183" s="2"/>
      <c r="Y183" s="2"/>
      <c r="Z183" s="2"/>
      <c r="AD183" s="7">
        <f t="shared" si="2"/>
      </c>
    </row>
    <row r="184" spans="9:30" x14ac:dyDescent="0.25">
      <c r="I184" s="2"/>
      <c r="P184" s="2"/>
      <c r="W184" s="2"/>
      <c r="X184" s="2"/>
      <c r="Y184" s="2"/>
      <c r="Z184" s="2"/>
      <c r="AD184" s="7">
        <f t="shared" si="2"/>
      </c>
    </row>
    <row r="185" spans="9:30" x14ac:dyDescent="0.25">
      <c r="I185" s="2"/>
      <c r="P185" s="2"/>
      <c r="W185" s="2"/>
      <c r="X185" s="2"/>
      <c r="Y185" s="2"/>
      <c r="Z185" s="2"/>
      <c r="AD185" s="7">
        <f t="shared" si="2"/>
      </c>
    </row>
    <row r="186" spans="9:30" x14ac:dyDescent="0.25">
      <c r="I186" s="2"/>
      <c r="P186" s="2"/>
      <c r="W186" s="2"/>
      <c r="X186" s="2"/>
      <c r="Y186" s="2"/>
      <c r="Z186" s="2"/>
      <c r="AD186" s="7">
        <f t="shared" si="2"/>
      </c>
    </row>
    <row r="187" spans="9:30" x14ac:dyDescent="0.25">
      <c r="I187" s="2"/>
      <c r="P187" s="2"/>
      <c r="W187" s="2"/>
      <c r="X187" s="2"/>
      <c r="Y187" s="2"/>
      <c r="Z187" s="2"/>
      <c r="AD187" s="7">
        <f t="shared" si="2"/>
      </c>
    </row>
    <row r="188" spans="9:30" x14ac:dyDescent="0.25">
      <c r="I188" s="2"/>
      <c r="P188" s="2"/>
      <c r="W188" s="2"/>
      <c r="X188" s="2"/>
      <c r="Y188" s="2"/>
      <c r="Z188" s="2"/>
      <c r="AD188" s="7">
        <f t="shared" si="2"/>
      </c>
    </row>
    <row r="189" spans="9:30" x14ac:dyDescent="0.25">
      <c r="I189" s="2"/>
      <c r="P189" s="2"/>
      <c r="W189" s="2"/>
      <c r="X189" s="2"/>
      <c r="Y189" s="2"/>
      <c r="Z189" s="2"/>
      <c r="AD189" s="7">
        <f t="shared" si="2"/>
      </c>
    </row>
    <row r="190" spans="9:30" x14ac:dyDescent="0.25">
      <c r="I190" s="2"/>
      <c r="P190" s="2"/>
      <c r="W190" s="2"/>
      <c r="X190" s="2"/>
      <c r="Y190" s="2"/>
      <c r="Z190" s="2"/>
      <c r="AD190" s="7">
        <f t="shared" si="2"/>
      </c>
    </row>
    <row r="191" spans="9:30" x14ac:dyDescent="0.25">
      <c r="I191" s="2"/>
      <c r="P191" s="2"/>
      <c r="W191" s="2"/>
      <c r="X191" s="2"/>
      <c r="Y191" s="2"/>
      <c r="Z191" s="2"/>
      <c r="AD191" s="7">
        <f t="shared" si="2"/>
      </c>
    </row>
    <row r="192" spans="9:30" x14ac:dyDescent="0.25">
      <c r="I192" s="2"/>
      <c r="P192" s="2"/>
      <c r="W192" s="2"/>
      <c r="X192" s="2"/>
      <c r="Y192" s="2"/>
      <c r="Z192" s="2"/>
      <c r="AD192" s="7">
        <f t="shared" si="2"/>
      </c>
    </row>
    <row r="193" spans="9:30" x14ac:dyDescent="0.25">
      <c r="I193" s="2"/>
      <c r="P193" s="2"/>
      <c r="W193" s="2"/>
      <c r="X193" s="2"/>
      <c r="Y193" s="2"/>
      <c r="Z193" s="2"/>
      <c r="AD193" s="7">
        <f t="shared" si="2"/>
      </c>
    </row>
    <row r="194" spans="9:30" x14ac:dyDescent="0.25">
      <c r="I194" s="2"/>
      <c r="P194" s="2"/>
      <c r="W194" s="2"/>
      <c r="X194" s="2"/>
      <c r="Y194" s="2"/>
      <c r="Z194" s="2"/>
      <c r="AD194" s="7">
        <f t="shared" si="2"/>
      </c>
    </row>
    <row r="195" spans="9:30" x14ac:dyDescent="0.25">
      <c r="I195" s="2"/>
      <c r="P195" s="2"/>
      <c r="W195" s="2"/>
      <c r="X195" s="2"/>
      <c r="Y195" s="2"/>
      <c r="Z195" s="2"/>
      <c r="AD195" s="7">
        <f t="shared" si="2"/>
      </c>
    </row>
    <row r="196" spans="9:30" x14ac:dyDescent="0.25">
      <c r="I196" s="2"/>
      <c r="P196" s="2"/>
      <c r="W196" s="2"/>
      <c r="X196" s="2"/>
      <c r="Y196" s="2"/>
      <c r="Z196" s="2"/>
      <c r="AD196" s="7">
        <f t="shared" si="2"/>
      </c>
    </row>
    <row r="197" spans="9:30" x14ac:dyDescent="0.25">
      <c r="I197" s="2"/>
      <c r="P197" s="2"/>
      <c r="W197" s="2"/>
      <c r="X197" s="2"/>
      <c r="Y197" s="2"/>
      <c r="Z197" s="2"/>
      <c r="AD197" s="7">
        <f t="shared" si="2"/>
      </c>
    </row>
    <row r="198" spans="9:30" x14ac:dyDescent="0.25">
      <c r="I198" s="2"/>
      <c r="P198" s="2"/>
      <c r="W198" s="2"/>
      <c r="X198" s="2"/>
      <c r="Y198" s="2"/>
      <c r="Z198" s="2"/>
      <c r="AD198" s="7">
        <f t="shared" si="2"/>
      </c>
    </row>
    <row r="199" spans="9:30" x14ac:dyDescent="0.25">
      <c r="I199" s="2"/>
      <c r="P199" s="2"/>
      <c r="W199" s="2"/>
      <c r="X199" s="2"/>
      <c r="Y199" s="2"/>
      <c r="Z199" s="2"/>
      <c r="AD199" s="7">
        <f t="shared" si="2"/>
      </c>
    </row>
    <row r="200" spans="9:30" x14ac:dyDescent="0.25">
      <c r="I200" s="2"/>
      <c r="P200" s="2"/>
      <c r="W200" s="2"/>
      <c r="X200" s="2"/>
      <c r="Y200" s="2"/>
      <c r="Z200" s="2"/>
      <c r="AD200" s="7">
        <f t="shared" si="2"/>
      </c>
    </row>
    <row r="201" spans="9:30" x14ac:dyDescent="0.25">
      <c r="I201" s="2"/>
      <c r="P201" s="2"/>
      <c r="W201" s="2"/>
      <c r="X201" s="2"/>
      <c r="Y201" s="2"/>
      <c r="Z201" s="2"/>
      <c r="AD201" s="7">
        <f t="shared" si="2"/>
      </c>
    </row>
    <row r="202" spans="9:30" x14ac:dyDescent="0.25">
      <c r="I202" s="2"/>
      <c r="P202" s="2"/>
      <c r="W202" s="2"/>
      <c r="X202" s="2"/>
      <c r="Y202" s="2"/>
      <c r="Z202" s="2"/>
      <c r="AD202" s="7">
        <f t="shared" ref="AD202:AD265" si="3">IF(P202 = "", "", Y202/P202)</f>
      </c>
    </row>
    <row r="203" spans="9:30" x14ac:dyDescent="0.25">
      <c r="I203" s="2"/>
      <c r="P203" s="2"/>
      <c r="W203" s="2"/>
      <c r="X203" s="2"/>
      <c r="Y203" s="2"/>
      <c r="Z203" s="2"/>
      <c r="AD203" s="7">
        <f t="shared" si="3"/>
      </c>
    </row>
    <row r="204" spans="9:30" x14ac:dyDescent="0.25">
      <c r="I204" s="2"/>
      <c r="P204" s="2"/>
      <c r="W204" s="2"/>
      <c r="X204" s="2"/>
      <c r="Y204" s="2"/>
      <c r="Z204" s="2"/>
      <c r="AD204" s="7">
        <f t="shared" si="3"/>
      </c>
    </row>
    <row r="205" spans="9:30" x14ac:dyDescent="0.25">
      <c r="I205" s="2"/>
      <c r="P205" s="2"/>
      <c r="W205" s="2"/>
      <c r="X205" s="2"/>
      <c r="Y205" s="2"/>
      <c r="Z205" s="2"/>
      <c r="AD205" s="7">
        <f t="shared" si="3"/>
      </c>
    </row>
    <row r="206" spans="9:30" x14ac:dyDescent="0.25">
      <c r="I206" s="2"/>
      <c r="P206" s="2"/>
      <c r="W206" s="2"/>
      <c r="X206" s="2"/>
      <c r="Y206" s="2"/>
      <c r="Z206" s="2"/>
      <c r="AD206" s="7">
        <f t="shared" si="3"/>
      </c>
    </row>
    <row r="207" spans="9:30" x14ac:dyDescent="0.25">
      <c r="I207" s="2"/>
      <c r="P207" s="2"/>
      <c r="W207" s="2"/>
      <c r="X207" s="2"/>
      <c r="Y207" s="2"/>
      <c r="Z207" s="2"/>
      <c r="AD207" s="7">
        <f t="shared" si="3"/>
      </c>
    </row>
    <row r="208" spans="9:30" x14ac:dyDescent="0.25">
      <c r="I208" s="2"/>
      <c r="P208" s="2"/>
      <c r="W208" s="2"/>
      <c r="X208" s="2"/>
      <c r="Y208" s="2"/>
      <c r="Z208" s="2"/>
      <c r="AD208" s="7">
        <f t="shared" si="3"/>
      </c>
    </row>
    <row r="209" spans="9:30" x14ac:dyDescent="0.25">
      <c r="I209" s="2"/>
      <c r="P209" s="2"/>
      <c r="W209" s="2"/>
      <c r="X209" s="2"/>
      <c r="Y209" s="2"/>
      <c r="Z209" s="2"/>
      <c r="AD209" s="7">
        <f t="shared" si="3"/>
      </c>
    </row>
    <row r="210" spans="9:30" x14ac:dyDescent="0.25">
      <c r="I210" s="2"/>
      <c r="P210" s="2"/>
      <c r="W210" s="2"/>
      <c r="X210" s="2"/>
      <c r="Y210" s="2"/>
      <c r="Z210" s="2"/>
      <c r="AD210" s="7">
        <f t="shared" si="3"/>
      </c>
    </row>
    <row r="211" spans="9:30" x14ac:dyDescent="0.25">
      <c r="I211" s="2"/>
      <c r="P211" s="2"/>
      <c r="W211" s="2"/>
      <c r="X211" s="2"/>
      <c r="Y211" s="2"/>
      <c r="Z211" s="2"/>
      <c r="AD211" s="7">
        <f t="shared" si="3"/>
      </c>
    </row>
    <row r="212" spans="9:30" x14ac:dyDescent="0.25">
      <c r="I212" s="2"/>
      <c r="P212" s="2"/>
      <c r="W212" s="2"/>
      <c r="X212" s="2"/>
      <c r="Y212" s="2"/>
      <c r="Z212" s="2"/>
      <c r="AD212" s="7">
        <f t="shared" si="3"/>
      </c>
    </row>
    <row r="213" spans="9:30" x14ac:dyDescent="0.25">
      <c r="I213" s="2"/>
      <c r="P213" s="2"/>
      <c r="W213" s="2"/>
      <c r="X213" s="2"/>
      <c r="Y213" s="2"/>
      <c r="Z213" s="2"/>
      <c r="AD213" s="7">
        <f t="shared" si="3"/>
      </c>
    </row>
    <row r="214" spans="9:30" x14ac:dyDescent="0.25">
      <c r="I214" s="2"/>
      <c r="P214" s="2"/>
      <c r="W214" s="2"/>
      <c r="X214" s="2"/>
      <c r="Y214" s="2"/>
      <c r="Z214" s="2"/>
      <c r="AD214" s="7">
        <f t="shared" si="3"/>
      </c>
    </row>
    <row r="215" spans="9:30" x14ac:dyDescent="0.25">
      <c r="I215" s="2"/>
      <c r="P215" s="2"/>
      <c r="W215" s="2"/>
      <c r="X215" s="2"/>
      <c r="Y215" s="2"/>
      <c r="Z215" s="2"/>
      <c r="AD215" s="7">
        <f t="shared" si="3"/>
      </c>
    </row>
    <row r="216" spans="9:30" x14ac:dyDescent="0.25">
      <c r="I216" s="2"/>
      <c r="P216" s="2"/>
      <c r="W216" s="2"/>
      <c r="X216" s="2"/>
      <c r="Y216" s="2"/>
      <c r="Z216" s="2"/>
      <c r="AD216" s="7">
        <f t="shared" si="3"/>
      </c>
    </row>
    <row r="217" spans="9:30" x14ac:dyDescent="0.25">
      <c r="I217" s="2"/>
      <c r="P217" s="2"/>
      <c r="W217" s="2"/>
      <c r="X217" s="2"/>
      <c r="Y217" s="2"/>
      <c r="Z217" s="2"/>
      <c r="AD217" s="7">
        <f t="shared" si="3"/>
      </c>
    </row>
    <row r="218" spans="9:30" x14ac:dyDescent="0.25">
      <c r="I218" s="2"/>
      <c r="P218" s="2"/>
      <c r="W218" s="2"/>
      <c r="X218" s="2"/>
      <c r="Y218" s="2"/>
      <c r="Z218" s="2"/>
      <c r="AD218" s="7">
        <f t="shared" si="3"/>
      </c>
    </row>
    <row r="219" spans="9:30" x14ac:dyDescent="0.25">
      <c r="I219" s="2"/>
      <c r="P219" s="2"/>
      <c r="W219" s="2"/>
      <c r="X219" s="2"/>
      <c r="Y219" s="2"/>
      <c r="Z219" s="2"/>
      <c r="AD219" s="7">
        <f t="shared" si="3"/>
      </c>
    </row>
    <row r="220" spans="9:30" x14ac:dyDescent="0.25">
      <c r="I220" s="2"/>
      <c r="P220" s="2"/>
      <c r="W220" s="2"/>
      <c r="X220" s="2"/>
      <c r="Y220" s="2"/>
      <c r="Z220" s="2"/>
      <c r="AD220" s="7">
        <f t="shared" si="3"/>
      </c>
    </row>
    <row r="221" spans="9:30" x14ac:dyDescent="0.25">
      <c r="I221" s="2"/>
      <c r="P221" s="2"/>
      <c r="W221" s="2"/>
      <c r="X221" s="2"/>
      <c r="Y221" s="2"/>
      <c r="Z221" s="2"/>
      <c r="AD221" s="7">
        <f t="shared" si="3"/>
      </c>
    </row>
    <row r="222" spans="9:30" x14ac:dyDescent="0.25">
      <c r="I222" s="2"/>
      <c r="P222" s="2"/>
      <c r="W222" s="2"/>
      <c r="X222" s="2"/>
      <c r="Y222" s="2"/>
      <c r="Z222" s="2"/>
      <c r="AD222" s="7">
        <f t="shared" si="3"/>
      </c>
    </row>
    <row r="223" spans="9:30" x14ac:dyDescent="0.25">
      <c r="I223" s="2"/>
      <c r="P223" s="2"/>
      <c r="W223" s="2"/>
      <c r="X223" s="2"/>
      <c r="Y223" s="2"/>
      <c r="Z223" s="2"/>
      <c r="AD223" s="7">
        <f t="shared" si="3"/>
      </c>
    </row>
    <row r="224" spans="9:30" x14ac:dyDescent="0.25">
      <c r="I224" s="2"/>
      <c r="P224" s="2"/>
      <c r="W224" s="2"/>
      <c r="X224" s="2"/>
      <c r="Y224" s="2"/>
      <c r="Z224" s="2"/>
      <c r="AD224" s="7">
        <f t="shared" si="3"/>
      </c>
    </row>
    <row r="225" spans="9:30" x14ac:dyDescent="0.25">
      <c r="I225" s="2"/>
      <c r="P225" s="2"/>
      <c r="W225" s="2"/>
      <c r="X225" s="2"/>
      <c r="Y225" s="2"/>
      <c r="Z225" s="2"/>
      <c r="AD225" s="7">
        <f t="shared" si="3"/>
      </c>
    </row>
    <row r="226" spans="9:30" x14ac:dyDescent="0.25">
      <c r="I226" s="2"/>
      <c r="P226" s="2"/>
      <c r="W226" s="2"/>
      <c r="X226" s="2"/>
      <c r="Y226" s="2"/>
      <c r="Z226" s="2"/>
      <c r="AD226" s="7">
        <f t="shared" si="3"/>
      </c>
    </row>
    <row r="227" spans="9:30" x14ac:dyDescent="0.25">
      <c r="I227" s="2"/>
      <c r="P227" s="2"/>
      <c r="W227" s="2"/>
      <c r="X227" s="2"/>
      <c r="Y227" s="2"/>
      <c r="Z227" s="2"/>
      <c r="AD227" s="7">
        <f t="shared" si="3"/>
      </c>
    </row>
    <row r="228" spans="9:30" x14ac:dyDescent="0.25">
      <c r="I228" s="2"/>
      <c r="P228" s="2"/>
      <c r="W228" s="2"/>
      <c r="X228" s="2"/>
      <c r="Y228" s="2"/>
      <c r="Z228" s="2"/>
      <c r="AD228" s="7">
        <f t="shared" si="3"/>
      </c>
    </row>
    <row r="229" spans="9:30" x14ac:dyDescent="0.25">
      <c r="I229" s="2"/>
      <c r="P229" s="2"/>
      <c r="W229" s="2"/>
      <c r="X229" s="2"/>
      <c r="Y229" s="2"/>
      <c r="Z229" s="2"/>
      <c r="AD229" s="7">
        <f t="shared" si="3"/>
      </c>
    </row>
    <row r="230" spans="9:30" x14ac:dyDescent="0.25">
      <c r="I230" s="2"/>
      <c r="P230" s="2"/>
      <c r="W230" s="2"/>
      <c r="X230" s="2"/>
      <c r="Y230" s="2"/>
      <c r="Z230" s="2"/>
      <c r="AD230" s="7">
        <f t="shared" si="3"/>
      </c>
    </row>
    <row r="231" spans="9:30" x14ac:dyDescent="0.25">
      <c r="I231" s="2"/>
      <c r="P231" s="2"/>
      <c r="W231" s="2"/>
      <c r="X231" s="2"/>
      <c r="Y231" s="2"/>
      <c r="Z231" s="2"/>
      <c r="AD231" s="7">
        <f t="shared" si="3"/>
      </c>
    </row>
    <row r="232" spans="9:30" x14ac:dyDescent="0.25">
      <c r="I232" s="2"/>
      <c r="P232" s="2"/>
      <c r="W232" s="2"/>
      <c r="X232" s="2"/>
      <c r="Y232" s="2"/>
      <c r="Z232" s="2"/>
      <c r="AD232" s="7">
        <f t="shared" si="3"/>
      </c>
    </row>
    <row r="233" spans="9:30" x14ac:dyDescent="0.25">
      <c r="I233" s="2"/>
      <c r="P233" s="2"/>
      <c r="W233" s="2"/>
      <c r="X233" s="2"/>
      <c r="Y233" s="2"/>
      <c r="Z233" s="2"/>
      <c r="AD233" s="7">
        <f t="shared" si="3"/>
      </c>
    </row>
    <row r="234" spans="9:30" x14ac:dyDescent="0.25">
      <c r="I234" s="2"/>
      <c r="P234" s="2"/>
      <c r="W234" s="2"/>
      <c r="X234" s="2"/>
      <c r="Y234" s="2"/>
      <c r="Z234" s="2"/>
      <c r="AD234" s="7">
        <f t="shared" si="3"/>
      </c>
    </row>
    <row r="235" spans="9:30" x14ac:dyDescent="0.25">
      <c r="I235" s="2"/>
      <c r="P235" s="2"/>
      <c r="W235" s="2"/>
      <c r="X235" s="2"/>
      <c r="Y235" s="2"/>
      <c r="Z235" s="2"/>
      <c r="AD235" s="7">
        <f t="shared" si="3"/>
      </c>
    </row>
    <row r="236" spans="9:30" x14ac:dyDescent="0.25">
      <c r="I236" s="2"/>
      <c r="P236" s="2"/>
      <c r="W236" s="2"/>
      <c r="X236" s="2"/>
      <c r="Y236" s="2"/>
      <c r="Z236" s="2"/>
      <c r="AD236" s="7">
        <f t="shared" si="3"/>
      </c>
    </row>
    <row r="237" spans="9:30" x14ac:dyDescent="0.25">
      <c r="I237" s="2"/>
      <c r="P237" s="2"/>
      <c r="W237" s="2"/>
      <c r="X237" s="2"/>
      <c r="Y237" s="2"/>
      <c r="Z237" s="2"/>
      <c r="AD237" s="7">
        <f t="shared" si="3"/>
      </c>
    </row>
    <row r="238" spans="9:30" x14ac:dyDescent="0.25">
      <c r="I238" s="2"/>
      <c r="P238" s="2"/>
      <c r="W238" s="2"/>
      <c r="X238" s="2"/>
      <c r="Y238" s="2"/>
      <c r="Z238" s="2"/>
      <c r="AD238" s="7">
        <f t="shared" si="3"/>
      </c>
    </row>
    <row r="239" spans="9:30" x14ac:dyDescent="0.25">
      <c r="I239" s="2"/>
      <c r="P239" s="2"/>
      <c r="W239" s="2"/>
      <c r="X239" s="2"/>
      <c r="Y239" s="2"/>
      <c r="Z239" s="2"/>
      <c r="AD239" s="7">
        <f t="shared" si="3"/>
      </c>
    </row>
    <row r="240" spans="9:30" x14ac:dyDescent="0.25">
      <c r="I240" s="2"/>
      <c r="P240" s="2"/>
      <c r="W240" s="2"/>
      <c r="X240" s="2"/>
      <c r="Y240" s="2"/>
      <c r="Z240" s="2"/>
      <c r="AD240" s="7">
        <f t="shared" si="3"/>
      </c>
    </row>
    <row r="241" spans="9:30" x14ac:dyDescent="0.25">
      <c r="I241" s="2"/>
      <c r="P241" s="2"/>
      <c r="W241" s="2"/>
      <c r="X241" s="2"/>
      <c r="Y241" s="2"/>
      <c r="Z241" s="2"/>
      <c r="AD241" s="7">
        <f t="shared" si="3"/>
      </c>
    </row>
    <row r="242" spans="9:30" x14ac:dyDescent="0.25">
      <c r="I242" s="2"/>
      <c r="P242" s="2"/>
      <c r="W242" s="2"/>
      <c r="X242" s="2"/>
      <c r="Y242" s="2"/>
      <c r="Z242" s="2"/>
      <c r="AD242" s="7">
        <f t="shared" si="3"/>
      </c>
    </row>
    <row r="243" spans="9:30" x14ac:dyDescent="0.25">
      <c r="I243" s="2"/>
      <c r="P243" s="2"/>
      <c r="W243" s="2"/>
      <c r="X243" s="2"/>
      <c r="Y243" s="2"/>
      <c r="Z243" s="2"/>
      <c r="AD243" s="7">
        <f t="shared" si="3"/>
      </c>
    </row>
    <row r="244" spans="9:30" x14ac:dyDescent="0.25">
      <c r="I244" s="2"/>
      <c r="P244" s="2"/>
      <c r="W244" s="2"/>
      <c r="X244" s="2"/>
      <c r="Y244" s="2"/>
      <c r="Z244" s="2"/>
      <c r="AD244" s="7">
        <f t="shared" si="3"/>
      </c>
    </row>
    <row r="245" spans="9:30" x14ac:dyDescent="0.25">
      <c r="I245" s="2"/>
      <c r="P245" s="2"/>
      <c r="W245" s="2"/>
      <c r="X245" s="2"/>
      <c r="Y245" s="2"/>
      <c r="Z245" s="2"/>
      <c r="AD245" s="7">
        <f t="shared" si="3"/>
      </c>
    </row>
    <row r="246" spans="9:30" x14ac:dyDescent="0.25">
      <c r="I246" s="2"/>
      <c r="P246" s="2"/>
      <c r="W246" s="2"/>
      <c r="X246" s="2"/>
      <c r="Y246" s="2"/>
      <c r="Z246" s="2"/>
      <c r="AD246" s="7">
        <f t="shared" si="3"/>
      </c>
    </row>
    <row r="247" spans="9:30" x14ac:dyDescent="0.25">
      <c r="I247" s="2"/>
      <c r="P247" s="2"/>
      <c r="W247" s="2"/>
      <c r="X247" s="2"/>
      <c r="Y247" s="2"/>
      <c r="Z247" s="2"/>
      <c r="AD247" s="7">
        <f t="shared" si="3"/>
      </c>
    </row>
    <row r="248" spans="9:30" x14ac:dyDescent="0.25">
      <c r="I248" s="2"/>
      <c r="P248" s="2"/>
      <c r="W248" s="2"/>
      <c r="X248" s="2"/>
      <c r="Y248" s="2"/>
      <c r="Z248" s="2"/>
      <c r="AD248" s="7">
        <f t="shared" si="3"/>
      </c>
    </row>
    <row r="249" spans="9:30" x14ac:dyDescent="0.25">
      <c r="I249" s="2"/>
      <c r="P249" s="2"/>
      <c r="W249" s="2"/>
      <c r="X249" s="2"/>
      <c r="Y249" s="2"/>
      <c r="Z249" s="2"/>
      <c r="AD249" s="7">
        <f t="shared" si="3"/>
      </c>
    </row>
    <row r="250" spans="9:30" x14ac:dyDescent="0.25">
      <c r="I250" s="2"/>
      <c r="P250" s="2"/>
      <c r="W250" s="2"/>
      <c r="X250" s="2"/>
      <c r="Y250" s="2"/>
      <c r="Z250" s="2"/>
      <c r="AD250" s="7">
        <f t="shared" si="3"/>
      </c>
    </row>
    <row r="251" spans="9:30" x14ac:dyDescent="0.25">
      <c r="I251" s="2"/>
      <c r="P251" s="2"/>
      <c r="W251" s="2"/>
      <c r="X251" s="2"/>
      <c r="Y251" s="2"/>
      <c r="Z251" s="2"/>
      <c r="AD251" s="7">
        <f t="shared" si="3"/>
      </c>
    </row>
    <row r="252" spans="9:30" x14ac:dyDescent="0.25">
      <c r="I252" s="2"/>
      <c r="P252" s="2"/>
      <c r="W252" s="2"/>
      <c r="X252" s="2"/>
      <c r="Y252" s="2"/>
      <c r="Z252" s="2"/>
      <c r="AD252" s="7">
        <f t="shared" si="3"/>
      </c>
    </row>
    <row r="253" spans="9:30" x14ac:dyDescent="0.25">
      <c r="I253" s="2"/>
      <c r="P253" s="2"/>
      <c r="W253" s="2"/>
      <c r="X253" s="2"/>
      <c r="Y253" s="2"/>
      <c r="Z253" s="2"/>
      <c r="AD253" s="7">
        <f t="shared" si="3"/>
      </c>
    </row>
    <row r="254" spans="9:30" x14ac:dyDescent="0.25">
      <c r="I254" s="2"/>
      <c r="P254" s="2"/>
      <c r="W254" s="2"/>
      <c r="X254" s="2"/>
      <c r="Y254" s="2"/>
      <c r="Z254" s="2"/>
      <c r="AD254" s="7">
        <f t="shared" si="3"/>
      </c>
    </row>
    <row r="255" spans="9:30" x14ac:dyDescent="0.25">
      <c r="I255" s="2"/>
      <c r="P255" s="2"/>
      <c r="W255" s="2"/>
      <c r="X255" s="2"/>
      <c r="Y255" s="2"/>
      <c r="Z255" s="2"/>
      <c r="AD255" s="7">
        <f t="shared" si="3"/>
      </c>
    </row>
    <row r="256" spans="9:30" x14ac:dyDescent="0.25">
      <c r="I256" s="2"/>
      <c r="P256" s="2"/>
      <c r="W256" s="2"/>
      <c r="X256" s="2"/>
      <c r="Y256" s="2"/>
      <c r="Z256" s="2"/>
      <c r="AD256" s="7">
        <f t="shared" si="3"/>
      </c>
    </row>
    <row r="257" spans="9:30" x14ac:dyDescent="0.25">
      <c r="I257" s="2"/>
      <c r="P257" s="2"/>
      <c r="W257" s="2"/>
      <c r="X257" s="2"/>
      <c r="Y257" s="2"/>
      <c r="Z257" s="2"/>
      <c r="AD257" s="7">
        <f t="shared" si="3"/>
      </c>
    </row>
    <row r="258" spans="9:30" x14ac:dyDescent="0.25">
      <c r="I258" s="2"/>
      <c r="P258" s="2"/>
      <c r="W258" s="2"/>
      <c r="X258" s="2"/>
      <c r="Y258" s="2"/>
      <c r="Z258" s="2"/>
      <c r="AD258" s="7">
        <f t="shared" si="3"/>
      </c>
    </row>
    <row r="259" spans="9:30" x14ac:dyDescent="0.25">
      <c r="I259" s="2"/>
      <c r="P259" s="2"/>
      <c r="W259" s="2"/>
      <c r="X259" s="2"/>
      <c r="Y259" s="2"/>
      <c r="Z259" s="2"/>
      <c r="AD259" s="7">
        <f t="shared" si="3"/>
      </c>
    </row>
    <row r="260" spans="9:30" x14ac:dyDescent="0.25">
      <c r="I260" s="2"/>
      <c r="P260" s="2"/>
      <c r="W260" s="2"/>
      <c r="X260" s="2"/>
      <c r="Y260" s="2"/>
      <c r="Z260" s="2"/>
      <c r="AD260" s="7">
        <f t="shared" si="3"/>
      </c>
    </row>
    <row r="261" spans="9:30" x14ac:dyDescent="0.25">
      <c r="I261" s="2"/>
      <c r="P261" s="2"/>
      <c r="W261" s="2"/>
      <c r="X261" s="2"/>
      <c r="Y261" s="2"/>
      <c r="Z261" s="2"/>
      <c r="AD261" s="7">
        <f t="shared" si="3"/>
      </c>
    </row>
    <row r="262" spans="9:30" x14ac:dyDescent="0.25">
      <c r="I262" s="2"/>
      <c r="P262" s="2"/>
      <c r="W262" s="2"/>
      <c r="X262" s="2"/>
      <c r="Y262" s="2"/>
      <c r="Z262" s="2"/>
      <c r="AD262" s="7">
        <f t="shared" si="3"/>
      </c>
    </row>
    <row r="263" spans="9:30" x14ac:dyDescent="0.25">
      <c r="I263" s="2"/>
      <c r="P263" s="2"/>
      <c r="W263" s="2"/>
      <c r="X263" s="2"/>
      <c r="Y263" s="2"/>
      <c r="Z263" s="2"/>
      <c r="AD263" s="7">
        <f t="shared" si="3"/>
      </c>
    </row>
    <row r="264" spans="9:30" x14ac:dyDescent="0.25">
      <c r="I264" s="2"/>
      <c r="P264" s="2"/>
      <c r="W264" s="2"/>
      <c r="X264" s="2"/>
      <c r="Y264" s="2"/>
      <c r="Z264" s="2"/>
      <c r="AD264" s="7">
        <f t="shared" si="3"/>
      </c>
    </row>
    <row r="265" spans="9:30" x14ac:dyDescent="0.25">
      <c r="I265" s="2"/>
      <c r="P265" s="2"/>
      <c r="W265" s="2"/>
      <c r="X265" s="2"/>
      <c r="Y265" s="2"/>
      <c r="Z265" s="2"/>
      <c r="AD265" s="7">
        <f t="shared" si="3"/>
      </c>
    </row>
    <row r="266" spans="9:30" x14ac:dyDescent="0.25">
      <c r="I266" s="2"/>
      <c r="P266" s="2"/>
      <c r="W266" s="2"/>
      <c r="X266" s="2"/>
      <c r="Y266" s="2"/>
      <c r="Z266" s="2"/>
      <c r="AD266" s="7">
        <f t="shared" ref="AD266:AD329" si="4">IF(P266 = "", "", Y266/P266)</f>
      </c>
    </row>
    <row r="267" spans="9:30" x14ac:dyDescent="0.25">
      <c r="I267" s="2"/>
      <c r="P267" s="2"/>
      <c r="W267" s="2"/>
      <c r="X267" s="2"/>
      <c r="Y267" s="2"/>
      <c r="Z267" s="2"/>
      <c r="AD267" s="7">
        <f t="shared" si="4"/>
      </c>
    </row>
    <row r="268" spans="9:30" x14ac:dyDescent="0.25">
      <c r="I268" s="2"/>
      <c r="P268" s="2"/>
      <c r="W268" s="2"/>
      <c r="X268" s="2"/>
      <c r="Y268" s="2"/>
      <c r="Z268" s="2"/>
      <c r="AD268" s="7">
        <f t="shared" si="4"/>
      </c>
    </row>
    <row r="269" spans="9:30" x14ac:dyDescent="0.25">
      <c r="I269" s="2"/>
      <c r="P269" s="2"/>
      <c r="W269" s="2"/>
      <c r="X269" s="2"/>
      <c r="Y269" s="2"/>
      <c r="Z269" s="2"/>
      <c r="AD269" s="7">
        <f t="shared" si="4"/>
      </c>
    </row>
    <row r="270" spans="9:30" x14ac:dyDescent="0.25">
      <c r="I270" s="2"/>
      <c r="P270" s="2"/>
      <c r="W270" s="2"/>
      <c r="X270" s="2"/>
      <c r="Y270" s="2"/>
      <c r="Z270" s="2"/>
      <c r="AD270" s="7">
        <f t="shared" si="4"/>
      </c>
    </row>
    <row r="271" spans="9:30" x14ac:dyDescent="0.25">
      <c r="I271" s="2"/>
      <c r="P271" s="2"/>
      <c r="W271" s="2"/>
      <c r="X271" s="2"/>
      <c r="Y271" s="2"/>
      <c r="Z271" s="2"/>
      <c r="AD271" s="7">
        <f t="shared" si="4"/>
      </c>
    </row>
    <row r="272" spans="9:30" x14ac:dyDescent="0.25">
      <c r="I272" s="2"/>
      <c r="P272" s="2"/>
      <c r="W272" s="2"/>
      <c r="X272" s="2"/>
      <c r="Y272" s="2"/>
      <c r="Z272" s="2"/>
      <c r="AD272" s="7">
        <f t="shared" si="4"/>
      </c>
    </row>
    <row r="273" spans="9:30" x14ac:dyDescent="0.25">
      <c r="I273" s="2"/>
      <c r="P273" s="2"/>
      <c r="W273" s="2"/>
      <c r="X273" s="2"/>
      <c r="Y273" s="2"/>
      <c r="Z273" s="2"/>
      <c r="AD273" s="7">
        <f t="shared" si="4"/>
      </c>
    </row>
    <row r="274" spans="9:30" x14ac:dyDescent="0.25">
      <c r="I274" s="2"/>
      <c r="P274" s="2"/>
      <c r="W274" s="2"/>
      <c r="X274" s="2"/>
      <c r="Y274" s="2"/>
      <c r="Z274" s="2"/>
      <c r="AD274" s="7">
        <f t="shared" si="4"/>
      </c>
    </row>
    <row r="275" spans="9:30" x14ac:dyDescent="0.25">
      <c r="I275" s="2"/>
      <c r="P275" s="2"/>
      <c r="W275" s="2"/>
      <c r="X275" s="2"/>
      <c r="Y275" s="2"/>
      <c r="Z275" s="2"/>
      <c r="AD275" s="7">
        <f t="shared" si="4"/>
      </c>
    </row>
    <row r="276" spans="9:30" x14ac:dyDescent="0.25">
      <c r="I276" s="2"/>
      <c r="P276" s="2"/>
      <c r="W276" s="2"/>
      <c r="X276" s="2"/>
      <c r="Y276" s="2"/>
      <c r="Z276" s="2"/>
      <c r="AD276" s="7">
        <f t="shared" si="4"/>
      </c>
    </row>
    <row r="277" spans="9:30" x14ac:dyDescent="0.25">
      <c r="I277" s="2"/>
      <c r="P277" s="2"/>
      <c r="W277" s="2"/>
      <c r="X277" s="2"/>
      <c r="Y277" s="2"/>
      <c r="Z277" s="2"/>
      <c r="AD277" s="7">
        <f t="shared" si="4"/>
      </c>
    </row>
    <row r="278" spans="9:30" x14ac:dyDescent="0.25">
      <c r="I278" s="2"/>
      <c r="P278" s="2"/>
      <c r="W278" s="2"/>
      <c r="X278" s="2"/>
      <c r="Y278" s="2"/>
      <c r="Z278" s="2"/>
      <c r="AD278" s="7">
        <f t="shared" si="4"/>
      </c>
    </row>
    <row r="279" spans="9:30" x14ac:dyDescent="0.25">
      <c r="I279" s="2"/>
      <c r="P279" s="2"/>
      <c r="W279" s="2"/>
      <c r="X279" s="2"/>
      <c r="Y279" s="2"/>
      <c r="Z279" s="2"/>
      <c r="AD279" s="7">
        <f t="shared" si="4"/>
      </c>
    </row>
    <row r="280" spans="9:30" x14ac:dyDescent="0.25">
      <c r="I280" s="2"/>
      <c r="P280" s="2"/>
      <c r="W280" s="2"/>
      <c r="X280" s="2"/>
      <c r="Y280" s="2"/>
      <c r="Z280" s="2"/>
      <c r="AD280" s="7">
        <f t="shared" si="4"/>
      </c>
    </row>
    <row r="281" spans="9:30" x14ac:dyDescent="0.25">
      <c r="I281" s="2"/>
      <c r="P281" s="2"/>
      <c r="W281" s="2"/>
      <c r="X281" s="2"/>
      <c r="Y281" s="2"/>
      <c r="Z281" s="2"/>
      <c r="AD281" s="7">
        <f t="shared" si="4"/>
      </c>
    </row>
    <row r="282" spans="9:30" x14ac:dyDescent="0.25">
      <c r="I282" s="2"/>
      <c r="P282" s="2"/>
      <c r="W282" s="2"/>
      <c r="X282" s="2"/>
      <c r="Y282" s="2"/>
      <c r="Z282" s="2"/>
      <c r="AD282" s="7">
        <f t="shared" si="4"/>
      </c>
    </row>
    <row r="283" spans="9:30" x14ac:dyDescent="0.25">
      <c r="I283" s="2"/>
      <c r="P283" s="2"/>
      <c r="W283" s="2"/>
      <c r="X283" s="2"/>
      <c r="Y283" s="2"/>
      <c r="Z283" s="2"/>
      <c r="AD283" s="7">
        <f t="shared" si="4"/>
      </c>
    </row>
    <row r="284" spans="9:30" x14ac:dyDescent="0.25">
      <c r="I284" s="2"/>
      <c r="P284" s="2"/>
      <c r="W284" s="2"/>
      <c r="X284" s="2"/>
      <c r="Y284" s="2"/>
      <c r="Z284" s="2"/>
      <c r="AD284" s="7">
        <f t="shared" si="4"/>
      </c>
    </row>
    <row r="285" spans="9:30" x14ac:dyDescent="0.25">
      <c r="I285" s="2"/>
      <c r="P285" s="2"/>
      <c r="W285" s="2"/>
      <c r="X285" s="2"/>
      <c r="Y285" s="2"/>
      <c r="Z285" s="2"/>
      <c r="AD285" s="7">
        <f t="shared" si="4"/>
      </c>
    </row>
    <row r="286" spans="9:30" x14ac:dyDescent="0.25">
      <c r="I286" s="2"/>
      <c r="P286" s="2"/>
      <c r="W286" s="2"/>
      <c r="X286" s="2"/>
      <c r="Y286" s="2"/>
      <c r="Z286" s="2"/>
      <c r="AD286" s="7">
        <f t="shared" si="4"/>
      </c>
    </row>
    <row r="287" spans="9:30" x14ac:dyDescent="0.25">
      <c r="I287" s="2"/>
      <c r="P287" s="2"/>
      <c r="W287" s="2"/>
      <c r="X287" s="2"/>
      <c r="Y287" s="2"/>
      <c r="Z287" s="2"/>
      <c r="AD287" s="7">
        <f t="shared" si="4"/>
      </c>
    </row>
    <row r="288" spans="9:30" x14ac:dyDescent="0.25">
      <c r="I288" s="2"/>
      <c r="P288" s="2"/>
      <c r="W288" s="2"/>
      <c r="X288" s="2"/>
      <c r="Y288" s="2"/>
      <c r="Z288" s="2"/>
      <c r="AD288" s="7">
        <f t="shared" si="4"/>
      </c>
    </row>
    <row r="289" spans="9:30" x14ac:dyDescent="0.25">
      <c r="I289" s="2"/>
      <c r="P289" s="2"/>
      <c r="W289" s="2"/>
      <c r="X289" s="2"/>
      <c r="Y289" s="2"/>
      <c r="Z289" s="2"/>
      <c r="AD289" s="7">
        <f t="shared" si="4"/>
      </c>
    </row>
    <row r="290" spans="9:30" x14ac:dyDescent="0.25">
      <c r="I290" s="2"/>
      <c r="P290" s="2"/>
      <c r="W290" s="2"/>
      <c r="X290" s="2"/>
      <c r="Y290" s="2"/>
      <c r="Z290" s="2"/>
      <c r="AD290" s="7">
        <f t="shared" si="4"/>
      </c>
    </row>
    <row r="291" spans="9:30" x14ac:dyDescent="0.25">
      <c r="I291" s="2"/>
      <c r="P291" s="2"/>
      <c r="W291" s="2"/>
      <c r="X291" s="2"/>
      <c r="Y291" s="2"/>
      <c r="Z291" s="2"/>
      <c r="AD291" s="7">
        <f t="shared" si="4"/>
      </c>
    </row>
    <row r="292" spans="9:30" x14ac:dyDescent="0.25">
      <c r="I292" s="2"/>
      <c r="P292" s="2"/>
      <c r="W292" s="2"/>
      <c r="X292" s="2"/>
      <c r="Y292" s="2"/>
      <c r="Z292" s="2"/>
      <c r="AD292" s="7">
        <f t="shared" si="4"/>
      </c>
    </row>
    <row r="293" spans="9:30" x14ac:dyDescent="0.25">
      <c r="I293" s="2"/>
      <c r="P293" s="2"/>
      <c r="W293" s="2"/>
      <c r="X293" s="2"/>
      <c r="Y293" s="2"/>
      <c r="Z293" s="2"/>
      <c r="AD293" s="7">
        <f t="shared" si="4"/>
      </c>
    </row>
    <row r="294" spans="9:30" x14ac:dyDescent="0.25">
      <c r="I294" s="2"/>
      <c r="P294" s="2"/>
      <c r="W294" s="2"/>
      <c r="X294" s="2"/>
      <c r="Y294" s="2"/>
      <c r="Z294" s="2"/>
      <c r="AD294" s="7">
        <f t="shared" si="4"/>
      </c>
    </row>
    <row r="295" spans="9:30" x14ac:dyDescent="0.25">
      <c r="I295" s="2"/>
      <c r="P295" s="2"/>
      <c r="W295" s="2"/>
      <c r="X295" s="2"/>
      <c r="Y295" s="2"/>
      <c r="Z295" s="2"/>
      <c r="AD295" s="7">
        <f t="shared" si="4"/>
      </c>
    </row>
    <row r="296" spans="9:30" x14ac:dyDescent="0.25">
      <c r="I296" s="2"/>
      <c r="P296" s="2"/>
      <c r="W296" s="2"/>
      <c r="X296" s="2"/>
      <c r="Y296" s="2"/>
      <c r="Z296" s="2"/>
      <c r="AD296" s="7">
        <f t="shared" si="4"/>
      </c>
    </row>
    <row r="297" spans="9:30" x14ac:dyDescent="0.25">
      <c r="I297" s="2"/>
      <c r="P297" s="2"/>
      <c r="W297" s="2"/>
      <c r="X297" s="2"/>
      <c r="Y297" s="2"/>
      <c r="Z297" s="2"/>
      <c r="AD297" s="7">
        <f t="shared" si="4"/>
      </c>
    </row>
    <row r="298" spans="9:30" x14ac:dyDescent="0.25">
      <c r="I298" s="2"/>
      <c r="P298" s="2"/>
      <c r="W298" s="2"/>
      <c r="X298" s="2"/>
      <c r="Y298" s="2"/>
      <c r="Z298" s="2"/>
      <c r="AD298" s="7">
        <f t="shared" si="4"/>
      </c>
    </row>
    <row r="299" spans="9:30" x14ac:dyDescent="0.25">
      <c r="I299" s="2"/>
      <c r="P299" s="2"/>
      <c r="W299" s="2"/>
      <c r="X299" s="2"/>
      <c r="Y299" s="2"/>
      <c r="Z299" s="2"/>
      <c r="AD299" s="7">
        <f t="shared" si="4"/>
      </c>
    </row>
    <row r="300" spans="9:30" x14ac:dyDescent="0.25">
      <c r="I300" s="2"/>
      <c r="P300" s="2"/>
      <c r="W300" s="2"/>
      <c r="X300" s="2"/>
      <c r="Y300" s="2"/>
      <c r="Z300" s="2"/>
      <c r="AD300" s="7">
        <f t="shared" si="4"/>
      </c>
    </row>
    <row r="301" spans="9:30" x14ac:dyDescent="0.25">
      <c r="I301" s="2"/>
      <c r="P301" s="2"/>
      <c r="W301" s="2"/>
      <c r="X301" s="2"/>
      <c r="Y301" s="2"/>
      <c r="Z301" s="2"/>
      <c r="AD301" s="7">
        <f t="shared" si="4"/>
      </c>
    </row>
    <row r="302" spans="9:30" x14ac:dyDescent="0.25">
      <c r="I302" s="2"/>
      <c r="P302" s="2"/>
      <c r="W302" s="2"/>
      <c r="X302" s="2"/>
      <c r="Y302" s="2"/>
      <c r="Z302" s="2"/>
      <c r="AD302" s="7">
        <f t="shared" si="4"/>
      </c>
    </row>
    <row r="303" spans="9:30" x14ac:dyDescent="0.25">
      <c r="I303" s="2"/>
      <c r="P303" s="2"/>
      <c r="W303" s="2"/>
      <c r="X303" s="2"/>
      <c r="Y303" s="2"/>
      <c r="Z303" s="2"/>
      <c r="AD303" s="7">
        <f t="shared" si="4"/>
      </c>
    </row>
    <row r="304" spans="9:30" x14ac:dyDescent="0.25">
      <c r="I304" s="2"/>
      <c r="P304" s="2"/>
      <c r="W304" s="2"/>
      <c r="X304" s="2"/>
      <c r="Y304" s="2"/>
      <c r="Z304" s="2"/>
      <c r="AD304" s="7">
        <f t="shared" si="4"/>
      </c>
    </row>
    <row r="305" spans="9:30" x14ac:dyDescent="0.25">
      <c r="I305" s="2"/>
      <c r="P305" s="2"/>
      <c r="W305" s="2"/>
      <c r="X305" s="2"/>
      <c r="Y305" s="2"/>
      <c r="Z305" s="2"/>
      <c r="AD305" s="7">
        <f t="shared" si="4"/>
      </c>
    </row>
    <row r="306" spans="9:30" x14ac:dyDescent="0.25">
      <c r="I306" s="2"/>
      <c r="P306" s="2"/>
      <c r="W306" s="2"/>
      <c r="X306" s="2"/>
      <c r="Y306" s="2"/>
      <c r="Z306" s="2"/>
      <c r="AD306" s="7">
        <f t="shared" si="4"/>
      </c>
    </row>
    <row r="307" spans="9:30" x14ac:dyDescent="0.25">
      <c r="I307" s="2"/>
      <c r="P307" s="2"/>
      <c r="W307" s="2"/>
      <c r="X307" s="2"/>
      <c r="Y307" s="2"/>
      <c r="Z307" s="2"/>
      <c r="AD307" s="7">
        <f t="shared" si="4"/>
      </c>
    </row>
    <row r="308" spans="9:30" x14ac:dyDescent="0.25">
      <c r="I308" s="2"/>
      <c r="P308" s="2"/>
      <c r="W308" s="2"/>
      <c r="X308" s="2"/>
      <c r="Y308" s="2"/>
      <c r="Z308" s="2"/>
      <c r="AD308" s="7">
        <f t="shared" si="4"/>
      </c>
    </row>
    <row r="309" spans="9:30" x14ac:dyDescent="0.25">
      <c r="I309" s="2"/>
      <c r="P309" s="2"/>
      <c r="W309" s="2"/>
      <c r="X309" s="2"/>
      <c r="Y309" s="2"/>
      <c r="Z309" s="2"/>
      <c r="AD309" s="7">
        <f t="shared" si="4"/>
      </c>
    </row>
    <row r="310" spans="9:30" x14ac:dyDescent="0.25">
      <c r="I310" s="2"/>
      <c r="P310" s="2"/>
      <c r="W310" s="2"/>
      <c r="X310" s="2"/>
      <c r="Y310" s="2"/>
      <c r="Z310" s="2"/>
      <c r="AD310" s="7">
        <f t="shared" si="4"/>
      </c>
    </row>
    <row r="311" spans="9:30" x14ac:dyDescent="0.25">
      <c r="I311" s="2"/>
      <c r="P311" s="2"/>
      <c r="W311" s="2"/>
      <c r="X311" s="2"/>
      <c r="Y311" s="2"/>
      <c r="Z311" s="2"/>
      <c r="AD311" s="7">
        <f t="shared" si="4"/>
      </c>
    </row>
    <row r="312" spans="9:30" x14ac:dyDescent="0.25">
      <c r="I312" s="2"/>
      <c r="P312" s="2"/>
      <c r="W312" s="2"/>
      <c r="X312" s="2"/>
      <c r="Y312" s="2"/>
      <c r="Z312" s="2"/>
      <c r="AD312" s="7">
        <f t="shared" si="4"/>
      </c>
    </row>
    <row r="313" spans="9:30" x14ac:dyDescent="0.25">
      <c r="I313" s="2"/>
      <c r="P313" s="2"/>
      <c r="W313" s="2"/>
      <c r="X313" s="2"/>
      <c r="Y313" s="2"/>
      <c r="Z313" s="2"/>
      <c r="AD313" s="7">
        <f t="shared" si="4"/>
      </c>
    </row>
    <row r="314" spans="9:30" x14ac:dyDescent="0.25">
      <c r="I314" s="2"/>
      <c r="P314" s="2"/>
      <c r="W314" s="2"/>
      <c r="X314" s="2"/>
      <c r="Y314" s="2"/>
      <c r="Z314" s="2"/>
      <c r="AD314" s="7">
        <f t="shared" si="4"/>
      </c>
    </row>
    <row r="315" spans="9:30" x14ac:dyDescent="0.25">
      <c r="I315" s="2"/>
      <c r="P315" s="2"/>
      <c r="W315" s="2"/>
      <c r="X315" s="2"/>
      <c r="Y315" s="2"/>
      <c r="Z315" s="2"/>
      <c r="AD315" s="7">
        <f t="shared" si="4"/>
      </c>
    </row>
    <row r="316" spans="9:30" x14ac:dyDescent="0.25">
      <c r="I316" s="2"/>
      <c r="P316" s="2"/>
      <c r="W316" s="2"/>
      <c r="X316" s="2"/>
      <c r="Y316" s="2"/>
      <c r="Z316" s="2"/>
      <c r="AD316" s="7">
        <f t="shared" si="4"/>
      </c>
    </row>
    <row r="317" spans="9:30" x14ac:dyDescent="0.25">
      <c r="I317" s="2"/>
      <c r="P317" s="2"/>
      <c r="W317" s="2"/>
      <c r="X317" s="2"/>
      <c r="Y317" s="2"/>
      <c r="Z317" s="2"/>
      <c r="AD317" s="7">
        <f t="shared" si="4"/>
      </c>
    </row>
    <row r="318" spans="9:30" x14ac:dyDescent="0.25">
      <c r="I318" s="2"/>
      <c r="P318" s="2"/>
      <c r="W318" s="2"/>
      <c r="X318" s="2"/>
      <c r="Y318" s="2"/>
      <c r="Z318" s="2"/>
      <c r="AD318" s="7">
        <f t="shared" si="4"/>
      </c>
    </row>
    <row r="319" spans="9:30" x14ac:dyDescent="0.25">
      <c r="I319" s="2"/>
      <c r="P319" s="2"/>
      <c r="W319" s="2"/>
      <c r="X319" s="2"/>
      <c r="Y319" s="2"/>
      <c r="Z319" s="2"/>
      <c r="AD319" s="7">
        <f t="shared" si="4"/>
      </c>
    </row>
    <row r="320" spans="9:30" x14ac:dyDescent="0.25">
      <c r="I320" s="2"/>
      <c r="P320" s="2"/>
      <c r="W320" s="2"/>
      <c r="X320" s="2"/>
      <c r="Y320" s="2"/>
      <c r="Z320" s="2"/>
      <c r="AD320" s="7">
        <f t="shared" si="4"/>
      </c>
    </row>
    <row r="321" spans="9:30" x14ac:dyDescent="0.25">
      <c r="I321" s="2"/>
      <c r="P321" s="2"/>
      <c r="W321" s="2"/>
      <c r="X321" s="2"/>
      <c r="Y321" s="2"/>
      <c r="Z321" s="2"/>
      <c r="AD321" s="7">
        <f t="shared" si="4"/>
      </c>
    </row>
    <row r="322" spans="9:30" x14ac:dyDescent="0.25">
      <c r="I322" s="2"/>
      <c r="P322" s="2"/>
      <c r="W322" s="2"/>
      <c r="X322" s="2"/>
      <c r="Y322" s="2"/>
      <c r="Z322" s="2"/>
      <c r="AD322" s="7">
        <f t="shared" si="4"/>
      </c>
    </row>
    <row r="323" spans="9:30" x14ac:dyDescent="0.25">
      <c r="I323" s="2"/>
      <c r="P323" s="2"/>
      <c r="W323" s="2"/>
      <c r="X323" s="2"/>
      <c r="Y323" s="2"/>
      <c r="Z323" s="2"/>
      <c r="AD323" s="7">
        <f t="shared" si="4"/>
      </c>
    </row>
    <row r="324" spans="9:30" x14ac:dyDescent="0.25">
      <c r="I324" s="2"/>
      <c r="P324" s="2"/>
      <c r="W324" s="2"/>
      <c r="X324" s="2"/>
      <c r="Y324" s="2"/>
      <c r="Z324" s="2"/>
      <c r="AD324" s="7">
        <f t="shared" si="4"/>
      </c>
    </row>
    <row r="325" spans="9:30" x14ac:dyDescent="0.25">
      <c r="I325" s="2"/>
      <c r="P325" s="2"/>
      <c r="W325" s="2"/>
      <c r="X325" s="2"/>
      <c r="Y325" s="2"/>
      <c r="Z325" s="2"/>
      <c r="AD325" s="7">
        <f t="shared" si="4"/>
      </c>
    </row>
    <row r="326" spans="9:30" x14ac:dyDescent="0.25">
      <c r="I326" s="2"/>
      <c r="P326" s="2"/>
      <c r="W326" s="2"/>
      <c r="X326" s="2"/>
      <c r="Y326" s="2"/>
      <c r="Z326" s="2"/>
      <c r="AD326" s="7">
        <f t="shared" si="4"/>
      </c>
    </row>
    <row r="327" spans="9:30" x14ac:dyDescent="0.25">
      <c r="I327" s="2"/>
      <c r="P327" s="2"/>
      <c r="W327" s="2"/>
      <c r="X327" s="2"/>
      <c r="Y327" s="2"/>
      <c r="Z327" s="2"/>
      <c r="AD327" s="7">
        <f t="shared" si="4"/>
      </c>
    </row>
    <row r="328" spans="9:30" x14ac:dyDescent="0.25">
      <c r="I328" s="2"/>
      <c r="P328" s="2"/>
      <c r="W328" s="2"/>
      <c r="X328" s="2"/>
      <c r="Y328" s="2"/>
      <c r="Z328" s="2"/>
      <c r="AD328" s="7">
        <f t="shared" si="4"/>
      </c>
    </row>
    <row r="329" spans="9:30" x14ac:dyDescent="0.25">
      <c r="I329" s="2"/>
      <c r="P329" s="2"/>
      <c r="W329" s="2"/>
      <c r="X329" s="2"/>
      <c r="Y329" s="2"/>
      <c r="Z329" s="2"/>
      <c r="AD329" s="7">
        <f t="shared" si="4"/>
      </c>
    </row>
    <row r="330" spans="9:30" x14ac:dyDescent="0.25">
      <c r="I330" s="2"/>
      <c r="P330" s="2"/>
      <c r="W330" s="2"/>
      <c r="X330" s="2"/>
      <c r="Y330" s="2"/>
      <c r="Z330" s="2"/>
      <c r="AD330" s="7">
        <f t="shared" ref="AD330:AD393" si="5">IF(P330 = "", "", Y330/P330)</f>
      </c>
    </row>
    <row r="331" spans="9:30" x14ac:dyDescent="0.25">
      <c r="I331" s="2"/>
      <c r="P331" s="2"/>
      <c r="W331" s="2"/>
      <c r="X331" s="2"/>
      <c r="Y331" s="2"/>
      <c r="Z331" s="2"/>
      <c r="AD331" s="7">
        <f t="shared" si="5"/>
      </c>
    </row>
    <row r="332" spans="9:30" x14ac:dyDescent="0.25">
      <c r="I332" s="2"/>
      <c r="P332" s="2"/>
      <c r="W332" s="2"/>
      <c r="X332" s="2"/>
      <c r="Y332" s="2"/>
      <c r="Z332" s="2"/>
      <c r="AD332" s="7">
        <f t="shared" si="5"/>
      </c>
    </row>
    <row r="333" spans="9:30" x14ac:dyDescent="0.25">
      <c r="I333" s="2"/>
      <c r="P333" s="2"/>
      <c r="W333" s="2"/>
      <c r="X333" s="2"/>
      <c r="Y333" s="2"/>
      <c r="Z333" s="2"/>
      <c r="AD333" s="7">
        <f t="shared" si="5"/>
      </c>
    </row>
    <row r="334" spans="9:30" x14ac:dyDescent="0.25">
      <c r="I334" s="2"/>
      <c r="P334" s="2"/>
      <c r="W334" s="2"/>
      <c r="X334" s="2"/>
      <c r="Y334" s="2"/>
      <c r="Z334" s="2"/>
      <c r="AD334" s="7">
        <f t="shared" si="5"/>
      </c>
    </row>
    <row r="335" spans="9:30" x14ac:dyDescent="0.25">
      <c r="I335" s="2"/>
      <c r="P335" s="2"/>
      <c r="W335" s="2"/>
      <c r="X335" s="2"/>
      <c r="Y335" s="2"/>
      <c r="Z335" s="2"/>
      <c r="AD335" s="7">
        <f t="shared" si="5"/>
      </c>
    </row>
    <row r="336" spans="9:30" x14ac:dyDescent="0.25">
      <c r="I336" s="2"/>
      <c r="P336" s="2"/>
      <c r="W336" s="2"/>
      <c r="X336" s="2"/>
      <c r="Y336" s="2"/>
      <c r="Z336" s="2"/>
      <c r="AD336" s="7">
        <f t="shared" si="5"/>
      </c>
    </row>
    <row r="337" spans="9:30" x14ac:dyDescent="0.25">
      <c r="I337" s="2"/>
      <c r="P337" s="2"/>
      <c r="W337" s="2"/>
      <c r="X337" s="2"/>
      <c r="Y337" s="2"/>
      <c r="Z337" s="2"/>
      <c r="AD337" s="7">
        <f t="shared" si="5"/>
      </c>
    </row>
    <row r="338" spans="9:30" x14ac:dyDescent="0.25">
      <c r="I338" s="2"/>
      <c r="P338" s="2"/>
      <c r="W338" s="2"/>
      <c r="X338" s="2"/>
      <c r="Y338" s="2"/>
      <c r="Z338" s="2"/>
      <c r="AD338" s="7">
        <f t="shared" si="5"/>
      </c>
    </row>
    <row r="339" spans="9:30" x14ac:dyDescent="0.25">
      <c r="I339" s="2"/>
      <c r="P339" s="2"/>
      <c r="W339" s="2"/>
      <c r="X339" s="2"/>
      <c r="Y339" s="2"/>
      <c r="Z339" s="2"/>
      <c r="AD339" s="7">
        <f t="shared" si="5"/>
      </c>
    </row>
    <row r="340" spans="9:30" x14ac:dyDescent="0.25">
      <c r="I340" s="2"/>
      <c r="P340" s="2"/>
      <c r="W340" s="2"/>
      <c r="X340" s="2"/>
      <c r="Y340" s="2"/>
      <c r="Z340" s="2"/>
      <c r="AD340" s="7">
        <f t="shared" si="5"/>
      </c>
    </row>
    <row r="341" spans="9:30" x14ac:dyDescent="0.25">
      <c r="I341" s="2"/>
      <c r="P341" s="2"/>
      <c r="W341" s="2"/>
      <c r="X341" s="2"/>
      <c r="Y341" s="2"/>
      <c r="Z341" s="2"/>
      <c r="AD341" s="7">
        <f t="shared" si="5"/>
      </c>
    </row>
    <row r="342" spans="9:30" x14ac:dyDescent="0.25">
      <c r="I342" s="2"/>
      <c r="P342" s="2"/>
      <c r="W342" s="2"/>
      <c r="X342" s="2"/>
      <c r="Y342" s="2"/>
      <c r="Z342" s="2"/>
      <c r="AD342" s="7">
        <f t="shared" si="5"/>
      </c>
    </row>
    <row r="343" spans="9:30" x14ac:dyDescent="0.25">
      <c r="I343" s="2"/>
      <c r="P343" s="2"/>
      <c r="W343" s="2"/>
      <c r="X343" s="2"/>
      <c r="Y343" s="2"/>
      <c r="Z343" s="2"/>
      <c r="AD343" s="7">
        <f t="shared" si="5"/>
      </c>
    </row>
    <row r="344" spans="9:30" x14ac:dyDescent="0.25">
      <c r="I344" s="2"/>
      <c r="P344" s="2"/>
      <c r="W344" s="2"/>
      <c r="X344" s="2"/>
      <c r="Y344" s="2"/>
      <c r="Z344" s="2"/>
      <c r="AD344" s="7">
        <f t="shared" si="5"/>
      </c>
    </row>
    <row r="345" spans="9:30" x14ac:dyDescent="0.25">
      <c r="I345" s="2"/>
      <c r="P345" s="2"/>
      <c r="W345" s="2"/>
      <c r="X345" s="2"/>
      <c r="Y345" s="2"/>
      <c r="Z345" s="2"/>
      <c r="AD345" s="7">
        <f t="shared" si="5"/>
      </c>
    </row>
    <row r="346" spans="9:30" x14ac:dyDescent="0.25">
      <c r="I346" s="2"/>
      <c r="P346" s="2"/>
      <c r="W346" s="2"/>
      <c r="X346" s="2"/>
      <c r="Y346" s="2"/>
      <c r="Z346" s="2"/>
      <c r="AD346" s="7">
        <f t="shared" si="5"/>
      </c>
    </row>
    <row r="347" spans="9:30" x14ac:dyDescent="0.25">
      <c r="I347" s="2"/>
      <c r="P347" s="2"/>
      <c r="W347" s="2"/>
      <c r="X347" s="2"/>
      <c r="Y347" s="2"/>
      <c r="Z347" s="2"/>
      <c r="AD347" s="7">
        <f t="shared" si="5"/>
      </c>
    </row>
    <row r="348" spans="9:30" x14ac:dyDescent="0.25">
      <c r="I348" s="2"/>
      <c r="P348" s="2"/>
      <c r="W348" s="2"/>
      <c r="X348" s="2"/>
      <c r="Y348" s="2"/>
      <c r="Z348" s="2"/>
      <c r="AD348" s="7">
        <f t="shared" si="5"/>
      </c>
    </row>
    <row r="349" spans="9:30" x14ac:dyDescent="0.25">
      <c r="I349" s="2"/>
      <c r="P349" s="2"/>
      <c r="W349" s="2"/>
      <c r="X349" s="2"/>
      <c r="Y349" s="2"/>
      <c r="Z349" s="2"/>
      <c r="AD349" s="7">
        <f t="shared" si="5"/>
      </c>
    </row>
    <row r="350" spans="9:30" x14ac:dyDescent="0.25">
      <c r="I350" s="2"/>
      <c r="P350" s="2"/>
      <c r="W350" s="2"/>
      <c r="X350" s="2"/>
      <c r="Y350" s="2"/>
      <c r="Z350" s="2"/>
      <c r="AD350" s="7">
        <f t="shared" si="5"/>
      </c>
    </row>
    <row r="351" spans="9:30" x14ac:dyDescent="0.25">
      <c r="I351" s="2"/>
      <c r="P351" s="2"/>
      <c r="W351" s="2"/>
      <c r="X351" s="2"/>
      <c r="Y351" s="2"/>
      <c r="Z351" s="2"/>
      <c r="AD351" s="7">
        <f t="shared" si="5"/>
      </c>
    </row>
    <row r="352" spans="9:30" x14ac:dyDescent="0.25">
      <c r="I352" s="2"/>
      <c r="P352" s="2"/>
      <c r="W352" s="2"/>
      <c r="X352" s="2"/>
      <c r="Y352" s="2"/>
      <c r="Z352" s="2"/>
      <c r="AD352" s="7">
        <f t="shared" si="5"/>
      </c>
    </row>
    <row r="353" spans="9:30" x14ac:dyDescent="0.25">
      <c r="I353" s="2"/>
      <c r="P353" s="2"/>
      <c r="W353" s="2"/>
      <c r="X353" s="2"/>
      <c r="Y353" s="2"/>
      <c r="Z353" s="2"/>
      <c r="AD353" s="7">
        <f t="shared" si="5"/>
      </c>
    </row>
    <row r="354" spans="9:30" x14ac:dyDescent="0.25">
      <c r="I354" s="2"/>
      <c r="P354" s="2"/>
      <c r="W354" s="2"/>
      <c r="X354" s="2"/>
      <c r="Y354" s="2"/>
      <c r="Z354" s="2"/>
      <c r="AD354" s="7">
        <f t="shared" si="5"/>
      </c>
    </row>
    <row r="355" spans="9:30" x14ac:dyDescent="0.25">
      <c r="I355" s="2"/>
      <c r="P355" s="2"/>
      <c r="W355" s="2"/>
      <c r="X355" s="2"/>
      <c r="Y355" s="2"/>
      <c r="Z355" s="2"/>
      <c r="AD355" s="7">
        <f t="shared" si="5"/>
      </c>
    </row>
    <row r="356" spans="9:30" x14ac:dyDescent="0.25">
      <c r="I356" s="2"/>
      <c r="P356" s="2"/>
      <c r="W356" s="2"/>
      <c r="X356" s="2"/>
      <c r="Y356" s="2"/>
      <c r="Z356" s="2"/>
      <c r="AD356" s="7">
        <f t="shared" si="5"/>
      </c>
    </row>
    <row r="357" spans="9:30" x14ac:dyDescent="0.25">
      <c r="I357" s="2"/>
      <c r="P357" s="2"/>
      <c r="W357" s="2"/>
      <c r="X357" s="2"/>
      <c r="Y357" s="2"/>
      <c r="Z357" s="2"/>
      <c r="AD357" s="7">
        <f t="shared" si="5"/>
      </c>
    </row>
    <row r="358" spans="9:30" x14ac:dyDescent="0.25">
      <c r="I358" s="2"/>
      <c r="P358" s="2"/>
      <c r="W358" s="2"/>
      <c r="X358" s="2"/>
      <c r="Y358" s="2"/>
      <c r="Z358" s="2"/>
      <c r="AD358" s="7">
        <f t="shared" si="5"/>
      </c>
    </row>
    <row r="359" spans="9:30" x14ac:dyDescent="0.25">
      <c r="I359" s="2"/>
      <c r="P359" s="2"/>
      <c r="W359" s="2"/>
      <c r="X359" s="2"/>
      <c r="Y359" s="2"/>
      <c r="Z359" s="2"/>
      <c r="AD359" s="7">
        <f t="shared" si="5"/>
      </c>
    </row>
    <row r="360" spans="9:30" x14ac:dyDescent="0.25">
      <c r="I360" s="2"/>
      <c r="P360" s="2"/>
      <c r="W360" s="2"/>
      <c r="X360" s="2"/>
      <c r="Y360" s="2"/>
      <c r="Z360" s="2"/>
      <c r="AD360" s="7">
        <f t="shared" si="5"/>
      </c>
    </row>
    <row r="361" spans="9:30" x14ac:dyDescent="0.25">
      <c r="I361" s="2"/>
      <c r="P361" s="2"/>
      <c r="W361" s="2"/>
      <c r="X361" s="2"/>
      <c r="Y361" s="2"/>
      <c r="Z361" s="2"/>
      <c r="AD361" s="7">
        <f t="shared" si="5"/>
      </c>
    </row>
    <row r="362" spans="9:30" x14ac:dyDescent="0.25">
      <c r="I362" s="2"/>
      <c r="P362" s="2"/>
      <c r="W362" s="2"/>
      <c r="X362" s="2"/>
      <c r="Y362" s="2"/>
      <c r="Z362" s="2"/>
      <c r="AD362" s="7">
        <f t="shared" si="5"/>
      </c>
    </row>
    <row r="363" spans="9:30" x14ac:dyDescent="0.25">
      <c r="I363" s="2"/>
      <c r="P363" s="2"/>
      <c r="W363" s="2"/>
      <c r="X363" s="2"/>
      <c r="Y363" s="2"/>
      <c r="Z363" s="2"/>
      <c r="AD363" s="7">
        <f t="shared" si="5"/>
      </c>
    </row>
    <row r="364" spans="9:30" x14ac:dyDescent="0.25">
      <c r="I364" s="2"/>
      <c r="P364" s="2"/>
      <c r="W364" s="2"/>
      <c r="X364" s="2"/>
      <c r="Y364" s="2"/>
      <c r="Z364" s="2"/>
      <c r="AD364" s="7">
        <f t="shared" si="5"/>
      </c>
    </row>
    <row r="365" spans="9:30" x14ac:dyDescent="0.25">
      <c r="I365" s="2"/>
      <c r="P365" s="2"/>
      <c r="W365" s="2"/>
      <c r="X365" s="2"/>
      <c r="Y365" s="2"/>
      <c r="Z365" s="2"/>
      <c r="AD365" s="7">
        <f t="shared" si="5"/>
      </c>
    </row>
    <row r="366" spans="9:30" x14ac:dyDescent="0.25">
      <c r="I366" s="2"/>
      <c r="P366" s="2"/>
      <c r="W366" s="2"/>
      <c r="X366" s="2"/>
      <c r="Y366" s="2"/>
      <c r="Z366" s="2"/>
      <c r="AD366" s="7">
        <f t="shared" si="5"/>
      </c>
    </row>
    <row r="367" spans="9:30" x14ac:dyDescent="0.25">
      <c r="I367" s="2"/>
      <c r="P367" s="2"/>
      <c r="W367" s="2"/>
      <c r="X367" s="2"/>
      <c r="Y367" s="2"/>
      <c r="Z367" s="2"/>
      <c r="AD367" s="7">
        <f t="shared" si="5"/>
      </c>
    </row>
    <row r="368" spans="9:30" x14ac:dyDescent="0.25">
      <c r="I368" s="2"/>
      <c r="P368" s="2"/>
      <c r="W368" s="2"/>
      <c r="X368" s="2"/>
      <c r="Y368" s="2"/>
      <c r="Z368" s="2"/>
      <c r="AD368" s="7">
        <f t="shared" si="5"/>
      </c>
    </row>
    <row r="369" spans="9:30" x14ac:dyDescent="0.25">
      <c r="I369" s="2"/>
      <c r="P369" s="2"/>
      <c r="W369" s="2"/>
      <c r="X369" s="2"/>
      <c r="Y369" s="2"/>
      <c r="Z369" s="2"/>
      <c r="AD369" s="7">
        <f t="shared" si="5"/>
      </c>
    </row>
    <row r="370" spans="9:30" x14ac:dyDescent="0.25">
      <c r="I370" s="2"/>
      <c r="P370" s="2"/>
      <c r="W370" s="2"/>
      <c r="X370" s="2"/>
      <c r="Y370" s="2"/>
      <c r="Z370" s="2"/>
      <c r="AD370" s="7">
        <f t="shared" si="5"/>
      </c>
    </row>
    <row r="371" spans="9:30" x14ac:dyDescent="0.25">
      <c r="I371" s="2"/>
      <c r="P371" s="2"/>
      <c r="W371" s="2"/>
      <c r="X371" s="2"/>
      <c r="Y371" s="2"/>
      <c r="Z371" s="2"/>
      <c r="AD371" s="7">
        <f t="shared" si="5"/>
      </c>
    </row>
    <row r="372" spans="9:30" x14ac:dyDescent="0.25">
      <c r="I372" s="2"/>
      <c r="P372" s="2"/>
      <c r="W372" s="2"/>
      <c r="X372" s="2"/>
      <c r="Y372" s="2"/>
      <c r="Z372" s="2"/>
      <c r="AD372" s="7">
        <f t="shared" si="5"/>
      </c>
    </row>
    <row r="373" spans="9:30" x14ac:dyDescent="0.25">
      <c r="I373" s="2"/>
      <c r="P373" s="2"/>
      <c r="W373" s="2"/>
      <c r="X373" s="2"/>
      <c r="Y373" s="2"/>
      <c r="Z373" s="2"/>
      <c r="AD373" s="7">
        <f t="shared" si="5"/>
      </c>
    </row>
    <row r="374" spans="9:30" x14ac:dyDescent="0.25">
      <c r="I374" s="2"/>
      <c r="P374" s="2"/>
      <c r="W374" s="2"/>
      <c r="X374" s="2"/>
      <c r="Y374" s="2"/>
      <c r="Z374" s="2"/>
      <c r="AD374" s="7">
        <f t="shared" si="5"/>
      </c>
    </row>
    <row r="375" spans="9:30" x14ac:dyDescent="0.25">
      <c r="I375" s="2"/>
      <c r="P375" s="2"/>
      <c r="W375" s="2"/>
      <c r="X375" s="2"/>
      <c r="Y375" s="2"/>
      <c r="Z375" s="2"/>
      <c r="AD375" s="7">
        <f t="shared" si="5"/>
      </c>
    </row>
    <row r="376" spans="9:30" x14ac:dyDescent="0.25">
      <c r="I376" s="2"/>
      <c r="P376" s="2"/>
      <c r="W376" s="2"/>
      <c r="X376" s="2"/>
      <c r="Y376" s="2"/>
      <c r="Z376" s="2"/>
      <c r="AD376" s="7">
        <f t="shared" si="5"/>
      </c>
    </row>
    <row r="377" spans="9:30" x14ac:dyDescent="0.25">
      <c r="I377" s="2"/>
      <c r="P377" s="2"/>
      <c r="W377" s="2"/>
      <c r="X377" s="2"/>
      <c r="Y377" s="2"/>
      <c r="Z377" s="2"/>
      <c r="AD377" s="7">
        <f t="shared" si="5"/>
      </c>
    </row>
    <row r="378" spans="9:30" x14ac:dyDescent="0.25">
      <c r="I378" s="2"/>
      <c r="P378" s="2"/>
      <c r="W378" s="2"/>
      <c r="X378" s="2"/>
      <c r="Y378" s="2"/>
      <c r="Z378" s="2"/>
      <c r="AD378" s="7">
        <f t="shared" si="5"/>
      </c>
    </row>
    <row r="379" spans="9:30" x14ac:dyDescent="0.25">
      <c r="I379" s="2"/>
      <c r="P379" s="2"/>
      <c r="W379" s="2"/>
      <c r="X379" s="2"/>
      <c r="Y379" s="2"/>
      <c r="Z379" s="2"/>
      <c r="AD379" s="7">
        <f t="shared" si="5"/>
      </c>
    </row>
    <row r="380" spans="9:30" x14ac:dyDescent="0.25">
      <c r="I380" s="2"/>
      <c r="P380" s="2"/>
      <c r="W380" s="2"/>
      <c r="X380" s="2"/>
      <c r="Y380" s="2"/>
      <c r="Z380" s="2"/>
      <c r="AD380" s="7">
        <f t="shared" si="5"/>
      </c>
    </row>
    <row r="381" spans="9:30" x14ac:dyDescent="0.25">
      <c r="I381" s="2"/>
      <c r="P381" s="2"/>
      <c r="W381" s="2"/>
      <c r="X381" s="2"/>
      <c r="Y381" s="2"/>
      <c r="Z381" s="2"/>
      <c r="AD381" s="7">
        <f t="shared" si="5"/>
      </c>
    </row>
    <row r="382" spans="9:30" x14ac:dyDescent="0.25">
      <c r="I382" s="2"/>
      <c r="P382" s="2"/>
      <c r="W382" s="2"/>
      <c r="X382" s="2"/>
      <c r="Y382" s="2"/>
      <c r="Z382" s="2"/>
      <c r="AD382" s="7">
        <f t="shared" si="5"/>
      </c>
    </row>
    <row r="383" spans="9:30" x14ac:dyDescent="0.25">
      <c r="I383" s="2"/>
      <c r="P383" s="2"/>
      <c r="W383" s="2"/>
      <c r="X383" s="2"/>
      <c r="Y383" s="2"/>
      <c r="Z383" s="2"/>
      <c r="AD383" s="7">
        <f t="shared" si="5"/>
      </c>
    </row>
    <row r="384" spans="9:30" x14ac:dyDescent="0.25">
      <c r="I384" s="2"/>
      <c r="P384" s="2"/>
      <c r="W384" s="2"/>
      <c r="X384" s="2"/>
      <c r="Y384" s="2"/>
      <c r="Z384" s="2"/>
      <c r="AD384" s="7">
        <f t="shared" si="5"/>
      </c>
    </row>
    <row r="385" spans="9:30" x14ac:dyDescent="0.25">
      <c r="I385" s="2"/>
      <c r="P385" s="2"/>
      <c r="W385" s="2"/>
      <c r="X385" s="2"/>
      <c r="Y385" s="2"/>
      <c r="Z385" s="2"/>
      <c r="AD385" s="7">
        <f t="shared" si="5"/>
      </c>
    </row>
    <row r="386" spans="9:30" x14ac:dyDescent="0.25">
      <c r="I386" s="2"/>
      <c r="P386" s="2"/>
      <c r="W386" s="2"/>
      <c r="X386" s="2"/>
      <c r="Y386" s="2"/>
      <c r="Z386" s="2"/>
      <c r="AD386" s="7">
        <f t="shared" si="5"/>
      </c>
    </row>
    <row r="387" spans="9:30" x14ac:dyDescent="0.25">
      <c r="I387" s="2"/>
      <c r="P387" s="2"/>
      <c r="W387" s="2"/>
      <c r="X387" s="2"/>
      <c r="Y387" s="2"/>
      <c r="Z387" s="2"/>
      <c r="AD387" s="7">
        <f t="shared" si="5"/>
      </c>
    </row>
    <row r="388" spans="9:30" x14ac:dyDescent="0.25">
      <c r="I388" s="2"/>
      <c r="P388" s="2"/>
      <c r="W388" s="2"/>
      <c r="X388" s="2"/>
      <c r="Y388" s="2"/>
      <c r="Z388" s="2"/>
      <c r="AD388" s="7">
        <f t="shared" si="5"/>
      </c>
    </row>
    <row r="389" spans="9:30" x14ac:dyDescent="0.25">
      <c r="I389" s="2"/>
      <c r="P389" s="2"/>
      <c r="W389" s="2"/>
      <c r="X389" s="2"/>
      <c r="Y389" s="2"/>
      <c r="Z389" s="2"/>
      <c r="AD389" s="7">
        <f t="shared" si="5"/>
      </c>
    </row>
    <row r="390" spans="9:30" x14ac:dyDescent="0.25">
      <c r="I390" s="2"/>
      <c r="P390" s="2"/>
      <c r="W390" s="2"/>
      <c r="X390" s="2"/>
      <c r="Y390" s="2"/>
      <c r="Z390" s="2"/>
      <c r="AD390" s="7">
        <f t="shared" si="5"/>
      </c>
    </row>
    <row r="391" spans="9:30" x14ac:dyDescent="0.25">
      <c r="I391" s="2"/>
      <c r="P391" s="2"/>
      <c r="W391" s="2"/>
      <c r="X391" s="2"/>
      <c r="Y391" s="2"/>
      <c r="Z391" s="2"/>
      <c r="AD391" s="7">
        <f t="shared" si="5"/>
      </c>
    </row>
    <row r="392" spans="9:30" x14ac:dyDescent="0.25">
      <c r="I392" s="2"/>
      <c r="P392" s="2"/>
      <c r="W392" s="2"/>
      <c r="X392" s="2"/>
      <c r="Y392" s="2"/>
      <c r="Z392" s="2"/>
      <c r="AD392" s="7">
        <f t="shared" si="5"/>
      </c>
    </row>
    <row r="393" spans="9:30" x14ac:dyDescent="0.25">
      <c r="I393" s="2"/>
      <c r="P393" s="2"/>
      <c r="W393" s="2"/>
      <c r="X393" s="2"/>
      <c r="Y393" s="2"/>
      <c r="Z393" s="2"/>
      <c r="AD393" s="7">
        <f t="shared" si="5"/>
      </c>
    </row>
    <row r="394" spans="9:30" x14ac:dyDescent="0.25">
      <c r="I394" s="2"/>
      <c r="P394" s="2"/>
      <c r="W394" s="2"/>
      <c r="X394" s="2"/>
      <c r="Y394" s="2"/>
      <c r="Z394" s="2"/>
      <c r="AD394" s="7">
        <f t="shared" ref="AD394:AD457" si="6">IF(P394 = "", "", Y394/P394)</f>
      </c>
    </row>
    <row r="395" spans="9:30" x14ac:dyDescent="0.25">
      <c r="I395" s="2"/>
      <c r="P395" s="2"/>
      <c r="W395" s="2"/>
      <c r="X395" s="2"/>
      <c r="Y395" s="2"/>
      <c r="Z395" s="2"/>
      <c r="AD395" s="7">
        <f t="shared" si="6"/>
      </c>
    </row>
    <row r="396" spans="9:30" x14ac:dyDescent="0.25">
      <c r="I396" s="2"/>
      <c r="P396" s="2"/>
      <c r="W396" s="2"/>
      <c r="X396" s="2"/>
      <c r="Y396" s="2"/>
      <c r="Z396" s="2"/>
      <c r="AD396" s="7">
        <f t="shared" si="6"/>
      </c>
    </row>
    <row r="397" spans="9:30" x14ac:dyDescent="0.25">
      <c r="I397" s="2"/>
      <c r="P397" s="2"/>
      <c r="W397" s="2"/>
      <c r="X397" s="2"/>
      <c r="Y397" s="2"/>
      <c r="Z397" s="2"/>
      <c r="AD397" s="7">
        <f t="shared" si="6"/>
      </c>
    </row>
    <row r="398" spans="9:30" x14ac:dyDescent="0.25">
      <c r="I398" s="2"/>
      <c r="P398" s="2"/>
      <c r="W398" s="2"/>
      <c r="X398" s="2"/>
      <c r="Y398" s="2"/>
      <c r="Z398" s="2"/>
      <c r="AD398" s="7">
        <f t="shared" si="6"/>
      </c>
    </row>
    <row r="399" spans="9:30" x14ac:dyDescent="0.25">
      <c r="I399" s="2"/>
      <c r="P399" s="2"/>
      <c r="W399" s="2"/>
      <c r="X399" s="2"/>
      <c r="Y399" s="2"/>
      <c r="Z399" s="2"/>
      <c r="AD399" s="7">
        <f t="shared" si="6"/>
      </c>
    </row>
    <row r="400" spans="9:30" x14ac:dyDescent="0.25">
      <c r="I400" s="2"/>
      <c r="P400" s="2"/>
      <c r="W400" s="2"/>
      <c r="X400" s="2"/>
      <c r="Y400" s="2"/>
      <c r="Z400" s="2"/>
      <c r="AD400" s="7">
        <f t="shared" si="6"/>
      </c>
    </row>
    <row r="401" spans="9:30" x14ac:dyDescent="0.25">
      <c r="I401" s="2"/>
      <c r="P401" s="2"/>
      <c r="W401" s="2"/>
      <c r="X401" s="2"/>
      <c r="Y401" s="2"/>
      <c r="Z401" s="2"/>
      <c r="AD401" s="7">
        <f t="shared" si="6"/>
      </c>
    </row>
    <row r="402" spans="9:30" x14ac:dyDescent="0.25">
      <c r="I402" s="2"/>
      <c r="P402" s="2"/>
      <c r="W402" s="2"/>
      <c r="X402" s="2"/>
      <c r="Y402" s="2"/>
      <c r="Z402" s="2"/>
      <c r="AD402" s="7">
        <f t="shared" si="6"/>
      </c>
    </row>
    <row r="403" spans="9:30" x14ac:dyDescent="0.25">
      <c r="I403" s="2"/>
      <c r="P403" s="2"/>
      <c r="W403" s="2"/>
      <c r="X403" s="2"/>
      <c r="Y403" s="2"/>
      <c r="Z403" s="2"/>
      <c r="AD403" s="7">
        <f t="shared" si="6"/>
      </c>
    </row>
    <row r="404" spans="9:30" x14ac:dyDescent="0.25">
      <c r="I404" s="2"/>
      <c r="P404" s="2"/>
      <c r="W404" s="2"/>
      <c r="X404" s="2"/>
      <c r="Y404" s="2"/>
      <c r="Z404" s="2"/>
      <c r="AD404" s="7">
        <f t="shared" si="6"/>
      </c>
    </row>
    <row r="405" spans="9:30" x14ac:dyDescent="0.25">
      <c r="I405" s="2"/>
      <c r="P405" s="2"/>
      <c r="W405" s="2"/>
      <c r="X405" s="2"/>
      <c r="Y405" s="2"/>
      <c r="Z405" s="2"/>
      <c r="AD405" s="7">
        <f t="shared" si="6"/>
      </c>
    </row>
    <row r="406" spans="9:30" x14ac:dyDescent="0.25">
      <c r="I406" s="2"/>
      <c r="P406" s="2"/>
      <c r="W406" s="2"/>
      <c r="X406" s="2"/>
      <c r="Y406" s="2"/>
      <c r="Z406" s="2"/>
      <c r="AD406" s="7">
        <f t="shared" si="6"/>
      </c>
    </row>
    <row r="407" spans="9:30" x14ac:dyDescent="0.25">
      <c r="I407" s="2"/>
      <c r="P407" s="2"/>
      <c r="W407" s="2"/>
      <c r="X407" s="2"/>
      <c r="Y407" s="2"/>
      <c r="Z407" s="2"/>
      <c r="AD407" s="7">
        <f t="shared" si="6"/>
      </c>
    </row>
    <row r="408" spans="9:30" x14ac:dyDescent="0.25">
      <c r="I408" s="2"/>
      <c r="P408" s="2"/>
      <c r="W408" s="2"/>
      <c r="X408" s="2"/>
      <c r="Y408" s="2"/>
      <c r="Z408" s="2"/>
      <c r="AD408" s="7">
        <f t="shared" si="6"/>
      </c>
    </row>
    <row r="409" spans="9:30" x14ac:dyDescent="0.25">
      <c r="I409" s="2"/>
      <c r="P409" s="2"/>
      <c r="W409" s="2"/>
      <c r="X409" s="2"/>
      <c r="Y409" s="2"/>
      <c r="Z409" s="2"/>
      <c r="AD409" s="7">
        <f t="shared" si="6"/>
      </c>
    </row>
    <row r="410" spans="9:30" x14ac:dyDescent="0.25">
      <c r="I410" s="2"/>
      <c r="P410" s="2"/>
      <c r="W410" s="2"/>
      <c r="X410" s="2"/>
      <c r="Y410" s="2"/>
      <c r="Z410" s="2"/>
      <c r="AD410" s="7">
        <f t="shared" si="6"/>
      </c>
    </row>
    <row r="411" spans="9:30" x14ac:dyDescent="0.25">
      <c r="I411" s="2"/>
      <c r="P411" s="2"/>
      <c r="W411" s="2"/>
      <c r="X411" s="2"/>
      <c r="Y411" s="2"/>
      <c r="Z411" s="2"/>
      <c r="AD411" s="7">
        <f t="shared" si="6"/>
      </c>
    </row>
    <row r="412" spans="9:30" x14ac:dyDescent="0.25">
      <c r="I412" s="2"/>
      <c r="P412" s="2"/>
      <c r="W412" s="2"/>
      <c r="X412" s="2"/>
      <c r="Y412" s="2"/>
      <c r="Z412" s="2"/>
      <c r="AD412" s="7">
        <f t="shared" si="6"/>
      </c>
    </row>
    <row r="413" spans="9:30" x14ac:dyDescent="0.25">
      <c r="I413" s="2"/>
      <c r="P413" s="2"/>
      <c r="W413" s="2"/>
      <c r="X413" s="2"/>
      <c r="Y413" s="2"/>
      <c r="Z413" s="2"/>
      <c r="AD413" s="7">
        <f t="shared" si="6"/>
      </c>
    </row>
    <row r="414" spans="9:30" x14ac:dyDescent="0.25">
      <c r="I414" s="2"/>
      <c r="P414" s="2"/>
      <c r="W414" s="2"/>
      <c r="X414" s="2"/>
      <c r="Y414" s="2"/>
      <c r="Z414" s="2"/>
      <c r="AD414" s="7">
        <f t="shared" si="6"/>
      </c>
    </row>
    <row r="415" spans="9:30" x14ac:dyDescent="0.25">
      <c r="I415" s="2"/>
      <c r="P415" s="2"/>
      <c r="W415" s="2"/>
      <c r="X415" s="2"/>
      <c r="Y415" s="2"/>
      <c r="Z415" s="2"/>
      <c r="AD415" s="7">
        <f t="shared" si="6"/>
      </c>
    </row>
    <row r="416" spans="9:30" x14ac:dyDescent="0.25">
      <c r="I416" s="2"/>
      <c r="P416" s="2"/>
      <c r="W416" s="2"/>
      <c r="X416" s="2"/>
      <c r="Y416" s="2"/>
      <c r="Z416" s="2"/>
      <c r="AD416" s="7">
        <f t="shared" si="6"/>
      </c>
    </row>
    <row r="417" spans="9:30" x14ac:dyDescent="0.25">
      <c r="I417" s="2"/>
      <c r="P417" s="2"/>
      <c r="W417" s="2"/>
      <c r="X417" s="2"/>
      <c r="Y417" s="2"/>
      <c r="Z417" s="2"/>
      <c r="AD417" s="7">
        <f t="shared" si="6"/>
      </c>
    </row>
    <row r="418" spans="9:30" x14ac:dyDescent="0.25">
      <c r="I418" s="2"/>
      <c r="P418" s="2"/>
      <c r="W418" s="2"/>
      <c r="X418" s="2"/>
      <c r="Y418" s="2"/>
      <c r="Z418" s="2"/>
      <c r="AD418" s="7">
        <f t="shared" si="6"/>
      </c>
    </row>
    <row r="419" spans="9:30" x14ac:dyDescent="0.25">
      <c r="I419" s="2"/>
      <c r="P419" s="2"/>
      <c r="W419" s="2"/>
      <c r="X419" s="2"/>
      <c r="Y419" s="2"/>
      <c r="Z419" s="2"/>
      <c r="AD419" s="7">
        <f t="shared" si="6"/>
      </c>
    </row>
    <row r="420" spans="9:30" x14ac:dyDescent="0.25">
      <c r="I420" s="2"/>
      <c r="P420" s="2"/>
      <c r="W420" s="2"/>
      <c r="X420" s="2"/>
      <c r="Y420" s="2"/>
      <c r="Z420" s="2"/>
      <c r="AD420" s="7">
        <f t="shared" si="6"/>
      </c>
    </row>
    <row r="421" spans="9:30" x14ac:dyDescent="0.25">
      <c r="I421" s="2"/>
      <c r="P421" s="2"/>
      <c r="W421" s="2"/>
      <c r="X421" s="2"/>
      <c r="Y421" s="2"/>
      <c r="Z421" s="2"/>
      <c r="AD421" s="7">
        <f t="shared" si="6"/>
      </c>
    </row>
    <row r="422" spans="9:30" x14ac:dyDescent="0.25">
      <c r="I422" s="2"/>
      <c r="P422" s="2"/>
      <c r="W422" s="2"/>
      <c r="X422" s="2"/>
      <c r="Y422" s="2"/>
      <c r="Z422" s="2"/>
      <c r="AD422" s="7">
        <f t="shared" si="6"/>
      </c>
    </row>
    <row r="423" spans="9:30" x14ac:dyDescent="0.25">
      <c r="I423" s="2"/>
      <c r="P423" s="2"/>
      <c r="W423" s="2"/>
      <c r="X423" s="2"/>
      <c r="Y423" s="2"/>
      <c r="Z423" s="2"/>
      <c r="AD423" s="7">
        <f t="shared" si="6"/>
      </c>
    </row>
    <row r="424" spans="9:30" x14ac:dyDescent="0.25">
      <c r="I424" s="2"/>
      <c r="P424" s="2"/>
      <c r="W424" s="2"/>
      <c r="X424" s="2"/>
      <c r="Y424" s="2"/>
      <c r="Z424" s="2"/>
      <c r="AD424" s="7">
        <f t="shared" si="6"/>
      </c>
    </row>
    <row r="425" spans="9:30" x14ac:dyDescent="0.25">
      <c r="I425" s="2"/>
      <c r="P425" s="2"/>
      <c r="W425" s="2"/>
      <c r="X425" s="2"/>
      <c r="Y425" s="2"/>
      <c r="Z425" s="2"/>
      <c r="AD425" s="7">
        <f t="shared" si="6"/>
      </c>
    </row>
    <row r="426" spans="9:30" x14ac:dyDescent="0.25">
      <c r="I426" s="2"/>
      <c r="P426" s="2"/>
      <c r="W426" s="2"/>
      <c r="X426" s="2"/>
      <c r="Y426" s="2"/>
      <c r="Z426" s="2"/>
      <c r="AD426" s="7">
        <f t="shared" si="6"/>
      </c>
    </row>
    <row r="427" spans="9:30" x14ac:dyDescent="0.25">
      <c r="I427" s="2"/>
      <c r="P427" s="2"/>
      <c r="W427" s="2"/>
      <c r="X427" s="2"/>
      <c r="Y427" s="2"/>
      <c r="Z427" s="2"/>
      <c r="AD427" s="7">
        <f t="shared" si="6"/>
      </c>
    </row>
    <row r="428" spans="9:30" x14ac:dyDescent="0.25">
      <c r="I428" s="2"/>
      <c r="P428" s="2"/>
      <c r="W428" s="2"/>
      <c r="X428" s="2"/>
      <c r="Y428" s="2"/>
      <c r="Z428" s="2"/>
      <c r="AD428" s="7">
        <f t="shared" si="6"/>
      </c>
    </row>
    <row r="429" spans="9:30" x14ac:dyDescent="0.25">
      <c r="I429" s="2"/>
      <c r="P429" s="2"/>
      <c r="W429" s="2"/>
      <c r="X429" s="2"/>
      <c r="Y429" s="2"/>
      <c r="Z429" s="2"/>
      <c r="AD429" s="7">
        <f t="shared" si="6"/>
      </c>
    </row>
    <row r="430" spans="9:30" x14ac:dyDescent="0.25">
      <c r="I430" s="2"/>
      <c r="P430" s="2"/>
      <c r="W430" s="2"/>
      <c r="X430" s="2"/>
      <c r="Y430" s="2"/>
      <c r="Z430" s="2"/>
      <c r="AD430" s="7">
        <f t="shared" si="6"/>
      </c>
    </row>
    <row r="431" spans="9:30" x14ac:dyDescent="0.25">
      <c r="I431" s="2"/>
      <c r="P431" s="2"/>
      <c r="W431" s="2"/>
      <c r="X431" s="2"/>
      <c r="Y431" s="2"/>
      <c r="Z431" s="2"/>
      <c r="AD431" s="7">
        <f t="shared" si="6"/>
      </c>
    </row>
    <row r="432" spans="9:30" x14ac:dyDescent="0.25">
      <c r="I432" s="2"/>
      <c r="P432" s="2"/>
      <c r="W432" s="2"/>
      <c r="X432" s="2"/>
      <c r="Y432" s="2"/>
      <c r="Z432" s="2"/>
      <c r="AD432" s="7">
        <f t="shared" si="6"/>
      </c>
    </row>
    <row r="433" spans="9:30" x14ac:dyDescent="0.25">
      <c r="I433" s="2"/>
      <c r="P433" s="2"/>
      <c r="W433" s="2"/>
      <c r="X433" s="2"/>
      <c r="Y433" s="2"/>
      <c r="Z433" s="2"/>
      <c r="AD433" s="7">
        <f t="shared" si="6"/>
      </c>
    </row>
    <row r="434" spans="9:30" x14ac:dyDescent="0.25">
      <c r="I434" s="2"/>
      <c r="P434" s="2"/>
      <c r="W434" s="2"/>
      <c r="X434" s="2"/>
      <c r="Y434" s="2"/>
      <c r="Z434" s="2"/>
      <c r="AD434" s="7">
        <f t="shared" si="6"/>
      </c>
    </row>
    <row r="435" spans="9:30" x14ac:dyDescent="0.25">
      <c r="I435" s="2"/>
      <c r="P435" s="2"/>
      <c r="W435" s="2"/>
      <c r="X435" s="2"/>
      <c r="Y435" s="2"/>
      <c r="Z435" s="2"/>
      <c r="AD435" s="7">
        <f t="shared" si="6"/>
      </c>
    </row>
    <row r="436" spans="9:30" x14ac:dyDescent="0.25">
      <c r="I436" s="2"/>
      <c r="P436" s="2"/>
      <c r="W436" s="2"/>
      <c r="X436" s="2"/>
      <c r="Y436" s="2"/>
      <c r="Z436" s="2"/>
      <c r="AD436" s="7">
        <f t="shared" si="6"/>
      </c>
    </row>
    <row r="437" spans="9:30" x14ac:dyDescent="0.25">
      <c r="I437" s="2"/>
      <c r="P437" s="2"/>
      <c r="W437" s="2"/>
      <c r="X437" s="2"/>
      <c r="Y437" s="2"/>
      <c r="Z437" s="2"/>
      <c r="AD437" s="7">
        <f t="shared" si="6"/>
      </c>
    </row>
    <row r="438" spans="9:30" x14ac:dyDescent="0.25">
      <c r="I438" s="2"/>
      <c r="P438" s="2"/>
      <c r="W438" s="2"/>
      <c r="X438" s="2"/>
      <c r="Y438" s="2"/>
      <c r="Z438" s="2"/>
      <c r="AD438" s="7">
        <f t="shared" si="6"/>
      </c>
    </row>
    <row r="439" spans="9:30" x14ac:dyDescent="0.25">
      <c r="I439" s="2"/>
      <c r="P439" s="2"/>
      <c r="W439" s="2"/>
      <c r="X439" s="2"/>
      <c r="Y439" s="2"/>
      <c r="Z439" s="2"/>
      <c r="AD439" s="7">
        <f t="shared" si="6"/>
      </c>
    </row>
    <row r="440" spans="9:30" x14ac:dyDescent="0.25">
      <c r="I440" s="2"/>
      <c r="P440" s="2"/>
      <c r="W440" s="2"/>
      <c r="X440" s="2"/>
      <c r="Y440" s="2"/>
      <c r="Z440" s="2"/>
      <c r="AD440" s="7">
        <f t="shared" si="6"/>
      </c>
    </row>
    <row r="441" spans="9:30" x14ac:dyDescent="0.25">
      <c r="I441" s="2"/>
      <c r="P441" s="2"/>
      <c r="W441" s="2"/>
      <c r="X441" s="2"/>
      <c r="Y441" s="2"/>
      <c r="Z441" s="2"/>
      <c r="AD441" s="7">
        <f t="shared" si="6"/>
      </c>
    </row>
    <row r="442" spans="9:30" x14ac:dyDescent="0.25">
      <c r="I442" s="2"/>
      <c r="P442" s="2"/>
      <c r="W442" s="2"/>
      <c r="X442" s="2"/>
      <c r="Y442" s="2"/>
      <c r="Z442" s="2"/>
      <c r="AD442" s="7">
        <f t="shared" si="6"/>
      </c>
    </row>
    <row r="443" spans="9:30" x14ac:dyDescent="0.25">
      <c r="I443" s="2"/>
      <c r="P443" s="2"/>
      <c r="W443" s="2"/>
      <c r="X443" s="2"/>
      <c r="Y443" s="2"/>
      <c r="Z443" s="2"/>
      <c r="AD443" s="7">
        <f t="shared" si="6"/>
      </c>
    </row>
    <row r="444" spans="9:30" x14ac:dyDescent="0.25">
      <c r="I444" s="2"/>
      <c r="P444" s="2"/>
      <c r="W444" s="2"/>
      <c r="X444" s="2"/>
      <c r="Y444" s="2"/>
      <c r="Z444" s="2"/>
      <c r="AD444" s="7">
        <f t="shared" si="6"/>
      </c>
    </row>
    <row r="445" spans="9:30" x14ac:dyDescent="0.25">
      <c r="I445" s="2"/>
      <c r="P445" s="2"/>
      <c r="W445" s="2"/>
      <c r="X445" s="2"/>
      <c r="Y445" s="2"/>
      <c r="Z445" s="2"/>
      <c r="AD445" s="7">
        <f t="shared" si="6"/>
      </c>
    </row>
    <row r="446" spans="9:30" x14ac:dyDescent="0.25">
      <c r="I446" s="2"/>
      <c r="P446" s="2"/>
      <c r="W446" s="2"/>
      <c r="X446" s="2"/>
      <c r="Y446" s="2"/>
      <c r="Z446" s="2"/>
      <c r="AD446" s="7">
        <f t="shared" si="6"/>
      </c>
    </row>
    <row r="447" spans="9:30" x14ac:dyDescent="0.25">
      <c r="I447" s="2"/>
      <c r="P447" s="2"/>
      <c r="W447" s="2"/>
      <c r="X447" s="2"/>
      <c r="Y447" s="2"/>
      <c r="Z447" s="2"/>
      <c r="AD447" s="7">
        <f t="shared" si="6"/>
      </c>
    </row>
    <row r="448" spans="9:30" x14ac:dyDescent="0.25">
      <c r="I448" s="2"/>
      <c r="P448" s="2"/>
      <c r="W448" s="2"/>
      <c r="X448" s="2"/>
      <c r="Y448" s="2"/>
      <c r="Z448" s="2"/>
      <c r="AD448" s="7">
        <f t="shared" si="6"/>
      </c>
    </row>
    <row r="449" spans="9:30" x14ac:dyDescent="0.25">
      <c r="I449" s="2"/>
      <c r="P449" s="2"/>
      <c r="W449" s="2"/>
      <c r="X449" s="2"/>
      <c r="Y449" s="2"/>
      <c r="Z449" s="2"/>
      <c r="AD449" s="7">
        <f t="shared" si="6"/>
      </c>
    </row>
    <row r="450" spans="9:30" x14ac:dyDescent="0.25">
      <c r="I450" s="2"/>
      <c r="P450" s="2"/>
      <c r="W450" s="2"/>
      <c r="X450" s="2"/>
      <c r="Y450" s="2"/>
      <c r="Z450" s="2"/>
      <c r="AD450" s="7">
        <f t="shared" si="6"/>
      </c>
    </row>
    <row r="451" spans="9:30" x14ac:dyDescent="0.25">
      <c r="I451" s="2"/>
      <c r="P451" s="2"/>
      <c r="W451" s="2"/>
      <c r="X451" s="2"/>
      <c r="Y451" s="2"/>
      <c r="Z451" s="2"/>
      <c r="AD451" s="7">
        <f t="shared" si="6"/>
      </c>
    </row>
    <row r="452" spans="9:30" x14ac:dyDescent="0.25">
      <c r="I452" s="2"/>
      <c r="P452" s="2"/>
      <c r="W452" s="2"/>
      <c r="X452" s="2"/>
      <c r="Y452" s="2"/>
      <c r="Z452" s="2"/>
      <c r="AD452" s="7">
        <f t="shared" si="6"/>
      </c>
    </row>
    <row r="453" spans="9:30" x14ac:dyDescent="0.25">
      <c r="I453" s="2"/>
      <c r="P453" s="2"/>
      <c r="W453" s="2"/>
      <c r="X453" s="2"/>
      <c r="Y453" s="2"/>
      <c r="Z453" s="2"/>
      <c r="AD453" s="7">
        <f t="shared" si="6"/>
      </c>
    </row>
    <row r="454" spans="9:30" x14ac:dyDescent="0.25">
      <c r="I454" s="2"/>
      <c r="P454" s="2"/>
      <c r="W454" s="2"/>
      <c r="X454" s="2"/>
      <c r="Y454" s="2"/>
      <c r="Z454" s="2"/>
      <c r="AD454" s="7">
        <f t="shared" si="6"/>
      </c>
    </row>
    <row r="455" spans="9:30" x14ac:dyDescent="0.25">
      <c r="I455" s="2"/>
      <c r="P455" s="2"/>
      <c r="W455" s="2"/>
      <c r="X455" s="2"/>
      <c r="Y455" s="2"/>
      <c r="Z455" s="2"/>
      <c r="AD455" s="7">
        <f t="shared" si="6"/>
      </c>
    </row>
    <row r="456" spans="9:30" x14ac:dyDescent="0.25">
      <c r="I456" s="2"/>
      <c r="P456" s="2"/>
      <c r="W456" s="2"/>
      <c r="X456" s="2"/>
      <c r="Y456" s="2"/>
      <c r="Z456" s="2"/>
      <c r="AD456" s="7">
        <f t="shared" si="6"/>
      </c>
    </row>
    <row r="457" spans="9:30" x14ac:dyDescent="0.25">
      <c r="I457" s="2"/>
      <c r="P457" s="2"/>
      <c r="W457" s="2"/>
      <c r="X457" s="2"/>
      <c r="Y457" s="2"/>
      <c r="Z457" s="2"/>
      <c r="AD457" s="7">
        <f t="shared" si="6"/>
      </c>
    </row>
    <row r="458" spans="9:30" x14ac:dyDescent="0.25">
      <c r="I458" s="2"/>
      <c r="P458" s="2"/>
      <c r="W458" s="2"/>
      <c r="X458" s="2"/>
      <c r="Y458" s="2"/>
      <c r="Z458" s="2"/>
      <c r="AD458" s="7">
        <f t="shared" ref="AD458:AD501" si="7">IF(P458 = "", "", Y458/P458)</f>
      </c>
    </row>
    <row r="459" spans="9:30" x14ac:dyDescent="0.25">
      <c r="I459" s="2"/>
      <c r="P459" s="2"/>
      <c r="W459" s="2"/>
      <c r="X459" s="2"/>
      <c r="Y459" s="2"/>
      <c r="Z459" s="2"/>
      <c r="AD459" s="7">
        <f t="shared" si="7"/>
      </c>
    </row>
    <row r="460" spans="9:30" x14ac:dyDescent="0.25">
      <c r="I460" s="2"/>
      <c r="P460" s="2"/>
      <c r="W460" s="2"/>
      <c r="X460" s="2"/>
      <c r="Y460" s="2"/>
      <c r="Z460" s="2"/>
      <c r="AD460" s="7">
        <f t="shared" si="7"/>
      </c>
    </row>
    <row r="461" spans="9:30" x14ac:dyDescent="0.25">
      <c r="I461" s="2"/>
      <c r="P461" s="2"/>
      <c r="W461" s="2"/>
      <c r="X461" s="2"/>
      <c r="Y461" s="2"/>
      <c r="Z461" s="2"/>
      <c r="AD461" s="7">
        <f t="shared" si="7"/>
      </c>
    </row>
    <row r="462" spans="9:30" x14ac:dyDescent="0.25">
      <c r="I462" s="2"/>
      <c r="P462" s="2"/>
      <c r="W462" s="2"/>
      <c r="X462" s="2"/>
      <c r="Y462" s="2"/>
      <c r="Z462" s="2"/>
      <c r="AD462" s="7">
        <f t="shared" si="7"/>
      </c>
    </row>
    <row r="463" spans="9:30" x14ac:dyDescent="0.25">
      <c r="I463" s="2"/>
      <c r="P463" s="2"/>
      <c r="W463" s="2"/>
      <c r="X463" s="2"/>
      <c r="Y463" s="2"/>
      <c r="Z463" s="2"/>
      <c r="AD463" s="7">
        <f t="shared" si="7"/>
      </c>
    </row>
    <row r="464" spans="9:30" x14ac:dyDescent="0.25">
      <c r="I464" s="2"/>
      <c r="P464" s="2"/>
      <c r="W464" s="2"/>
      <c r="X464" s="2"/>
      <c r="Y464" s="2"/>
      <c r="Z464" s="2"/>
      <c r="AD464" s="7">
        <f t="shared" si="7"/>
      </c>
    </row>
    <row r="465" spans="9:30" x14ac:dyDescent="0.25">
      <c r="I465" s="2"/>
      <c r="P465" s="2"/>
      <c r="W465" s="2"/>
      <c r="X465" s="2"/>
      <c r="Y465" s="2"/>
      <c r="Z465" s="2"/>
      <c r="AD465" s="7">
        <f t="shared" si="7"/>
      </c>
    </row>
    <row r="466" spans="9:30" x14ac:dyDescent="0.25">
      <c r="I466" s="2"/>
      <c r="P466" s="2"/>
      <c r="W466" s="2"/>
      <c r="X466" s="2"/>
      <c r="Y466" s="2"/>
      <c r="Z466" s="2"/>
      <c r="AD466" s="7">
        <f t="shared" si="7"/>
      </c>
    </row>
    <row r="467" spans="9:30" x14ac:dyDescent="0.25">
      <c r="I467" s="2"/>
      <c r="P467" s="2"/>
      <c r="W467" s="2"/>
      <c r="X467" s="2"/>
      <c r="Y467" s="2"/>
      <c r="Z467" s="2"/>
      <c r="AD467" s="7">
        <f t="shared" si="7"/>
      </c>
    </row>
    <row r="468" spans="9:30" x14ac:dyDescent="0.25">
      <c r="I468" s="2"/>
      <c r="P468" s="2"/>
      <c r="W468" s="2"/>
      <c r="X468" s="2"/>
      <c r="Y468" s="2"/>
      <c r="Z468" s="2"/>
      <c r="AD468" s="7">
        <f t="shared" si="7"/>
      </c>
    </row>
    <row r="469" spans="9:30" x14ac:dyDescent="0.25">
      <c r="I469" s="2"/>
      <c r="P469" s="2"/>
      <c r="W469" s="2"/>
      <c r="X469" s="2"/>
      <c r="Y469" s="2"/>
      <c r="Z469" s="2"/>
      <c r="AD469" s="7">
        <f t="shared" si="7"/>
      </c>
    </row>
    <row r="470" spans="9:30" x14ac:dyDescent="0.25">
      <c r="I470" s="2"/>
      <c r="P470" s="2"/>
      <c r="W470" s="2"/>
      <c r="X470" s="2"/>
      <c r="Y470" s="2"/>
      <c r="Z470" s="2"/>
      <c r="AD470" s="7">
        <f t="shared" si="7"/>
      </c>
    </row>
    <row r="471" spans="9:30" x14ac:dyDescent="0.25">
      <c r="I471" s="2"/>
      <c r="P471" s="2"/>
      <c r="W471" s="2"/>
      <c r="X471" s="2"/>
      <c r="Y471" s="2"/>
      <c r="Z471" s="2"/>
      <c r="AD471" s="7">
        <f t="shared" si="7"/>
      </c>
    </row>
    <row r="472" spans="9:30" x14ac:dyDescent="0.25">
      <c r="I472" s="2"/>
      <c r="P472" s="2"/>
      <c r="W472" s="2"/>
      <c r="X472" s="2"/>
      <c r="Y472" s="2"/>
      <c r="Z472" s="2"/>
      <c r="AD472" s="7">
        <f t="shared" si="7"/>
      </c>
    </row>
    <row r="473" spans="9:30" x14ac:dyDescent="0.25">
      <c r="I473" s="2"/>
      <c r="P473" s="2"/>
      <c r="W473" s="2"/>
      <c r="X473" s="2"/>
      <c r="Y473" s="2"/>
      <c r="Z473" s="2"/>
      <c r="AD473" s="7">
        <f t="shared" si="7"/>
      </c>
    </row>
    <row r="474" spans="9:30" x14ac:dyDescent="0.25">
      <c r="I474" s="2"/>
      <c r="P474" s="2"/>
      <c r="W474" s="2"/>
      <c r="X474" s="2"/>
      <c r="Y474" s="2"/>
      <c r="Z474" s="2"/>
      <c r="AD474" s="7">
        <f t="shared" si="7"/>
      </c>
    </row>
    <row r="475" spans="9:30" x14ac:dyDescent="0.25">
      <c r="I475" s="2"/>
      <c r="P475" s="2"/>
      <c r="W475" s="2"/>
      <c r="X475" s="2"/>
      <c r="Y475" s="2"/>
      <c r="Z475" s="2"/>
      <c r="AD475" s="7">
        <f t="shared" si="7"/>
      </c>
    </row>
    <row r="476" spans="9:30" x14ac:dyDescent="0.25">
      <c r="I476" s="2"/>
      <c r="P476" s="2"/>
      <c r="W476" s="2"/>
      <c r="X476" s="2"/>
      <c r="Y476" s="2"/>
      <c r="Z476" s="2"/>
      <c r="AD476" s="7">
        <f t="shared" si="7"/>
      </c>
    </row>
    <row r="477" spans="9:30" x14ac:dyDescent="0.25">
      <c r="I477" s="2"/>
      <c r="P477" s="2"/>
      <c r="W477" s="2"/>
      <c r="X477" s="2"/>
      <c r="Y477" s="2"/>
      <c r="Z477" s="2"/>
      <c r="AD477" s="7">
        <f t="shared" si="7"/>
      </c>
    </row>
    <row r="478" spans="9:30" x14ac:dyDescent="0.25">
      <c r="I478" s="2"/>
      <c r="P478" s="2"/>
      <c r="W478" s="2"/>
      <c r="X478" s="2"/>
      <c r="Y478" s="2"/>
      <c r="Z478" s="2"/>
      <c r="AD478" s="7">
        <f t="shared" si="7"/>
      </c>
    </row>
    <row r="479" spans="9:30" x14ac:dyDescent="0.25">
      <c r="I479" s="2"/>
      <c r="P479" s="2"/>
      <c r="W479" s="2"/>
      <c r="X479" s="2"/>
      <c r="Y479" s="2"/>
      <c r="Z479" s="2"/>
      <c r="AD479" s="7">
        <f t="shared" si="7"/>
      </c>
    </row>
    <row r="480" spans="9:30" x14ac:dyDescent="0.25">
      <c r="I480" s="2"/>
      <c r="P480" s="2"/>
      <c r="W480" s="2"/>
      <c r="X480" s="2"/>
      <c r="Y480" s="2"/>
      <c r="Z480" s="2"/>
      <c r="AD480" s="7">
        <f t="shared" si="7"/>
      </c>
    </row>
    <row r="481" spans="9:30" x14ac:dyDescent="0.25">
      <c r="I481" s="2"/>
      <c r="P481" s="2"/>
      <c r="W481" s="2"/>
      <c r="X481" s="2"/>
      <c r="Y481" s="2"/>
      <c r="Z481" s="2"/>
      <c r="AD481" s="7">
        <f t="shared" si="7"/>
      </c>
    </row>
    <row r="482" spans="9:30" x14ac:dyDescent="0.25">
      <c r="I482" s="2"/>
      <c r="P482" s="2"/>
      <c r="W482" s="2"/>
      <c r="X482" s="2"/>
      <c r="Y482" s="2"/>
      <c r="Z482" s="2"/>
      <c r="AD482" s="7">
        <f t="shared" si="7"/>
      </c>
    </row>
    <row r="483" spans="9:30" x14ac:dyDescent="0.25">
      <c r="I483" s="2"/>
      <c r="P483" s="2"/>
      <c r="W483" s="2"/>
      <c r="X483" s="2"/>
      <c r="Y483" s="2"/>
      <c r="Z483" s="2"/>
      <c r="AD483" s="7">
        <f t="shared" si="7"/>
      </c>
    </row>
    <row r="484" spans="9:30" x14ac:dyDescent="0.25">
      <c r="I484" s="2"/>
      <c r="P484" s="2"/>
      <c r="W484" s="2"/>
      <c r="X484" s="2"/>
      <c r="Y484" s="2"/>
      <c r="Z484" s="2"/>
      <c r="AD484" s="7">
        <f t="shared" si="7"/>
      </c>
    </row>
    <row r="485" spans="9:30" x14ac:dyDescent="0.25">
      <c r="I485" s="2"/>
      <c r="P485" s="2"/>
      <c r="W485" s="2"/>
      <c r="X485" s="2"/>
      <c r="Y485" s="2"/>
      <c r="Z485" s="2"/>
      <c r="AD485" s="7">
        <f t="shared" si="7"/>
      </c>
    </row>
    <row r="486" spans="9:30" x14ac:dyDescent="0.25">
      <c r="I486" s="2"/>
      <c r="P486" s="2"/>
      <c r="W486" s="2"/>
      <c r="X486" s="2"/>
      <c r="Y486" s="2"/>
      <c r="Z486" s="2"/>
      <c r="AD486" s="7">
        <f t="shared" si="7"/>
      </c>
    </row>
    <row r="487" spans="9:30" x14ac:dyDescent="0.25">
      <c r="I487" s="2"/>
      <c r="P487" s="2"/>
      <c r="W487" s="2"/>
      <c r="X487" s="2"/>
      <c r="Y487" s="2"/>
      <c r="Z487" s="2"/>
      <c r="AD487" s="7">
        <f t="shared" si="7"/>
      </c>
    </row>
    <row r="488" spans="9:30" x14ac:dyDescent="0.25">
      <c r="I488" s="2"/>
      <c r="P488" s="2"/>
      <c r="W488" s="2"/>
      <c r="X488" s="2"/>
      <c r="Y488" s="2"/>
      <c r="Z488" s="2"/>
      <c r="AD488" s="7">
        <f t="shared" si="7"/>
      </c>
    </row>
    <row r="489" spans="9:30" x14ac:dyDescent="0.25">
      <c r="I489" s="2"/>
      <c r="P489" s="2"/>
      <c r="W489" s="2"/>
      <c r="X489" s="2"/>
      <c r="Y489" s="2"/>
      <c r="Z489" s="2"/>
      <c r="AD489" s="7">
        <f t="shared" si="7"/>
      </c>
    </row>
    <row r="490" spans="9:30" x14ac:dyDescent="0.25">
      <c r="I490" s="2"/>
      <c r="P490" s="2"/>
      <c r="W490" s="2"/>
      <c r="X490" s="2"/>
      <c r="Y490" s="2"/>
      <c r="Z490" s="2"/>
      <c r="AD490" s="7">
        <f t="shared" si="7"/>
      </c>
    </row>
    <row r="491" spans="9:30" x14ac:dyDescent="0.25">
      <c r="I491" s="2"/>
      <c r="P491" s="2"/>
      <c r="W491" s="2"/>
      <c r="X491" s="2"/>
      <c r="Y491" s="2"/>
      <c r="Z491" s="2"/>
      <c r="AD491" s="7">
        <f t="shared" si="7"/>
      </c>
    </row>
    <row r="492" spans="9:30" x14ac:dyDescent="0.25">
      <c r="I492" s="2"/>
      <c r="P492" s="2"/>
      <c r="W492" s="2"/>
      <c r="X492" s="2"/>
      <c r="Y492" s="2"/>
      <c r="Z492" s="2"/>
      <c r="AD492" s="7">
        <f t="shared" si="7"/>
      </c>
    </row>
    <row r="493" spans="9:30" x14ac:dyDescent="0.25">
      <c r="I493" s="2"/>
      <c r="P493" s="2"/>
      <c r="W493" s="2"/>
      <c r="X493" s="2"/>
      <c r="Y493" s="2"/>
      <c r="Z493" s="2"/>
      <c r="AD493" s="7">
        <f t="shared" si="7"/>
      </c>
    </row>
    <row r="494" spans="9:30" x14ac:dyDescent="0.25">
      <c r="I494" s="2"/>
      <c r="P494" s="2"/>
      <c r="W494" s="2"/>
      <c r="X494" s="2"/>
      <c r="Y494" s="2"/>
      <c r="Z494" s="2"/>
      <c r="AD494" s="7">
        <f t="shared" si="7"/>
      </c>
    </row>
    <row r="495" spans="9:30" x14ac:dyDescent="0.25">
      <c r="I495" s="2"/>
      <c r="P495" s="2"/>
      <c r="W495" s="2"/>
      <c r="X495" s="2"/>
      <c r="Y495" s="2"/>
      <c r="Z495" s="2"/>
      <c r="AD495" s="7">
        <f t="shared" si="7"/>
      </c>
    </row>
    <row r="496" spans="9:30" x14ac:dyDescent="0.25">
      <c r="I496" s="2"/>
      <c r="P496" s="2"/>
      <c r="W496" s="2"/>
      <c r="X496" s="2"/>
      <c r="Y496" s="2"/>
      <c r="Z496" s="2"/>
      <c r="AD496" s="7">
        <f t="shared" si="7"/>
      </c>
    </row>
    <row r="497" spans="9:30" x14ac:dyDescent="0.25">
      <c r="I497" s="2"/>
      <c r="P497" s="2"/>
      <c r="W497" s="2"/>
      <c r="X497" s="2"/>
      <c r="Y497" s="2"/>
      <c r="Z497" s="2"/>
      <c r="AD497" s="7">
        <f t="shared" si="7"/>
      </c>
    </row>
    <row r="498" spans="9:30" x14ac:dyDescent="0.25">
      <c r="I498" s="2"/>
      <c r="P498" s="2"/>
      <c r="W498" s="2"/>
      <c r="X498" s="2"/>
      <c r="Y498" s="2"/>
      <c r="Z498" s="2"/>
      <c r="AD498" s="7">
        <f t="shared" si="7"/>
      </c>
    </row>
    <row r="499" spans="9:30" x14ac:dyDescent="0.25">
      <c r="I499" s="2"/>
      <c r="P499" s="2"/>
      <c r="W499" s="2"/>
      <c r="X499" s="2"/>
      <c r="Y499" s="2"/>
      <c r="Z499" s="2"/>
      <c r="AD499" s="7">
        <f t="shared" si="7"/>
      </c>
    </row>
    <row r="500" spans="9:30" x14ac:dyDescent="0.25">
      <c r="I500" s="2"/>
      <c r="P500" s="2"/>
      <c r="W500" s="2"/>
      <c r="X500" s="2"/>
      <c r="Y500" s="2"/>
      <c r="Z500" s="2"/>
      <c r="AD500" s="7">
        <f t="shared" si="7"/>
      </c>
    </row>
    <row r="501" spans="9:30" x14ac:dyDescent="0.25">
      <c r="I501" s="2"/>
      <c r="P501" s="2"/>
      <c r="W501" s="2"/>
      <c r="X501" s="2"/>
      <c r="Y501" s="2"/>
      <c r="Z501" s="2"/>
      <c r="AD501" s="7">
        <f t="shared" si="7"/>
      </c>
    </row>
  </sheetData>
  <mergeCells count="2">
    <mergeCell ref="K1:L1"/>
    <mergeCell ref="M1:O1"/>
  </mergeCells>
  <pageMargins left="0.15748031496062992" right="0.15748031496062992" top="0.3" bottom="0.16" header="0.5118110236220472" footer="0.16"/>
  <pageSetup paperSize="9" orientation="landscape" horizontalDpi="4294967295" verticalDpi="4294967295" scale="5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2017-05-25T07:38:03Z</dcterms:created>
  <dcterms:modified xsi:type="dcterms:W3CDTF">2018-04-25T08:01:47Z</dcterms:modified>
</cp:coreProperties>
</file>