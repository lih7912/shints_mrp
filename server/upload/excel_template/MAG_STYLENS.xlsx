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4940" windowHeight="1147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172" i="1" l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171" i="1"/>
  <c r="K170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3" i="1"/>
  <c r="K12" i="1"/>
  <c r="K11" i="1"/>
  <c r="K362" i="1"/>
  <c r="K10" i="1"/>
  <c r="K352" i="1" l="1"/>
  <c r="K169" i="1"/>
</calcChain>
</file>

<file path=xl/sharedStrings.xml><?xml version="1.0" encoding="utf-8"?>
<sst xmlns="http://schemas.openxmlformats.org/spreadsheetml/2006/main" count="74" uniqueCount="72">
  <si>
    <t>SHINTS 원가계산서 (생산지 : 베트남)</t>
  </si>
  <si>
    <t>담당</t>
  </si>
  <si>
    <t>팀장</t>
  </si>
  <si>
    <t>부서장</t>
  </si>
  <si>
    <t>Style NO.</t>
  </si>
  <si>
    <t>오더 수량</t>
  </si>
  <si>
    <t>예판가</t>
  </si>
  <si>
    <t>결판가</t>
  </si>
  <si>
    <t>납품 예정일</t>
  </si>
  <si>
    <t>구분</t>
  </si>
  <si>
    <t>세부
내역</t>
  </si>
  <si>
    <t>(00000) Nego 가격(V-)</t>
  </si>
  <si>
    <t>NSR  최종 확인 가격(V-)</t>
  </si>
  <si>
    <t>원가
비율</t>
  </si>
  <si>
    <t>NOTICE</t>
  </si>
  <si>
    <t>금액(KRW)</t>
  </si>
  <si>
    <t>규격</t>
  </si>
  <si>
    <t>요척</t>
  </si>
  <si>
    <t>단가</t>
  </si>
  <si>
    <t>금액</t>
  </si>
  <si>
    <t>원 자 재</t>
  </si>
  <si>
    <t>원자재 합계</t>
  </si>
  <si>
    <t>부자재</t>
  </si>
  <si>
    <t>부자재 합계</t>
  </si>
  <si>
    <t>외주가공</t>
  </si>
  <si>
    <t>자수/나염</t>
  </si>
  <si>
    <t>웰딩/심실링</t>
  </si>
  <si>
    <t>외주가공 합계</t>
  </si>
  <si>
    <t>1</t>
  </si>
  <si>
    <t>원자재+부자재+외주가공 합계</t>
  </si>
  <si>
    <t>USD</t>
  </si>
  <si>
    <t>환율</t>
  </si>
  <si>
    <t>2</t>
  </si>
  <si>
    <t>임가공료(봉재료)</t>
  </si>
  <si>
    <t>3</t>
  </si>
  <si>
    <t>소계</t>
  </si>
  <si>
    <t>4</t>
  </si>
  <si>
    <t>3국간 발송한 원부자재 수출 비용 (무역비용)</t>
  </si>
  <si>
    <t>5</t>
  </si>
  <si>
    <t>CMT Handling Charge (11%)</t>
  </si>
  <si>
    <t>6</t>
  </si>
  <si>
    <t>FOB 합계</t>
  </si>
  <si>
    <t>7</t>
  </si>
  <si>
    <t>완제품 수입 운임 및 제비용</t>
  </si>
  <si>
    <t>8</t>
  </si>
  <si>
    <t>수입 관세 (0%)</t>
  </si>
  <si>
    <t>9</t>
  </si>
  <si>
    <t>견적가 / NEGO가(V-)</t>
  </si>
  <si>
    <t>최종 원가율(-)</t>
  </si>
  <si>
    <t>10</t>
  </si>
  <si>
    <t>부가세 포함 원가(V+)</t>
  </si>
  <si>
    <t>최종 원가율(+)</t>
  </si>
  <si>
    <t>11</t>
  </si>
  <si>
    <t xml:space="preserve">원화 환산 금액[SAP 입력] </t>
  </si>
  <si>
    <t>SAP 입력 원가율</t>
  </si>
  <si>
    <t>★ 원부자재 LOSS 기준</t>
  </si>
  <si>
    <t>업체 최종 nego 가격</t>
  </si>
  <si>
    <t>본사 최종 가격</t>
  </si>
  <si>
    <t>1. 500 PCS 미만</t>
  </si>
  <si>
    <t>2. 500 ~ 999 PCS</t>
  </si>
  <si>
    <t>확정 ( - )</t>
  </si>
  <si>
    <t>3. 1,000 ~2,999 PCS</t>
  </si>
  <si>
    <t xml:space="preserve"> * 상기 견적은 실제 소요량과 실 거래가격임을 확인합니다. </t>
  </si>
  <si>
    <t>4. 3,000 ~4,999 PCS</t>
  </si>
  <si>
    <t xml:space="preserve">5. 5,000 PCS이상 </t>
  </si>
  <si>
    <t>소요 자재 내역</t>
    <phoneticPr fontId="3" type="noConversion"/>
  </si>
  <si>
    <r>
      <t xml:space="preserve">규격 </t>
    </r>
    <r>
      <rPr>
        <b/>
        <sz val="11"/>
        <rFont val="맑은 고딕"/>
        <family val="3"/>
        <charset val="129"/>
      </rPr>
      <t>(아이템 넘버)</t>
    </r>
    <phoneticPr fontId="3" type="noConversion"/>
  </si>
  <si>
    <t>단위</t>
    <phoneticPr fontId="3" type="noConversion"/>
  </si>
  <si>
    <t>요척</t>
    <phoneticPr fontId="3" type="noConversion"/>
  </si>
  <si>
    <t>단가(KRW)</t>
    <phoneticPr fontId="3" type="noConversion"/>
  </si>
  <si>
    <t>공급업체</t>
    <phoneticPr fontId="3" type="noConversion"/>
  </si>
  <si>
    <t>사용부위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</si>
</sst>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8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_-\$* #,##0.00_ ;_-\$* \-#,##0.00\ ;_-\$* &quot;-&quot;??_ ;_-@_ "/>
    <numFmt numFmtId="177" formatCode="0.00_ ;[Red]\-0.00\ "/>
    <numFmt numFmtId="178" formatCode="_-* #,##0.00_-;\-* #,##0.00_-;_-* &quot;-&quot;_-;_-@_-"/>
    <numFmt numFmtId="179" formatCode="0.0%"/>
    <numFmt numFmtId="180" formatCode="#,##0.0000"/>
    <numFmt numFmtId="181" formatCode="\$#,##0.00"/>
    <numFmt numFmtId="182" formatCode="0.00_ "/>
    <numFmt numFmtId="183" formatCode="&quot;₩&quot;#,##0"/>
    <numFmt numFmtId="184" formatCode="_-&quot;₩&quot;* #,##0.0_-;\-&quot;₩&quot;* #,##0.0_-;_-&quot;₩&quot;* &quot;-&quot;?_-;_-@_-"/>
    <numFmt numFmtId="185" formatCode="0.00_);[Red]\(0.00\)"/>
    <numFmt numFmtId="186" formatCode="0_);[Red]\(0\)"/>
    <numFmt numFmtId="187" formatCode="&quot;$&quot;#,##0_);&quot;$&quot;* \(#,##0\)"/>
    <numFmt numFmtId="188" formatCode="&quot;$&quot;#,##0_);[Red]\(&quot;$&quot;#,##0\)"/>
    <numFmt numFmtId="189" formatCode="&quot;£&quot;#,##0_);\(&quot;£&quot;#,##0\)"/>
    <numFmt numFmtId="190" formatCode="_-* #,##0.00\ _D_M_-;\-* #,##0.00\ _D_M_-;_-* &quot;-&quot;??\ _D_M_-;_-@_-"/>
    <numFmt numFmtId="191" formatCode="&quot;$&quot;* #,##0\ ;&quot;$&quot;* \(#,##0\)"/>
    <numFmt numFmtId="192" formatCode="_-* #,##0_-;&quot;¥&quot;&quot;¥&quot;&quot;¥&quot;&quot;¥&quot;&quot;¥&quot;&quot;¥&quot;&quot;¥&quot;&quot;¥&quot;&quot;¥&quot;&quot;¥&quot;&quot;¥&quot;\-* #,##0_-;_-* &quot;-&quot;_-;_-@_-"/>
    <numFmt numFmtId="193" formatCode="0.0E+00"/>
    <numFmt numFmtId="194" formatCode="&quot;¥&quot;#,##0;&quot;¥&quot;&quot;¥&quot;&quot;¥&quot;&quot;¥&quot;&quot;¥&quot;&quot;¥&quot;&quot;¥&quot;&quot;¥&quot;&quot;¥&quot;\-&quot;¥&quot;#,##0"/>
    <numFmt numFmtId="195" formatCode="&quot;$&quot;* #,##0.0_);[Red]&quot;$&quot;* \(#,##0.0\)"/>
    <numFmt numFmtId="196" formatCode="#,##0.000000000_);\(#,##0.000000000\)"/>
    <numFmt numFmtId="197" formatCode="&quot;$&quot;* #,##0.000\ ;&quot;$&quot;* \(#,##0.000\)"/>
    <numFmt numFmtId="198" formatCode="_(* #,##0.0_);_(* \(#,##0.0\);_(* &quot;0.0&quot;_);_(@_)"/>
    <numFmt numFmtId="199" formatCode="&quot;$&quot;* #,##0.0\ ;&quot;$&quot;* \(#,##0.0\)"/>
    <numFmt numFmtId="200" formatCode="&quot;$&quot;* #,##0.00\ ;&quot;$&quot;* \(#,##0.00\)"/>
    <numFmt numFmtId="201" formatCode="#,##0.00000000000_);\(#,##0.00000000000\)"/>
    <numFmt numFmtId="202" formatCode="0.0\ %;\(0.0\)%"/>
    <numFmt numFmtId="203" formatCode="_(&quot;$&quot;* #,##0.0_);_(&quot;$&quot;* \(#,##0.0\);_(&quot;$&quot;* &quot;0.0&quot;_);_(@_)"/>
    <numFmt numFmtId="204" formatCode="\(#,##0\)"/>
    <numFmt numFmtId="205" formatCode="_(&quot;$&quot;* #,##0_);_(&quot;$&quot;* \(#,##0\);_(&quot;$&quot;* &quot;-&quot;_);_(@_)"/>
    <numFmt numFmtId="206" formatCode="_(&quot;$&quot;* #,##0.00_);_(&quot;$&quot;* \(#,##0.00\);_(&quot;$&quot;* &quot;-&quot;??_);_(@_)"/>
    <numFmt numFmtId="207" formatCode="&quot;₩&quot;#,##0;[Red]&quot;₩&quot;&quot;₩&quot;\-#,##0"/>
    <numFmt numFmtId="208" formatCode="_ * #,##0.00_ ;_ * \-#,##0.00_ ;_ * &quot;-&quot;??_ ;_ @_ "/>
    <numFmt numFmtId="209" formatCode="&quot;$&quot;#,##0.0000000000_);[Red]\(&quot;$&quot;#,##0.0000000000\)"/>
    <numFmt numFmtId="210" formatCode="_(* #,##0_);_(* \(#,##0\);_(* &quot;-&quot;_);_(@_)"/>
    <numFmt numFmtId="211" formatCode="_(&quot;$&quot;* #,##0.000_);_(&quot;$&quot;* \(#,##0.000\);_(&quot;$&quot;* &quot;-&quot;??_);_(@_)"/>
    <numFmt numFmtId="212" formatCode="_ &quot;₩&quot;* #,##0_ ;_ &quot;₩&quot;* \-#,##0_ ;_ &quot;₩&quot;* &quot;-&quot;_ ;_ @_ "/>
    <numFmt numFmtId="213" formatCode="_ &quot;₩&quot;* #,##0.00_ ;_ &quot;₩&quot;* \-#,##0.00_ ;_ &quot;₩&quot;* &quot;-&quot;??_ ;_ @_ "/>
    <numFmt numFmtId="214" formatCode="#,##0.000_);[Red]\(#,##0.000\)"/>
    <numFmt numFmtId="215" formatCode="0.00%;\(0.00%\);&quot;-&quot;"/>
    <numFmt numFmtId="216" formatCode="&quot;฿&quot;#,##0.00;[Red]\-&quot;฿&quot;#,##0.00"/>
    <numFmt numFmtId="217" formatCode="&quot;$&quot;#,##0.0000000000000_);[Red]\(&quot;$&quot;#,##0.0000000000000\)"/>
    <numFmt numFmtId="218" formatCode="&quot;￡&quot;#,##0_);\(&quot;￡&quot;#,##0\)"/>
    <numFmt numFmtId="219" formatCode="&quot;¥&quot;#,##0_);\(&quot;¥&quot;#,##0\)"/>
    <numFmt numFmtId="220" formatCode="&quot;₩&quot;#,##0_);\(&quot;₩&quot;#,##0\)"/>
    <numFmt numFmtId="221" formatCode="0.0_)"/>
    <numFmt numFmtId="222" formatCode="&quot;$&quot;#,##0.00_);\(&quot;$&quot;#,##0.00\)"/>
    <numFmt numFmtId="223" formatCode="mmm\.yy"/>
    <numFmt numFmtId="224" formatCode="_(&quot;¥&quot;* #,##0_);_(&quot;¥&quot;* \(#,##0\);_(&quot;¥&quot;* &quot;-&quot;_);_(@_)"/>
    <numFmt numFmtId="225" formatCode="&quot;｣&quot;#,##0_);\(&quot;｣&quot;#,##0\)"/>
    <numFmt numFmtId="226" formatCode="&quot;･&quot;#,##0_);\(&quot;･&quot;#,##0\)"/>
    <numFmt numFmtId="227" formatCode="_(&quot;･&quot;* #,##0_);_(&quot;･&quot;* \(#,##0\);_(&quot;･&quot;* &quot;-&quot;_);_(@_)"/>
    <numFmt numFmtId="228" formatCode="General_)"/>
    <numFmt numFmtId="229" formatCode="#,##0.000_);\(#,##0.000\)"/>
    <numFmt numFmtId="230" formatCode="_(* #,##0.000_);_(* \(#,##0.000\);_(* &quot;-&quot;_);_(@_)"/>
    <numFmt numFmtId="231" formatCode="&quot;£&quot;#,##0;\-&quot;£&quot;#,##0"/>
    <numFmt numFmtId="232" formatCode="#,##0_);[Red]\ \(#,##0\)"/>
    <numFmt numFmtId="233" formatCode="#,##0\ "/>
    <numFmt numFmtId="234" formatCode="0.0000000000"/>
    <numFmt numFmtId="235" formatCode="###0.00"/>
    <numFmt numFmtId="236" formatCode="_-* #,##0.0_-;\-* #,##0.0_-;_-* &quot;-&quot;??_-;_-@_-"/>
    <numFmt numFmtId="237" formatCode="_-* #,##0.0000_-;\-* #,##0.0000_-;_-* &quot;-&quot;?_-;_-@_-"/>
    <numFmt numFmtId="238" formatCode="#,##0_);[Red]* \(#,##0\)"/>
    <numFmt numFmtId="239" formatCode="#,##0.00;[Red]\(#,##0.00\);\-"/>
    <numFmt numFmtId="240" formatCode="#,##0.0000_)"/>
    <numFmt numFmtId="241" formatCode="_ &quot;$&quot;* #,##0.00_ ;_ &quot;$&quot;* \-#,##0.00_ ;_ &quot;$&quot;* &quot;-&quot;??_ ;_ @_ "/>
    <numFmt numFmtId="242" formatCode="#.##0.0,;[Red]\(#.##0.0,\);&quot;-&quot;"/>
    <numFmt numFmtId="243" formatCode="#,##0.0;[Red]\(#,##0.0\);&quot;-&quot;"/>
    <numFmt numFmtId="244" formatCode="#,##0.000;[Red]\(#,##0.000\);&quot;-&quot;"/>
    <numFmt numFmtId="245" formatCode="0.000&quot;%&quot;"/>
    <numFmt numFmtId="246" formatCode="&quot;$&quot;#,##0.00;[Red]\-&quot;$&quot;#,##0.00"/>
    <numFmt numFmtId="247" formatCode="0.0;\(0.0\)"/>
    <numFmt numFmtId="248" formatCode="&quot;$&quot;* ##0.0\ ;&quot;$&quot;* \(##0.0\);&quot;$&quot;* &quot;N/A &quot;"/>
    <numFmt numFmtId="249" formatCode="&quot;$&quot;#,##0.0_);[Red]\(&quot;$&quot;#,##0.0\)"/>
    <numFmt numFmtId="250" formatCode=";;;"/>
    <numFmt numFmtId="251" formatCode="mmmm\ d\,\ yyyy"/>
    <numFmt numFmtId="252" formatCode="&quot;US$&quot;#,##0.00_);\(&quot;US$&quot;#,##0.00\)"/>
    <numFmt numFmtId="253" formatCode="."/>
    <numFmt numFmtId="254" formatCode="&quot;$&quot;#,##0.00_);[Red]\(&quot;$&quot;#,##0.00\)"/>
    <numFmt numFmtId="255" formatCode="_ * #,##0_ ;_ * \-#,##0_ ;_ * &quot;-&quot;_ ;_ @_ "/>
    <numFmt numFmtId="256" formatCode="_(* #,##0.0_);_(* \(#,##0.0\);_(* #,##0_);_(@_)"/>
    <numFmt numFmtId="257" formatCode="m\.\ d"/>
    <numFmt numFmtId="258" formatCode="#,##0.0_);\(#,##0.0\)"/>
    <numFmt numFmtId="259" formatCode="&quot;Bs.&quot;* #,##0.0_);&quot;Bs.&quot;* \(#,##0.0\)"/>
    <numFmt numFmtId="260" formatCode="_(&quot;$&quot;* #,##0.0;_(&quot;$&quot;* \(#,##0.0\);_(&quot;$&quot;* &quot;0.0&quot;;_(@\)"/>
    <numFmt numFmtId="261" formatCode="&quot;$&quot;#,##0.00;&quot;$&quot;\-#,##0.00"/>
    <numFmt numFmtId="262" formatCode="_(* #,##0.0000_);_(* \(#,##0.0000\);_(* &quot;-&quot;??_);_(@_)"/>
    <numFmt numFmtId="263" formatCode="0.0%;[Red]\(0.0%\)"/>
    <numFmt numFmtId="264" formatCode="\(0.0\)"/>
    <numFmt numFmtId="265" formatCode="0.0%;\(0.0%\)"/>
    <numFmt numFmtId="266" formatCode="#."/>
    <numFmt numFmtId="267" formatCode="[$-409]d&quot;-&quot;mmm&quot;-&quot;yy;@"/>
    <numFmt numFmtId="268" formatCode="_(* #,##0_);_(* \(#,##0\);_(* &quot;incl.&quot;_);_(@_)"/>
    <numFmt numFmtId="269" formatCode="_(* #,##0_);_(* \(#,##0\);_(* &quot;N/A&quot;_);_(@_)"/>
    <numFmt numFmtId="270" formatCode="_(* #,##0_);_(* \(#,##0\);_(* &quot;TBD&quot;_);_(@_)"/>
    <numFmt numFmtId="271" formatCode="_(* #,##0_);_(* \(#,##0\);_(* &quot;(TBD)&quot;;_(@_)"/>
    <numFmt numFmtId="272" formatCode="#,##0_%_);\(#,##0\)_%;#,##0_%_);@_%_)"/>
    <numFmt numFmtId="273" formatCode="#,##0_%_);\(#,##0\)_%;**;@_%_)"/>
    <numFmt numFmtId="274" formatCode="#,##0.00_%_);\(#,##0.00\)_%;#,##0.00_%_);@_%_)"/>
    <numFmt numFmtId="275" formatCode="_(* #,##0.00_);_(* \(#,##0.00\);_(* &quot;-&quot;??_);_(@_)"/>
    <numFmt numFmtId="276" formatCode="d/m/yy&quot;₩&quot;&quot;₩&quot;\!\!\ h:mm"/>
    <numFmt numFmtId="277" formatCode="&quot;¥&quot;#&quot;¥&quot;&quot;¥&quot;\!\!\!\,##0&quot;¥&quot;&quot;¥&quot;\!.00;[Red]&quot;¥&quot;&quot;¥&quot;&quot;¥&quot;&quot;¥&quot;&quot;¥&quot;&quot;¥&quot;\!\!\!\-#&quot;¥&quot;&quot;¥&quot;\!\!\!\,##0&quot;¥&quot;&quot;¥&quot;\!.00"/>
    <numFmt numFmtId="278" formatCode="_(&quot;$&quot;* #,##0_);_(&quot;$&quot;* \(#,##0\);_(@_)"/>
    <numFmt numFmtId="279" formatCode="_(&quot;$&quot;* #,##0_);_(&quot;$&quot;* \(#,##0\);_(&quot;$&quot;* &quot;incl.&quot;_);_(@_)"/>
    <numFmt numFmtId="280" formatCode="_(&quot;$&quot;* #,##0_);_(&quot;$&quot;* \(#,##0\);_(&quot;$&quot;* &quot;N/A&quot;_);_(@_)"/>
    <numFmt numFmtId="281" formatCode="_(&quot;$&quot;* #,##0_);_(&quot;$&quot;* \(#,##0\);_(&quot;$&quot;* &quot;TBD&quot;_);_(@_)"/>
    <numFmt numFmtId="282" formatCode="_(&quot;$&quot;* #,##0_);_(&quot;$&quot;* \(#,##0\);_(&quot;$&quot;* &quot;(TBD)&quot;;_(@_)"/>
    <numFmt numFmtId="283" formatCode="&quot;$&quot;#,##0_%_);\(&quot;$&quot;#,##0\)_%;&quot;$&quot;#,##0_%_);@_%_)"/>
    <numFmt numFmtId="284" formatCode="0.0000%"/>
    <numFmt numFmtId="285" formatCode="_ &quot;SFr.&quot;\ * #,##0.00_ ;_ &quot;SFr.&quot;\ * \-#,##0.00_ ;_ &quot;SFr.&quot;\ * &quot;-&quot;??_ ;_ @_ "/>
    <numFmt numFmtId="286" formatCode="0.0&quot;  &quot;"/>
    <numFmt numFmtId="287" formatCode="#,##0.0_);\(#,##0.0\);&quot;-&quot;__"/>
    <numFmt numFmtId="288" formatCode="m/d/yy_%_)"/>
    <numFmt numFmtId="289" formatCode="_(* #,##0.000000_);_(* \(#,##0.000000\);_(* &quot;-&quot;_);_(@_)"/>
    <numFmt numFmtId="290" formatCode="#,##0;\(#,##0\)"/>
    <numFmt numFmtId="291" formatCode="&quot;$&quot;#,##0.00;;"/>
    <numFmt numFmtId="292" formatCode="&quot;$&quot;#,##0.0_);\(&quot;$&quot;#,##0.0\)"/>
    <numFmt numFmtId="293" formatCode="0.0000&quot;  &quot;"/>
    <numFmt numFmtId="294" formatCode="#&quot;¥&quot;&quot;¥&quot;\!\!\!\,##0&quot;¥&quot;&quot;¥&quot;\!.000"/>
    <numFmt numFmtId="295" formatCode="_(&quot;$&quot;* #,##0.0_);_(&quot;$&quot;* \(#,##0.0\);_(&quot;$&quot;* &quot;-&quot;??_);_(@_)"/>
    <numFmt numFmtId="296" formatCode="0.000_)"/>
    <numFmt numFmtId="297" formatCode="_-[$€-2]* #,##0.00_-;\-[$€-2]* #,##0.00_-;_-[$€-2]* &quot;-&quot;??_-"/>
    <numFmt numFmtId="298" formatCode="&quot;¥&quot;#,###.00"/>
    <numFmt numFmtId="299" formatCode="&quot;£&quot;#,##0.0_);\(&quot;£&quot;#,##0.0\)"/>
    <numFmt numFmtId="300" formatCode="_(&quot;£&quot;* #,##0.0_);_(&quot;£&quot;* \(#,##0.0\);_(&quot;£&quot;* &quot;-&quot;??_);_(@_)"/>
    <numFmt numFmtId="301" formatCode="_(&quot;$&quot;* #,##0;_(&quot;$&quot;* \(#,##0\);_(&quot;$&quot;* &quot;0&quot;;_(@\)"/>
    <numFmt numFmtId="302" formatCode="0.0\%_);\(0.0\%\);0.0\%_);@_%_)"/>
    <numFmt numFmtId="303" formatCode="#,##0\ \ \ ;\(#,##0\)\ \ "/>
    <numFmt numFmtId="304" formatCode="_-* #,##0\ _P_t_s_-;\-* #,##0\ _P_t_s_-;_-* &quot;-&quot;\ _P_t_s_-;_-@_-"/>
    <numFmt numFmtId="305" formatCode="_-* #,##0.00\ _P_t_s_-;\-* #,##0.00\ _P_t_s_-;_-* &quot;-&quot;??\ _P_t_s_-;_-@_-"/>
    <numFmt numFmtId="306" formatCode="_-* #,##0\ _F_-;\-* #,##0\ _F_-;_-* &quot;-&quot;\ _F_-;_-@_-"/>
    <numFmt numFmtId="307" formatCode="_-* #,##0.00\ _F_-;\-* #,##0.00\ _F_-;_-* &quot;-&quot;??\ _F_-;_-@_-"/>
    <numFmt numFmtId="308" formatCode="_(&quot;R$&quot;* #,##0_);_(&quot;R$&quot;* \(#,##0\);_(&quot;R$&quot;* &quot;-&quot;_);_(@_)"/>
    <numFmt numFmtId="309" formatCode="&quot;₩&quot;#,##0.00;&quot;₩&quot;&quot;₩&quot;\-#,##0.00"/>
    <numFmt numFmtId="310" formatCode="_ &quot;₩&quot;* #,##0_ ;_ &quot;₩&quot;* &quot;₩&quot;\-#,##0_ ;_ &quot;₩&quot;* &quot;-&quot;_ ;_ @_ "/>
    <numFmt numFmtId="311" formatCode="_-* #,##0\ &quot;Pts&quot;_-;\-* #,##0\ &quot;Pts&quot;_-;_-* &quot;-&quot;\ &quot;Pts&quot;_-;_-@_-"/>
    <numFmt numFmtId="312" formatCode="_-* #,##0.00\ &quot;Pts&quot;_-;\-* #,##0.00\ &quot;Pts&quot;_-;_-* &quot;-&quot;??\ &quot;Pts&quot;_-;_-@_-"/>
    <numFmt numFmtId="313" formatCode="_-* #,##0\ &quot;F&quot;_-;\-* #,##0\ &quot;F&quot;_-;_-* &quot;-&quot;\ &quot;F&quot;_-;_-@_-"/>
    <numFmt numFmtId="314" formatCode="_-* #,##0.00\ &quot;F&quot;_-;\-* #,##0.00\ &quot;F&quot;_-;_-* &quot;-&quot;??\ &quot;F&quot;_-;_-@_-"/>
    <numFmt numFmtId="315" formatCode="0.0&quot;MR&quot;"/>
    <numFmt numFmtId="316" formatCode="_(* #,##0.0;_(* \(#,##0.0\);_(* &quot;0.0&quot;;_(@_)"/>
    <numFmt numFmtId="317" formatCode="_(* #,##0.0_);_(* \(#,##0.0\);_(* &quot;-&quot;_);_(@_)"/>
    <numFmt numFmtId="318" formatCode="#,##0.0\ ;\(#,##0.0\)"/>
    <numFmt numFmtId="319" formatCode="&quot;$&quot;#,##0.00"/>
    <numFmt numFmtId="320" formatCode="#,##0.0_)&quot;Pts.&quot;;\(#,##0.0\)&quot;Pts.&quot;"/>
    <numFmt numFmtId="321" formatCode="#,##0.0_)_P_t_s_.;\(#,##0.0\)_P_t_s_."/>
    <numFmt numFmtId="322" formatCode="0\ %;\(0\)%"/>
    <numFmt numFmtId="323" formatCode="yyyy&quot;/&quot;m&quot;/&quot;d"/>
    <numFmt numFmtId="324" formatCode="#,##0.0_)_%;\(#,##0.0\)_%"/>
    <numFmt numFmtId="325" formatCode="#,##0.0_)&quot;%&quot;;\(#,##0.0\)&quot;%&quot;"/>
    <numFmt numFmtId="326" formatCode="&quot;$&quot;#,\);\(&quot;$&quot;#,##0\)"/>
    <numFmt numFmtId="327" formatCode="&quot;$&quot;#,##0;\-&quot;$&quot;#,##0"/>
    <numFmt numFmtId="328" formatCode="0&quot;rpm&quot;"/>
    <numFmt numFmtId="329" formatCode="###0;[Red]\-###0"/>
    <numFmt numFmtId="330" formatCode="0_%_);\(0\)_%;0_%_);@_%_)"/>
    <numFmt numFmtId="331" formatCode="\(\-0.0\)"/>
    <numFmt numFmtId="332" formatCode="\(\-\-0.0\)"/>
    <numFmt numFmtId="333" formatCode="0&quot;torr&quot;"/>
    <numFmt numFmtId="334" formatCode="#,##0.00\ ;\(#,##0.00\)"/>
    <numFmt numFmtId="335" formatCode=";;*__)"/>
    <numFmt numFmtId="336" formatCode="&quot;$&quot;#,##0_);\(&quot;$&quot;#,##0\)"/>
    <numFmt numFmtId="337" formatCode="&quot;£&quot;#,##0;[Red]\-&quot;£&quot;#,##0"/>
    <numFmt numFmtId="338" formatCode="&quot;£&quot;#,##0.00;[Red]\-&quot;£&quot;#,##0.00"/>
    <numFmt numFmtId="339" formatCode="0.0&quot;WR&quot;"/>
    <numFmt numFmtId="340" formatCode="_(&quot;¥&quot;* #,##0.0_);_(&quot;¥&quot;* \(#,##0.0\);_(&quot;¥&quot;* &quot;-&quot;??_);_(@_)"/>
    <numFmt numFmtId="341" formatCode="&quot;ว&quot;\ &quot;ด&quot;&quot;ด&quot;&quot;ด&quot;&quot;ด&quot;\ &quot;ค.ศ.&quot;\ &quot;ค&quot;&quot;ค&quot;&quot;ค&quot;&quot;ค&quot;"/>
    <numFmt numFmtId="342" formatCode="&quot;$&quot;_ #,##0.0\ ;[Red]&quot;$&quot;_(#,##0.0\)"/>
    <numFmt numFmtId="343" formatCode="_(&quot;฿&quot;* #,##0.00_);_(&quot;฿&quot;* \(#,##0.00\);_(&quot;฿&quot;* &quot;-&quot;??_);_(@_)"/>
    <numFmt numFmtId="344" formatCode="#,##0&quot;(☆)&quot;\ "/>
    <numFmt numFmtId="345" formatCode="#.00"/>
    <numFmt numFmtId="346" formatCode="#,##0;&quot;△&quot;#,##0"/>
    <numFmt numFmtId="347" formatCode="0.0000"/>
    <numFmt numFmtId="348" formatCode="#,##0.0000000_);[Red]\(#,##0.0000000\)"/>
    <numFmt numFmtId="349" formatCode="#,##0_ ;[Red]\-#,##0\ "/>
    <numFmt numFmtId="350" formatCode="mm&quot;월&quot;\ dd&quot;일&quot;"/>
    <numFmt numFmtId="351" formatCode="#,##0&quot;(●)&quot;\ "/>
    <numFmt numFmtId="352" formatCode="&quot;₩&quot;#,##0;[Red]&quot;₩&quot;\-#,##0"/>
    <numFmt numFmtId="353" formatCode="#,##0&quot;(★)&quot;\ "/>
    <numFmt numFmtId="354" formatCode="&quot;₩&quot;#,##0;&quot;₩&quot;&quot;₩&quot;&quot;₩&quot;&quot;₩&quot;&quot;₩&quot;&quot;₩&quot;&quot;₩&quot;&quot;₩&quot;&quot;₩&quot;&quot;₩&quot;\-&quot;₩&quot;#,##0"/>
    <numFmt numFmtId="355" formatCode="&quot;¥&quot;#,##0;&quot;¥&quot;&quot;¥&quot;&quot;¥&quot;&quot;¥&quot;&quot;¥&quot;&quot;¥&quot;&quot;¥&quot;&quot;¥&quot;&quot;¥&quot;&quot;¥&quot;\-&quot;¥&quot;#,##0"/>
    <numFmt numFmtId="356" formatCode="&quot;₩&quot;#,##0;[Red]&quot;₩&quot;&quot;₩&quot;&quot;₩&quot;&quot;₩&quot;&quot;₩&quot;&quot;₩&quot;&quot;₩&quot;&quot;₩&quot;\-&quot;₩&quot;#,##0"/>
    <numFmt numFmtId="357" formatCode="&quot;¥&quot;#,##0;[Red]&quot;¥&quot;&quot;¥&quot;&quot;¥&quot;&quot;¥&quot;&quot;¥&quot;&quot;¥&quot;&quot;¥&quot;&quot;¥&quot;\-&quot;¥&quot;#,##0"/>
    <numFmt numFmtId="358" formatCode="#,##0&quot;(○)&quot;\ "/>
    <numFmt numFmtId="359" formatCode="&quot;$&quot;#,##0.00;[Red]&quot;$&quot;\-#,##0.00"/>
    <numFmt numFmtId="360" formatCode="#,##0.0"/>
    <numFmt numFmtId="361" formatCode="%#.00"/>
    <numFmt numFmtId="362" formatCode="_-&quot;$&quot;* #,##0_-;\-&quot;$&quot;* #,##0_-;_-&quot;$&quot;* &quot;-&quot;_-;_-@_-"/>
    <numFmt numFmtId="363" formatCode="_-&quot;$&quot;* #,##0.00_-;\-&quot;$&quot;* #,##0.00_-;_-&quot;$&quot;* &quot;-&quot;??_-;_-@_-"/>
    <numFmt numFmtId="364" formatCode="\$#.00"/>
    <numFmt numFmtId="365" formatCode="\$#."/>
    <numFmt numFmtId="366" formatCode="_-* #,##0.0_-;\-* #,##0.0_-;_-* &quot;-&quot;_-;_-@_-"/>
    <numFmt numFmtId="367" formatCode="0_ ;[Red]\-0\ "/>
  </numFmts>
  <fonts count="3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26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b/>
      <sz val="18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14"/>
      <color indexed="12"/>
      <name val="맑은 고딕"/>
      <family val="3"/>
      <charset val="129"/>
      <scheme val="major"/>
    </font>
    <font>
      <b/>
      <sz val="14"/>
      <color rgb="FF3333CC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</font>
    <font>
      <sz val="16"/>
      <name val="맑은 고딕"/>
      <family val="3"/>
      <charset val="129"/>
    </font>
    <font>
      <b/>
      <sz val="14"/>
      <color rgb="FFFF0000"/>
      <name val="맑은 고딕"/>
      <family val="3"/>
      <charset val="129"/>
      <scheme val="major"/>
    </font>
    <font>
      <b/>
      <sz val="11"/>
      <color rgb="FF3333CC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굴림"/>
      <family val="3"/>
      <charset val="129"/>
    </font>
    <font>
      <sz val="14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14"/>
      <color indexed="8"/>
      <name val="맑은 고딕"/>
      <family val="3"/>
      <charset val="129"/>
      <scheme val="major"/>
    </font>
    <font>
      <sz val="12"/>
      <name val="新細明體"/>
      <family val="3"/>
      <charset val="129"/>
    </font>
    <font>
      <sz val="10"/>
      <name val="Courier"/>
      <family val="3"/>
    </font>
    <font>
      <sz val="12"/>
      <name val="돋움체"/>
      <family val="3"/>
      <charset val="129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u/>
      <sz val="7.2"/>
      <color indexed="12"/>
      <name val="????"/>
      <family val="1"/>
    </font>
    <font>
      <u/>
      <sz val="11"/>
      <color indexed="36"/>
      <name val="??"/>
      <family val="3"/>
      <charset val="129"/>
    </font>
    <font>
      <u/>
      <sz val="11"/>
      <color indexed="12"/>
      <name val="??"/>
      <family val="3"/>
      <charset val="129"/>
    </font>
    <font>
      <u/>
      <sz val="7.2"/>
      <color indexed="36"/>
      <name val="????"/>
      <family val="1"/>
    </font>
    <font>
      <u/>
      <sz val="6.75"/>
      <color indexed="12"/>
      <name val="??"/>
      <family val="1"/>
    </font>
    <font>
      <u/>
      <sz val="6.75"/>
      <color indexed="36"/>
      <name val="??"/>
      <family val="1"/>
    </font>
    <font>
      <sz val="16"/>
      <name val="AngsanaUPC"/>
      <family val="1"/>
    </font>
    <font>
      <sz val="9"/>
      <name val="Times New Roman"/>
      <family val="1"/>
    </font>
    <font>
      <sz val="8"/>
      <name val="MS Sans Serif"/>
      <family val="2"/>
    </font>
    <font>
      <sz val="11"/>
      <name val="?? ??"/>
      <family val="1"/>
      <charset val="136"/>
    </font>
    <font>
      <sz val="9"/>
      <name val="MS Sans Serif"/>
      <family val="2"/>
    </font>
    <font>
      <u/>
      <sz val="6.75"/>
      <color indexed="36"/>
      <name val="??’?"/>
      <family val="3"/>
      <charset val="129"/>
    </font>
    <font>
      <u/>
      <sz val="6.75"/>
      <color indexed="12"/>
      <name val="??’?"/>
      <family val="3"/>
      <charset val="129"/>
    </font>
    <font>
      <sz val="9"/>
      <name val="??’?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__ ____"/>
      <family val="3"/>
      <charset val="129"/>
    </font>
    <font>
      <sz val="11"/>
      <name val="__ _____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Sans EE"/>
      <family val="2"/>
      <charset val="238"/>
    </font>
    <font>
      <sz val="10"/>
      <name val="굴림체"/>
      <family val="3"/>
      <charset val="129"/>
    </font>
    <font>
      <sz val="12"/>
      <name val="Helv"/>
    </font>
    <font>
      <sz val="10"/>
      <name val="Courier New"/>
      <family val="3"/>
    </font>
    <font>
      <sz val="12"/>
      <name val="¹UAAA¼"/>
      <family val="3"/>
      <charset val="129"/>
    </font>
    <font>
      <sz val="11"/>
      <color indexed="8"/>
      <name val="Arial"/>
      <family val="2"/>
      <charset val="163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Calibri"/>
      <family val="2"/>
    </font>
    <font>
      <sz val="11"/>
      <color indexed="9"/>
      <name val="Arial"/>
      <family val="2"/>
      <charset val="163"/>
    </font>
    <font>
      <sz val="11"/>
      <color indexed="9"/>
      <name val="맑은 고딕"/>
      <family val="3"/>
      <charset val="129"/>
    </font>
    <font>
      <sz val="11"/>
      <color indexed="9"/>
      <name val="돋움"/>
      <family val="3"/>
      <charset val="129"/>
    </font>
    <font>
      <sz val="11"/>
      <color indexed="9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12"/>
      <name val="¡§IoUAAA￠R¡×u"/>
      <family val="3"/>
    </font>
    <font>
      <sz val="12"/>
      <name val="ⓒoUAAA¨u"/>
      <family val="3"/>
    </font>
    <font>
      <sz val="11"/>
      <name val="μ¸¿o"/>
      <family val="3"/>
      <charset val="129"/>
    </font>
    <font>
      <sz val="8"/>
      <name val="Times New Roman"/>
      <family val="1"/>
    </font>
    <font>
      <sz val="8"/>
      <color indexed="12"/>
      <name val="Helv"/>
    </font>
    <font>
      <sz val="10"/>
      <name val="±¼¸²A¼"/>
      <family val="3"/>
      <charset val="129"/>
    </font>
    <font>
      <sz val="9"/>
      <name val="Arial MT"/>
    </font>
    <font>
      <sz val="11"/>
      <name val="돋움체"/>
      <family val="3"/>
      <charset val="129"/>
    </font>
    <font>
      <sz val="11"/>
      <color indexed="20"/>
      <name val="Calibri"/>
      <family val="2"/>
    </font>
    <font>
      <sz val="7"/>
      <color indexed="12"/>
      <name val="MS Sans Serif"/>
      <family val="2"/>
    </font>
    <font>
      <b/>
      <sz val="8"/>
      <name val="Arial"/>
      <family val="2"/>
    </font>
    <font>
      <sz val="11"/>
      <color indexed="17"/>
      <name val="Calibri"/>
      <family val="2"/>
    </font>
    <font>
      <sz val="10"/>
      <color indexed="20"/>
      <name val="Arial"/>
      <family val="2"/>
    </font>
    <font>
      <sz val="12"/>
      <name val="¡¾¨u￠￢ⓒ÷A¨u"/>
      <family val="3"/>
      <charset val="129"/>
    </font>
    <font>
      <sz val="11"/>
      <name val="¹ÙÅÁÃ¼"/>
      <family val="3"/>
      <charset val="129"/>
    </font>
    <font>
      <sz val="10"/>
      <name val="Helv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color indexed="12"/>
      <name val="MS Sans Serif"/>
      <family val="2"/>
    </font>
    <font>
      <sz val="10"/>
      <color indexed="9"/>
      <name val="Arial"/>
      <family val="2"/>
    </font>
    <font>
      <i/>
      <sz val="10"/>
      <color indexed="10"/>
      <name val="Arial"/>
      <family val="2"/>
    </font>
    <font>
      <sz val="1"/>
      <color indexed="16"/>
      <name val="Courier"/>
      <family val="3"/>
    </font>
    <font>
      <sz val="10"/>
      <name val="Geneva"/>
      <family val="2"/>
    </font>
    <font>
      <sz val="11"/>
      <name val="Arial"/>
      <family val="2"/>
    </font>
    <font>
      <sz val="8"/>
      <name val="Palatino"/>
      <family val="1"/>
    </font>
    <font>
      <sz val="12"/>
      <name val=".VnTime"/>
      <family val="2"/>
    </font>
    <font>
      <sz val="10"/>
      <color indexed="24"/>
      <name val="MS Sans Serif"/>
      <family val="2"/>
    </font>
    <font>
      <sz val="9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9"/>
      <name val="Helv"/>
      <family val="2"/>
    </font>
    <font>
      <sz val="14"/>
      <name val=".VnTime"/>
      <family val="2"/>
    </font>
    <font>
      <b/>
      <sz val="11"/>
      <color indexed="63"/>
      <name val="Arial"/>
      <family val="2"/>
      <charset val="163"/>
    </font>
    <font>
      <sz val="11"/>
      <color indexed="62"/>
      <name val="Arial"/>
      <family val="2"/>
      <charset val="163"/>
    </font>
    <font>
      <b/>
      <sz val="15"/>
      <color indexed="56"/>
      <name val="Arial"/>
      <family val="2"/>
      <charset val="163"/>
    </font>
    <font>
      <b/>
      <sz val="13"/>
      <color indexed="56"/>
      <name val="Arial"/>
      <family val="2"/>
      <charset val="163"/>
    </font>
    <font>
      <b/>
      <sz val="11"/>
      <color indexed="56"/>
      <name val="Arial"/>
      <family val="2"/>
      <charset val="163"/>
    </font>
    <font>
      <sz val="10"/>
      <color indexed="19"/>
      <name val="Arial"/>
      <family val="2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i/>
      <sz val="10"/>
      <color indexed="12"/>
      <name val="Arial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7"/>
      <name val="Palatino"/>
      <family val="1"/>
    </font>
    <font>
      <i/>
      <sz val="10"/>
      <color indexed="11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u/>
      <sz val="14"/>
      <name val="Helv"/>
    </font>
    <font>
      <b/>
      <sz val="9"/>
      <color indexed="9"/>
      <name val="Arial"/>
      <family val="2"/>
    </font>
    <font>
      <b/>
      <sz val="15"/>
      <color indexed="56"/>
      <name val="Calibri"/>
      <family val="2"/>
    </font>
    <font>
      <sz val="18"/>
      <name val="Helvetica-Black"/>
      <family val="2"/>
    </font>
    <font>
      <b/>
      <sz val="13"/>
      <color indexed="56"/>
      <name val="Calibri"/>
      <family val="2"/>
    </font>
    <font>
      <b/>
      <i/>
      <sz val="12"/>
      <color indexed="16"/>
      <name val="Times New Roman"/>
      <family val="1"/>
    </font>
    <font>
      <b/>
      <sz val="1"/>
      <color indexed="16"/>
      <name val="Courier"/>
      <family val="3"/>
    </font>
    <font>
      <b/>
      <sz val="8"/>
      <name val="MS Sans Serif"/>
      <family val="2"/>
    </font>
    <font>
      <u/>
      <sz val="11"/>
      <color indexed="12"/>
      <name val="돋움"/>
      <family val="3"/>
      <charset val="129"/>
    </font>
    <font>
      <sz val="8"/>
      <color indexed="12"/>
      <name val="Helv"/>
      <family val="2"/>
    </font>
    <font>
      <b/>
      <sz val="11"/>
      <color indexed="9"/>
      <name val="Arial"/>
      <family val="2"/>
      <charset val="163"/>
    </font>
    <font>
      <sz val="12"/>
      <color indexed="9"/>
      <name val="Helv"/>
    </font>
    <font>
      <sz val="8"/>
      <color indexed="8"/>
      <name val="Helv"/>
    </font>
    <font>
      <sz val="10"/>
      <color indexed="20"/>
      <name val="Times New Roman"/>
      <family val="1"/>
    </font>
    <font>
      <b/>
      <sz val="11"/>
      <name val="Helv"/>
      <family val="2"/>
    </font>
    <font>
      <sz val="9"/>
      <name val="VNI-Helve-Condense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Helv"/>
      <family val="2"/>
    </font>
    <font>
      <sz val="12"/>
      <name val=".vntime"/>
    </font>
    <font>
      <sz val="12"/>
      <name val="新細明體"/>
      <family val="1"/>
    </font>
    <font>
      <sz val="11"/>
      <color indexed="52"/>
      <name val="Arial"/>
      <family val="2"/>
      <charset val="163"/>
    </font>
    <font>
      <b/>
      <sz val="11"/>
      <name val="Arial"/>
      <family val="2"/>
    </font>
    <font>
      <sz val="10"/>
      <color indexed="17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color indexed="16"/>
      <name val="Helvetica-Black"/>
      <family val="2"/>
    </font>
    <font>
      <sz val="8"/>
      <name val="Helv"/>
      <family val="2"/>
    </font>
    <font>
      <sz val="10"/>
      <name val="Arial MT"/>
      <family val="2"/>
    </font>
    <font>
      <sz val="11"/>
      <name val="굃굍 긕긘긞긏"/>
      <family val="3"/>
      <charset val="129"/>
    </font>
    <font>
      <i/>
      <sz val="10"/>
      <color indexed="23"/>
      <name val="Arial"/>
      <family val="2"/>
    </font>
    <font>
      <sz val="10"/>
      <name val="Tms Rmn"/>
    </font>
    <font>
      <b/>
      <i/>
      <sz val="12"/>
      <name val="Times New Roman"/>
      <family val="1"/>
    </font>
    <font>
      <b/>
      <sz val="10"/>
      <name val="MS Sans Serif"/>
      <family val="2"/>
    </font>
    <font>
      <b/>
      <sz val="16"/>
      <name val="Times New Roman"/>
      <family val="1"/>
    </font>
    <font>
      <sz val="10"/>
      <color indexed="10"/>
      <name val="MS Sans Serif"/>
      <family val="2"/>
    </font>
    <font>
      <b/>
      <sz val="12"/>
      <color indexed="16"/>
      <name val="Arial"/>
      <family val="2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12"/>
      <color indexed="8"/>
      <name val="Times New Roman"/>
      <family val="1"/>
    </font>
    <font>
      <b/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sz val="10"/>
      <color indexed="39"/>
      <name val="Arial"/>
      <family val="2"/>
    </font>
    <font>
      <b/>
      <i/>
      <sz val="12"/>
      <color indexed="8"/>
      <name val="Arial"/>
      <family val="2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굴림"/>
      <family val="3"/>
      <charset val="129"/>
    </font>
    <font>
      <i/>
      <sz val="12"/>
      <color indexed="8"/>
      <name val="Arial"/>
      <family val="2"/>
    </font>
    <font>
      <b/>
      <sz val="20"/>
      <color indexed="9"/>
      <name val="굴림"/>
      <family val="3"/>
      <charset val="129"/>
    </font>
    <font>
      <sz val="12"/>
      <color indexed="14"/>
      <name val="Arial"/>
      <family val="2"/>
    </font>
    <font>
      <sz val="7"/>
      <name val="MS Serif"/>
      <family val="1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sz val="9"/>
      <name val="Palatino"/>
      <family val="1"/>
    </font>
    <font>
      <sz val="9"/>
      <name val="Helvetica-Black"/>
      <family val="2"/>
    </font>
    <font>
      <sz val="11"/>
      <color indexed="10"/>
      <name val="Calibri"/>
      <family val="2"/>
    </font>
    <font>
      <b/>
      <sz val="18"/>
      <color indexed="56"/>
      <name val="Times New Roman"/>
      <family val="2"/>
      <charset val="163"/>
    </font>
    <font>
      <b/>
      <sz val="11"/>
      <color indexed="52"/>
      <name val="Arial"/>
      <family val="2"/>
      <charset val="163"/>
    </font>
    <font>
      <b/>
      <u/>
      <sz val="13"/>
      <name val="굴림체"/>
      <family val="3"/>
      <charset val="129"/>
    </font>
    <font>
      <b/>
      <sz val="18"/>
      <color indexed="56"/>
      <name val="Cambria"/>
      <family val="1"/>
    </font>
    <font>
      <b/>
      <sz val="11"/>
      <color indexed="8"/>
      <name val="Arial"/>
      <family val="2"/>
      <charset val="163"/>
    </font>
    <font>
      <sz val="8"/>
      <name val="Helv"/>
    </font>
    <font>
      <sz val="11"/>
      <color indexed="17"/>
      <name val="Arial"/>
      <family val="2"/>
      <charset val="163"/>
    </font>
    <font>
      <b/>
      <sz val="11"/>
      <color indexed="8"/>
      <name val="Calibri"/>
      <family val="2"/>
    </font>
    <font>
      <b/>
      <sz val="8"/>
      <color indexed="32"/>
      <name val="Arial"/>
      <family val="2"/>
    </font>
    <font>
      <sz val="11"/>
      <color indexed="60"/>
      <name val="Arial"/>
      <family val="2"/>
      <charset val="163"/>
    </font>
    <font>
      <sz val="11"/>
      <color indexed="10"/>
      <name val="Arial"/>
      <family val="2"/>
      <charset val="163"/>
    </font>
    <font>
      <i/>
      <sz val="11"/>
      <color indexed="23"/>
      <name val="Arial"/>
      <family val="2"/>
      <charset val="163"/>
    </font>
    <font>
      <sz val="10"/>
      <color indexed="18"/>
      <name val="Arial"/>
      <family val="2"/>
    </font>
    <font>
      <b/>
      <sz val="12"/>
      <name val=".VnTime"/>
      <family val="2"/>
    </font>
    <font>
      <b/>
      <sz val="10"/>
      <name val="VN Helvetica"/>
    </font>
    <font>
      <sz val="10"/>
      <name val="VN Helvetica"/>
    </font>
    <font>
      <sz val="8"/>
      <name val="VN Helvetica"/>
    </font>
    <font>
      <i/>
      <sz val="10"/>
      <color indexed="8"/>
      <name val="Arial"/>
      <family val="2"/>
    </font>
    <font>
      <sz val="10"/>
      <name val="Wingdings"/>
      <charset val="2"/>
    </font>
    <font>
      <sz val="11"/>
      <color indexed="20"/>
      <name val="Arial"/>
      <family val="2"/>
      <charset val="163"/>
    </font>
    <font>
      <sz val="11"/>
      <name val="｢ﾛ｢・????"/>
      <family val="3"/>
    </font>
    <font>
      <u/>
      <sz val="6.75"/>
      <color indexed="12"/>
      <name val="明朝"/>
      <family val="3"/>
      <charset val="129"/>
    </font>
    <font>
      <u/>
      <sz val="9"/>
      <color indexed="12"/>
      <name val="Arial"/>
      <family val="2"/>
    </font>
    <font>
      <sz val="10"/>
      <name val=" "/>
      <family val="1"/>
      <charset val="136"/>
    </font>
    <font>
      <sz val="11"/>
      <color indexed="10"/>
      <name val="맑은 고딕"/>
      <family val="3"/>
      <charset val="129"/>
    </font>
    <font>
      <sz val="11"/>
      <color indexed="10"/>
      <name val="돋움"/>
      <family val="3"/>
      <charset val="129"/>
    </font>
    <font>
      <sz val="11"/>
      <color indexed="10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indexed="53"/>
      <name val="돋움"/>
      <family val="3"/>
      <charset val="129"/>
    </font>
    <font>
      <b/>
      <sz val="11"/>
      <color indexed="52"/>
      <name val="굴림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돋움"/>
      <family val="3"/>
      <charset val="129"/>
    </font>
    <font>
      <sz val="11"/>
      <color indexed="20"/>
      <name val="굴림"/>
      <family val="3"/>
      <charset val="129"/>
    </font>
    <font>
      <sz val="11"/>
      <color rgb="FF9C0006"/>
      <name val="맑은 고딕"/>
      <family val="3"/>
      <charset val="129"/>
      <scheme val="minor"/>
    </font>
    <font>
      <b/>
      <i/>
      <sz val="11"/>
      <name val="Arial"/>
      <family val="2"/>
    </font>
    <font>
      <u/>
      <sz val="20"/>
      <name val="HY헤드라인M"/>
      <family val="1"/>
      <charset val="129"/>
    </font>
    <font>
      <u/>
      <sz val="12"/>
      <color indexed="36"/>
      <name val="바탕체"/>
      <family val="1"/>
      <charset val="129"/>
    </font>
    <font>
      <sz val="9"/>
      <name val="돋움"/>
      <family val="3"/>
      <charset val="129"/>
    </font>
    <font>
      <sz val="12"/>
      <name val="Courier"/>
      <family val="3"/>
    </font>
    <font>
      <sz val="11"/>
      <color indexed="63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돋움"/>
      <family val="3"/>
      <charset val="129"/>
    </font>
    <font>
      <sz val="11"/>
      <color indexed="60"/>
      <name val="굴림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돋움"/>
      <family val="3"/>
      <charset val="129"/>
    </font>
    <font>
      <i/>
      <sz val="11"/>
      <color indexed="23"/>
      <name val="굴림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indexed="9"/>
      <name val="돋움"/>
      <family val="3"/>
      <charset val="129"/>
    </font>
    <font>
      <b/>
      <sz val="11"/>
      <color indexed="9"/>
      <name val="굴림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name val="Arial"/>
      <family val="2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1"/>
      <color theme="1"/>
      <name val="맑은 고딕"/>
      <family val="2"/>
      <scheme val="minor"/>
    </font>
    <font>
      <sz val="12"/>
      <name val="????"/>
      <family val="1"/>
    </font>
    <font>
      <b/>
      <sz val="11"/>
      <name val="돋움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indexed="53"/>
      <name val="돋움"/>
      <family val="3"/>
      <charset val="129"/>
    </font>
    <font>
      <sz val="11"/>
      <color indexed="52"/>
      <name val="굴림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굴림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돋움"/>
      <family val="3"/>
      <charset val="129"/>
    </font>
    <font>
      <sz val="11"/>
      <color indexed="62"/>
      <name val="굴림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b/>
      <sz val="15"/>
      <color indexed="56"/>
      <name val="맑은 고딕"/>
      <family val="3"/>
      <charset val="129"/>
    </font>
    <font>
      <b/>
      <sz val="15"/>
      <color indexed="62"/>
      <name val="돋움"/>
      <family val="3"/>
      <charset val="129"/>
    </font>
    <font>
      <b/>
      <sz val="15"/>
      <color indexed="56"/>
      <name val="굴림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돋움"/>
      <family val="3"/>
      <charset val="129"/>
    </font>
    <font>
      <b/>
      <sz val="13"/>
      <color indexed="56"/>
      <name val="굴림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indexed="62"/>
      <name val="돋움"/>
      <family val="3"/>
      <charset val="129"/>
    </font>
    <font>
      <b/>
      <sz val="11"/>
      <color indexed="56"/>
      <name val="굴림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6"/>
      <name val="Arial"/>
      <family val="2"/>
    </font>
    <font>
      <b/>
      <sz val="18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indexed="17"/>
      <name val="돋움"/>
      <family val="3"/>
      <charset val="129"/>
    </font>
    <font>
      <sz val="11"/>
      <color indexed="17"/>
      <name val="굴림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name val="VNI-Times"/>
      <family val="2"/>
    </font>
    <font>
      <b/>
      <sz val="11"/>
      <color indexed="63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b/>
      <sz val="11"/>
      <color indexed="63"/>
      <name val="굴림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u/>
      <sz val="6.75"/>
      <color indexed="36"/>
      <name val="明朝"/>
      <family val="3"/>
      <charset val="129"/>
    </font>
    <font>
      <u/>
      <sz val="9"/>
      <color indexed="36"/>
      <name val="Arial"/>
      <family val="2"/>
    </font>
    <font>
      <sz val="11"/>
      <name val="MS Mincho"/>
      <family val="3"/>
    </font>
    <font>
      <u/>
      <sz val="10"/>
      <color indexed="12"/>
      <name val="Arial"/>
      <family val="2"/>
    </font>
    <font>
      <sz val="14"/>
      <name val="맑은 고딕"/>
      <family val="3"/>
      <charset val="129"/>
    </font>
    <font>
      <b/>
      <sz val="14"/>
      <color rgb="FF0070C0"/>
      <name val="맑은 고딕"/>
      <family val="3"/>
      <charset val="129"/>
      <scheme val="major"/>
    </font>
    <font>
      <b/>
      <sz val="13"/>
      <color rgb="FF0070C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</fonts>
  <fills count="10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solid">
        <fgColor indexed="43"/>
      </patternFill>
    </fill>
    <fill>
      <patternFill patternType="solid">
        <fgColor indexed="50"/>
        <bgColor indexed="64"/>
      </patternFill>
    </fill>
    <fill>
      <patternFill patternType="lightUp">
        <fgColor indexed="23"/>
        <bgColor indexed="35"/>
      </patternFill>
    </fill>
    <fill>
      <patternFill patternType="lightUp">
        <fgColor indexed="48"/>
        <bgColor indexed="47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</patternFill>
    </fill>
    <fill>
      <patternFill patternType="solid">
        <fgColor indexed="56"/>
      </patternFill>
    </fill>
    <fill>
      <patternFill patternType="gray125">
        <fgColor indexed="15"/>
      </patternFill>
    </fill>
    <fill>
      <patternFill patternType="solid">
        <fgColor indexed="54"/>
      </patternFill>
    </fill>
    <fill>
      <patternFill patternType="solid">
        <fgColor indexed="23"/>
      </patternFill>
    </fill>
    <fill>
      <patternFill patternType="solid">
        <fgColor indexed="50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5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488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0" fontId="4" fillId="0" borderId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3" fontId="38" fillId="0" borderId="69"/>
    <xf numFmtId="188" fontId="39" fillId="0" borderId="0" applyFont="0" applyFill="0" applyBorder="0" applyAlignment="0" applyProtection="0"/>
    <xf numFmtId="189" fontId="40" fillId="0" borderId="0"/>
    <xf numFmtId="189" fontId="40" fillId="0" borderId="0"/>
    <xf numFmtId="189" fontId="40" fillId="0" borderId="0"/>
    <xf numFmtId="190" fontId="37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91" fontId="39" fillId="0" borderId="0" applyFont="0" applyFill="0" applyBorder="0" applyAlignment="0" applyProtection="0"/>
    <xf numFmtId="189" fontId="40" fillId="0" borderId="0"/>
    <xf numFmtId="0" fontId="39" fillId="0" borderId="0" applyNumberFormat="0" applyFont="0" applyFill="0" applyBorder="0" applyAlignment="0" applyProtection="0"/>
    <xf numFmtId="192" fontId="4" fillId="0" borderId="0" applyNumberFormat="0" applyFont="0" applyFill="0" applyBorder="0" applyAlignment="0" applyProtection="0"/>
    <xf numFmtId="192" fontId="4" fillId="0" borderId="0" applyNumberFormat="0" applyFont="0" applyFill="0" applyBorder="0" applyAlignment="0" applyProtection="0"/>
    <xf numFmtId="189" fontId="40" fillId="0" borderId="0"/>
    <xf numFmtId="193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91" fontId="39" fillId="0" borderId="0" applyFont="0" applyFill="0" applyBorder="0" applyAlignment="0" applyProtection="0"/>
    <xf numFmtId="190" fontId="37" fillId="0" borderId="0"/>
    <xf numFmtId="190" fontId="37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0" fontId="39" fillId="0" borderId="0" applyNumberFormat="0" applyFont="0" applyFill="0" applyBorder="0" applyAlignment="0" applyProtection="0"/>
    <xf numFmtId="194" fontId="4" fillId="0" borderId="0" applyNumberFormat="0" applyFont="0" applyFill="0" applyBorder="0" applyAlignment="0" applyProtection="0"/>
    <xf numFmtId="194" fontId="4" fillId="0" borderId="0" applyNumberFormat="0" applyFont="0" applyFill="0" applyBorder="0" applyAlignment="0" applyProtection="0"/>
    <xf numFmtId="189" fontId="40" fillId="0" borderId="0"/>
    <xf numFmtId="0" fontId="39" fillId="0" borderId="0" applyFont="0" applyFill="0" applyBorder="0" applyAlignment="0" applyProtection="0"/>
    <xf numFmtId="0" fontId="39" fillId="0" borderId="0" applyNumberFormat="0" applyFont="0" applyFill="0" applyBorder="0" applyAlignment="0" applyProtection="0"/>
    <xf numFmtId="192" fontId="4" fillId="0" borderId="0" applyNumberFormat="0" applyFont="0" applyFill="0" applyBorder="0" applyAlignment="0" applyProtection="0"/>
    <xf numFmtId="192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194" fontId="4" fillId="0" borderId="0" applyNumberFormat="0" applyFont="0" applyFill="0" applyBorder="0" applyAlignment="0" applyProtection="0"/>
    <xf numFmtId="194" fontId="4" fillId="0" borderId="0" applyNumberFormat="0" applyFont="0" applyFill="0" applyBorder="0" applyAlignment="0" applyProtection="0"/>
    <xf numFmtId="0" fontId="39" fillId="0" borderId="0" applyFont="0" applyFill="0" applyBorder="0" applyAlignment="0" applyProtection="0"/>
    <xf numFmtId="195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7" fontId="39" fillId="0" borderId="0" applyFont="0" applyFill="0" applyBorder="0" applyAlignment="0" applyProtection="0"/>
    <xf numFmtId="198" fontId="39" fillId="0" borderId="0" applyFont="0" applyFill="0" applyBorder="0" applyAlignment="0" applyProtection="0"/>
    <xf numFmtId="199" fontId="39" fillId="0" borderId="0" applyFont="0" applyFill="0" applyBorder="0" applyAlignment="0" applyProtection="0"/>
    <xf numFmtId="200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201" fontId="39" fillId="0" borderId="0" applyFont="0" applyFill="0" applyBorder="0" applyAlignment="0" applyProtection="0"/>
    <xf numFmtId="202" fontId="39" fillId="0" borderId="0" applyFont="0" applyFill="0" applyBorder="0" applyAlignment="0" applyProtection="0"/>
    <xf numFmtId="203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204" fontId="40" fillId="0" borderId="0">
      <protection locked="0"/>
    </xf>
    <xf numFmtId="0" fontId="43" fillId="0" borderId="0"/>
    <xf numFmtId="0" fontId="43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208" fontId="39" fillId="0" borderId="0" applyFont="0" applyFill="0" applyBorder="0" applyAlignment="0" applyProtection="0"/>
    <xf numFmtId="209" fontId="39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0" fontId="51" fillId="0" borderId="0"/>
    <xf numFmtId="210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205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52" fillId="0" borderId="0" applyFill="0" applyBorder="0" applyAlignment="0" applyProtection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0" fontId="52" fillId="0" borderId="0" applyFill="0" applyBorder="0" applyAlignment="0" applyProtection="0"/>
    <xf numFmtId="0" fontId="53" fillId="0" borderId="0" applyFill="0" applyBorder="0" applyAlignment="0" applyProtection="0"/>
    <xf numFmtId="0" fontId="53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40" fontId="43" fillId="0" borderId="0">
      <alignment horizontal="right"/>
    </xf>
    <xf numFmtId="0" fontId="55" fillId="0" borderId="0" applyFill="0" applyBorder="0" applyAlignment="0" applyProtection="0"/>
    <xf numFmtId="211" fontId="40" fillId="0" borderId="0"/>
    <xf numFmtId="211" fontId="40" fillId="0" borderId="0"/>
    <xf numFmtId="211" fontId="40" fillId="0" borderId="0"/>
    <xf numFmtId="211" fontId="40" fillId="0" borderId="0"/>
    <xf numFmtId="40" fontId="43" fillId="0" borderId="0">
      <alignment horizontal="right"/>
    </xf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40" fontId="43" fillId="0" borderId="0">
      <alignment horizontal="right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40" fontId="43" fillId="0" borderId="0">
      <alignment horizontal="right"/>
    </xf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211" fontId="4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2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40" fillId="0" borderId="0" applyFill="0" applyBorder="0" applyAlignment="0" applyProtection="0"/>
    <xf numFmtId="0" fontId="54" fillId="0" borderId="0"/>
    <xf numFmtId="0" fontId="40" fillId="0" borderId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6" fillId="0" borderId="0" applyNumberFormat="0" applyFill="0" applyBorder="0" applyAlignment="0" applyProtection="0">
      <alignment vertical="top"/>
      <protection locked="0"/>
    </xf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58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4" fillId="0" borderId="91" applyFont="0" applyFill="0" applyBorder="0" applyAlignment="0" applyProtection="0">
      <alignment vertical="center"/>
    </xf>
    <xf numFmtId="0" fontId="2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4" fillId="0" borderId="0"/>
    <xf numFmtId="0" fontId="62" fillId="0" borderId="0"/>
    <xf numFmtId="0" fontId="28" fillId="0" borderId="0"/>
    <xf numFmtId="0" fontId="62" fillId="0" borderId="0"/>
    <xf numFmtId="0" fontId="63" fillId="0" borderId="0">
      <alignment vertical="top"/>
    </xf>
    <xf numFmtId="0" fontId="63" fillId="0" borderId="0">
      <alignment vertical="top"/>
    </xf>
    <xf numFmtId="0" fontId="63" fillId="0" borderId="0">
      <alignment vertical="top"/>
    </xf>
    <xf numFmtId="0" fontId="63" fillId="0" borderId="0">
      <alignment vertical="top"/>
    </xf>
    <xf numFmtId="1" fontId="64" fillId="0" borderId="0"/>
    <xf numFmtId="1" fontId="64" fillId="0" borderId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8" fillId="0" borderId="0"/>
    <xf numFmtId="0" fontId="62" fillId="0" borderId="0"/>
    <xf numFmtId="0" fontId="63" fillId="0" borderId="0">
      <alignment vertical="top"/>
    </xf>
    <xf numFmtId="0" fontId="28" fillId="0" borderId="0"/>
    <xf numFmtId="1" fontId="64" fillId="0" borderId="0"/>
    <xf numFmtId="0" fontId="62" fillId="0" borderId="0"/>
    <xf numFmtId="1" fontId="64" fillId="0" borderId="0"/>
    <xf numFmtId="1" fontId="64" fillId="0" borderId="0"/>
    <xf numFmtId="0" fontId="28" fillId="0" borderId="0"/>
    <xf numFmtId="1" fontId="64" fillId="0" borderId="0"/>
    <xf numFmtId="0" fontId="28" fillId="0" borderId="0"/>
    <xf numFmtId="212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2" fontId="44" fillId="0" borderId="0" applyFont="0" applyFill="0" applyBorder="0" applyAlignment="0" applyProtection="0"/>
    <xf numFmtId="21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28" fillId="0" borderId="0"/>
    <xf numFmtId="0" fontId="63" fillId="0" borderId="0">
      <alignment vertical="top"/>
    </xf>
    <xf numFmtId="0" fontId="63" fillId="0" borderId="0">
      <alignment vertical="top"/>
    </xf>
    <xf numFmtId="0" fontId="28" fillId="0" borderId="0"/>
    <xf numFmtId="0" fontId="28" fillId="0" borderId="0"/>
    <xf numFmtId="0" fontId="28" fillId="0" borderId="0"/>
    <xf numFmtId="1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8" fillId="0" borderId="0"/>
    <xf numFmtId="0" fontId="65" fillId="0" borderId="0" applyFont="0" applyFill="0" applyBorder="0" applyAlignment="0" applyProtection="0"/>
    <xf numFmtId="0" fontId="43" fillId="0" borderId="0"/>
    <xf numFmtId="212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8" fillId="0" borderId="0"/>
    <xf numFmtId="212" fontId="44" fillId="0" borderId="0" applyFont="0" applyFill="0" applyBorder="0" applyAlignment="0" applyProtection="0"/>
    <xf numFmtId="21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12" fontId="4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14" fontId="39" fillId="0" borderId="0" applyFont="0" applyFill="0" applyBorder="0" applyAlignment="0" applyProtection="0"/>
    <xf numFmtId="215" fontId="39" fillId="0" borderId="0" applyFont="0" applyFill="0" applyBorder="0" applyAlignment="0" applyProtection="0"/>
    <xf numFmtId="216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89" fontId="40" fillId="0" borderId="0"/>
    <xf numFmtId="217" fontId="28" fillId="0" borderId="0"/>
    <xf numFmtId="189" fontId="40" fillId="0" borderId="0"/>
    <xf numFmtId="189" fontId="40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189" fontId="40" fillId="0" borderId="0"/>
    <xf numFmtId="190" fontId="37" fillId="0" borderId="0"/>
    <xf numFmtId="189" fontId="40" fillId="0" borderId="0"/>
    <xf numFmtId="217" fontId="28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218" fontId="40" fillId="0" borderId="0"/>
    <xf numFmtId="189" fontId="40" fillId="0" borderId="0"/>
    <xf numFmtId="217" fontId="28" fillId="0" borderId="0"/>
    <xf numFmtId="189" fontId="40" fillId="0" borderId="0"/>
    <xf numFmtId="217" fontId="28" fillId="0" borderId="0"/>
    <xf numFmtId="217" fontId="28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189" fontId="40" fillId="0" borderId="0"/>
    <xf numFmtId="217" fontId="28" fillId="0" borderId="0"/>
    <xf numFmtId="190" fontId="37" fillId="0" borderId="0"/>
    <xf numFmtId="190" fontId="37" fillId="0" borderId="0"/>
    <xf numFmtId="190" fontId="37" fillId="0" borderId="0"/>
    <xf numFmtId="189" fontId="40" fillId="0" borderId="0"/>
    <xf numFmtId="189" fontId="40" fillId="0" borderId="0"/>
    <xf numFmtId="0" fontId="43" fillId="0" borderId="0"/>
    <xf numFmtId="0" fontId="62" fillId="0" borderId="0"/>
    <xf numFmtId="0" fontId="43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20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20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0" fontId="66" fillId="0" borderId="0"/>
    <xf numFmtId="0" fontId="66" fillId="0" borderId="0"/>
    <xf numFmtId="221" fontId="37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0" fontId="66" fillId="0" borderId="0"/>
    <xf numFmtId="0" fontId="66" fillId="0" borderId="0"/>
    <xf numFmtId="222" fontId="66" fillId="0" borderId="0"/>
    <xf numFmtId="0" fontId="66" fillId="0" borderId="0"/>
    <xf numFmtId="222" fontId="66" fillId="0" borderId="0"/>
    <xf numFmtId="222" fontId="66" fillId="0" borderId="0"/>
    <xf numFmtId="219" fontId="40" fillId="0" borderId="0"/>
    <xf numFmtId="219" fontId="40" fillId="0" borderId="0"/>
    <xf numFmtId="219" fontId="40" fillId="0" borderId="0"/>
    <xf numFmtId="221" fontId="37" fillId="0" borderId="0"/>
    <xf numFmtId="219" fontId="40" fillId="0" borderId="0"/>
    <xf numFmtId="219" fontId="40" fillId="0" borderId="0"/>
    <xf numFmtId="220" fontId="40" fillId="0" borderId="0"/>
    <xf numFmtId="219" fontId="40" fillId="0" borderId="0"/>
    <xf numFmtId="219" fontId="40" fillId="0" borderId="0"/>
    <xf numFmtId="220" fontId="40" fillId="0" borderId="0"/>
    <xf numFmtId="219" fontId="40" fillId="0" borderId="0"/>
    <xf numFmtId="219" fontId="40" fillId="0" borderId="0"/>
    <xf numFmtId="221" fontId="37" fillId="0" borderId="0"/>
    <xf numFmtId="221" fontId="37" fillId="0" borderId="0"/>
    <xf numFmtId="219" fontId="40" fillId="0" borderId="0"/>
    <xf numFmtId="219" fontId="4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/>
    <xf numFmtId="219" fontId="40" fillId="0" borderId="0"/>
    <xf numFmtId="219" fontId="40" fillId="0" borderId="0"/>
    <xf numFmtId="219" fontId="40" fillId="0" borderId="0"/>
    <xf numFmtId="219" fontId="40" fillId="0" borderId="0"/>
    <xf numFmtId="220" fontId="40" fillId="0" borderId="0"/>
    <xf numFmtId="219" fontId="40" fillId="0" borderId="0"/>
    <xf numFmtId="219" fontId="40" fillId="0" borderId="0"/>
    <xf numFmtId="220" fontId="40" fillId="0" borderId="0"/>
    <xf numFmtId="219" fontId="40" fillId="0" borderId="0"/>
    <xf numFmtId="220" fontId="40" fillId="0" borderId="0"/>
    <xf numFmtId="219" fontId="40" fillId="0" borderId="0"/>
    <xf numFmtId="219" fontId="40" fillId="0" borderId="0"/>
    <xf numFmtId="220" fontId="40" fillId="0" borderId="0"/>
    <xf numFmtId="219" fontId="40" fillId="0" borderId="0"/>
    <xf numFmtId="219" fontId="40" fillId="0" borderId="0"/>
    <xf numFmtId="219" fontId="40" fillId="0" borderId="0"/>
    <xf numFmtId="219" fontId="40" fillId="0" borderId="0"/>
    <xf numFmtId="219" fontId="40" fillId="0" borderId="0"/>
    <xf numFmtId="219" fontId="40" fillId="0" borderId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1" fontId="37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1" fontId="37" fillId="0" borderId="0" applyFill="0" applyBorder="0" applyAlignment="0" applyProtection="0"/>
    <xf numFmtId="221" fontId="37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0" fontId="66" fillId="0" borderId="0"/>
    <xf numFmtId="0" fontId="66" fillId="0" borderId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221" fontId="37" fillId="0" borderId="0" applyFill="0" applyBorder="0" applyAlignment="0" applyProtection="0"/>
    <xf numFmtId="221" fontId="37" fillId="0" borderId="0" applyFill="0" applyBorder="0" applyAlignment="0" applyProtection="0"/>
    <xf numFmtId="221" fontId="37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0" fontId="66" fillId="0" borderId="0"/>
    <xf numFmtId="0" fontId="66" fillId="0" borderId="0"/>
    <xf numFmtId="0" fontId="66" fillId="0" borderId="0"/>
    <xf numFmtId="223" fontId="66" fillId="0" borderId="0"/>
    <xf numFmtId="0" fontId="66" fillId="0" borderId="0"/>
    <xf numFmtId="0" fontId="66" fillId="0" borderId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0" fontId="66" fillId="0" borderId="0"/>
    <xf numFmtId="223" fontId="66" fillId="0" borderId="0"/>
    <xf numFmtId="0" fontId="66" fillId="0" borderId="0"/>
    <xf numFmtId="223" fontId="66" fillId="0" borderId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19" fontId="40" fillId="0" borderId="0" applyFill="0" applyBorder="0" applyAlignment="0" applyProtection="0"/>
    <xf numFmtId="219" fontId="40" fillId="0" borderId="0" applyFill="0" applyBorder="0" applyAlignment="0" applyProtection="0"/>
    <xf numFmtId="220" fontId="40" fillId="0" borderId="0" applyFill="0" applyBorder="0" applyAlignment="0" applyProtection="0"/>
    <xf numFmtId="222" fontId="66" fillId="0" borderId="0"/>
    <xf numFmtId="224" fontId="40" fillId="0" borderId="0"/>
    <xf numFmtId="225" fontId="40" fillId="0" borderId="0"/>
    <xf numFmtId="225" fontId="40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17" fontId="28" fillId="0" borderId="0"/>
    <xf numFmtId="225" fontId="40" fillId="0" borderId="0"/>
    <xf numFmtId="225" fontId="40" fillId="0" borderId="0"/>
    <xf numFmtId="225" fontId="40" fillId="0" borderId="0"/>
    <xf numFmtId="225" fontId="40" fillId="0" borderId="0"/>
    <xf numFmtId="0" fontId="41" fillId="0" borderId="0">
      <alignment vertical="center"/>
    </xf>
    <xf numFmtId="0" fontId="41" fillId="0" borderId="0">
      <alignment vertical="center"/>
    </xf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6" fontId="40" fillId="0" borderId="0" applyFill="0" applyBorder="0" applyAlignment="0" applyProtection="0"/>
    <xf numFmtId="227" fontId="40" fillId="0" borderId="0"/>
    <xf numFmtId="228" fontId="37" fillId="0" borderId="0"/>
    <xf numFmtId="0" fontId="28" fillId="0" borderId="0"/>
    <xf numFmtId="0" fontId="28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3" fontId="38" fillId="0" borderId="69"/>
    <xf numFmtId="3" fontId="38" fillId="0" borderId="69"/>
    <xf numFmtId="23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0" fontId="39" fillId="0" borderId="0" applyFont="0" applyFill="0" applyBorder="0" applyAlignment="0" applyProtection="0"/>
    <xf numFmtId="23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0" fontId="39" fillId="0" borderId="0" applyFont="0" applyFill="0" applyBorder="0" applyAlignment="0" applyProtection="0"/>
    <xf numFmtId="230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3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4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1" fontId="43" fillId="0" borderId="0"/>
    <xf numFmtId="235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7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8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00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5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5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8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8" fontId="39" fillId="0" borderId="0" applyFont="0" applyFill="0" applyBorder="0" applyAlignment="0" applyProtection="0"/>
    <xf numFmtId="235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6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41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2" fontId="39" fillId="0" borderId="0" applyFont="0" applyFill="0" applyBorder="0" applyAlignment="0" applyProtection="0"/>
    <xf numFmtId="243" fontId="39" fillId="0" borderId="0" applyFont="0" applyFill="0" applyBorder="0" applyAlignment="0" applyProtection="0"/>
    <xf numFmtId="244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45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3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3" fontId="39" fillId="0" borderId="0" applyFont="0" applyFill="0" applyBorder="0" applyAlignment="0" applyProtection="0"/>
    <xf numFmtId="246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47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1" fontId="43" fillId="0" borderId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4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41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2" fontId="39" fillId="0" borderId="0" applyFont="0" applyFill="0" applyBorder="0" applyAlignment="0" applyProtection="0"/>
    <xf numFmtId="243" fontId="39" fillId="0" borderId="0" applyFont="0" applyFill="0" applyBorder="0" applyAlignment="0" applyProtection="0"/>
    <xf numFmtId="244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41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2" fontId="39" fillId="0" borderId="0" applyFont="0" applyFill="0" applyBorder="0" applyAlignment="0" applyProtection="0"/>
    <xf numFmtId="243" fontId="39" fillId="0" borderId="0" applyFont="0" applyFill="0" applyBorder="0" applyAlignment="0" applyProtection="0"/>
    <xf numFmtId="244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41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2" fontId="39" fillId="0" borderId="0" applyFont="0" applyFill="0" applyBorder="0" applyAlignment="0" applyProtection="0"/>
    <xf numFmtId="243" fontId="39" fillId="0" borderId="0" applyFont="0" applyFill="0" applyBorder="0" applyAlignment="0" applyProtection="0"/>
    <xf numFmtId="244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4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3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3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4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4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4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1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32" fontId="39" fillId="0" borderId="0" applyFont="0" applyFill="0" applyBorder="0" applyAlignment="0" applyProtection="0"/>
    <xf numFmtId="24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3" fontId="67" fillId="0" borderId="109">
      <alignment horizontal="right" vertical="center"/>
    </xf>
    <xf numFmtId="250" fontId="28" fillId="0" borderId="0">
      <alignment horizontal="right"/>
    </xf>
    <xf numFmtId="251" fontId="28" fillId="0" borderId="0">
      <alignment horizontal="right"/>
    </xf>
    <xf numFmtId="252" fontId="28" fillId="0" borderId="0">
      <alignment horizontal="right"/>
    </xf>
    <xf numFmtId="252" fontId="28" fillId="0" borderId="0">
      <alignment horizontal="right"/>
    </xf>
    <xf numFmtId="253" fontId="28" fillId="0" borderId="0">
      <alignment horizontal="right"/>
    </xf>
    <xf numFmtId="253" fontId="28" fillId="0" borderId="0">
      <alignment horizontal="right"/>
    </xf>
    <xf numFmtId="253" fontId="28" fillId="0" borderId="0">
      <alignment horizontal="right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253" fontId="28" fillId="0" borderId="0">
      <alignment horizontal="right"/>
    </xf>
    <xf numFmtId="251" fontId="28" fillId="0" borderId="0">
      <alignment horizontal="right"/>
    </xf>
    <xf numFmtId="252" fontId="28" fillId="0" borderId="0">
      <alignment horizontal="right"/>
    </xf>
    <xf numFmtId="252" fontId="28" fillId="0" borderId="0">
      <alignment horizontal="right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" fontId="67" fillId="0" borderId="109">
      <alignment horizontal="right" vertical="center"/>
    </xf>
    <xf numFmtId="38" fontId="29" fillId="0" borderId="110">
      <alignment horizontal="right" vertical="center"/>
      <protection locked="0"/>
    </xf>
    <xf numFmtId="9" fontId="68" fillId="0" borderId="0" applyFont="0" applyFill="0" applyBorder="0" applyAlignment="0" applyProtection="0"/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2" fontId="67" fillId="0" borderId="109">
      <alignment horizontal="right" vertical="center"/>
    </xf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9" fillId="47" borderId="0" applyNumberFormat="0" applyBorder="0" applyAlignment="0" applyProtection="0"/>
    <xf numFmtId="0" fontId="69" fillId="48" borderId="0" applyNumberFormat="0" applyBorder="0" applyAlignment="0" applyProtection="0"/>
    <xf numFmtId="0" fontId="69" fillId="49" borderId="0" applyNumberFormat="0" applyBorder="0" applyAlignment="0" applyProtection="0"/>
    <xf numFmtId="0" fontId="69" fillId="50" borderId="0" applyNumberFormat="0" applyBorder="0" applyAlignment="0" applyProtection="0"/>
    <xf numFmtId="0" fontId="69" fillId="51" borderId="0" applyNumberFormat="0" applyBorder="0" applyAlignment="0" applyProtection="0"/>
    <xf numFmtId="0" fontId="69" fillId="52" borderId="0" applyNumberFormat="0" applyBorder="0" applyAlignment="0" applyProtection="0"/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2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18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205" fontId="39" fillId="0" borderId="0" applyFont="0" applyFill="0" applyBorder="0" applyAlignment="0" applyProtection="0"/>
    <xf numFmtId="188" fontId="39" fillId="0" borderId="0" applyFont="0" applyFill="0" applyBorder="0" applyAlignment="0" applyProtection="0"/>
    <xf numFmtId="254" fontId="39" fillId="0" borderId="0" applyFont="0" applyFill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7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58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9" borderId="0" applyNumberFormat="0" applyBorder="0" applyAlignment="0" applyProtection="0"/>
    <xf numFmtId="0" fontId="39" fillId="59" borderId="0" applyNumberFormat="0" applyBorder="0" applyAlignment="0" applyProtection="0"/>
    <xf numFmtId="0" fontId="39" fillId="59" borderId="0" applyNumberFormat="0" applyBorder="0" applyAlignment="0" applyProtection="0"/>
    <xf numFmtId="0" fontId="39" fillId="60" borderId="0" applyNumberFormat="0" applyBorder="0" applyAlignment="0" applyProtection="0"/>
    <xf numFmtId="0" fontId="39" fillId="53" borderId="0" applyNumberFormat="0" applyBorder="0" applyAlignment="0" applyProtection="0"/>
    <xf numFmtId="0" fontId="39" fillId="61" borderId="0" applyNumberFormat="0" applyBorder="0" applyAlignment="0" applyProtection="0"/>
    <xf numFmtId="0" fontId="39" fillId="50" borderId="0" applyNumberFormat="0" applyBorder="0" applyAlignment="0" applyProtection="0"/>
    <xf numFmtId="0" fontId="39" fillId="60" borderId="0" applyNumberFormat="0" applyBorder="0" applyAlignment="0" applyProtection="0"/>
    <xf numFmtId="0" fontId="39" fillId="62" borderId="0" applyNumberFormat="0" applyBorder="0" applyAlignment="0" applyProtection="0"/>
    <xf numFmtId="0" fontId="69" fillId="60" borderId="0" applyNumberFormat="0" applyBorder="0" applyAlignment="0" applyProtection="0"/>
    <xf numFmtId="0" fontId="69" fillId="53" borderId="0" applyNumberFormat="0" applyBorder="0" applyAlignment="0" applyProtection="0"/>
    <xf numFmtId="0" fontId="69" fillId="61" borderId="0" applyNumberFormat="0" applyBorder="0" applyAlignment="0" applyProtection="0"/>
    <xf numFmtId="0" fontId="69" fillId="50" borderId="0" applyNumberFormat="0" applyBorder="0" applyAlignment="0" applyProtection="0"/>
    <xf numFmtId="0" fontId="69" fillId="60" borderId="0" applyNumberFormat="0" applyBorder="0" applyAlignment="0" applyProtection="0"/>
    <xf numFmtId="0" fontId="69" fillId="62" borderId="0" applyNumberFormat="0" applyBorder="0" applyAlignment="0" applyProtection="0"/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53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61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65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0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0" fillId="62" borderId="0" applyNumberFormat="0" applyBorder="0" applyAlignment="0" applyProtection="0">
      <alignment vertical="center"/>
    </xf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74" fillId="66" borderId="0" applyNumberFormat="0" applyBorder="0" applyAlignment="0" applyProtection="0"/>
    <xf numFmtId="0" fontId="74" fillId="57" borderId="0" applyNumberFormat="0" applyBorder="0" applyAlignment="0" applyProtection="0"/>
    <xf numFmtId="0" fontId="74" fillId="57" borderId="0" applyNumberFormat="0" applyBorder="0" applyAlignment="0" applyProtection="0"/>
    <xf numFmtId="0" fontId="74" fillId="57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58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74" fillId="69" borderId="0" applyNumberFormat="0" applyBorder="0" applyAlignment="0" applyProtection="0"/>
    <xf numFmtId="0" fontId="74" fillId="70" borderId="0" applyNumberFormat="0" applyBorder="0" applyAlignment="0" applyProtection="0"/>
    <xf numFmtId="0" fontId="74" fillId="53" borderId="0" applyNumberFormat="0" applyBorder="0" applyAlignment="0" applyProtection="0"/>
    <xf numFmtId="0" fontId="74" fillId="61" borderId="0" applyNumberFormat="0" applyBorder="0" applyAlignment="0" applyProtection="0"/>
    <xf numFmtId="0" fontId="74" fillId="71" borderId="0" applyNumberFormat="0" applyBorder="0" applyAlignment="0" applyProtection="0"/>
    <xf numFmtId="0" fontId="74" fillId="72" borderId="0" applyNumberFormat="0" applyBorder="0" applyAlignment="0" applyProtection="0"/>
    <xf numFmtId="0" fontId="74" fillId="73" borderId="0" applyNumberFormat="0" applyBorder="0" applyAlignment="0" applyProtection="0"/>
    <xf numFmtId="0" fontId="75" fillId="70" borderId="0" applyNumberFormat="0" applyBorder="0" applyAlignment="0" applyProtection="0"/>
    <xf numFmtId="0" fontId="75" fillId="53" borderId="0" applyNumberFormat="0" applyBorder="0" applyAlignment="0" applyProtection="0"/>
    <xf numFmtId="0" fontId="75" fillId="61" borderId="0" applyNumberFormat="0" applyBorder="0" applyAlignment="0" applyProtection="0"/>
    <xf numFmtId="0" fontId="75" fillId="71" borderId="0" applyNumberFormat="0" applyBorder="0" applyAlignment="0" applyProtection="0"/>
    <xf numFmtId="0" fontId="75" fillId="72" borderId="0" applyNumberFormat="0" applyBorder="0" applyAlignment="0" applyProtection="0"/>
    <xf numFmtId="0" fontId="75" fillId="73" borderId="0" applyNumberFormat="0" applyBorder="0" applyAlignment="0" applyProtection="0"/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8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70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8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7" fillId="53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8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6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8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7" fillId="65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8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7" fillId="52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76" fillId="73" borderId="0" applyNumberFormat="0" applyBorder="0" applyAlignment="0" applyProtection="0">
      <alignment vertical="center"/>
    </xf>
    <xf numFmtId="0" fontId="80" fillId="0" borderId="0"/>
    <xf numFmtId="255" fontId="81" fillId="0" borderId="0" applyFont="0" applyFill="0" applyBorder="0" applyAlignment="0" applyProtection="0"/>
    <xf numFmtId="208" fontId="81" fillId="0" borderId="0" applyFont="0" applyFill="0" applyBorder="0" applyAlignment="0" applyProtection="0"/>
    <xf numFmtId="255" fontId="82" fillId="0" borderId="0" applyFont="0" applyFill="0" applyBorder="0" applyAlignment="0" applyProtection="0"/>
    <xf numFmtId="208" fontId="82" fillId="0" borderId="0" applyFont="0" applyFill="0" applyBorder="0" applyAlignment="0" applyProtection="0"/>
    <xf numFmtId="0" fontId="66" fillId="0" borderId="90" applyBorder="0"/>
    <xf numFmtId="0" fontId="74" fillId="74" borderId="0" applyNumberFormat="0" applyBorder="0" applyAlignment="0" applyProtection="0"/>
    <xf numFmtId="0" fontId="74" fillId="74" borderId="0" applyNumberFormat="0" applyBorder="0" applyAlignment="0" applyProtection="0"/>
    <xf numFmtId="0" fontId="74" fillId="74" borderId="0" applyNumberFormat="0" applyBorder="0" applyAlignment="0" applyProtection="0"/>
    <xf numFmtId="0" fontId="74" fillId="75" borderId="0" applyNumberFormat="0" applyBorder="0" applyAlignment="0" applyProtection="0"/>
    <xf numFmtId="0" fontId="74" fillId="75" borderId="0" applyNumberFormat="0" applyBorder="0" applyAlignment="0" applyProtection="0"/>
    <xf numFmtId="0" fontId="74" fillId="75" borderId="0" applyNumberFormat="0" applyBorder="0" applyAlignment="0" applyProtection="0"/>
    <xf numFmtId="0" fontId="74" fillId="76" borderId="0" applyNumberFormat="0" applyBorder="0" applyAlignment="0" applyProtection="0"/>
    <xf numFmtId="0" fontId="74" fillId="76" borderId="0" applyNumberFormat="0" applyBorder="0" applyAlignment="0" applyProtection="0"/>
    <xf numFmtId="0" fontId="74" fillId="76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7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4" fillId="77" borderId="0" applyNumberFormat="0" applyBorder="0" applyAlignment="0" applyProtection="0"/>
    <xf numFmtId="0" fontId="74" fillId="77" borderId="0" applyNumberFormat="0" applyBorder="0" applyAlignment="0" applyProtection="0"/>
    <xf numFmtId="0" fontId="74" fillId="77" borderId="0" applyNumberFormat="0" applyBorder="0" applyAlignment="0" applyProtection="0"/>
    <xf numFmtId="256" fontId="39" fillId="0" borderId="0" applyFont="0" applyFill="0" applyBorder="0" applyAlignment="0" applyProtection="0"/>
    <xf numFmtId="0" fontId="4" fillId="0" borderId="0">
      <protection locked="0"/>
    </xf>
    <xf numFmtId="42" fontId="83" fillId="0" borderId="0" applyFont="0" applyFill="0" applyBorder="0" applyAlignment="0" applyProtection="0"/>
    <xf numFmtId="0" fontId="4" fillId="0" borderId="0">
      <protection locked="0"/>
    </xf>
    <xf numFmtId="44" fontId="83" fillId="0" borderId="0" applyFont="0" applyFill="0" applyBorder="0" applyAlignment="0" applyProtection="0"/>
    <xf numFmtId="212" fontId="82" fillId="0" borderId="0" applyFont="0" applyFill="0" applyBorder="0" applyAlignment="0" applyProtection="0"/>
    <xf numFmtId="213" fontId="82" fillId="0" borderId="0" applyFont="0" applyFill="0" applyBorder="0" applyAlignment="0" applyProtection="0"/>
    <xf numFmtId="212" fontId="81" fillId="0" borderId="0" applyFont="0" applyFill="0" applyBorder="0" applyAlignment="0" applyProtection="0"/>
    <xf numFmtId="213" fontId="81" fillId="0" borderId="0" applyFont="0" applyFill="0" applyBorder="0" applyAlignment="0" applyProtection="0"/>
    <xf numFmtId="0" fontId="43" fillId="0" borderId="0"/>
    <xf numFmtId="0" fontId="84" fillId="0" borderId="0">
      <alignment horizontal="center" wrapText="1"/>
      <protection locked="0"/>
    </xf>
    <xf numFmtId="0" fontId="85" fillId="0" borderId="85">
      <protection hidden="1"/>
    </xf>
    <xf numFmtId="0" fontId="39" fillId="78" borderId="85" applyNumberFormat="0" applyFont="0" applyBorder="0" applyAlignment="0" applyProtection="0">
      <protection hidden="1"/>
    </xf>
    <xf numFmtId="255" fontId="86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87" fillId="0" borderId="0"/>
    <xf numFmtId="0" fontId="39" fillId="0" borderId="0" applyFont="0">
      <alignment horizontal="left"/>
    </xf>
    <xf numFmtId="257" fontId="88" fillId="0" borderId="0" applyFont="0" applyFill="0" applyBorder="0" applyAlignment="0" applyProtection="0"/>
    <xf numFmtId="0" fontId="28" fillId="37" borderId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258" fontId="90" fillId="0" borderId="0"/>
    <xf numFmtId="210" fontId="39" fillId="0" borderId="0" applyFont="0" applyFill="0" applyBorder="0" applyAlignment="0" applyProtection="0"/>
    <xf numFmtId="49" fontId="91" fillId="78" borderId="0" applyBorder="0">
      <alignment horizontal="right"/>
    </xf>
    <xf numFmtId="259" fontId="39" fillId="0" borderId="0" applyFont="0" applyFill="0" applyBorder="0" applyAlignment="0" applyProtection="0"/>
    <xf numFmtId="260" fontId="28" fillId="0" borderId="111" applyBorder="0"/>
    <xf numFmtId="0" fontId="4" fillId="0" borderId="90" applyProtection="0">
      <alignment vertical="center"/>
    </xf>
    <xf numFmtId="260" fontId="28" fillId="0" borderId="36" applyBorder="0">
      <alignment horizontal="right"/>
    </xf>
    <xf numFmtId="0" fontId="92" fillId="49" borderId="0" applyNumberFormat="0" applyBorder="0" applyAlignment="0" applyProtection="0"/>
    <xf numFmtId="0" fontId="93" fillId="0" borderId="0" applyNumberFormat="0" applyFill="0" applyBorder="0" applyProtection="0">
      <alignment horizontal="left"/>
    </xf>
    <xf numFmtId="0" fontId="68" fillId="0" borderId="0"/>
    <xf numFmtId="0" fontId="94" fillId="0" borderId="0"/>
    <xf numFmtId="0" fontId="81" fillId="0" borderId="0"/>
    <xf numFmtId="0" fontId="68" fillId="0" borderId="0"/>
    <xf numFmtId="0" fontId="95" fillId="0" borderId="0"/>
    <xf numFmtId="0" fontId="68" fillId="0" borderId="0"/>
    <xf numFmtId="261" fontId="44" fillId="0" borderId="0" applyFill="0" applyBorder="0" applyAlignment="0"/>
    <xf numFmtId="258" fontId="96" fillId="0" borderId="0" applyFill="0" applyBorder="0" applyAlignment="0"/>
    <xf numFmtId="262" fontId="96" fillId="0" borderId="0" applyFill="0" applyBorder="0" applyAlignment="0"/>
    <xf numFmtId="263" fontId="96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64" fontId="4" fillId="0" borderId="0" applyFill="0" applyBorder="0" applyAlignment="0"/>
    <xf numFmtId="206" fontId="96" fillId="0" borderId="0" applyFill="0" applyBorder="0" applyAlignment="0"/>
    <xf numFmtId="265" fontId="96" fillId="0" borderId="0" applyFill="0" applyBorder="0" applyAlignment="0"/>
    <xf numFmtId="258" fontId="96" fillId="0" borderId="0" applyFill="0" applyBorder="0" applyAlignment="0"/>
    <xf numFmtId="0" fontId="97" fillId="78" borderId="112" applyNumberFormat="0" applyAlignment="0" applyProtection="0"/>
    <xf numFmtId="0" fontId="97" fillId="78" borderId="112" applyNumberFormat="0" applyAlignment="0" applyProtection="0"/>
    <xf numFmtId="0" fontId="97" fillId="78" borderId="112" applyNumberFormat="0" applyAlignment="0" applyProtection="0"/>
    <xf numFmtId="0" fontId="97" fillId="65" borderId="112" applyNumberFormat="0" applyAlignment="0" applyProtection="0"/>
    <xf numFmtId="0" fontId="98" fillId="0" borderId="0"/>
    <xf numFmtId="0" fontId="99" fillId="63" borderId="113" applyNumberFormat="0" applyAlignment="0" applyProtection="0"/>
    <xf numFmtId="0" fontId="100" fillId="0" borderId="114" applyNumberFormat="0" applyFill="0" applyAlignment="0" applyProtection="0"/>
    <xf numFmtId="0" fontId="99" fillId="79" borderId="113" applyNumberFormat="0" applyAlignment="0" applyProtection="0"/>
    <xf numFmtId="0" fontId="99" fillId="79" borderId="113" applyNumberFormat="0" applyAlignment="0" applyProtection="0"/>
    <xf numFmtId="0" fontId="99" fillId="79" borderId="113" applyNumberFormat="0" applyAlignment="0" applyProtection="0"/>
    <xf numFmtId="0" fontId="91" fillId="80" borderId="69">
      <alignment horizontal="center"/>
    </xf>
    <xf numFmtId="258" fontId="101" fillId="0" borderId="0"/>
    <xf numFmtId="0" fontId="102" fillId="81" borderId="115" applyNumberFormat="0" applyBorder="0" applyAlignment="0">
      <alignment horizontal="left" wrapText="1"/>
    </xf>
    <xf numFmtId="0" fontId="91" fillId="0" borderId="26">
      <alignment horizontal="center"/>
    </xf>
    <xf numFmtId="0" fontId="103" fillId="0" borderId="0" applyNumberFormat="0" applyFill="0" applyBorder="0" applyProtection="0">
      <alignment horizontal="right"/>
    </xf>
    <xf numFmtId="266" fontId="104" fillId="0" borderId="0">
      <protection locked="0"/>
    </xf>
    <xf numFmtId="38" fontId="105" fillId="0" borderId="0" applyFont="0" applyFill="0" applyBorder="0" applyAlignment="0" applyProtection="0"/>
    <xf numFmtId="210" fontId="39" fillId="0" borderId="0" applyFont="0" applyFill="0" applyBorder="0" applyAlignment="0" applyProtection="0">
      <alignment horizontal="centerContinuous"/>
    </xf>
    <xf numFmtId="185" fontId="106" fillId="0" borderId="0" applyFont="0" applyFill="0" applyBorder="0" applyAlignment="0" applyProtection="0">
      <alignment vertical="center"/>
    </xf>
    <xf numFmtId="210" fontId="28" fillId="0" borderId="0" applyFont="0" applyFill="0" applyBorder="0" applyAlignment="0" applyProtection="0"/>
    <xf numFmtId="267" fontId="106" fillId="0" borderId="0" applyFont="0" applyFill="0" applyBorder="0" applyAlignment="0" applyProtection="0">
      <alignment vertical="center"/>
    </xf>
    <xf numFmtId="267" fontId="106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68" fontId="39" fillId="0" borderId="0" applyFont="0" applyFill="0" applyBorder="0" applyAlignment="0" applyProtection="0">
      <alignment horizontal="centerContinuous"/>
    </xf>
    <xf numFmtId="269" fontId="39" fillId="0" borderId="0" applyFont="0" applyFill="0" applyBorder="0" applyAlignment="0" applyProtection="0">
      <alignment horizontal="centerContinuous"/>
    </xf>
    <xf numFmtId="270" fontId="39" fillId="0" borderId="0" applyFont="0" applyFill="0" applyBorder="0" applyAlignment="0" applyProtection="0">
      <alignment horizontal="centerContinuous"/>
    </xf>
    <xf numFmtId="271" fontId="39" fillId="0" borderId="0" applyFont="0" applyFill="0" applyBorder="0" applyAlignment="0" applyProtection="0">
      <alignment horizontal="centerContinuous"/>
    </xf>
    <xf numFmtId="206" fontId="39" fillId="0" borderId="0" applyFont="0" applyFill="0" applyBorder="0" applyAlignment="0" applyProtection="0"/>
    <xf numFmtId="272" fontId="107" fillId="0" borderId="0" applyFont="0" applyFill="0" applyBorder="0" applyAlignment="0" applyProtection="0">
      <alignment horizontal="right"/>
    </xf>
    <xf numFmtId="273" fontId="107" fillId="0" borderId="0" applyFont="0" applyFill="0" applyBorder="0" applyAlignment="0" applyProtection="0"/>
    <xf numFmtId="274" fontId="107" fillId="0" borderId="0" applyFont="0" applyFill="0" applyBorder="0" applyAlignment="0" applyProtection="0">
      <alignment horizontal="right"/>
    </xf>
    <xf numFmtId="275" fontId="108" fillId="0" borderId="0" applyFont="0" applyFill="0" applyBorder="0" applyAlignment="0" applyProtection="0"/>
    <xf numFmtId="186" fontId="106" fillId="0" borderId="0" applyFont="0" applyFill="0" applyBorder="0" applyAlignment="0" applyProtection="0">
      <alignment vertical="center"/>
    </xf>
    <xf numFmtId="275" fontId="108" fillId="0" borderId="0" applyFont="0" applyFill="0" applyBorder="0" applyAlignment="0" applyProtection="0"/>
    <xf numFmtId="186" fontId="106" fillId="0" borderId="0" applyFont="0" applyFill="0" applyBorder="0" applyAlignment="0" applyProtection="0">
      <alignment vertical="center"/>
    </xf>
    <xf numFmtId="186" fontId="106" fillId="0" borderId="0" applyFont="0" applyFill="0" applyBorder="0" applyAlignment="0" applyProtection="0">
      <alignment vertical="center"/>
    </xf>
    <xf numFmtId="275" fontId="108" fillId="0" borderId="0" applyFont="0" applyFill="0" applyBorder="0" applyAlignment="0" applyProtection="0"/>
    <xf numFmtId="43" fontId="106" fillId="0" borderId="0" applyFont="0" applyFill="0" applyBorder="0" applyAlignment="0" applyProtection="0">
      <alignment vertical="center"/>
    </xf>
    <xf numFmtId="276" fontId="44" fillId="0" borderId="0"/>
    <xf numFmtId="277" fontId="4" fillId="0" borderId="0"/>
    <xf numFmtId="277" fontId="4" fillId="0" borderId="0"/>
    <xf numFmtId="277" fontId="4" fillId="0" borderId="0"/>
    <xf numFmtId="37" fontId="39" fillId="0" borderId="0" applyFont="0" applyFill="0" applyBorder="0" applyAlignment="0" applyProtection="0">
      <alignment horizontal="right"/>
    </xf>
    <xf numFmtId="40" fontId="39" fillId="0" borderId="0" applyFont="0" applyFill="0" applyBorder="0" applyAlignment="0" applyProtection="0"/>
    <xf numFmtId="0" fontId="28" fillId="0" borderId="0" applyFont="0" applyFill="0" applyBorder="0" applyAlignment="0" applyProtection="0"/>
    <xf numFmtId="3" fontId="109" fillId="0" borderId="0" applyFont="0" applyFill="0" applyBorder="0" applyAlignment="0" applyProtection="0"/>
    <xf numFmtId="0" fontId="110" fillId="78" borderId="0"/>
    <xf numFmtId="0" fontId="111" fillId="78" borderId="0" applyNumberFormat="0" applyFill="0" applyBorder="0"/>
    <xf numFmtId="0" fontId="112" fillId="78" borderId="0" applyNumberFormat="0" applyFill="0" applyBorder="0"/>
    <xf numFmtId="0" fontId="113" fillId="78" borderId="0" applyNumberFormat="0" applyFill="0" applyBorder="0"/>
    <xf numFmtId="0" fontId="114" fillId="0" borderId="0" applyNumberFormat="0" applyAlignment="0">
      <alignment horizontal="left"/>
    </xf>
    <xf numFmtId="0" fontId="37" fillId="0" borderId="0" applyNumberFormat="0" applyAlignment="0"/>
    <xf numFmtId="0" fontId="115" fillId="80" borderId="116" applyFont="0" applyBorder="0">
      <alignment horizontal="centerContinuous" vertical="center"/>
    </xf>
    <xf numFmtId="43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254" fontId="116" fillId="78" borderId="95" applyBorder="0"/>
    <xf numFmtId="0" fontId="65" fillId="0" borderId="0" applyFont="0" applyFill="0" applyBorder="0" applyAlignment="0" applyProtection="0"/>
    <xf numFmtId="266" fontId="104" fillId="0" borderId="0">
      <protection locked="0"/>
    </xf>
    <xf numFmtId="246" fontId="40" fillId="0" borderId="0">
      <alignment horizontal="center"/>
    </xf>
    <xf numFmtId="278" fontId="39" fillId="0" borderId="0" applyFont="0" applyFill="0" applyBorder="0" applyAlignment="0" applyProtection="0">
      <alignment horizontal="centerContinuous"/>
    </xf>
    <xf numFmtId="205" fontId="39" fillId="0" borderId="0" applyFont="0" applyFill="0" applyBorder="0" applyAlignment="0" applyProtection="0">
      <alignment horizontal="centerContinuous"/>
    </xf>
    <xf numFmtId="279" fontId="39" fillId="0" borderId="0" applyFont="0" applyFill="0" applyBorder="0" applyAlignment="0" applyProtection="0">
      <alignment horizontal="centerContinuous"/>
    </xf>
    <xf numFmtId="280" fontId="39" fillId="0" borderId="0" applyFont="0" applyFill="0" applyBorder="0" applyAlignment="0" applyProtection="0">
      <alignment horizontal="centerContinuous"/>
    </xf>
    <xf numFmtId="281" fontId="39" fillId="0" borderId="0" applyFont="0" applyFill="0" applyBorder="0" applyAlignment="0" applyProtection="0">
      <alignment horizontal="centerContinuous"/>
    </xf>
    <xf numFmtId="282" fontId="39" fillId="0" borderId="0" applyFont="0" applyFill="0" applyBorder="0" applyAlignment="0" applyProtection="0">
      <alignment horizontal="centerContinuous"/>
    </xf>
    <xf numFmtId="0" fontId="105" fillId="0" borderId="0" applyFont="0" applyFill="0" applyBorder="0" applyAlignment="0" applyProtection="0"/>
    <xf numFmtId="258" fontId="39" fillId="0" borderId="0" applyFont="0" applyFill="0" applyBorder="0" applyAlignment="0" applyProtection="0"/>
    <xf numFmtId="283" fontId="107" fillId="0" borderId="0" applyFont="0" applyFill="0" applyBorder="0" applyAlignment="0" applyProtection="0">
      <alignment horizontal="right"/>
    </xf>
    <xf numFmtId="44" fontId="4" fillId="0" borderId="0" applyFont="0" applyFill="0" applyBorder="0" applyAlignment="0" applyProtection="0">
      <alignment vertical="center"/>
    </xf>
    <xf numFmtId="181" fontId="117" fillId="0" borderId="69" applyFill="0" applyBorder="0" applyAlignment="0"/>
    <xf numFmtId="284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285" fontId="44" fillId="0" borderId="0" applyFont="0" applyFill="0" applyBorder="0" applyAlignment="0" applyProtection="0"/>
    <xf numFmtId="286" fontId="44" fillId="0" borderId="0"/>
    <xf numFmtId="0" fontId="4" fillId="0" borderId="0"/>
    <xf numFmtId="0" fontId="4" fillId="0" borderId="0"/>
    <xf numFmtId="0" fontId="4" fillId="0" borderId="0"/>
    <xf numFmtId="287" fontId="39" fillId="78" borderId="0" applyFont="0" applyBorder="0"/>
    <xf numFmtId="0" fontId="4" fillId="79" borderId="69" applyNumberFormat="0" applyFont="0" applyBorder="0" applyAlignment="0" applyProtection="0">
      <alignment vertical="center"/>
    </xf>
    <xf numFmtId="0" fontId="28" fillId="0" borderId="0"/>
    <xf numFmtId="266" fontId="104" fillId="0" borderId="0">
      <protection locked="0"/>
    </xf>
    <xf numFmtId="288" fontId="107" fillId="0" borderId="0" applyFont="0" applyFill="0" applyBorder="0" applyAlignment="0" applyProtection="0"/>
    <xf numFmtId="14" fontId="63" fillId="0" borderId="0" applyFill="0" applyBorder="0" applyAlignment="0"/>
    <xf numFmtId="289" fontId="39" fillId="0" borderId="0" applyFont="0" applyFill="0" applyBorder="0" applyProtection="0">
      <alignment horizontal="centerContinuous"/>
    </xf>
    <xf numFmtId="275" fontId="118" fillId="0" borderId="0" applyFont="0" applyFill="0" applyBorder="0" applyAlignment="0" applyProtection="0"/>
    <xf numFmtId="0" fontId="119" fillId="65" borderId="117" applyNumberFormat="0" applyAlignment="0" applyProtection="0"/>
    <xf numFmtId="0" fontId="120" fillId="52" borderId="112" applyNumberFormat="0" applyAlignment="0" applyProtection="0"/>
    <xf numFmtId="0" fontId="121" fillId="0" borderId="118" applyNumberFormat="0" applyFill="0" applyAlignment="0" applyProtection="0"/>
    <xf numFmtId="0" fontId="122" fillId="0" borderId="119" applyNumberFormat="0" applyFill="0" applyAlignment="0" applyProtection="0"/>
    <xf numFmtId="0" fontId="123" fillId="0" borderId="120" applyNumberFormat="0" applyFill="0" applyAlignment="0" applyProtection="0"/>
    <xf numFmtId="0" fontId="123" fillId="0" borderId="0" applyNumberFormat="0" applyFill="0" applyBorder="0" applyAlignment="0" applyProtection="0"/>
    <xf numFmtId="290" fontId="39" fillId="0" borderId="0" applyFont="0" applyFill="0" applyBorder="0" applyAlignment="0" applyProtection="0"/>
    <xf numFmtId="229" fontId="39" fillId="0" borderId="0" applyFont="0" applyFill="0" applyBorder="0" applyAlignment="0" applyProtection="0"/>
    <xf numFmtId="25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0" fontId="28" fillId="44" borderId="121" applyBorder="0"/>
    <xf numFmtId="291" fontId="28" fillId="44" borderId="122" applyBorder="0">
      <alignment horizontal="center"/>
    </xf>
    <xf numFmtId="0" fontId="43" fillId="0" borderId="0"/>
    <xf numFmtId="292" fontId="90" fillId="0" borderId="0"/>
    <xf numFmtId="292" fontId="101" fillId="0" borderId="0">
      <alignment horizontal="right"/>
    </xf>
    <xf numFmtId="293" fontId="44" fillId="0" borderId="0"/>
    <xf numFmtId="294" fontId="4" fillId="0" borderId="0"/>
    <xf numFmtId="294" fontId="4" fillId="0" borderId="0"/>
    <xf numFmtId="294" fontId="4" fillId="0" borderId="0"/>
    <xf numFmtId="295" fontId="55" fillId="0" borderId="0"/>
    <xf numFmtId="205" fontId="40" fillId="0" borderId="0"/>
    <xf numFmtId="296" fontId="39" fillId="0" borderId="0" applyFont="0" applyFill="0" applyBorder="0" applyAlignment="0" applyProtection="0"/>
    <xf numFmtId="0" fontId="124" fillId="0" borderId="0" applyNumberFormat="0" applyFill="0" applyBorder="0" applyProtection="0">
      <alignment horizontal="left"/>
    </xf>
    <xf numFmtId="0" fontId="125" fillId="0" borderId="0" applyNumberFormat="0" applyFill="0" applyBorder="0" applyAlignment="0" applyProtection="0"/>
    <xf numFmtId="0" fontId="74" fillId="82" borderId="0" applyNumberFormat="0" applyBorder="0" applyAlignment="0" applyProtection="0"/>
    <xf numFmtId="0" fontId="74" fillId="83" borderId="0" applyNumberFormat="0" applyBorder="0" applyAlignment="0" applyProtection="0"/>
    <xf numFmtId="0" fontId="74" fillId="64" borderId="0" applyNumberFormat="0" applyBorder="0" applyAlignment="0" applyProtection="0"/>
    <xf numFmtId="0" fontId="74" fillId="71" borderId="0" applyNumberFormat="0" applyBorder="0" applyAlignment="0" applyProtection="0"/>
    <xf numFmtId="0" fontId="74" fillId="72" borderId="0" applyNumberFormat="0" applyBorder="0" applyAlignment="0" applyProtection="0"/>
    <xf numFmtId="0" fontId="74" fillId="84" borderId="0" applyNumberFormat="0" applyBorder="0" applyAlignment="0" applyProtection="0"/>
    <xf numFmtId="206" fontId="96" fillId="0" borderId="0" applyFill="0" applyBorder="0" applyAlignment="0"/>
    <xf numFmtId="258" fontId="96" fillId="0" borderId="0" applyFill="0" applyBorder="0" applyAlignment="0"/>
    <xf numFmtId="206" fontId="96" fillId="0" borderId="0" applyFill="0" applyBorder="0" applyAlignment="0"/>
    <xf numFmtId="265" fontId="96" fillId="0" borderId="0" applyFill="0" applyBorder="0" applyAlignment="0"/>
    <xf numFmtId="258" fontId="96" fillId="0" borderId="0" applyFill="0" applyBorder="0" applyAlignment="0"/>
    <xf numFmtId="0" fontId="126" fillId="0" borderId="0" applyNumberFormat="0" applyAlignment="0">
      <alignment horizontal="left"/>
    </xf>
    <xf numFmtId="0" fontId="127" fillId="52" borderId="112" applyNumberFormat="0" applyAlignment="0" applyProtection="0"/>
    <xf numFmtId="0" fontId="128" fillId="0" borderId="0" applyNumberFormat="0" applyFill="0" applyBorder="0" applyProtection="0">
      <alignment horizontal="right"/>
    </xf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297" fontId="4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1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1" fillId="0" borderId="0">
      <protection locked="0"/>
    </xf>
    <xf numFmtId="0" fontId="39" fillId="0" borderId="0" applyNumberFormat="0" applyFont="0" applyFill="0" applyBorder="0" applyProtection="0">
      <alignment horizontal="fill"/>
    </xf>
    <xf numFmtId="0" fontId="116" fillId="78" borderId="0"/>
    <xf numFmtId="266" fontId="104" fillId="0" borderId="0">
      <protection locked="0"/>
    </xf>
    <xf numFmtId="0" fontId="132" fillId="0" borderId="0" applyFill="0" applyBorder="0" applyProtection="0">
      <alignment horizontal="left"/>
    </xf>
    <xf numFmtId="0" fontId="133" fillId="0" borderId="0" applyNumberFormat="0" applyFill="0" applyBorder="0" applyProtection="0">
      <alignment horizontal="right"/>
    </xf>
    <xf numFmtId="9" fontId="39" fillId="0" borderId="0" applyFont="0" applyFill="0" applyBorder="0" applyAlignment="0" applyProtection="0"/>
    <xf numFmtId="298" fontId="28" fillId="0" borderId="0"/>
    <xf numFmtId="214" fontId="28" fillId="0" borderId="0"/>
    <xf numFmtId="299" fontId="55" fillId="0" borderId="0"/>
    <xf numFmtId="300" fontId="55" fillId="0" borderId="0"/>
    <xf numFmtId="0" fontId="39" fillId="0" borderId="0" applyFont="0" applyFill="0" applyBorder="0" applyProtection="0"/>
    <xf numFmtId="0" fontId="28" fillId="54" borderId="123" applyNumberFormat="0" applyFont="0" applyAlignment="0" applyProtection="0"/>
    <xf numFmtId="0" fontId="92" fillId="45" borderId="0" applyNumberFormat="0" applyBorder="0" applyAlignment="0" applyProtection="0"/>
    <xf numFmtId="0" fontId="92" fillId="45" borderId="0" applyNumberFormat="0" applyBorder="0" applyAlignment="0" applyProtection="0"/>
    <xf numFmtId="0" fontId="92" fillId="45" borderId="0" applyNumberFormat="0" applyBorder="0" applyAlignment="0" applyProtection="0"/>
    <xf numFmtId="301" fontId="63" fillId="0" borderId="124"/>
    <xf numFmtId="38" fontId="116" fillId="78" borderId="0" applyNumberFormat="0" applyBorder="0" applyAlignment="0" applyProtection="0"/>
    <xf numFmtId="3" fontId="134" fillId="0" borderId="125">
      <alignment horizontal="right" vertical="center"/>
    </xf>
    <xf numFmtId="4" fontId="134" fillId="0" borderId="125">
      <alignment horizontal="right" vertical="center"/>
    </xf>
    <xf numFmtId="302" fontId="107" fillId="0" borderId="0" applyFont="0" applyFill="0" applyBorder="0" applyAlignment="0" applyProtection="0">
      <alignment horizontal="right"/>
    </xf>
    <xf numFmtId="0" fontId="135" fillId="0" borderId="0">
      <alignment horizontal="left"/>
    </xf>
    <xf numFmtId="0" fontId="136" fillId="0" borderId="36" applyNumberFormat="0" applyAlignment="0" applyProtection="0">
      <alignment horizontal="left" vertical="center"/>
    </xf>
    <xf numFmtId="0" fontId="136" fillId="0" borderId="126">
      <alignment horizontal="left" vertical="center"/>
    </xf>
    <xf numFmtId="228" fontId="137" fillId="0" borderId="0">
      <alignment horizontal="left"/>
    </xf>
    <xf numFmtId="14" fontId="30" fillId="46" borderId="16">
      <alignment horizontal="center" vertical="center" wrapText="1"/>
    </xf>
    <xf numFmtId="0" fontId="138" fillId="85" borderId="127" applyBorder="0" applyAlignment="0"/>
    <xf numFmtId="0" fontId="139" fillId="0" borderId="118" applyNumberFormat="0" applyFill="0" applyAlignment="0" applyProtection="0"/>
    <xf numFmtId="0" fontId="139" fillId="0" borderId="118" applyNumberFormat="0" applyFill="0" applyAlignment="0" applyProtection="0"/>
    <xf numFmtId="0" fontId="139" fillId="0" borderId="118" applyNumberFormat="0" applyFill="0" applyAlignment="0" applyProtection="0"/>
    <xf numFmtId="0" fontId="140" fillId="0" borderId="0" applyProtection="0">
      <alignment horizontal="left"/>
    </xf>
    <xf numFmtId="0" fontId="141" fillId="0" borderId="119" applyNumberFormat="0" applyFill="0" applyAlignment="0" applyProtection="0"/>
    <xf numFmtId="0" fontId="141" fillId="0" borderId="119" applyNumberFormat="0" applyFill="0" applyAlignment="0" applyProtection="0"/>
    <xf numFmtId="0" fontId="141" fillId="0" borderId="119" applyNumberFormat="0" applyFill="0" applyAlignment="0" applyProtection="0"/>
    <xf numFmtId="0" fontId="142" fillId="78" borderId="0" applyNumberFormat="0" applyFill="0" applyBorder="0"/>
    <xf numFmtId="0" fontId="125" fillId="0" borderId="120" applyNumberFormat="0" applyFill="0" applyAlignment="0" applyProtection="0"/>
    <xf numFmtId="0" fontId="125" fillId="0" borderId="120" applyNumberFormat="0" applyFill="0" applyAlignment="0" applyProtection="0"/>
    <xf numFmtId="0" fontId="125" fillId="0" borderId="120" applyNumberFormat="0" applyFill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14" fontId="30" fillId="46" borderId="16">
      <alignment horizontal="center" vertical="center" wrapText="1"/>
    </xf>
    <xf numFmtId="266" fontId="143" fillId="0" borderId="0">
      <protection locked="0"/>
    </xf>
    <xf numFmtId="266" fontId="143" fillId="0" borderId="0">
      <protection locked="0"/>
    </xf>
    <xf numFmtId="12" fontId="28" fillId="37" borderId="128" applyNumberFormat="0" applyBorder="0" applyAlignment="0" applyProtection="0">
      <alignment horizontal="center"/>
    </xf>
    <xf numFmtId="0" fontId="144" fillId="0" borderId="16">
      <alignment horizontal="center"/>
    </xf>
    <xf numFmtId="0" fontId="144" fillId="0" borderId="0">
      <alignment horizontal="center"/>
    </xf>
    <xf numFmtId="37" fontId="4" fillId="0" borderId="0">
      <alignment horizontal="center"/>
    </xf>
    <xf numFmtId="0" fontId="145" fillId="0" borderId="0" applyNumberFormat="0" applyFill="0" applyBorder="0" applyAlignment="0" applyProtection="0">
      <alignment vertical="top"/>
      <protection locked="0"/>
    </xf>
    <xf numFmtId="213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89" fillId="48" borderId="0" applyNumberFormat="0" applyBorder="0" applyAlignment="0" applyProtection="0"/>
    <xf numFmtId="0" fontId="28" fillId="86" borderId="123" applyBorder="0">
      <protection locked="0"/>
    </xf>
    <xf numFmtId="10" fontId="116" fillId="44" borderId="69" applyNumberFormat="0" applyBorder="0" applyAlignment="0" applyProtection="0"/>
    <xf numFmtId="0" fontId="127" fillId="33" borderId="112" applyNumberFormat="0" applyAlignment="0" applyProtection="0"/>
    <xf numFmtId="0" fontId="127" fillId="33" borderId="112" applyNumberFormat="0" applyAlignment="0" applyProtection="0"/>
    <xf numFmtId="0" fontId="127" fillId="33" borderId="112" applyNumberFormat="0" applyAlignment="0" applyProtection="0"/>
    <xf numFmtId="258" fontId="66" fillId="80" borderId="0"/>
    <xf numFmtId="291" fontId="28" fillId="86" borderId="129" applyBorder="0">
      <alignment horizontal="center"/>
      <protection locked="0"/>
    </xf>
    <xf numFmtId="12" fontId="28" fillId="86" borderId="129" applyBorder="0">
      <alignment horizontal="center"/>
      <protection locked="0"/>
    </xf>
    <xf numFmtId="0" fontId="30" fillId="86" borderId="130">
      <alignment horizontal="center" vertical="center"/>
      <protection locked="0"/>
    </xf>
    <xf numFmtId="303" fontId="146" fillId="0" borderId="0"/>
    <xf numFmtId="254" fontId="116" fillId="44" borderId="0" applyBorder="0">
      <protection locked="0"/>
    </xf>
    <xf numFmtId="15" fontId="116" fillId="44" borderId="0" applyBorder="0">
      <protection locked="0"/>
    </xf>
    <xf numFmtId="49" fontId="116" fillId="44" borderId="0" applyBorder="0">
      <protection locked="0"/>
    </xf>
    <xf numFmtId="49" fontId="116" fillId="44" borderId="25" applyNumberFormat="0" applyBorder="0"/>
    <xf numFmtId="179" fontId="146" fillId="0" borderId="0"/>
    <xf numFmtId="0" fontId="110" fillId="44" borderId="129" applyBorder="0">
      <alignment horizontal="left"/>
    </xf>
    <xf numFmtId="0" fontId="110" fillId="86" borderId="0">
      <alignment horizontal="left"/>
    </xf>
    <xf numFmtId="0" fontId="63" fillId="0" borderId="0" applyNumberFormat="0" applyFill="0" applyBorder="0" applyProtection="0">
      <alignment horizontal="left"/>
    </xf>
    <xf numFmtId="0" fontId="147" fillId="63" borderId="113" applyNumberFormat="0" applyAlignment="0" applyProtection="0"/>
    <xf numFmtId="0" fontId="4" fillId="0" borderId="89" applyProtection="0">
      <alignment vertical="center"/>
    </xf>
    <xf numFmtId="0" fontId="4" fillId="0" borderId="86" applyProtection="0">
      <alignment vertical="center"/>
    </xf>
    <xf numFmtId="0" fontId="4" fillId="0" borderId="53" applyProtection="0">
      <alignment vertical="center"/>
    </xf>
    <xf numFmtId="0" fontId="4" fillId="0" borderId="85" applyProtection="0">
      <alignment vertical="center"/>
    </xf>
    <xf numFmtId="212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" fillId="78" borderId="69" applyNumberFormat="0" applyFont="0" applyBorder="0" applyAlignment="0" applyProtection="0">
      <alignment vertical="center"/>
    </xf>
    <xf numFmtId="0" fontId="4" fillId="35" borderId="0" applyNumberFormat="0" applyFont="0" applyBorder="0" applyAlignment="0" applyProtection="0">
      <alignment vertical="center"/>
    </xf>
    <xf numFmtId="206" fontId="96" fillId="0" borderId="0" applyFill="0" applyBorder="0" applyAlignment="0"/>
    <xf numFmtId="258" fontId="96" fillId="0" borderId="0" applyFill="0" applyBorder="0" applyAlignment="0"/>
    <xf numFmtId="206" fontId="96" fillId="0" borderId="0" applyFill="0" applyBorder="0" applyAlignment="0"/>
    <xf numFmtId="265" fontId="96" fillId="0" borderId="0" applyFill="0" applyBorder="0" applyAlignment="0"/>
    <xf numFmtId="258" fontId="96" fillId="0" borderId="0" applyFill="0" applyBorder="0" applyAlignment="0"/>
    <xf numFmtId="0" fontId="100" fillId="0" borderId="114" applyNumberFormat="0" applyFill="0" applyAlignment="0" applyProtection="0"/>
    <xf numFmtId="0" fontId="100" fillId="0" borderId="114" applyNumberFormat="0" applyFill="0" applyAlignment="0" applyProtection="0"/>
    <xf numFmtId="0" fontId="100" fillId="0" borderId="114" applyNumberFormat="0" applyFill="0" applyAlignment="0" applyProtection="0"/>
    <xf numFmtId="258" fontId="148" fillId="87" borderId="0"/>
    <xf numFmtId="0" fontId="149" fillId="0" borderId="85">
      <alignment horizontal="left"/>
      <protection locked="0"/>
    </xf>
    <xf numFmtId="0" fontId="150" fillId="0" borderId="0" applyBorder="0"/>
    <xf numFmtId="304" fontId="39" fillId="0" borderId="0" applyFont="0" applyFill="0" applyBorder="0" applyAlignment="0" applyProtection="0"/>
    <xf numFmtId="305" fontId="39" fillId="0" borderId="0" applyFont="0" applyFill="0" applyBorder="0" applyAlignment="0" applyProtection="0"/>
    <xf numFmtId="306" fontId="39" fillId="0" borderId="0" applyFont="0" applyFill="0" applyBorder="0" applyAlignment="0" applyProtection="0"/>
    <xf numFmtId="307" fontId="39" fillId="0" borderId="0" applyFont="0" applyFill="0" applyBorder="0" applyAlignment="0" applyProtection="0"/>
    <xf numFmtId="0" fontId="151" fillId="0" borderId="16"/>
    <xf numFmtId="308" fontId="39" fillId="0" borderId="0" applyFont="0" applyFill="0" applyBorder="0" applyAlignment="0" applyProtection="0"/>
    <xf numFmtId="254" fontId="39" fillId="0" borderId="0" applyFont="0" applyFill="0" applyBorder="0" applyAlignment="0" applyProtection="0"/>
    <xf numFmtId="309" fontId="39" fillId="0" borderId="0" applyFont="0" applyFill="0" applyBorder="0" applyAlignment="0" applyProtection="0"/>
    <xf numFmtId="310" fontId="39" fillId="0" borderId="0" applyFont="0" applyFill="0" applyBorder="0" applyAlignment="0" applyProtection="0"/>
    <xf numFmtId="311" fontId="39" fillId="0" borderId="0" applyFont="0" applyFill="0" applyBorder="0" applyAlignment="0" applyProtection="0"/>
    <xf numFmtId="312" fontId="39" fillId="0" borderId="0" applyFont="0" applyFill="0" applyBorder="0" applyAlignment="0" applyProtection="0"/>
    <xf numFmtId="313" fontId="39" fillId="0" borderId="0" applyFont="0" applyFill="0" applyBorder="0" applyAlignment="0" applyProtection="0"/>
    <xf numFmtId="314" fontId="39" fillId="0" borderId="0" applyFont="0" applyFill="0" applyBorder="0" applyAlignment="0" applyProtection="0"/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315" fontId="39" fillId="0" borderId="86" applyFont="0" applyFill="0" applyBorder="0" applyAlignment="0" applyProtection="0"/>
    <xf numFmtId="4" fontId="152" fillId="0" borderId="63" applyBorder="0"/>
    <xf numFmtId="0" fontId="80" fillId="0" borderId="0" applyNumberFormat="0" applyFont="0" applyFill="0" applyAlignment="0"/>
    <xf numFmtId="0" fontId="153" fillId="35" borderId="0" applyNumberFormat="0" applyBorder="0" applyAlignment="0" applyProtection="0"/>
    <xf numFmtId="0" fontId="153" fillId="35" borderId="0" applyNumberFormat="0" applyBorder="0" applyAlignment="0" applyProtection="0"/>
    <xf numFmtId="0" fontId="153" fillId="35" borderId="0" applyNumberFormat="0" applyBorder="0" applyAlignment="0" applyProtection="0"/>
    <xf numFmtId="0" fontId="75" fillId="82" borderId="0" applyNumberFormat="0" applyBorder="0" applyAlignment="0" applyProtection="0"/>
    <xf numFmtId="0" fontId="75" fillId="83" borderId="0" applyNumberFormat="0" applyBorder="0" applyAlignment="0" applyProtection="0"/>
    <xf numFmtId="0" fontId="75" fillId="64" borderId="0" applyNumberFormat="0" applyBorder="0" applyAlignment="0" applyProtection="0"/>
    <xf numFmtId="0" fontId="75" fillId="71" borderId="0" applyNumberFormat="0" applyBorder="0" applyAlignment="0" applyProtection="0"/>
    <xf numFmtId="0" fontId="75" fillId="72" borderId="0" applyNumberFormat="0" applyBorder="0" applyAlignment="0" applyProtection="0"/>
    <xf numFmtId="0" fontId="75" fillId="84" borderId="0" applyNumberFormat="0" applyBorder="0" applyAlignment="0" applyProtection="0"/>
    <xf numFmtId="37" fontId="154" fillId="0" borderId="0"/>
    <xf numFmtId="0" fontId="38" fillId="0" borderId="10" applyNumberFormat="0" applyFont="0" applyBorder="0" applyProtection="0">
      <alignment horizontal="center" vertical="center"/>
    </xf>
    <xf numFmtId="0" fontId="4" fillId="0" borderId="0" applyNumberFormat="0" applyFont="0" applyFill="0" applyAlignment="0" applyProtection="0">
      <alignment vertical="center"/>
    </xf>
    <xf numFmtId="180" fontId="41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44" fillId="0" borderId="0"/>
    <xf numFmtId="0" fontId="156" fillId="0" borderId="0"/>
    <xf numFmtId="0" fontId="106" fillId="0" borderId="0">
      <alignment vertical="center"/>
    </xf>
    <xf numFmtId="0" fontId="39" fillId="0" borderId="0"/>
    <xf numFmtId="0" fontId="108" fillId="0" borderId="0"/>
    <xf numFmtId="0" fontId="28" fillId="0" borderId="0"/>
    <xf numFmtId="0" fontId="28" fillId="0" borderId="0"/>
    <xf numFmtId="0" fontId="28" fillId="0" borderId="0"/>
    <xf numFmtId="0" fontId="108" fillId="0" borderId="0"/>
    <xf numFmtId="0" fontId="108" fillId="0" borderId="0"/>
    <xf numFmtId="0" fontId="4" fillId="0" borderId="0">
      <alignment vertical="center"/>
    </xf>
    <xf numFmtId="1" fontId="4" fillId="0" borderId="0"/>
    <xf numFmtId="1" fontId="4" fillId="0" borderId="0"/>
    <xf numFmtId="0" fontId="39" fillId="0" borderId="0"/>
    <xf numFmtId="0" fontId="39" fillId="0" borderId="0"/>
    <xf numFmtId="0" fontId="39" fillId="0" borderId="0"/>
    <xf numFmtId="1" fontId="108" fillId="0" borderId="0"/>
    <xf numFmtId="0" fontId="39" fillId="0" borderId="0"/>
    <xf numFmtId="0" fontId="108" fillId="0" borderId="0"/>
    <xf numFmtId="0" fontId="157" fillId="0" borderId="0">
      <alignment vertical="center"/>
    </xf>
    <xf numFmtId="0" fontId="108" fillId="0" borderId="0"/>
    <xf numFmtId="0" fontId="4" fillId="0" borderId="0">
      <alignment vertical="center"/>
    </xf>
    <xf numFmtId="316" fontId="63" fillId="0" borderId="0" applyBorder="0"/>
    <xf numFmtId="0" fontId="28" fillId="0" borderId="0"/>
    <xf numFmtId="0" fontId="40" fillId="0" borderId="0" applyFont="0" applyFill="0" applyBorder="0" applyAlignment="0" applyProtection="0">
      <alignment horizontal="centerContinuous"/>
    </xf>
    <xf numFmtId="0" fontId="40" fillId="0" borderId="0" applyFont="0" applyFill="0" applyBorder="0" applyAlignment="0" applyProtection="0">
      <alignment horizontal="centerContinuous"/>
    </xf>
    <xf numFmtId="0" fontId="40" fillId="0" borderId="0" applyFont="0" applyFill="0" applyBorder="0" applyAlignment="0" applyProtection="0">
      <alignment horizontal="centerContinuous"/>
    </xf>
    <xf numFmtId="0" fontId="40" fillId="0" borderId="0" applyFont="0" applyFill="0" applyBorder="0" applyAlignment="0" applyProtection="0">
      <alignment horizontal="centerContinuous"/>
    </xf>
    <xf numFmtId="0" fontId="39" fillId="54" borderId="123" applyNumberFormat="0" applyFont="0" applyAlignment="0" applyProtection="0"/>
    <xf numFmtId="0" fontId="39" fillId="44" borderId="123" applyNumberFormat="0" applyFont="0" applyAlignment="0" applyProtection="0"/>
    <xf numFmtId="0" fontId="39" fillId="44" borderId="123" applyNumberFormat="0" applyFont="0" applyAlignment="0" applyProtection="0"/>
    <xf numFmtId="0" fontId="39" fillId="44" borderId="123" applyNumberFormat="0" applyFont="0" applyAlignment="0" applyProtection="0"/>
    <xf numFmtId="37" fontId="40" fillId="0" borderId="0"/>
    <xf numFmtId="317" fontId="55" fillId="0" borderId="0"/>
    <xf numFmtId="210" fontId="40" fillId="0" borderId="0"/>
    <xf numFmtId="0" fontId="158" fillId="0" borderId="114" applyNumberFormat="0" applyFill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39" fillId="0" borderId="0" applyFont="0" applyFill="0" applyBorder="0" applyAlignment="0" applyProtection="0"/>
    <xf numFmtId="318" fontId="39" fillId="0" borderId="0" applyFont="0" applyFill="0" applyBorder="0" applyAlignment="0" applyProtection="0"/>
    <xf numFmtId="0" fontId="160" fillId="0" borderId="0" applyNumberFormat="0" applyFill="0" applyBorder="0" applyProtection="0">
      <alignment horizontal="left"/>
    </xf>
    <xf numFmtId="0" fontId="40" fillId="0" borderId="0"/>
    <xf numFmtId="0" fontId="161" fillId="78" borderId="117" applyNumberFormat="0" applyAlignment="0" applyProtection="0"/>
    <xf numFmtId="0" fontId="161" fillId="78" borderId="117" applyNumberFormat="0" applyAlignment="0" applyProtection="0"/>
    <xf numFmtId="0" fontId="161" fillId="78" borderId="117" applyNumberFormat="0" applyAlignment="0" applyProtection="0"/>
    <xf numFmtId="40" fontId="63" fillId="37" borderId="0">
      <alignment horizontal="right"/>
    </xf>
    <xf numFmtId="0" fontId="162" fillId="44" borderId="0">
      <alignment horizontal="center"/>
    </xf>
    <xf numFmtId="0" fontId="163" fillId="88" borderId="87"/>
    <xf numFmtId="0" fontId="164" fillId="0" borderId="0" applyBorder="0">
      <alignment horizontal="centerContinuous"/>
    </xf>
    <xf numFmtId="0" fontId="165" fillId="0" borderId="0" applyBorder="0">
      <alignment horizontal="centerContinuous"/>
    </xf>
    <xf numFmtId="319" fontId="30" fillId="44" borderId="130">
      <alignment horizontal="center"/>
    </xf>
    <xf numFmtId="0" fontId="28" fillId="78" borderId="129" applyBorder="0">
      <alignment horizontal="center"/>
      <protection locked="0"/>
    </xf>
    <xf numFmtId="1" fontId="166" fillId="0" borderId="0" applyProtection="0">
      <alignment horizontal="right" vertical="center"/>
    </xf>
    <xf numFmtId="320" fontId="39" fillId="0" borderId="0" applyFont="0" applyFill="0" applyBorder="0" applyAlignment="0" applyProtection="0"/>
    <xf numFmtId="321" fontId="39" fillId="0" borderId="0" applyFont="0" applyFill="0" applyBorder="0" applyAlignment="0" applyProtection="0"/>
    <xf numFmtId="14" fontId="84" fillId="0" borderId="0">
      <alignment horizontal="center" wrapText="1"/>
      <protection locked="0"/>
    </xf>
    <xf numFmtId="266" fontId="104" fillId="0" borderId="0">
      <protection locked="0"/>
    </xf>
    <xf numFmtId="322" fontId="39" fillId="0" borderId="0" applyFont="0" applyFill="0" applyBorder="0" applyAlignment="0" applyProtection="0">
      <alignment horizontal="centerContinuous"/>
    </xf>
    <xf numFmtId="202" fontId="39" fillId="0" borderId="0" applyFont="0" applyFill="0" applyBorder="0" applyAlignment="0" applyProtection="0">
      <alignment horizontal="centerContinuous"/>
    </xf>
    <xf numFmtId="264" fontId="39" fillId="0" borderId="0" applyFont="0" applyFill="0" applyBorder="0" applyAlignment="0" applyProtection="0"/>
    <xf numFmtId="264" fontId="4" fillId="0" borderId="0" applyFont="0" applyFill="0" applyBorder="0" applyAlignment="0" applyProtection="0"/>
    <xf numFmtId="264" fontId="4" fillId="0" borderId="0" applyFont="0" applyFill="0" applyBorder="0" applyAlignment="0" applyProtection="0"/>
    <xf numFmtId="323" fontId="39" fillId="0" borderId="0" applyFont="0" applyFill="0" applyBorder="0" applyAlignment="0" applyProtection="0"/>
    <xf numFmtId="323" fontId="4" fillId="0" borderId="0" applyFont="0" applyFill="0" applyBorder="0" applyAlignment="0" applyProtection="0"/>
    <xf numFmtId="323" fontId="4" fillId="0" borderId="0" applyFont="0" applyFill="0" applyBorder="0" applyAlignment="0" applyProtection="0"/>
    <xf numFmtId="10" fontId="2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324" fontId="39" fillId="0" borderId="0" applyFont="0" applyFill="0" applyBorder="0" applyAlignment="0" applyProtection="0"/>
    <xf numFmtId="325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266" fontId="104" fillId="0" borderId="0">
      <protection locked="0"/>
    </xf>
    <xf numFmtId="179" fontId="167" fillId="0" borderId="0"/>
    <xf numFmtId="10" fontId="168" fillId="37" borderId="0"/>
    <xf numFmtId="265" fontId="55" fillId="0" borderId="0"/>
    <xf numFmtId="0" fontId="169" fillId="0" borderId="69" applyNumberFormat="0" applyAlignment="0"/>
    <xf numFmtId="326" fontId="39" fillId="0" borderId="0" applyFont="0" applyFill="0" applyBorder="0" applyAlignment="0" applyProtection="0"/>
    <xf numFmtId="0" fontId="170" fillId="0" borderId="0" applyNumberFormat="0" applyFill="0" applyBorder="0" applyProtection="0">
      <alignment horizontal="right"/>
    </xf>
    <xf numFmtId="206" fontId="96" fillId="0" borderId="0" applyFill="0" applyBorder="0" applyAlignment="0"/>
    <xf numFmtId="258" fontId="96" fillId="0" borderId="0" applyFill="0" applyBorder="0" applyAlignment="0"/>
    <xf numFmtId="206" fontId="96" fillId="0" borderId="0" applyFill="0" applyBorder="0" applyAlignment="0"/>
    <xf numFmtId="265" fontId="96" fillId="0" borderId="0" applyFill="0" applyBorder="0" applyAlignment="0"/>
    <xf numFmtId="258" fontId="96" fillId="0" borderId="0" applyFill="0" applyBorder="0" applyAlignment="0"/>
    <xf numFmtId="4" fontId="39" fillId="0" borderId="0" applyFont="0" applyFill="0" applyBorder="0" applyProtection="0">
      <alignment horizontal="right"/>
    </xf>
    <xf numFmtId="327" fontId="171" fillId="0" borderId="0"/>
    <xf numFmtId="0" fontId="172" fillId="78" borderId="0"/>
    <xf numFmtId="0" fontId="39" fillId="0" borderId="0" applyNumberFormat="0" applyFont="0" applyFill="0" applyBorder="0" applyAlignment="0" applyProtection="0">
      <alignment horizontal="left"/>
    </xf>
    <xf numFmtId="15" fontId="39" fillId="0" borderId="0" applyFont="0" applyFill="0" applyBorder="0" applyAlignment="0" applyProtection="0"/>
    <xf numFmtId="4" fontId="39" fillId="0" borderId="0" applyFont="0" applyFill="0" applyBorder="0" applyAlignment="0" applyProtection="0"/>
    <xf numFmtId="0" fontId="173" fillId="0" borderId="16">
      <alignment horizontal="center"/>
    </xf>
    <xf numFmtId="3" fontId="39" fillId="0" borderId="0" applyFont="0" applyFill="0" applyBorder="0" applyAlignment="0" applyProtection="0"/>
    <xf numFmtId="0" fontId="39" fillId="89" borderId="0" applyNumberFormat="0" applyFont="0" applyBorder="0" applyAlignment="0" applyProtection="0"/>
    <xf numFmtId="208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" fillId="0" borderId="69" applyNumberFormat="0" applyFont="0" applyFill="0" applyAlignment="0" applyProtection="0">
      <alignment vertical="center"/>
    </xf>
    <xf numFmtId="0" fontId="4" fillId="0" borderId="108" applyNumberFormat="0" applyFont="0" applyFill="0" applyAlignment="0" applyProtection="0">
      <alignment vertical="center"/>
    </xf>
    <xf numFmtId="0" fontId="40" fillId="0" borderId="0"/>
    <xf numFmtId="0" fontId="174" fillId="78" borderId="0"/>
    <xf numFmtId="0" fontId="40" fillId="0" borderId="0"/>
    <xf numFmtId="0" fontId="175" fillId="0" borderId="85" applyNumberFormat="0" applyFill="0" applyBorder="0" applyAlignment="0" applyProtection="0">
      <protection hidden="1"/>
    </xf>
    <xf numFmtId="37" fontId="43" fillId="0" borderId="0"/>
    <xf numFmtId="319" fontId="28" fillId="0" borderId="0"/>
    <xf numFmtId="30" fontId="167" fillId="0" borderId="0" applyNumberFormat="0" applyFill="0" applyBorder="0" applyAlignment="0" applyProtection="0">
      <alignment horizontal="left"/>
    </xf>
    <xf numFmtId="0" fontId="4" fillId="0" borderId="91" applyProtection="0">
      <alignment vertical="center"/>
    </xf>
    <xf numFmtId="0" fontId="4" fillId="0" borderId="87" applyProtection="0">
      <alignment vertical="center"/>
    </xf>
    <xf numFmtId="328" fontId="39" fillId="0" borderId="86" applyFont="0" applyFill="0" applyBorder="0" applyAlignment="0" applyProtection="0">
      <alignment horizontal="right"/>
    </xf>
    <xf numFmtId="49" fontId="176" fillId="78" borderId="0" applyBorder="0">
      <alignment horizontal="centerContinuous"/>
    </xf>
    <xf numFmtId="0" fontId="177" fillId="0" borderId="131" applyAlignment="0">
      <alignment vertical="center" wrapText="1"/>
    </xf>
    <xf numFmtId="0" fontId="178" fillId="0" borderId="132">
      <alignment horizontal="center" vertical="center" wrapText="1"/>
    </xf>
    <xf numFmtId="0" fontId="178" fillId="0" borderId="131">
      <alignment horizontal="center" vertical="center" wrapText="1"/>
    </xf>
    <xf numFmtId="0" fontId="179" fillId="0" borderId="0"/>
    <xf numFmtId="0" fontId="161" fillId="65" borderId="117" applyNumberFormat="0" applyAlignment="0" applyProtection="0"/>
    <xf numFmtId="4" fontId="180" fillId="90" borderId="117" applyNumberFormat="0" applyProtection="0">
      <alignment vertical="center"/>
    </xf>
    <xf numFmtId="4" fontId="180" fillId="90" borderId="117" applyNumberFormat="0" applyProtection="0">
      <alignment vertical="center"/>
    </xf>
    <xf numFmtId="4" fontId="180" fillId="90" borderId="117" applyNumberFormat="0" applyProtection="0">
      <alignment vertical="center"/>
    </xf>
    <xf numFmtId="4" fontId="181" fillId="73" borderId="133" applyNumberFormat="0" applyProtection="0">
      <alignment vertical="center"/>
    </xf>
    <xf numFmtId="4" fontId="180" fillId="90" borderId="117" applyNumberFormat="0" applyProtection="0">
      <alignment vertical="center"/>
    </xf>
    <xf numFmtId="4" fontId="180" fillId="90" borderId="117" applyNumberFormat="0" applyProtection="0">
      <alignment vertical="center"/>
    </xf>
    <xf numFmtId="4" fontId="180" fillId="90" borderId="117" applyNumberFormat="0" applyProtection="0">
      <alignment vertical="center"/>
    </xf>
    <xf numFmtId="4" fontId="180" fillId="90" borderId="117" applyNumberFormat="0" applyProtection="0">
      <alignment vertical="center"/>
    </xf>
    <xf numFmtId="4" fontId="182" fillId="35" borderId="117" applyNumberFormat="0" applyProtection="0">
      <alignment vertical="center"/>
    </xf>
    <xf numFmtId="4" fontId="182" fillId="35" borderId="117" applyNumberFormat="0" applyProtection="0">
      <alignment vertical="center"/>
    </xf>
    <xf numFmtId="4" fontId="183" fillId="35" borderId="133" applyNumberFormat="0" applyProtection="0">
      <alignment vertical="center"/>
    </xf>
    <xf numFmtId="4" fontId="184" fillId="90" borderId="117" applyNumberFormat="0" applyProtection="0">
      <alignment horizontal="left" vertical="center" indent="1"/>
    </xf>
    <xf numFmtId="4" fontId="185" fillId="73" borderId="133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185" fillId="83" borderId="133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184" fillId="90" borderId="117" applyNumberFormat="0" applyProtection="0">
      <alignment horizontal="left" vertical="center" indent="1"/>
    </xf>
    <xf numFmtId="4" fontId="63" fillId="90" borderId="117" applyNumberFormat="0" applyProtection="0">
      <alignment horizontal="left" vertical="center" indent="1"/>
    </xf>
    <xf numFmtId="4" fontId="63" fillId="90" borderId="117" applyNumberFormat="0" applyProtection="0">
      <alignment horizontal="left" vertical="center" indent="1"/>
    </xf>
    <xf numFmtId="4" fontId="63" fillId="35" borderId="117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4" fontId="185" fillId="90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0" fontId="185" fillId="63" borderId="0" applyNumberFormat="0" applyProtection="0">
      <alignment horizontal="left" vertical="center" indent="1"/>
    </xf>
    <xf numFmtId="4" fontId="63" fillId="40" borderId="117" applyNumberFormat="0" applyProtection="0">
      <alignment horizontal="right" vertical="center"/>
    </xf>
    <xf numFmtId="4" fontId="63" fillId="40" borderId="117" applyNumberFormat="0" applyProtection="0">
      <alignment horizontal="right" vertical="center"/>
    </xf>
    <xf numFmtId="4" fontId="186" fillId="75" borderId="133" applyNumberFormat="0" applyProtection="0">
      <alignment horizontal="right" vertical="center"/>
    </xf>
    <xf numFmtId="4" fontId="63" fillId="57" borderId="117" applyNumberFormat="0" applyProtection="0">
      <alignment horizontal="right" vertical="center"/>
    </xf>
    <xf numFmtId="4" fontId="63" fillId="57" borderId="117" applyNumberFormat="0" applyProtection="0">
      <alignment horizontal="right" vertical="center"/>
    </xf>
    <xf numFmtId="4" fontId="186" fillId="40" borderId="133" applyNumberFormat="0" applyProtection="0">
      <alignment horizontal="right" vertical="center"/>
    </xf>
    <xf numFmtId="4" fontId="63" fillId="75" borderId="117" applyNumberFormat="0" applyProtection="0">
      <alignment horizontal="right" vertical="center"/>
    </xf>
    <xf numFmtId="4" fontId="63" fillId="75" borderId="117" applyNumberFormat="0" applyProtection="0">
      <alignment horizontal="right" vertical="center"/>
    </xf>
    <xf numFmtId="4" fontId="186" fillId="57" borderId="133" applyNumberFormat="0" applyProtection="0">
      <alignment horizontal="right" vertical="center"/>
    </xf>
    <xf numFmtId="4" fontId="63" fillId="59" borderId="117" applyNumberFormat="0" applyProtection="0">
      <alignment horizontal="right" vertical="center"/>
    </xf>
    <xf numFmtId="4" fontId="63" fillId="59" borderId="117" applyNumberFormat="0" applyProtection="0">
      <alignment horizontal="right" vertical="center"/>
    </xf>
    <xf numFmtId="4" fontId="186" fillId="45" borderId="133" applyNumberFormat="0" applyProtection="0">
      <alignment horizontal="right" vertical="center"/>
    </xf>
    <xf numFmtId="4" fontId="63" fillId="69" borderId="117" applyNumberFormat="0" applyProtection="0">
      <alignment horizontal="right" vertical="center"/>
    </xf>
    <xf numFmtId="4" fontId="63" fillId="69" borderId="117" applyNumberFormat="0" applyProtection="0">
      <alignment horizontal="right" vertical="center"/>
    </xf>
    <xf numFmtId="4" fontId="186" fillId="59" borderId="133" applyNumberFormat="0" applyProtection="0">
      <alignment horizontal="right" vertical="center"/>
    </xf>
    <xf numFmtId="4" fontId="63" fillId="77" borderId="117" applyNumberFormat="0" applyProtection="0">
      <alignment horizontal="right" vertical="center"/>
    </xf>
    <xf numFmtId="4" fontId="63" fillId="77" borderId="117" applyNumberFormat="0" applyProtection="0">
      <alignment horizontal="right" vertical="center"/>
    </xf>
    <xf numFmtId="4" fontId="186" fillId="33" borderId="133" applyNumberFormat="0" applyProtection="0">
      <alignment horizontal="right" vertical="center"/>
    </xf>
    <xf numFmtId="4" fontId="63" fillId="76" borderId="117" applyNumberFormat="0" applyProtection="0">
      <alignment horizontal="right" vertical="center"/>
    </xf>
    <xf numFmtId="4" fontId="63" fillId="76" borderId="117" applyNumberFormat="0" applyProtection="0">
      <alignment horizontal="right" vertical="center"/>
    </xf>
    <xf numFmtId="4" fontId="186" fillId="91" borderId="133" applyNumberFormat="0" applyProtection="0">
      <alignment horizontal="right" vertical="center"/>
    </xf>
    <xf numFmtId="4" fontId="63" fillId="91" borderId="117" applyNumberFormat="0" applyProtection="0">
      <alignment horizontal="right" vertical="center"/>
    </xf>
    <xf numFmtId="4" fontId="63" fillId="91" borderId="117" applyNumberFormat="0" applyProtection="0">
      <alignment horizontal="right" vertical="center"/>
    </xf>
    <xf numFmtId="4" fontId="186" fillId="58" borderId="133" applyNumberFormat="0" applyProtection="0">
      <alignment horizontal="right" vertical="center"/>
    </xf>
    <xf numFmtId="4" fontId="63" fillId="58" borderId="117" applyNumberFormat="0" applyProtection="0">
      <alignment horizontal="right" vertical="center"/>
    </xf>
    <xf numFmtId="4" fontId="63" fillId="58" borderId="117" applyNumberFormat="0" applyProtection="0">
      <alignment horizontal="right" vertical="center"/>
    </xf>
    <xf numFmtId="4" fontId="186" fillId="88" borderId="133" applyNumberFormat="0" applyProtection="0">
      <alignment horizontal="right" vertical="center"/>
    </xf>
    <xf numFmtId="4" fontId="187" fillId="92" borderId="0" applyNumberFormat="0" applyProtection="0">
      <alignment horizontal="left" vertical="center" indent="1"/>
    </xf>
    <xf numFmtId="4" fontId="187" fillId="92" borderId="0" applyNumberFormat="0" applyProtection="0">
      <alignment horizontal="left" vertical="center" indent="1"/>
    </xf>
    <xf numFmtId="4" fontId="181" fillId="93" borderId="134" applyNumberFormat="0" applyProtection="0">
      <alignment horizontal="left" vertical="center" indent="1"/>
    </xf>
    <xf numFmtId="4" fontId="63" fillId="94" borderId="0" applyNumberFormat="0" applyProtection="0">
      <alignment horizontal="left" vertical="center" indent="1"/>
    </xf>
    <xf numFmtId="4" fontId="63" fillId="94" borderId="0" applyNumberFormat="0" applyProtection="0">
      <alignment horizontal="left" vertical="center" indent="1"/>
    </xf>
    <xf numFmtId="4" fontId="181" fillId="52" borderId="0" applyNumberFormat="0" applyProtection="0">
      <alignment horizontal="left" vertical="center" indent="1"/>
    </xf>
    <xf numFmtId="4" fontId="188" fillId="95" borderId="0" applyNumberFormat="0" applyProtection="0">
      <alignment horizontal="left" vertical="center" indent="1"/>
    </xf>
    <xf numFmtId="0" fontId="110" fillId="42" borderId="135" applyNumberFormat="0" applyProtection="0">
      <alignment horizontal="right" vertical="center"/>
    </xf>
    <xf numFmtId="0" fontId="110" fillId="42" borderId="135" applyNumberFormat="0" applyProtection="0">
      <alignment horizontal="right" vertical="center"/>
    </xf>
    <xf numFmtId="4" fontId="28" fillId="56" borderId="133" applyNumberFormat="0" applyProtection="0">
      <alignment horizontal="right" vertical="center"/>
    </xf>
    <xf numFmtId="4" fontId="189" fillId="94" borderId="117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29" fillId="52" borderId="25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189" fillId="94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28" fillId="65" borderId="69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4" fontId="184" fillId="96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28" fillId="79" borderId="117" applyNumberFormat="0" applyProtection="0">
      <alignment horizontal="left" vertical="center" indent="1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181" fillId="60" borderId="117" applyNumberFormat="0" applyProtection="0">
      <alignment horizontal="center" vertical="center"/>
    </xf>
    <xf numFmtId="0" fontId="28" fillId="78" borderId="117" applyNumberFormat="0" applyProtection="0">
      <alignment horizontal="left" vertical="center" indent="1"/>
    </xf>
    <xf numFmtId="0" fontId="28" fillId="78" borderId="117" applyNumberFormat="0" applyProtection="0">
      <alignment horizontal="left" vertical="center" indent="1"/>
    </xf>
    <xf numFmtId="0" fontId="28" fillId="42" borderId="117" applyNumberFormat="0" applyProtection="0">
      <alignment horizontal="left" vertical="center" indent="1"/>
    </xf>
    <xf numFmtId="0" fontId="28" fillId="42" borderId="117" applyNumberFormat="0" applyProtection="0">
      <alignment horizontal="left" vertical="center" indent="1"/>
    </xf>
    <xf numFmtId="4" fontId="63" fillId="44" borderId="117" applyNumberFormat="0" applyProtection="0">
      <alignment vertical="center"/>
    </xf>
    <xf numFmtId="4" fontId="63" fillId="44" borderId="117" applyNumberFormat="0" applyProtection="0">
      <alignment vertical="center"/>
    </xf>
    <xf numFmtId="4" fontId="186" fillId="86" borderId="133" applyNumberFormat="0" applyProtection="0">
      <alignment vertical="center"/>
    </xf>
    <xf numFmtId="4" fontId="182" fillId="44" borderId="117" applyNumberFormat="0" applyProtection="0">
      <alignment vertical="center"/>
    </xf>
    <xf numFmtId="4" fontId="182" fillId="44" borderId="117" applyNumberFormat="0" applyProtection="0">
      <alignment vertical="center"/>
    </xf>
    <xf numFmtId="4" fontId="190" fillId="86" borderId="133" applyNumberFormat="0" applyProtection="0">
      <alignment vertical="center"/>
    </xf>
    <xf numFmtId="4" fontId="63" fillId="44" borderId="117" applyNumberFormat="0" applyProtection="0">
      <alignment horizontal="left" vertical="center" indent="1"/>
    </xf>
    <xf numFmtId="4" fontId="63" fillId="44" borderId="117" applyNumberFormat="0" applyProtection="0">
      <alignment horizontal="left" vertical="center" indent="1"/>
    </xf>
    <xf numFmtId="4" fontId="188" fillId="56" borderId="136" applyNumberFormat="0" applyProtection="0">
      <alignment horizontal="left" vertical="center" indent="1"/>
    </xf>
    <xf numFmtId="4" fontId="63" fillId="44" borderId="117" applyNumberFormat="0" applyProtection="0">
      <alignment horizontal="left" vertical="center" indent="1"/>
    </xf>
    <xf numFmtId="4" fontId="184" fillId="94" borderId="135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5" fillId="97" borderId="133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4" fillId="94" borderId="135" applyNumberFormat="0" applyProtection="0">
      <alignment horizontal="right" vertical="center"/>
    </xf>
    <xf numFmtId="4" fontId="182" fillId="94" borderId="117" applyNumberFormat="0" applyProtection="0">
      <alignment horizontal="right" vertical="center"/>
    </xf>
    <xf numFmtId="4" fontId="182" fillId="94" borderId="117" applyNumberFormat="0" applyProtection="0">
      <alignment horizontal="right" vertical="center"/>
    </xf>
    <xf numFmtId="4" fontId="190" fillId="86" borderId="133" applyNumberFormat="0" applyProtection="0">
      <alignment horizontal="right" vertical="center"/>
    </xf>
    <xf numFmtId="0" fontId="181" fillId="60" borderId="135" applyNumberFormat="0" applyProtection="0">
      <alignment horizontal="left" vertical="center" indent="1"/>
    </xf>
    <xf numFmtId="0" fontId="181" fillId="60" borderId="135" applyNumberFormat="0" applyProtection="0">
      <alignment horizontal="left" vertical="center" indent="1"/>
    </xf>
    <xf numFmtId="0" fontId="181" fillId="60" borderId="135" applyNumberFormat="0" applyProtection="0">
      <alignment horizontal="left" vertical="center" indent="1"/>
    </xf>
    <xf numFmtId="4" fontId="181" fillId="61" borderId="133" applyNumberFormat="0" applyProtection="0">
      <alignment horizontal="center" vertical="center" wrapText="1"/>
    </xf>
    <xf numFmtId="0" fontId="181" fillId="60" borderId="135" applyNumberFormat="0" applyProtection="0">
      <alignment horizontal="left" vertical="center" indent="1"/>
    </xf>
    <xf numFmtId="0" fontId="181" fillId="60" borderId="135" applyNumberFormat="0" applyProtection="0">
      <alignment horizontal="left" vertical="center" indent="1"/>
    </xf>
    <xf numFmtId="0" fontId="181" fillId="60" borderId="135" applyNumberFormat="0" applyProtection="0">
      <alignment horizontal="left" vertical="center" indent="1"/>
    </xf>
    <xf numFmtId="0" fontId="181" fillId="60" borderId="135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81" fillId="60" borderId="117" applyNumberFormat="0" applyProtection="0">
      <alignment horizontal="left" vertical="center" indent="1"/>
    </xf>
    <xf numFmtId="0" fontId="191" fillId="98" borderId="0" applyNumberFormat="0" applyProtection="0">
      <alignment horizontal="left" indent="1"/>
    </xf>
    <xf numFmtId="0" fontId="191" fillId="98" borderId="0" applyNumberFormat="0" applyProtection="0">
      <alignment horizontal="left" indent="1"/>
    </xf>
    <xf numFmtId="0" fontId="191" fillId="98" borderId="0" applyNumberFormat="0" applyProtection="0">
      <alignment horizontal="left" indent="1"/>
    </xf>
    <xf numFmtId="4" fontId="191" fillId="82" borderId="0" applyNumberFormat="0" applyProtection="0">
      <alignment horizontal="left" vertical="center" indent="1"/>
    </xf>
    <xf numFmtId="0" fontId="191" fillId="98" borderId="0" applyNumberFormat="0" applyProtection="0">
      <alignment horizontal="left" indent="1"/>
    </xf>
    <xf numFmtId="0" fontId="191" fillId="98" borderId="0" applyNumberFormat="0" applyProtection="0">
      <alignment horizontal="left" indent="1"/>
    </xf>
    <xf numFmtId="0" fontId="191" fillId="98" borderId="0" applyNumberFormat="0" applyProtection="0">
      <alignment horizontal="left" indent="1"/>
    </xf>
    <xf numFmtId="0" fontId="191" fillId="98" borderId="0" applyNumberFormat="0" applyProtection="0">
      <alignment horizontal="left" indent="1"/>
    </xf>
    <xf numFmtId="4" fontId="31" fillId="94" borderId="117" applyNumberFormat="0" applyProtection="0">
      <alignment horizontal="right" vertical="center"/>
    </xf>
    <xf numFmtId="4" fontId="31" fillId="94" borderId="117" applyNumberFormat="0" applyProtection="0">
      <alignment horizontal="right" vertical="center"/>
    </xf>
    <xf numFmtId="4" fontId="192" fillId="86" borderId="133" applyNumberFormat="0" applyProtection="0">
      <alignment horizontal="right" vertical="center"/>
    </xf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329" fontId="43" fillId="0" borderId="0">
      <alignment horizontal="center"/>
    </xf>
    <xf numFmtId="0" fontId="28" fillId="0" borderId="0"/>
    <xf numFmtId="3" fontId="193" fillId="0" borderId="137" applyFill="0" applyProtection="0">
      <alignment horizontal="right" wrapText="1"/>
    </xf>
    <xf numFmtId="0" fontId="151" fillId="0" borderId="0"/>
    <xf numFmtId="0" fontId="194" fillId="78" borderId="0" applyProtection="0">
      <alignment horizontal="centerContinuous" vertical="center"/>
      <protection hidden="1"/>
    </xf>
    <xf numFmtId="40" fontId="195" fillId="0" borderId="0" applyBorder="0">
      <alignment horizontal="right"/>
    </xf>
    <xf numFmtId="0" fontId="28" fillId="78" borderId="129" applyBorder="0">
      <alignment horizontal="center"/>
    </xf>
    <xf numFmtId="0" fontId="28" fillId="78" borderId="129" applyBorder="0">
      <alignment horizontal="center"/>
    </xf>
    <xf numFmtId="0" fontId="196" fillId="0" borderId="0" applyBorder="0" applyProtection="0">
      <alignment vertical="center"/>
    </xf>
    <xf numFmtId="330" fontId="196" fillId="0" borderId="90" applyBorder="0" applyProtection="0">
      <alignment horizontal="right" vertical="center"/>
    </xf>
    <xf numFmtId="0" fontId="197" fillId="0" borderId="0" applyFill="0" applyBorder="0" applyProtection="0">
      <alignment horizontal="left"/>
    </xf>
    <xf numFmtId="0" fontId="132" fillId="0" borderId="86" applyFill="0" applyBorder="0" applyProtection="0">
      <alignment horizontal="left" vertical="top"/>
    </xf>
    <xf numFmtId="38" fontId="28" fillId="0" borderId="85" applyNumberFormat="0" applyFont="0" applyFill="0" applyAlignment="0" applyProtection="0"/>
    <xf numFmtId="49" fontId="63" fillId="0" borderId="0" applyFill="0" applyBorder="0" applyAlignment="0"/>
    <xf numFmtId="331" fontId="4" fillId="0" borderId="0" applyFill="0" applyBorder="0" applyAlignment="0"/>
    <xf numFmtId="331" fontId="4" fillId="0" borderId="0" applyFill="0" applyBorder="0" applyAlignment="0"/>
    <xf numFmtId="331" fontId="4" fillId="0" borderId="0" applyFill="0" applyBorder="0" applyAlignment="0"/>
    <xf numFmtId="331" fontId="4" fillId="0" borderId="0" applyFill="0" applyBorder="0" applyAlignment="0"/>
    <xf numFmtId="332" fontId="4" fillId="0" borderId="0" applyFill="0" applyBorder="0" applyAlignment="0"/>
    <xf numFmtId="332" fontId="4" fillId="0" borderId="0" applyFill="0" applyBorder="0" applyAlignment="0"/>
    <xf numFmtId="332" fontId="4" fillId="0" borderId="0" applyFill="0" applyBorder="0" applyAlignment="0"/>
    <xf numFmtId="332" fontId="4" fillId="0" borderId="0" applyFill="0" applyBorder="0" applyAlignment="0"/>
    <xf numFmtId="0" fontId="19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200" fillId="65" borderId="112" applyNumberFormat="0" applyAlignment="0" applyProtection="0"/>
    <xf numFmtId="0" fontId="201" fillId="0" borderId="0" applyFill="0" applyBorder="0" applyProtection="0">
      <alignment horizontal="centerContinuous" vertical="center"/>
    </xf>
    <xf numFmtId="0" fontId="41" fillId="37" borderId="0" applyFill="0" applyBorder="0" applyProtection="0">
      <alignment horizontal="center" vertical="center"/>
    </xf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139" fillId="0" borderId="118" applyNumberFormat="0" applyFill="0" applyAlignment="0" applyProtection="0"/>
    <xf numFmtId="0" fontId="141" fillId="0" borderId="119" applyNumberFormat="0" applyFill="0" applyAlignment="0" applyProtection="0"/>
    <xf numFmtId="0" fontId="125" fillId="0" borderId="120" applyNumberFormat="0" applyFill="0" applyAlignment="0" applyProtection="0"/>
    <xf numFmtId="0" fontId="203" fillId="0" borderId="138" applyNumberFormat="0" applyFill="0" applyAlignment="0" applyProtection="0"/>
    <xf numFmtId="260" fontId="28" fillId="0" borderId="0" applyBorder="0"/>
    <xf numFmtId="0" fontId="204" fillId="78" borderId="85"/>
    <xf numFmtId="333" fontId="39" fillId="0" borderId="0" applyFont="0" applyFill="0" applyBorder="0" applyAlignment="0" applyProtection="0"/>
    <xf numFmtId="0" fontId="205" fillId="49" borderId="0" applyNumberFormat="0" applyBorder="0" applyAlignment="0" applyProtection="0"/>
    <xf numFmtId="266" fontId="104" fillId="0" borderId="139">
      <protection locked="0"/>
    </xf>
    <xf numFmtId="0" fontId="206" fillId="0" borderId="138" applyNumberFormat="0" applyFill="0" applyAlignment="0" applyProtection="0"/>
    <xf numFmtId="0" fontId="206" fillId="0" borderId="138" applyNumberFormat="0" applyFill="0" applyAlignment="0" applyProtection="0"/>
    <xf numFmtId="0" fontId="206" fillId="0" borderId="138" applyNumberFormat="0" applyFill="0" applyAlignment="0" applyProtection="0"/>
    <xf numFmtId="254" fontId="91" fillId="78" borderId="0"/>
    <xf numFmtId="49" fontId="207" fillId="78" borderId="0" applyBorder="0">
      <alignment horizontal="right"/>
    </xf>
    <xf numFmtId="0" fontId="208" fillId="90" borderId="0" applyNumberFormat="0" applyBorder="0" applyAlignment="0" applyProtection="0"/>
    <xf numFmtId="0" fontId="43" fillId="0" borderId="0"/>
    <xf numFmtId="334" fontId="39" fillId="0" borderId="0" applyFont="0" applyFill="0" applyBorder="0" applyAlignment="0" applyProtection="0"/>
    <xf numFmtId="335" fontId="39" fillId="0" borderId="0" applyFont="0" applyFill="0" applyBorder="0" applyAlignment="0" applyProtection="0"/>
    <xf numFmtId="0" fontId="209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0" fontId="212" fillId="99" borderId="69">
      <alignment horizontal="left" vertical="center"/>
    </xf>
    <xf numFmtId="336" fontId="213" fillId="0" borderId="26">
      <alignment horizontal="left" vertical="top"/>
    </xf>
    <xf numFmtId="336" fontId="214" fillId="0" borderId="85">
      <alignment horizontal="left" vertical="top"/>
    </xf>
    <xf numFmtId="0" fontId="215" fillId="0" borderId="85">
      <alignment horizontal="left" vertical="center"/>
    </xf>
    <xf numFmtId="0" fontId="216" fillId="0" borderId="0" applyNumberFormat="0" applyFill="0" applyBorder="0" applyProtection="0">
      <alignment horizontal="right"/>
    </xf>
    <xf numFmtId="337" fontId="39" fillId="0" borderId="0" applyFont="0" applyFill="0" applyBorder="0" applyAlignment="0" applyProtection="0"/>
    <xf numFmtId="338" fontId="39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30" fillId="0" borderId="0">
      <alignment horizontal="left"/>
    </xf>
    <xf numFmtId="0" fontId="217" fillId="0" borderId="0"/>
    <xf numFmtId="339" fontId="39" fillId="0" borderId="86" applyFont="0" applyFill="0" applyBorder="0" applyAlignment="0" applyProtection="0"/>
    <xf numFmtId="0" fontId="218" fillId="48" borderId="0" applyNumberFormat="0" applyBorder="0" applyAlignment="0" applyProtection="0"/>
    <xf numFmtId="213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19" fontId="101" fillId="0" borderId="0">
      <alignment horizontal="right"/>
    </xf>
    <xf numFmtId="340" fontId="55" fillId="0" borderId="0"/>
    <xf numFmtId="224" fontId="40" fillId="0" borderId="0"/>
    <xf numFmtId="219" fontId="90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40" fontId="37" fillId="0" borderId="0"/>
    <xf numFmtId="205" fontId="39" fillId="0" borderId="0" applyFont="0" applyFill="0" applyBorder="0" applyAlignment="0" applyProtection="0"/>
    <xf numFmtId="188" fontId="39" fillId="0" borderId="0" applyFont="0" applyFill="0" applyBorder="0" applyAlignment="0" applyProtection="0"/>
    <xf numFmtId="254" fontId="39" fillId="0" borderId="0" applyFont="0" applyFill="0" applyBorder="0" applyAlignment="0" applyProtection="0"/>
    <xf numFmtId="0" fontId="219" fillId="0" borderId="0"/>
    <xf numFmtId="0" fontId="220" fillId="0" borderId="0" applyNumberFormat="0" applyFill="0" applyBorder="0" applyAlignment="0" applyProtection="0">
      <alignment vertical="top"/>
      <protection locked="0"/>
    </xf>
    <xf numFmtId="0" fontId="221" fillId="0" borderId="0" applyNumberFormat="0" applyFill="0" applyBorder="0" applyAlignment="0" applyProtection="0">
      <alignment vertical="top"/>
      <protection locked="0"/>
    </xf>
    <xf numFmtId="258" fontId="37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2" fontId="43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1" fontId="43" fillId="0" borderId="0"/>
    <xf numFmtId="343" fontId="43" fillId="0" borderId="0"/>
    <xf numFmtId="341" fontId="43" fillId="0" borderId="0"/>
    <xf numFmtId="341" fontId="43" fillId="0" borderId="0"/>
    <xf numFmtId="343" fontId="43" fillId="0" borderId="0"/>
    <xf numFmtId="341" fontId="43" fillId="0" borderId="0"/>
    <xf numFmtId="343" fontId="43" fillId="0" borderId="0"/>
    <xf numFmtId="0" fontId="28" fillId="0" borderId="0"/>
    <xf numFmtId="342" fontId="43" fillId="0" borderId="0"/>
    <xf numFmtId="0" fontId="222" fillId="0" borderId="0" applyFont="0" applyFill="0" applyBorder="0" applyAlignment="0" applyProtection="0"/>
    <xf numFmtId="0" fontId="222" fillId="0" borderId="0" applyFont="0" applyFill="0" applyBorder="0" applyAlignment="0" applyProtection="0"/>
    <xf numFmtId="0" fontId="62" fillId="0" borderId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8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2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8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83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8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64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8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7" fillId="100" borderId="0" applyNumberFormat="0" applyBorder="0" applyAlignment="0" applyProtection="0">
      <alignment vertical="center"/>
    </xf>
    <xf numFmtId="0" fontId="79" fillId="2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1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8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9" fillId="25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72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8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0" fontId="76" fillId="84" borderId="0" applyNumberFormat="0" applyBorder="0" applyAlignment="0" applyProtection="0">
      <alignment vertical="center"/>
    </xf>
    <xf numFmtId="38" fontId="41" fillId="0" borderId="0"/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9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8" fillId="55" borderId="112" applyNumberFormat="0" applyAlignment="0" applyProtection="0">
      <alignment vertical="center"/>
    </xf>
    <xf numFmtId="0" fontId="230" fillId="6" borderId="4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0" fontId="227" fillId="65" borderId="112" applyNumberFormat="0" applyAlignment="0" applyProtection="0">
      <alignment vertical="center"/>
    </xf>
    <xf numFmtId="344" fontId="4" fillId="0" borderId="91">
      <alignment vertical="center"/>
    </xf>
    <xf numFmtId="345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0" fontId="231" fillId="0" borderId="0"/>
    <xf numFmtId="179" fontId="4" fillId="0" borderId="0" applyNumberFormat="0" applyFill="0" applyBorder="0" applyAlignment="0" applyProtection="0">
      <alignment vertical="center"/>
    </xf>
    <xf numFmtId="346" fontId="28" fillId="0" borderId="69">
      <alignment horizontal="right" vertical="center" shrinkToFit="1"/>
    </xf>
    <xf numFmtId="0" fontId="232" fillId="0" borderId="0" applyNumberFormat="0" applyFill="0" applyBorder="0" applyAlignment="0" applyProtection="0">
      <alignment vertical="top"/>
      <protection locked="0"/>
    </xf>
    <xf numFmtId="38" fontId="233" fillId="0" borderId="0"/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6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5" fillId="50" borderId="0" applyNumberFormat="0" applyBorder="0" applyAlignment="0" applyProtection="0">
      <alignment vertical="center"/>
    </xf>
    <xf numFmtId="0" fontId="237" fillId="3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0" fontId="234" fillId="48" borderId="0" applyNumberFormat="0" applyBorder="0" applyAlignment="0" applyProtection="0">
      <alignment vertical="center"/>
    </xf>
    <xf numFmtId="14" fontId="80" fillId="0" borderId="0" applyFill="0" applyBorder="0" applyProtection="0">
      <alignment horizontal="center" vertical="center"/>
    </xf>
    <xf numFmtId="3" fontId="43" fillId="0" borderId="140">
      <alignment horizontal="center"/>
    </xf>
    <xf numFmtId="0" fontId="238" fillId="0" borderId="126">
      <alignment horizontal="center" vertical="center"/>
    </xf>
    <xf numFmtId="347" fontId="4" fillId="0" borderId="0" applyFont="0" applyFill="0" applyBorder="0" applyAlignment="0" applyProtection="0">
      <alignment horizontal="right" vertical="center"/>
    </xf>
    <xf numFmtId="179" fontId="4" fillId="0" borderId="0" applyFill="0" applyBorder="0" applyAlignment="0" applyProtection="0">
      <alignment vertical="center"/>
    </xf>
    <xf numFmtId="236" fontId="4" fillId="0" borderId="0" applyFill="0" applyBorder="0" applyAlignment="0" applyProtection="0">
      <alignment vertical="center"/>
    </xf>
    <xf numFmtId="0" fontId="130" fillId="0" borderId="0">
      <protection locked="0"/>
    </xf>
    <xf numFmtId="0" fontId="239" fillId="78" borderId="0">
      <alignment horizontal="centerContinuous" vertical="center"/>
    </xf>
    <xf numFmtId="0" fontId="240" fillId="0" borderId="0" applyNumberFormat="0" applyFill="0" applyBorder="0" applyAlignment="0" applyProtection="0">
      <alignment vertical="top"/>
      <protection locked="0"/>
    </xf>
    <xf numFmtId="43" fontId="28" fillId="0" borderId="0" applyFont="0" applyFill="0" applyBorder="0" applyAlignment="0" applyProtection="0"/>
    <xf numFmtId="348" fontId="4" fillId="0" borderId="0" applyFont="0" applyFill="0" applyBorder="0" applyAlignment="0" applyProtection="0"/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23" applyNumberFormat="0" applyFont="0" applyAlignment="0" applyProtection="0">
      <alignment vertical="center"/>
    </xf>
    <xf numFmtId="0" fontId="72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4" fillId="54" borderId="112" applyNumberFormat="0" applyFont="0" applyAlignment="0" applyProtection="0">
      <alignment vertical="center"/>
    </xf>
    <xf numFmtId="0" fontId="70" fillId="8" borderId="8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70" fillId="54" borderId="123" applyNumberFormat="0" applyFont="0" applyAlignment="0" applyProtection="0">
      <alignment vertical="center"/>
    </xf>
    <xf numFmtId="0" fontId="241" fillId="0" borderId="69" applyFont="0" applyFill="0" applyBorder="0" applyAlignment="0">
      <alignment horizontal="center" vertical="center"/>
    </xf>
    <xf numFmtId="349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0" fontId="242" fillId="0" borderId="0"/>
    <xf numFmtId="9" fontId="233" fillId="37" borderId="0" applyFill="0" applyBorder="0" applyProtection="0">
      <alignment horizontal="right"/>
    </xf>
    <xf numFmtId="10" fontId="233" fillId="0" borderId="0" applyFill="0" applyBorder="0" applyProtection="0">
      <alignment horizontal="right"/>
    </xf>
    <xf numFmtId="9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24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9" fontId="80" fillId="0" borderId="141" applyFill="0" applyBorder="0" applyProtection="0">
      <alignment vertical="center"/>
    </xf>
    <xf numFmtId="10" fontId="106" fillId="0" borderId="0" applyFill="0" applyBorder="0" applyAlignment="0" applyProtection="0">
      <alignment vertical="center"/>
    </xf>
    <xf numFmtId="350" fontId="134" fillId="0" borderId="125">
      <alignment horizontal="right"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6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5" fillId="90" borderId="0" applyNumberFormat="0" applyBorder="0" applyAlignment="0" applyProtection="0">
      <alignment vertical="center"/>
    </xf>
    <xf numFmtId="0" fontId="247" fillId="4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0" fontId="244" fillId="90" borderId="0" applyNumberFormat="0" applyBorder="0" applyAlignment="0" applyProtection="0">
      <alignment vertical="center"/>
    </xf>
    <xf numFmtId="351" fontId="4" fillId="0" borderId="91">
      <alignment vertical="center"/>
    </xf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40" fontId="43" fillId="0" borderId="0">
      <alignment horizontal="right"/>
    </xf>
    <xf numFmtId="187" fontId="36" fillId="0" borderId="0" applyFill="0" applyBorder="0" applyAlignment="0" applyProtection="0"/>
    <xf numFmtId="187" fontId="36" fillId="0" borderId="0" applyFill="0" applyBorder="0" applyAlignment="0" applyProtection="0"/>
    <xf numFmtId="0" fontId="169" fillId="0" borderId="0"/>
    <xf numFmtId="0" fontId="248" fillId="0" borderId="0">
      <alignment vertical="center"/>
    </xf>
    <xf numFmtId="37" fontId="134" fillId="0" borderId="111" applyAlignment="0"/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49" fillId="0" borderId="0" applyNumberFormat="0" applyFill="0" applyBorder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5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4" fillId="101" borderId="113" applyNumberFormat="0" applyAlignment="0" applyProtection="0">
      <alignment vertical="center"/>
    </xf>
    <xf numFmtId="0" fontId="256" fillId="7" borderId="7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253" fillId="63" borderId="113" applyNumberFormat="0" applyAlignment="0" applyProtection="0">
      <alignment vertical="center"/>
    </xf>
    <xf numFmtId="0" fontId="4" fillId="0" borderId="0" applyFont="0" applyFill="0" applyBorder="0" applyAlignment="0" applyProtection="0"/>
    <xf numFmtId="0" fontId="257" fillId="0" borderId="0">
      <alignment vertical="center"/>
    </xf>
    <xf numFmtId="0" fontId="258" fillId="0" borderId="0">
      <alignment vertical="center"/>
    </xf>
    <xf numFmtId="352" fontId="4" fillId="0" borderId="141" applyFill="0" applyBorder="0" applyProtection="0">
      <alignment vertical="center"/>
    </xf>
    <xf numFmtId="0" fontId="259" fillId="0" borderId="0">
      <alignment vertical="center"/>
    </xf>
    <xf numFmtId="352" fontId="4" fillId="0" borderId="141" applyFill="0" applyBorder="0" applyProtection="0">
      <alignment vertical="center"/>
    </xf>
    <xf numFmtId="41" fontId="260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26" fontId="7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24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26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275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5" fontId="106" fillId="0" borderId="0" applyFont="0" applyFill="0" applyBorder="0" applyAlignment="0" applyProtection="0"/>
    <xf numFmtId="0" fontId="28" fillId="0" borderId="0"/>
    <xf numFmtId="0" fontId="261" fillId="0" borderId="0">
      <alignment vertical="center"/>
    </xf>
    <xf numFmtId="353" fontId="262" fillId="0" borderId="91">
      <alignment vertical="center"/>
    </xf>
    <xf numFmtId="0" fontId="263" fillId="0" borderId="62"/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6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5" fillId="0" borderId="142" applyNumberFormat="0" applyFill="0" applyAlignment="0" applyProtection="0">
      <alignment vertical="center"/>
    </xf>
    <xf numFmtId="0" fontId="267" fillId="0" borderId="6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4" fillId="0" borderId="114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70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9" fillId="0" borderId="143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0" fontId="268" fillId="0" borderId="138" applyNumberFormat="0" applyFill="0" applyAlignment="0" applyProtection="0">
      <alignment vertical="center"/>
    </xf>
    <xf numFmtId="354" fontId="39" fillId="0" borderId="0" applyFont="0" applyFill="0" applyBorder="0" applyAlignment="0" applyProtection="0"/>
    <xf numFmtId="355" fontId="4" fillId="0" borderId="0" applyFont="0" applyFill="0" applyBorder="0" applyAlignment="0" applyProtection="0"/>
    <xf numFmtId="355" fontId="4" fillId="0" borderId="0" applyFont="0" applyFill="0" applyBorder="0" applyAlignment="0" applyProtection="0"/>
    <xf numFmtId="355" fontId="4" fillId="0" borderId="0" applyFont="0" applyFill="0" applyBorder="0" applyAlignment="0" applyProtection="0"/>
    <xf numFmtId="355" fontId="4" fillId="0" borderId="0" applyFont="0" applyFill="0" applyBorder="0" applyAlignment="0" applyProtection="0"/>
    <xf numFmtId="354" fontId="4" fillId="0" borderId="0" applyFont="0" applyFill="0" applyBorder="0" applyAlignment="0" applyProtection="0"/>
    <xf numFmtId="356" fontId="39" fillId="0" borderId="0" applyFont="0" applyFill="0" applyBorder="0" applyAlignment="0" applyProtection="0"/>
    <xf numFmtId="357" fontId="4" fillId="0" borderId="0" applyFont="0" applyFill="0" applyBorder="0" applyAlignment="0" applyProtection="0"/>
    <xf numFmtId="357" fontId="4" fillId="0" borderId="0" applyFont="0" applyFill="0" applyBorder="0" applyAlignment="0" applyProtection="0"/>
    <xf numFmtId="357" fontId="4" fillId="0" borderId="0" applyFont="0" applyFill="0" applyBorder="0" applyAlignment="0" applyProtection="0"/>
    <xf numFmtId="357" fontId="4" fillId="0" borderId="0" applyFont="0" applyFill="0" applyBorder="0" applyAlignment="0" applyProtection="0"/>
    <xf numFmtId="356" fontId="4" fillId="0" borderId="0" applyFont="0" applyFill="0" applyBorder="0" applyAlignment="0" applyProtection="0"/>
    <xf numFmtId="0" fontId="80" fillId="0" borderId="0"/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3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2" fillId="52" borderId="112" applyNumberFormat="0" applyAlignment="0" applyProtection="0">
      <alignment vertical="center"/>
    </xf>
    <xf numFmtId="0" fontId="274" fillId="5" borderId="4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0" fontId="271" fillId="52" borderId="112" applyNumberFormat="0" applyAlignment="0" applyProtection="0">
      <alignment vertical="center"/>
    </xf>
    <xf numFmtId="4" fontId="130" fillId="0" borderId="0">
      <protection locked="0"/>
    </xf>
    <xf numFmtId="3" fontId="275" fillId="0" borderId="0" applyFont="0" applyFill="0" applyBorder="0" applyAlignment="0" applyProtection="0"/>
    <xf numFmtId="358" fontId="262" fillId="0" borderId="91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8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7" fillId="0" borderId="144" applyNumberFormat="0" applyFill="0" applyAlignment="0" applyProtection="0">
      <alignment vertical="center"/>
    </xf>
    <xf numFmtId="0" fontId="279" fillId="0" borderId="1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76" fillId="0" borderId="118" applyNumberFormat="0" applyFill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3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2" fillId="0" borderId="145" applyNumberFormat="0" applyFill="0" applyAlignment="0" applyProtection="0">
      <alignment vertical="center"/>
    </xf>
    <xf numFmtId="0" fontId="284" fillId="0" borderId="2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1" fillId="0" borderId="119" applyNumberFormat="0" applyFill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7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6" fillId="0" borderId="146" applyNumberFormat="0" applyFill="0" applyAlignment="0" applyProtection="0">
      <alignment vertical="center"/>
    </xf>
    <xf numFmtId="0" fontId="288" fillId="0" borderId="3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120" applyNumberFormat="0" applyFill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5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9" fillId="0" borderId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center"/>
    </xf>
    <xf numFmtId="0" fontId="291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4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3" fillId="102" borderId="0" applyNumberFormat="0" applyBorder="0" applyAlignment="0" applyProtection="0">
      <alignment vertical="center"/>
    </xf>
    <xf numFmtId="0" fontId="295" fillId="2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292" fillId="49" borderId="0" applyNumberFormat="0" applyBorder="0" applyAlignment="0" applyProtection="0">
      <alignment vertical="center"/>
    </xf>
    <xf numFmtId="0" fontId="44" fillId="0" borderId="0"/>
    <xf numFmtId="359" fontId="37" fillId="0" borderId="0"/>
    <xf numFmtId="41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1" fontId="4" fillId="0" borderId="0" applyFont="0" applyFill="0" applyBorder="0" applyAlignment="0" applyProtection="0"/>
    <xf numFmtId="275" fontId="296" fillId="0" borderId="0" applyFont="0" applyFill="0" applyBorder="0" applyAlignment="0" applyProtection="0"/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9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8" fillId="55" borderId="117" applyNumberFormat="0" applyAlignment="0" applyProtection="0">
      <alignment vertical="center"/>
    </xf>
    <xf numFmtId="0" fontId="300" fillId="6" borderId="5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297" fillId="65" borderId="117" applyNumberFormat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255" fontId="4" fillId="0" borderId="88">
      <alignment vertical="center"/>
    </xf>
    <xf numFmtId="360" fontId="44" fillId="37" borderId="0" applyFill="0" applyBorder="0" applyProtection="0">
      <alignment horizontal="right"/>
    </xf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4" fillId="0" borderId="0" applyFont="0" applyFill="0" applyBorder="0" applyAlignment="0" applyProtection="0"/>
    <xf numFmtId="6" fontId="44" fillId="0" borderId="0" applyFont="0" applyFill="0" applyBorder="0" applyAlignment="0" applyProtection="0"/>
    <xf numFmtId="42" fontId="73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26" fontId="4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>
      <alignment vertical="center"/>
    </xf>
    <xf numFmtId="42" fontId="7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26" fontId="73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215" fontId="39" fillId="0" borderId="0" applyFont="0" applyFill="0" applyBorder="0" applyAlignment="0" applyProtection="0"/>
    <xf numFmtId="361" fontId="130" fillId="0" borderId="0">
      <protection locked="0"/>
    </xf>
    <xf numFmtId="0" fontId="301" fillId="0" borderId="0" applyNumberFormat="0" applyFill="0" applyBorder="0" applyAlignment="0" applyProtection="0">
      <alignment vertical="top"/>
      <protection locked="0"/>
    </xf>
    <xf numFmtId="0" fontId="302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26" fontId="4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6" fontId="73" fillId="0" borderId="0">
      <alignment vertical="center"/>
    </xf>
    <xf numFmtId="0" fontId="260" fillId="0" borderId="0"/>
    <xf numFmtId="0" fontId="106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26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28" fillId="0" borderId="0"/>
    <xf numFmtId="0" fontId="70" fillId="0" borderId="0">
      <alignment vertical="center"/>
    </xf>
    <xf numFmtId="0" fontId="28" fillId="0" borderId="0"/>
    <xf numFmtId="0" fontId="28" fillId="0" borderId="0"/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3" fillId="0" borderId="0">
      <alignment vertical="center"/>
    </xf>
    <xf numFmtId="0" fontId="4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8" fillId="0" borderId="0"/>
    <xf numFmtId="0" fontId="70" fillId="0" borderId="0">
      <alignment vertical="center"/>
    </xf>
    <xf numFmtId="0" fontId="28" fillId="0" borderId="0"/>
    <xf numFmtId="0" fontId="4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3" fillId="0" borderId="0">
      <alignment vertical="center"/>
    </xf>
    <xf numFmtId="0" fontId="30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304" fillId="0" borderId="0" applyNumberFormat="0" applyFill="0" applyBorder="0" applyAlignment="0" applyProtection="0">
      <alignment vertical="top"/>
      <protection locked="0"/>
    </xf>
    <xf numFmtId="0" fontId="304" fillId="0" borderId="0" applyNumberFormat="0" applyFill="0" applyBorder="0" applyAlignment="0" applyProtection="0">
      <alignment vertical="top"/>
      <protection locked="0"/>
    </xf>
    <xf numFmtId="236" fontId="4" fillId="0" borderId="139" applyFill="0" applyProtection="0">
      <alignment vertical="center"/>
    </xf>
    <xf numFmtId="0" fontId="130" fillId="0" borderId="147">
      <protection locked="0"/>
    </xf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179" fontId="4" fillId="0" borderId="0" applyNumberFormat="0" applyFill="0" applyBorder="0" applyAlignment="0" applyProtection="0">
      <alignment vertical="center"/>
    </xf>
    <xf numFmtId="362" fontId="110" fillId="0" borderId="0" applyFont="0" applyFill="0" applyBorder="0" applyAlignment="0" applyProtection="0"/>
    <xf numFmtId="205" fontId="39" fillId="0" borderId="0" applyFont="0" applyFill="0" applyBorder="0" applyAlignment="0" applyProtection="0"/>
    <xf numFmtId="363" fontId="110" fillId="0" borderId="0" applyFont="0" applyFill="0" applyBorder="0" applyAlignment="0" applyProtection="0"/>
    <xf numFmtId="364" fontId="130" fillId="0" borderId="0">
      <protection locked="0"/>
    </xf>
    <xf numFmtId="365" fontId="130" fillId="0" borderId="0">
      <protection locked="0"/>
    </xf>
  </cellStyleXfs>
  <cellXfs count="44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177" fontId="33" fillId="34" borderId="63" xfId="0" applyNumberFormat="1" applyFont="1" applyFill="1" applyBorder="1" applyAlignment="1">
      <alignment horizontal="right" vertical="center"/>
    </xf>
    <xf numFmtId="178" fontId="33" fillId="34" borderId="55" xfId="0" applyNumberFormat="1" applyFont="1" applyFill="1" applyBorder="1" applyAlignment="1">
      <alignment horizontal="right" vertical="center"/>
    </xf>
    <xf numFmtId="49" fontId="33" fillId="0" borderId="57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6" fillId="34" borderId="30" xfId="0" applyFont="1" applyFill="1" applyBorder="1" applyAlignment="1">
      <alignment horizontal="center" vertical="center"/>
    </xf>
    <xf numFmtId="0" fontId="6" fillId="34" borderId="31" xfId="0" applyFont="1" applyFill="1" applyBorder="1" applyAlignment="1">
      <alignment horizontal="right" vertical="center"/>
    </xf>
    <xf numFmtId="0" fontId="6" fillId="34" borderId="0" xfId="0" applyFont="1" applyFill="1" applyAlignment="1">
      <alignment horizontal="center" vertical="center"/>
    </xf>
    <xf numFmtId="0" fontId="9" fillId="34" borderId="0" xfId="0" applyFont="1" applyFill="1" applyAlignment="1">
      <alignment horizontal="left" vertical="center"/>
    </xf>
    <xf numFmtId="41" fontId="6" fillId="34" borderId="0" xfId="0" applyNumberFormat="1" applyFont="1" applyFill="1" applyAlignment="1">
      <alignment horizontal="center" vertical="center"/>
    </xf>
    <xf numFmtId="0" fontId="6" fillId="34" borderId="0" xfId="0" applyFont="1" applyFill="1" applyAlignment="1">
      <alignment horizontal="right" vertical="center"/>
    </xf>
    <xf numFmtId="0" fontId="6" fillId="34" borderId="0" xfId="0" applyFont="1" applyFill="1" applyBorder="1" applyAlignment="1">
      <alignment horizontal="center" vertical="center"/>
    </xf>
    <xf numFmtId="41" fontId="6" fillId="34" borderId="0" xfId="0" applyNumberFormat="1" applyFont="1" applyFill="1" applyBorder="1" applyAlignment="1">
      <alignment horizontal="center" vertical="center"/>
    </xf>
    <xf numFmtId="41" fontId="6" fillId="34" borderId="36" xfId="0" applyNumberFormat="1" applyFont="1" applyFill="1" applyBorder="1" applyAlignment="1">
      <alignment horizontal="center" vertical="center"/>
    </xf>
    <xf numFmtId="0" fontId="6" fillId="34" borderId="16" xfId="0" applyFont="1" applyFill="1" applyBorder="1" applyAlignment="1">
      <alignment horizontal="center" vertical="center"/>
    </xf>
    <xf numFmtId="41" fontId="6" fillId="34" borderId="16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35" borderId="30" xfId="0" applyFont="1" applyFill="1" applyBorder="1" applyAlignment="1">
      <alignment horizontal="center" vertical="center"/>
    </xf>
    <xf numFmtId="41" fontId="10" fillId="35" borderId="50" xfId="0" applyNumberFormat="1" applyFont="1" applyFill="1" applyBorder="1" applyAlignment="1">
      <alignment horizontal="center" vertical="center"/>
    </xf>
    <xf numFmtId="0" fontId="10" fillId="34" borderId="79" xfId="0" applyFont="1" applyFill="1" applyBorder="1" applyAlignment="1">
      <alignment vertical="center"/>
    </xf>
    <xf numFmtId="0" fontId="10" fillId="34" borderId="80" xfId="0" applyFont="1" applyFill="1" applyBorder="1" applyAlignment="1">
      <alignment vertical="center"/>
    </xf>
    <xf numFmtId="177" fontId="10" fillId="35" borderId="30" xfId="0" applyNumberFormat="1" applyFont="1" applyFill="1" applyBorder="1" applyAlignment="1">
      <alignment horizontal="center" vertical="center"/>
    </xf>
    <xf numFmtId="41" fontId="10" fillId="35" borderId="30" xfId="0" applyNumberFormat="1" applyFont="1" applyFill="1" applyBorder="1" applyAlignment="1">
      <alignment horizontal="center" vertical="center"/>
    </xf>
    <xf numFmtId="41" fontId="10" fillId="36" borderId="50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1" fontId="14" fillId="0" borderId="59" xfId="0" applyNumberFormat="1" applyFont="1" applyFill="1" applyBorder="1" applyAlignment="1">
      <alignment horizontal="right" vertical="center"/>
    </xf>
    <xf numFmtId="0" fontId="14" fillId="0" borderId="67" xfId="0" applyFont="1" applyFill="1" applyBorder="1" applyAlignment="1">
      <alignment horizontal="right" vertical="center"/>
    </xf>
    <xf numFmtId="49" fontId="10" fillId="34" borderId="63" xfId="0" applyNumberFormat="1" applyFont="1" applyFill="1" applyBorder="1" applyAlignment="1">
      <alignment horizontal="left" vertical="center"/>
    </xf>
    <xf numFmtId="41" fontId="14" fillId="37" borderId="63" xfId="0" applyNumberFormat="1" applyFont="1" applyFill="1" applyBorder="1" applyAlignment="1">
      <alignment horizontal="right" vertical="center"/>
    </xf>
    <xf numFmtId="41" fontId="10" fillId="37" borderId="63" xfId="0" applyNumberFormat="1" applyFont="1" applyFill="1" applyBorder="1" applyAlignment="1">
      <alignment horizontal="right" vertical="center"/>
    </xf>
    <xf numFmtId="0" fontId="14" fillId="35" borderId="30" xfId="0" applyFont="1" applyFill="1" applyBorder="1" applyAlignment="1">
      <alignment horizontal="center" vertical="center"/>
    </xf>
    <xf numFmtId="177" fontId="14" fillId="35" borderId="30" xfId="0" applyNumberFormat="1" applyFont="1" applyFill="1" applyBorder="1" applyAlignment="1">
      <alignment horizontal="center" vertical="center"/>
    </xf>
    <xf numFmtId="41" fontId="14" fillId="35" borderId="30" xfId="0" applyNumberFormat="1" applyFont="1" applyFill="1" applyBorder="1" applyAlignment="1">
      <alignment horizontal="center" vertical="center"/>
    </xf>
    <xf numFmtId="0" fontId="12" fillId="34" borderId="54" xfId="0" applyFont="1" applyFill="1" applyBorder="1" applyAlignment="1">
      <alignment vertical="center"/>
    </xf>
    <xf numFmtId="0" fontId="12" fillId="34" borderId="59" xfId="0" applyFont="1" applyFill="1" applyBorder="1" applyAlignment="1">
      <alignment vertical="center"/>
    </xf>
    <xf numFmtId="0" fontId="12" fillId="34" borderId="55" xfId="0" applyFont="1" applyFill="1" applyBorder="1" applyAlignment="1">
      <alignment horizontal="left" vertical="center" wrapText="1"/>
    </xf>
    <xf numFmtId="0" fontId="5" fillId="34" borderId="55" xfId="0" applyFont="1" applyFill="1" applyBorder="1" applyAlignment="1">
      <alignment horizontal="right" vertical="center"/>
    </xf>
    <xf numFmtId="0" fontId="12" fillId="34" borderId="62" xfId="0" applyFont="1" applyFill="1" applyBorder="1" applyAlignment="1">
      <alignment vertical="center"/>
    </xf>
    <xf numFmtId="0" fontId="12" fillId="34" borderId="67" xfId="0" applyFont="1" applyFill="1" applyBorder="1" applyAlignment="1">
      <alignment vertical="center"/>
    </xf>
    <xf numFmtId="0" fontId="12" fillId="34" borderId="64" xfId="0" applyFont="1" applyFill="1" applyBorder="1" applyAlignment="1">
      <alignment horizontal="left" vertical="center" wrapText="1"/>
    </xf>
    <xf numFmtId="0" fontId="5" fillId="37" borderId="64" xfId="0" applyFont="1" applyFill="1" applyBorder="1" applyAlignment="1">
      <alignment horizontal="right" vertical="center"/>
    </xf>
    <xf numFmtId="0" fontId="10" fillId="34" borderId="53" xfId="0" applyFont="1" applyFill="1" applyBorder="1" applyAlignment="1">
      <alignment horizontal="left" vertical="center"/>
    </xf>
    <xf numFmtId="0" fontId="5" fillId="37" borderId="85" xfId="0" applyFont="1" applyFill="1" applyBorder="1" applyAlignment="1">
      <alignment horizontal="right" vertical="center"/>
    </xf>
    <xf numFmtId="0" fontId="14" fillId="34" borderId="85" xfId="0" applyFont="1" applyFill="1" applyBorder="1" applyAlignment="1">
      <alignment horizontal="left" vertical="center"/>
    </xf>
    <xf numFmtId="0" fontId="5" fillId="37" borderId="77" xfId="0" applyFont="1" applyFill="1" applyBorder="1" applyAlignment="1">
      <alignment horizontal="right" vertical="center"/>
    </xf>
    <xf numFmtId="0" fontId="14" fillId="34" borderId="63" xfId="0" applyFont="1" applyFill="1" applyBorder="1" applyAlignment="1">
      <alignment horizontal="left" vertical="center"/>
    </xf>
    <xf numFmtId="0" fontId="14" fillId="37" borderId="83" xfId="0" applyFont="1" applyFill="1" applyBorder="1" applyAlignment="1">
      <alignment horizontal="left" vertical="center"/>
    </xf>
    <xf numFmtId="0" fontId="5" fillId="37" borderId="83" xfId="0" applyFont="1" applyFill="1" applyBorder="1" applyAlignment="1">
      <alignment horizontal="right" vertical="center"/>
    </xf>
    <xf numFmtId="0" fontId="16" fillId="35" borderId="26" xfId="0" applyFont="1" applyFill="1" applyBorder="1" applyAlignment="1">
      <alignment horizontal="left" vertical="center"/>
    </xf>
    <xf numFmtId="177" fontId="16" fillId="35" borderId="26" xfId="0" applyNumberFormat="1" applyFont="1" applyFill="1" applyBorder="1" applyAlignment="1">
      <alignment horizontal="center" vertical="center"/>
    </xf>
    <xf numFmtId="41" fontId="16" fillId="35" borderId="26" xfId="0" applyNumberFormat="1" applyFont="1" applyFill="1" applyBorder="1" applyAlignment="1">
      <alignment horizontal="center" vertical="center"/>
    </xf>
    <xf numFmtId="42" fontId="16" fillId="35" borderId="95" xfId="0" applyNumberFormat="1" applyFont="1" applyFill="1" applyBorder="1" applyAlignment="1">
      <alignment vertical="center"/>
    </xf>
    <xf numFmtId="0" fontId="16" fillId="35" borderId="26" xfId="0" applyFont="1" applyFill="1" applyBorder="1" applyAlignment="1">
      <alignment horizontal="right" vertical="center"/>
    </xf>
    <xf numFmtId="0" fontId="16" fillId="35" borderId="27" xfId="0" applyFont="1" applyFill="1" applyBorder="1" applyAlignment="1">
      <alignment horizontal="right" vertical="center"/>
    </xf>
    <xf numFmtId="0" fontId="5" fillId="37" borderId="58" xfId="0" quotePrefix="1" applyFont="1" applyFill="1" applyBorder="1" applyAlignment="1">
      <alignment horizontal="center" vertical="center"/>
    </xf>
    <xf numFmtId="41" fontId="10" fillId="0" borderId="55" xfId="0" applyNumberFormat="1" applyFont="1" applyFill="1" applyBorder="1" applyAlignment="1">
      <alignment vertical="center"/>
    </xf>
    <xf numFmtId="41" fontId="10" fillId="0" borderId="56" xfId="0" applyNumberFormat="1" applyFont="1" applyFill="1" applyBorder="1" applyAlignment="1">
      <alignment vertical="center"/>
    </xf>
    <xf numFmtId="41" fontId="10" fillId="0" borderId="57" xfId="0" applyNumberFormat="1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7" borderId="94" xfId="0" quotePrefix="1" applyFont="1" applyFill="1" applyBorder="1" applyAlignment="1">
      <alignment horizontal="center" vertical="center"/>
    </xf>
    <xf numFmtId="41" fontId="10" fillId="0" borderId="63" xfId="0" applyNumberFormat="1" applyFont="1" applyFill="1" applyBorder="1" applyAlignment="1">
      <alignment vertical="center"/>
    </xf>
    <xf numFmtId="41" fontId="10" fillId="0" borderId="81" xfId="0" applyNumberFormat="1" applyFont="1" applyFill="1" applyBorder="1" applyAlignment="1">
      <alignment vertical="center"/>
    </xf>
    <xf numFmtId="41" fontId="10" fillId="0" borderId="61" xfId="0" applyNumberFormat="1" applyFont="1" applyFill="1" applyBorder="1" applyAlignment="1">
      <alignment vertical="center"/>
    </xf>
    <xf numFmtId="0" fontId="18" fillId="37" borderId="94" xfId="0" quotePrefix="1" applyFont="1" applyFill="1" applyBorder="1" applyAlignment="1">
      <alignment horizontal="center" vertical="center"/>
    </xf>
    <xf numFmtId="41" fontId="19" fillId="34" borderId="63" xfId="0" applyNumberFormat="1" applyFont="1" applyFill="1" applyBorder="1" applyAlignment="1">
      <alignment vertical="center"/>
    </xf>
    <xf numFmtId="41" fontId="19" fillId="0" borderId="63" xfId="0" applyNumberFormat="1" applyFont="1" applyFill="1" applyBorder="1" applyAlignment="1">
      <alignment vertical="center"/>
    </xf>
    <xf numFmtId="0" fontId="5" fillId="37" borderId="97" xfId="0" quotePrefix="1" applyFont="1" applyFill="1" applyBorder="1" applyAlignment="1">
      <alignment horizontal="center" vertical="center"/>
    </xf>
    <xf numFmtId="41" fontId="19" fillId="0" borderId="80" xfId="0" applyNumberFormat="1" applyFont="1" applyFill="1" applyBorder="1" applyAlignment="1">
      <alignment vertical="center"/>
    </xf>
    <xf numFmtId="41" fontId="20" fillId="0" borderId="63" xfId="0" applyNumberFormat="1" applyFont="1" applyFill="1" applyBorder="1" applyAlignment="1">
      <alignment vertical="center"/>
    </xf>
    <xf numFmtId="41" fontId="10" fillId="0" borderId="96" xfId="0" applyNumberFormat="1" applyFont="1" applyFill="1" applyBorder="1" applyAlignment="1">
      <alignment vertical="center"/>
    </xf>
    <xf numFmtId="0" fontId="11" fillId="34" borderId="98" xfId="0" applyFont="1" applyFill="1" applyBorder="1" applyAlignment="1">
      <alignment horizontal="center" vertical="center" shrinkToFit="1"/>
    </xf>
    <xf numFmtId="10" fontId="16" fillId="34" borderId="98" xfId="0" applyNumberFormat="1" applyFont="1" applyFill="1" applyBorder="1" applyAlignment="1">
      <alignment vertical="center" shrinkToFit="1"/>
    </xf>
    <xf numFmtId="10" fontId="18" fillId="34" borderId="45" xfId="0" applyNumberFormat="1" applyFont="1" applyFill="1" applyBorder="1" applyAlignment="1">
      <alignment vertical="center"/>
    </xf>
    <xf numFmtId="41" fontId="11" fillId="34" borderId="99" xfId="0" applyNumberFormat="1" applyFont="1" applyFill="1" applyBorder="1" applyAlignment="1">
      <alignment horizontal="center" vertical="center" shrinkToFit="1"/>
    </xf>
    <xf numFmtId="10" fontId="16" fillId="34" borderId="99" xfId="0" applyNumberFormat="1" applyFont="1" applyFill="1" applyBorder="1" applyAlignment="1">
      <alignment vertical="center" shrinkToFit="1"/>
    </xf>
    <xf numFmtId="10" fontId="5" fillId="34" borderId="100" xfId="0" applyNumberFormat="1" applyFont="1" applyFill="1" applyBorder="1" applyAlignment="1">
      <alignment vertical="center"/>
    </xf>
    <xf numFmtId="0" fontId="18" fillId="37" borderId="101" xfId="0" quotePrefix="1" applyFont="1" applyFill="1" applyBorder="1" applyAlignment="1">
      <alignment horizontal="center" vertical="center"/>
    </xf>
    <xf numFmtId="41" fontId="16" fillId="34" borderId="107" xfId="0" applyNumberFormat="1" applyFont="1" applyFill="1" applyBorder="1" applyAlignment="1">
      <alignment horizontal="center" vertical="center" shrinkToFit="1"/>
    </xf>
    <xf numFmtId="10" fontId="21" fillId="38" borderId="99" xfId="0" applyNumberFormat="1" applyFont="1" applyFill="1" applyBorder="1" applyAlignment="1">
      <alignment vertical="center" shrinkToFit="1"/>
    </xf>
    <xf numFmtId="10" fontId="18" fillId="34" borderId="93" xfId="0" applyNumberFormat="1" applyFont="1" applyFill="1" applyBorder="1" applyAlignment="1">
      <alignment vertical="center"/>
    </xf>
    <xf numFmtId="0" fontId="5" fillId="37" borderId="0" xfId="0" applyFont="1" applyFill="1" applyBorder="1" applyAlignment="1">
      <alignment horizontal="center" vertical="center"/>
    </xf>
    <xf numFmtId="0" fontId="5" fillId="34" borderId="0" xfId="0" applyFont="1" applyFill="1" applyBorder="1" applyAlignment="1">
      <alignment horizontal="center" vertical="center"/>
    </xf>
    <xf numFmtId="41" fontId="18" fillId="34" borderId="0" xfId="0" applyNumberFormat="1" applyFont="1" applyFill="1" applyBorder="1" applyAlignment="1">
      <alignment horizontal="center" vertical="center"/>
    </xf>
    <xf numFmtId="41" fontId="18" fillId="34" borderId="0" xfId="0" applyNumberFormat="1" applyFont="1" applyFill="1" applyBorder="1" applyAlignment="1">
      <alignment horizontal="right" vertical="center"/>
    </xf>
    <xf numFmtId="41" fontId="5" fillId="34" borderId="0" xfId="0" applyNumberFormat="1" applyFont="1" applyFill="1" applyBorder="1" applyAlignment="1">
      <alignment horizontal="center" vertical="center"/>
    </xf>
    <xf numFmtId="182" fontId="18" fillId="34" borderId="0" xfId="0" applyNumberFormat="1" applyFont="1" applyFill="1" applyBorder="1" applyAlignment="1">
      <alignment horizontal="center" vertical="center"/>
    </xf>
    <xf numFmtId="0" fontId="4" fillId="34" borderId="10" xfId="0" applyFont="1" applyFill="1" applyBorder="1" applyAlignment="1">
      <alignment horizontal="center" vertical="center"/>
    </xf>
    <xf numFmtId="41" fontId="22" fillId="0" borderId="11" xfId="0" applyNumberFormat="1" applyFont="1" applyFill="1" applyBorder="1" applyAlignment="1">
      <alignment vertical="center"/>
    </xf>
    <xf numFmtId="41" fontId="18" fillId="34" borderId="11" xfId="0" applyNumberFormat="1" applyFont="1" applyFill="1" applyBorder="1" applyAlignment="1">
      <alignment vertical="center"/>
    </xf>
    <xf numFmtId="41" fontId="18" fillId="34" borderId="11" xfId="0" applyNumberFormat="1" applyFont="1" applyFill="1" applyBorder="1" applyAlignment="1">
      <alignment horizontal="center" vertical="center"/>
    </xf>
    <xf numFmtId="0" fontId="11" fillId="40" borderId="13" xfId="0" applyFont="1" applyFill="1" applyBorder="1" applyAlignment="1">
      <alignment horizontal="center" vertical="center"/>
    </xf>
    <xf numFmtId="0" fontId="11" fillId="40" borderId="0" xfId="0" applyFont="1" applyFill="1" applyBorder="1" applyAlignment="1">
      <alignment vertical="center"/>
    </xf>
    <xf numFmtId="0" fontId="24" fillId="40" borderId="0" xfId="0" applyFont="1" applyFill="1" applyBorder="1" applyAlignment="1">
      <alignment vertical="center"/>
    </xf>
    <xf numFmtId="9" fontId="11" fillId="40" borderId="14" xfId="0" applyNumberFormat="1" applyFont="1" applyFill="1" applyBorder="1" applyAlignment="1">
      <alignment horizontal="center" vertical="center"/>
    </xf>
    <xf numFmtId="0" fontId="6" fillId="34" borderId="13" xfId="0" applyFont="1" applyFill="1" applyBorder="1" applyAlignment="1">
      <alignment horizontal="center" vertical="center"/>
    </xf>
    <xf numFmtId="0" fontId="22" fillId="34" borderId="0" xfId="0" applyFont="1" applyFill="1" applyBorder="1" applyAlignment="1">
      <alignment vertical="center"/>
    </xf>
    <xf numFmtId="42" fontId="16" fillId="38" borderId="15" xfId="0" applyNumberFormat="1" applyFont="1" applyFill="1" applyBorder="1" applyAlignment="1">
      <alignment vertical="center"/>
    </xf>
    <xf numFmtId="176" fontId="16" fillId="38" borderId="17" xfId="0" applyNumberFormat="1" applyFont="1" applyFill="1" applyBorder="1" applyAlignment="1">
      <alignment horizontal="center" vertical="center"/>
    </xf>
    <xf numFmtId="181" fontId="25" fillId="34" borderId="0" xfId="0" applyNumberFormat="1" applyFont="1" applyFill="1" applyBorder="1" applyAlignment="1">
      <alignment vertical="center"/>
    </xf>
    <xf numFmtId="41" fontId="26" fillId="34" borderId="0" xfId="0" applyNumberFormat="1" applyFont="1" applyFill="1" applyBorder="1" applyAlignment="1">
      <alignment vertical="center"/>
    </xf>
    <xf numFmtId="0" fontId="26" fillId="34" borderId="0" xfId="0" applyFont="1" applyFill="1" applyBorder="1" applyAlignment="1">
      <alignment vertical="center"/>
    </xf>
    <xf numFmtId="0" fontId="27" fillId="37" borderId="0" xfId="0" applyFont="1" applyFill="1" applyBorder="1" applyAlignment="1">
      <alignment horizontal="center" vertical="center"/>
    </xf>
    <xf numFmtId="0" fontId="11" fillId="41" borderId="13" xfId="0" applyFont="1" applyFill="1" applyBorder="1" applyAlignment="1">
      <alignment horizontal="center" vertical="center"/>
    </xf>
    <xf numFmtId="0" fontId="11" fillId="41" borderId="0" xfId="0" applyFont="1" applyFill="1" applyBorder="1" applyAlignment="1">
      <alignment vertical="center"/>
    </xf>
    <xf numFmtId="0" fontId="24" fillId="41" borderId="0" xfId="0" applyFont="1" applyFill="1" applyBorder="1" applyAlignment="1">
      <alignment vertical="center"/>
    </xf>
    <xf numFmtId="9" fontId="11" fillId="41" borderId="14" xfId="0" applyNumberFormat="1" applyFont="1" applyFill="1" applyBorder="1" applyAlignment="1">
      <alignment horizontal="center" vertical="center"/>
    </xf>
    <xf numFmtId="0" fontId="5" fillId="34" borderId="0" xfId="0" applyFont="1" applyFill="1" applyBorder="1" applyAlignment="1">
      <alignment vertical="center"/>
    </xf>
    <xf numFmtId="31" fontId="10" fillId="34" borderId="0" xfId="0" applyNumberFormat="1" applyFont="1" applyFill="1" applyBorder="1" applyAlignment="1">
      <alignment vertical="center"/>
    </xf>
    <xf numFmtId="31" fontId="5" fillId="34" borderId="0" xfId="0" applyNumberFormat="1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0" fontId="11" fillId="42" borderId="13" xfId="0" applyFont="1" applyFill="1" applyBorder="1" applyAlignment="1">
      <alignment horizontal="center" vertical="center"/>
    </xf>
    <xf numFmtId="0" fontId="11" fillId="42" borderId="0" xfId="0" applyFont="1" applyFill="1" applyBorder="1" applyAlignment="1">
      <alignment vertical="center"/>
    </xf>
    <xf numFmtId="0" fontId="24" fillId="42" borderId="0" xfId="0" applyFont="1" applyFill="1" applyBorder="1" applyAlignment="1">
      <alignment vertical="center"/>
    </xf>
    <xf numFmtId="9" fontId="11" fillId="42" borderId="14" xfId="0" applyNumberFormat="1" applyFont="1" applyFill="1" applyBorder="1" applyAlignment="1">
      <alignment horizontal="center" vertical="center"/>
    </xf>
    <xf numFmtId="183" fontId="5" fillId="34" borderId="0" xfId="0" applyNumberFormat="1" applyFont="1" applyFill="1" applyBorder="1" applyAlignment="1">
      <alignment vertical="center"/>
    </xf>
    <xf numFmtId="41" fontId="6" fillId="34" borderId="0" xfId="0" applyNumberFormat="1" applyFont="1" applyFill="1" applyBorder="1" applyAlignment="1">
      <alignment horizontal="left" vertical="center"/>
    </xf>
    <xf numFmtId="0" fontId="11" fillId="43" borderId="13" xfId="0" applyFont="1" applyFill="1" applyBorder="1" applyAlignment="1">
      <alignment horizontal="center" vertical="center"/>
    </xf>
    <xf numFmtId="0" fontId="11" fillId="43" borderId="0" xfId="0" applyFont="1" applyFill="1" applyBorder="1" applyAlignment="1">
      <alignment vertical="center"/>
    </xf>
    <xf numFmtId="0" fontId="24" fillId="43" borderId="0" xfId="0" applyFont="1" applyFill="1" applyBorder="1" applyAlignment="1">
      <alignment vertical="center"/>
    </xf>
    <xf numFmtId="9" fontId="11" fillId="43" borderId="14" xfId="0" applyNumberFormat="1" applyFont="1" applyFill="1" applyBorder="1" applyAlignment="1">
      <alignment horizontal="center" vertical="center"/>
    </xf>
    <xf numFmtId="14" fontId="5" fillId="34" borderId="0" xfId="0" applyNumberFormat="1" applyFont="1" applyFill="1" applyBorder="1" applyAlignment="1">
      <alignment horizontal="center" vertical="center"/>
    </xf>
    <xf numFmtId="0" fontId="11" fillId="44" borderId="15" xfId="0" applyFont="1" applyFill="1" applyBorder="1" applyAlignment="1">
      <alignment horizontal="center" vertical="center"/>
    </xf>
    <xf numFmtId="0" fontId="11" fillId="44" borderId="16" xfId="0" applyFont="1" applyFill="1" applyBorder="1" applyAlignment="1">
      <alignment horizontal="left" vertical="center"/>
    </xf>
    <xf numFmtId="0" fontId="24" fillId="44" borderId="16" xfId="0" applyFont="1" applyFill="1" applyBorder="1" applyAlignment="1">
      <alignment horizontal="center" vertical="center"/>
    </xf>
    <xf numFmtId="9" fontId="11" fillId="44" borderId="17" xfId="0" applyNumberFormat="1" applyFont="1" applyFill="1" applyBorder="1" applyAlignment="1">
      <alignment horizontal="center" vertical="center"/>
    </xf>
    <xf numFmtId="0" fontId="6" fillId="34" borderId="15" xfId="0" applyFont="1" applyFill="1" applyBorder="1" applyAlignment="1">
      <alignment horizontal="center" vertical="center"/>
    </xf>
    <xf numFmtId="0" fontId="6" fillId="34" borderId="16" xfId="0" applyFont="1" applyFill="1" applyBorder="1" applyAlignment="1">
      <alignment vertical="center"/>
    </xf>
    <xf numFmtId="41" fontId="6" fillId="0" borderId="0" xfId="0" applyNumberFormat="1" applyFont="1" applyFill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0" fontId="33" fillId="34" borderId="54" xfId="0" applyFont="1" applyFill="1" applyBorder="1" applyAlignment="1" applyProtection="1">
      <alignment vertical="center"/>
    </xf>
    <xf numFmtId="0" fontId="33" fillId="34" borderId="70" xfId="0" applyFont="1" applyFill="1" applyBorder="1" applyAlignment="1"/>
    <xf numFmtId="0" fontId="33" fillId="34" borderId="71" xfId="0" applyFont="1" applyFill="1" applyBorder="1" applyAlignment="1"/>
    <xf numFmtId="0" fontId="33" fillId="34" borderId="74" xfId="0" applyFont="1" applyFill="1" applyBorder="1" applyAlignment="1">
      <alignment vertical="center"/>
    </xf>
    <xf numFmtId="0" fontId="33" fillId="34" borderId="63" xfId="0" applyFont="1" applyFill="1" applyBorder="1" applyAlignment="1">
      <alignment vertical="center"/>
    </xf>
    <xf numFmtId="41" fontId="33" fillId="34" borderId="64" xfId="0" applyNumberFormat="1" applyFont="1" applyFill="1" applyBorder="1" applyAlignment="1">
      <alignment horizontal="center" vertical="center"/>
    </xf>
    <xf numFmtId="41" fontId="35" fillId="34" borderId="81" xfId="0" applyNumberFormat="1" applyFont="1" applyFill="1" applyBorder="1" applyAlignment="1">
      <alignment horizontal="center" vertical="center"/>
    </xf>
    <xf numFmtId="41" fontId="33" fillId="34" borderId="55" xfId="0" applyNumberFormat="1" applyFont="1" applyFill="1" applyBorder="1" applyAlignment="1">
      <alignment horizontal="center" vertical="center"/>
    </xf>
    <xf numFmtId="41" fontId="35" fillId="34" borderId="65" xfId="0" applyNumberFormat="1" applyFont="1" applyFill="1" applyBorder="1" applyAlignment="1">
      <alignment horizontal="center" vertical="center"/>
    </xf>
    <xf numFmtId="0" fontId="34" fillId="34" borderId="86" xfId="0" applyFont="1" applyFill="1" applyBorder="1" applyAlignment="1">
      <alignment vertical="center"/>
    </xf>
    <xf numFmtId="0" fontId="33" fillId="34" borderId="64" xfId="0" applyFont="1" applyFill="1" applyBorder="1" applyAlignment="1">
      <alignment vertical="center"/>
    </xf>
    <xf numFmtId="0" fontId="33" fillId="34" borderId="66" xfId="0" applyFont="1" applyFill="1" applyBorder="1" applyAlignment="1"/>
    <xf numFmtId="0" fontId="33" fillId="34" borderId="62" xfId="0" applyFont="1" applyFill="1" applyBorder="1" applyAlignment="1"/>
    <xf numFmtId="0" fontId="33" fillId="34" borderId="67" xfId="0" applyFont="1" applyFill="1" applyBorder="1" applyAlignment="1"/>
    <xf numFmtId="0" fontId="33" fillId="34" borderId="61" xfId="0" applyFont="1" applyFill="1" applyBorder="1" applyAlignment="1"/>
    <xf numFmtId="0" fontId="33" fillId="34" borderId="79" xfId="0" applyFont="1" applyFill="1" applyBorder="1" applyAlignment="1"/>
    <xf numFmtId="0" fontId="33" fillId="34" borderId="80" xfId="0" applyFont="1" applyFill="1" applyBorder="1" applyAlignment="1"/>
    <xf numFmtId="0" fontId="33" fillId="34" borderId="72" xfId="0" applyFont="1" applyFill="1" applyBorder="1" applyAlignment="1"/>
    <xf numFmtId="49" fontId="33" fillId="0" borderId="55" xfId="0" applyNumberFormat="1" applyFont="1" applyBorder="1" applyAlignment="1">
      <alignment horizontal="left" vertical="center"/>
    </xf>
    <xf numFmtId="41" fontId="33" fillId="34" borderId="56" xfId="0" applyNumberFormat="1" applyFont="1" applyFill="1" applyBorder="1" applyAlignment="1">
      <alignment horizontal="center" vertical="center"/>
    </xf>
    <xf numFmtId="178" fontId="33" fillId="34" borderId="55" xfId="0" applyNumberFormat="1" applyFont="1" applyFill="1" applyBorder="1" applyAlignment="1">
      <alignment vertical="center"/>
    </xf>
    <xf numFmtId="41" fontId="10" fillId="0" borderId="55" xfId="0" applyNumberFormat="1" applyFont="1" applyFill="1" applyBorder="1" applyAlignment="1">
      <alignment horizontal="center" vertical="center"/>
    </xf>
    <xf numFmtId="0" fontId="14" fillId="0" borderId="76" xfId="0" applyFont="1" applyFill="1" applyBorder="1" applyAlignment="1">
      <alignment horizontal="right" vertical="center"/>
    </xf>
    <xf numFmtId="0" fontId="33" fillId="34" borderId="79" xfId="0" applyFont="1" applyFill="1" applyBorder="1" applyAlignment="1">
      <alignment vertical="center"/>
    </xf>
    <xf numFmtId="0" fontId="33" fillId="34" borderId="80" xfId="0" applyFont="1" applyFill="1" applyBorder="1" applyAlignment="1">
      <alignment vertical="center"/>
    </xf>
    <xf numFmtId="41" fontId="33" fillId="34" borderId="63" xfId="0" applyNumberFormat="1" applyFont="1" applyFill="1" applyBorder="1" applyAlignment="1">
      <alignment horizontal="center" vertical="center"/>
    </xf>
    <xf numFmtId="41" fontId="33" fillId="34" borderId="81" xfId="0" applyNumberFormat="1" applyFont="1" applyFill="1" applyBorder="1" applyAlignment="1">
      <alignment horizontal="right" vertical="center"/>
    </xf>
    <xf numFmtId="0" fontId="305" fillId="34" borderId="57" xfId="0" applyFont="1" applyFill="1" applyBorder="1" applyAlignment="1">
      <alignment vertical="center"/>
    </xf>
    <xf numFmtId="0" fontId="305" fillId="34" borderId="66" xfId="0" applyFont="1" applyFill="1" applyBorder="1" applyAlignment="1">
      <alignment vertical="center"/>
    </xf>
    <xf numFmtId="41" fontId="305" fillId="34" borderId="64" xfId="0" applyNumberFormat="1" applyFont="1" applyFill="1" applyBorder="1" applyAlignment="1">
      <alignment horizontal="center" vertical="center"/>
    </xf>
    <xf numFmtId="0" fontId="305" fillId="34" borderId="55" xfId="0" applyFont="1" applyFill="1" applyBorder="1" applyAlignment="1">
      <alignment horizontal="left" vertical="center"/>
    </xf>
    <xf numFmtId="0" fontId="305" fillId="34" borderId="64" xfId="0" applyFont="1" applyFill="1" applyBorder="1" applyAlignment="1">
      <alignment horizontal="left" vertical="center"/>
    </xf>
    <xf numFmtId="178" fontId="305" fillId="34" borderId="55" xfId="0" applyNumberFormat="1" applyFont="1" applyFill="1" applyBorder="1" applyAlignment="1">
      <alignment horizontal="center" vertical="center"/>
    </xf>
    <xf numFmtId="178" fontId="305" fillId="34" borderId="64" xfId="0" applyNumberFormat="1" applyFont="1" applyFill="1" applyBorder="1" applyAlignment="1">
      <alignment horizontal="center" vertical="center"/>
    </xf>
    <xf numFmtId="0" fontId="10" fillId="37" borderId="27" xfId="0" applyFont="1" applyFill="1" applyBorder="1" applyAlignment="1">
      <alignment vertical="top"/>
    </xf>
    <xf numFmtId="0" fontId="10" fillId="37" borderId="68" xfId="0" applyFont="1" applyFill="1" applyBorder="1" applyAlignment="1">
      <alignment vertical="top"/>
    </xf>
    <xf numFmtId="41" fontId="14" fillId="0" borderId="80" xfId="1" applyFont="1" applyFill="1" applyBorder="1" applyAlignment="1">
      <alignment horizontal="right" vertical="center"/>
    </xf>
    <xf numFmtId="177" fontId="33" fillId="34" borderId="77" xfId="0" applyNumberFormat="1" applyFont="1" applyFill="1" applyBorder="1" applyAlignment="1">
      <alignment vertical="center"/>
    </xf>
    <xf numFmtId="41" fontId="17" fillId="34" borderId="0" xfId="1" applyFont="1" applyFill="1" applyBorder="1" applyAlignment="1">
      <alignment vertical="center"/>
    </xf>
    <xf numFmtId="178" fontId="25" fillId="34" borderId="0" xfId="1" applyNumberFormat="1" applyFont="1" applyFill="1" applyBorder="1" applyAlignment="1">
      <alignment vertical="center"/>
    </xf>
    <xf numFmtId="0" fontId="33" fillId="34" borderId="61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3" fillId="34" borderId="57" xfId="0" applyFont="1" applyFill="1" applyBorder="1" applyAlignment="1">
      <alignment vertical="center"/>
    </xf>
    <xf numFmtId="0" fontId="33" fillId="34" borderId="54" xfId="0" applyFont="1" applyFill="1" applyBorder="1" applyAlignment="1">
      <alignment vertical="center"/>
    </xf>
    <xf numFmtId="0" fontId="33" fillId="34" borderId="59" xfId="0" applyFont="1" applyFill="1" applyBorder="1" applyAlignment="1">
      <alignment vertical="center"/>
    </xf>
    <xf numFmtId="49" fontId="33" fillId="34" borderId="55" xfId="0" applyNumberFormat="1" applyFont="1" applyFill="1" applyBorder="1" applyAlignment="1">
      <alignment horizontal="left" vertical="center"/>
    </xf>
    <xf numFmtId="41" fontId="33" fillId="34" borderId="56" xfId="0" applyNumberFormat="1" applyFont="1" applyFill="1" applyBorder="1" applyAlignment="1">
      <alignment horizontal="right" vertical="center"/>
    </xf>
    <xf numFmtId="49" fontId="33" fillId="34" borderId="80" xfId="0" applyNumberFormat="1" applyFont="1" applyFill="1" applyBorder="1" applyAlignment="1">
      <alignment horizontal="left" vertical="center"/>
    </xf>
    <xf numFmtId="178" fontId="33" fillId="34" borderId="63" xfId="0" applyNumberFormat="1" applyFont="1" applyFill="1" applyBorder="1" applyAlignment="1">
      <alignment horizontal="right" vertical="center"/>
    </xf>
    <xf numFmtId="41" fontId="14" fillId="0" borderId="80" xfId="0" applyNumberFormat="1" applyFont="1" applyFill="1" applyBorder="1" applyAlignment="1">
      <alignment horizontal="right" vertical="center"/>
    </xf>
    <xf numFmtId="366" fontId="7" fillId="0" borderId="0" xfId="1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41" fontId="33" fillId="0" borderId="58" xfId="0" applyNumberFormat="1" applyFont="1" applyFill="1" applyBorder="1" applyAlignment="1">
      <alignment horizontal="center" vertical="center"/>
    </xf>
    <xf numFmtId="41" fontId="33" fillId="0" borderId="59" xfId="0" applyNumberFormat="1" applyFont="1" applyFill="1" applyBorder="1" applyAlignment="1">
      <alignment horizontal="center" vertical="center"/>
    </xf>
    <xf numFmtId="41" fontId="33" fillId="0" borderId="80" xfId="0" applyNumberFormat="1" applyFont="1" applyFill="1" applyBorder="1" applyAlignment="1">
      <alignment horizontal="center" vertical="center"/>
    </xf>
    <xf numFmtId="0" fontId="33" fillId="0" borderId="76" xfId="0" applyFont="1" applyFill="1" applyBorder="1" applyAlignment="1">
      <alignment horizontal="center" vertical="center"/>
    </xf>
    <xf numFmtId="41" fontId="33" fillId="0" borderId="80" xfId="1" applyFont="1" applyFill="1" applyBorder="1" applyAlignment="1">
      <alignment horizontal="center" vertical="center"/>
    </xf>
    <xf numFmtId="0" fontId="33" fillId="0" borderId="67" xfId="0" applyFont="1" applyFill="1" applyBorder="1" applyAlignment="1">
      <alignment horizontal="center" vertical="center"/>
    </xf>
    <xf numFmtId="41" fontId="33" fillId="37" borderId="82" xfId="0" applyNumberFormat="1" applyFont="1" applyFill="1" applyBorder="1" applyAlignment="1">
      <alignment horizontal="center" vertical="center"/>
    </xf>
    <xf numFmtId="0" fontId="33" fillId="34" borderId="59" xfId="0" applyFont="1" applyFill="1" applyBorder="1" applyAlignment="1">
      <alignment horizontal="center" vertical="center"/>
    </xf>
    <xf numFmtId="41" fontId="33" fillId="37" borderId="87" xfId="0" applyNumberFormat="1" applyFont="1" applyFill="1" applyBorder="1" applyAlignment="1">
      <alignment horizontal="center" vertical="center"/>
    </xf>
    <xf numFmtId="41" fontId="33" fillId="37" borderId="76" xfId="0" applyNumberFormat="1" applyFont="1" applyFill="1" applyBorder="1" applyAlignment="1">
      <alignment horizontal="center" vertical="center"/>
    </xf>
    <xf numFmtId="41" fontId="33" fillId="37" borderId="67" xfId="0" applyNumberFormat="1" applyFont="1" applyFill="1" applyBorder="1" applyAlignment="1">
      <alignment horizontal="center" vertical="center"/>
    </xf>
    <xf numFmtId="0" fontId="10" fillId="34" borderId="75" xfId="0" applyFont="1" applyFill="1" applyBorder="1" applyAlignment="1">
      <alignment vertical="center"/>
    </xf>
    <xf numFmtId="0" fontId="10" fillId="34" borderId="76" xfId="0" applyFont="1" applyFill="1" applyBorder="1" applyAlignment="1">
      <alignment vertical="center"/>
    </xf>
    <xf numFmtId="0" fontId="10" fillId="34" borderId="77" xfId="0" applyFont="1" applyFill="1" applyBorder="1" applyAlignment="1">
      <alignment horizontal="left" vertical="center"/>
    </xf>
    <xf numFmtId="0" fontId="10" fillId="37" borderId="71" xfId="0" applyFont="1" applyFill="1" applyBorder="1" applyAlignment="1">
      <alignment vertical="center"/>
    </xf>
    <xf numFmtId="0" fontId="10" fillId="37" borderId="72" xfId="0" applyFont="1" applyFill="1" applyBorder="1" applyAlignment="1">
      <alignment vertical="center"/>
    </xf>
    <xf numFmtId="0" fontId="10" fillId="37" borderId="83" xfId="0" applyFont="1" applyFill="1" applyBorder="1" applyAlignment="1">
      <alignment horizontal="left" vertical="center"/>
    </xf>
    <xf numFmtId="177" fontId="33" fillId="34" borderId="64" xfId="0" applyNumberFormat="1" applyFont="1" applyFill="1" applyBorder="1" applyAlignment="1">
      <alignment horizontal="right" vertical="center"/>
    </xf>
    <xf numFmtId="3" fontId="33" fillId="34" borderId="64" xfId="0" applyNumberFormat="1" applyFont="1" applyFill="1" applyBorder="1" applyAlignment="1">
      <alignment vertical="center"/>
    </xf>
    <xf numFmtId="3" fontId="33" fillId="34" borderId="63" xfId="0" applyNumberFormat="1" applyFont="1" applyFill="1" applyBorder="1" applyAlignment="1">
      <alignment vertical="center"/>
    </xf>
    <xf numFmtId="41" fontId="33" fillId="0" borderId="81" xfId="0" applyNumberFormat="1" applyFont="1" applyFill="1" applyBorder="1" applyAlignment="1">
      <alignment horizontal="center" vertical="center"/>
    </xf>
    <xf numFmtId="41" fontId="33" fillId="37" borderId="84" xfId="0" applyNumberFormat="1" applyFont="1" applyFill="1" applyBorder="1" applyAlignment="1">
      <alignment vertical="center"/>
    </xf>
    <xf numFmtId="41" fontId="14" fillId="37" borderId="64" xfId="0" applyNumberFormat="1" applyFont="1" applyFill="1" applyBorder="1" applyAlignment="1">
      <alignment horizontal="right" vertical="center"/>
    </xf>
    <xf numFmtId="0" fontId="33" fillId="0" borderId="152" xfId="0" applyFont="1" applyFill="1" applyBorder="1" applyAlignment="1">
      <alignment horizontal="center" vertical="center"/>
    </xf>
    <xf numFmtId="0" fontId="33" fillId="0" borderId="153" xfId="0" applyFont="1" applyFill="1" applyBorder="1" applyAlignment="1">
      <alignment horizontal="center" vertical="center"/>
    </xf>
    <xf numFmtId="0" fontId="14" fillId="0" borderId="91" xfId="0" applyFont="1" applyFill="1" applyBorder="1" applyAlignment="1">
      <alignment horizontal="right" vertical="center"/>
    </xf>
    <xf numFmtId="0" fontId="33" fillId="0" borderId="151" xfId="0" applyFont="1" applyFill="1" applyBorder="1" applyAlignment="1">
      <alignment horizontal="center" vertical="center" shrinkToFit="1"/>
    </xf>
    <xf numFmtId="0" fontId="33" fillId="0" borderId="152" xfId="0" applyFont="1" applyFill="1" applyBorder="1" applyAlignment="1">
      <alignment horizontal="center" vertical="center" shrinkToFit="1"/>
    </xf>
    <xf numFmtId="41" fontId="33" fillId="37" borderId="64" xfId="0" applyNumberFormat="1" applyFont="1" applyFill="1" applyBorder="1" applyAlignment="1">
      <alignment horizontal="center" vertical="center" shrinkToFit="1"/>
    </xf>
    <xf numFmtId="41" fontId="33" fillId="37" borderId="63" xfId="0" applyNumberFormat="1" applyFont="1" applyFill="1" applyBorder="1" applyAlignment="1">
      <alignment horizontal="center" vertical="center" shrinkToFit="1"/>
    </xf>
    <xf numFmtId="177" fontId="33" fillId="34" borderId="63" xfId="0" applyNumberFormat="1" applyFont="1" applyFill="1" applyBorder="1" applyAlignment="1">
      <alignment vertical="center"/>
    </xf>
    <xf numFmtId="0" fontId="33" fillId="34" borderId="61" xfId="0" applyFont="1" applyFill="1" applyBorder="1" applyAlignment="1" applyProtection="1">
      <alignment vertical="center"/>
    </xf>
    <xf numFmtId="0" fontId="33" fillId="34" borderId="63" xfId="0" applyFont="1" applyFill="1" applyBorder="1" applyAlignment="1">
      <alignment horizontal="left" vertical="center"/>
    </xf>
    <xf numFmtId="41" fontId="33" fillId="34" borderId="81" xfId="0" applyNumberFormat="1" applyFont="1" applyFill="1" applyBorder="1" applyAlignment="1">
      <alignment horizontal="center" vertical="center"/>
    </xf>
    <xf numFmtId="41" fontId="14" fillId="0" borderId="82" xfId="0" applyNumberFormat="1" applyFont="1" applyFill="1" applyBorder="1" applyAlignment="1">
      <alignment horizontal="right" vertical="center"/>
    </xf>
    <xf numFmtId="41" fontId="307" fillId="37" borderId="63" xfId="0" applyNumberFormat="1" applyFont="1" applyFill="1" applyBorder="1" applyAlignment="1">
      <alignment horizontal="right" vertical="center"/>
    </xf>
    <xf numFmtId="0" fontId="33" fillId="34" borderId="149" xfId="0" applyFont="1" applyFill="1" applyBorder="1" applyAlignment="1"/>
    <xf numFmtId="0" fontId="33" fillId="34" borderId="150" xfId="0" applyFont="1" applyFill="1" applyBorder="1" applyAlignment="1"/>
    <xf numFmtId="49" fontId="33" fillId="34" borderId="83" xfId="0" applyNumberFormat="1" applyFont="1" applyFill="1" applyBorder="1" applyAlignment="1">
      <alignment horizontal="left"/>
    </xf>
    <xf numFmtId="177" fontId="33" fillId="34" borderId="83" xfId="0" applyNumberFormat="1" applyFont="1" applyFill="1" applyBorder="1" applyAlignment="1">
      <alignment vertical="center"/>
    </xf>
    <xf numFmtId="41" fontId="33" fillId="34" borderId="84" xfId="0" applyNumberFormat="1" applyFont="1" applyFill="1" applyBorder="1" applyAlignment="1">
      <alignment horizontal="center" vertical="center"/>
    </xf>
    <xf numFmtId="41" fontId="33" fillId="37" borderId="156" xfId="0" applyNumberFormat="1" applyFont="1" applyFill="1" applyBorder="1" applyAlignment="1">
      <alignment horizontal="center" vertical="center"/>
    </xf>
    <xf numFmtId="367" fontId="33" fillId="34" borderId="77" xfId="0" applyNumberFormat="1" applyFont="1" applyFill="1" applyBorder="1" applyAlignment="1">
      <alignment vertical="center"/>
    </xf>
    <xf numFmtId="41" fontId="35" fillId="34" borderId="78" xfId="0" applyNumberFormat="1" applyFont="1" applyFill="1" applyBorder="1" applyAlignment="1">
      <alignment vertical="center"/>
    </xf>
    <xf numFmtId="41" fontId="33" fillId="34" borderId="63" xfId="0" applyNumberFormat="1" applyFont="1" applyFill="1" applyBorder="1" applyAlignment="1">
      <alignment vertical="center"/>
    </xf>
    <xf numFmtId="41" fontId="33" fillId="34" borderId="65" xfId="0" applyNumberFormat="1" applyFont="1" applyFill="1" applyBorder="1" applyAlignment="1">
      <alignment vertical="center"/>
    </xf>
    <xf numFmtId="177" fontId="33" fillId="37" borderId="83" xfId="0" applyNumberFormat="1" applyFont="1" applyFill="1" applyBorder="1" applyAlignment="1">
      <alignment vertical="center"/>
    </xf>
    <xf numFmtId="41" fontId="33" fillId="37" borderId="83" xfId="0" applyNumberFormat="1" applyFont="1" applyFill="1" applyBorder="1" applyAlignment="1">
      <alignment vertical="center"/>
    </xf>
    <xf numFmtId="0" fontId="33" fillId="37" borderId="70" xfId="0" applyFont="1" applyFill="1" applyBorder="1" applyAlignment="1">
      <alignment vertical="center"/>
    </xf>
    <xf numFmtId="41" fontId="7" fillId="0" borderId="0" xfId="1" applyNumberFormat="1" applyFont="1" applyFill="1" applyAlignment="1">
      <alignment horizontal="center" vertical="center"/>
    </xf>
    <xf numFmtId="183" fontId="7" fillId="0" borderId="0" xfId="0" applyNumberFormat="1" applyFont="1" applyFill="1" applyAlignment="1">
      <alignment horizontal="right" vertical="center"/>
    </xf>
    <xf numFmtId="41" fontId="9" fillId="0" borderId="0" xfId="0" applyNumberFormat="1" applyFont="1" applyFill="1" applyBorder="1" applyAlignment="1">
      <alignment horizontal="center" vertical="center"/>
    </xf>
    <xf numFmtId="179" fontId="9" fillId="34" borderId="157" xfId="0" applyNumberFormat="1" applyFont="1" applyFill="1" applyBorder="1" applyAlignment="1">
      <alignment horizontal="center" vertical="center"/>
    </xf>
    <xf numFmtId="179" fontId="9" fillId="34" borderId="158" xfId="0" applyNumberFormat="1" applyFont="1" applyFill="1" applyBorder="1" applyAlignment="1">
      <alignment horizontal="center" vertical="center"/>
    </xf>
    <xf numFmtId="179" fontId="9" fillId="38" borderId="107" xfId="0" applyNumberFormat="1" applyFont="1" applyFill="1" applyBorder="1" applyAlignment="1">
      <alignment horizontal="center" vertical="center"/>
    </xf>
    <xf numFmtId="179" fontId="9" fillId="0" borderId="157" xfId="0" applyNumberFormat="1" applyFont="1" applyFill="1" applyBorder="1" applyAlignment="1">
      <alignment horizontal="center" vertical="center"/>
    </xf>
    <xf numFmtId="179" fontId="9" fillId="0" borderId="159" xfId="0" applyNumberFormat="1" applyFont="1" applyFill="1" applyBorder="1" applyAlignment="1">
      <alignment horizontal="center" vertical="center"/>
    </xf>
    <xf numFmtId="179" fontId="9" fillId="0" borderId="161" xfId="0" applyNumberFormat="1" applyFont="1" applyFill="1" applyBorder="1" applyAlignment="1">
      <alignment horizontal="center" vertical="center"/>
    </xf>
    <xf numFmtId="179" fontId="9" fillId="0" borderId="162" xfId="0" applyNumberFormat="1" applyFont="1" applyFill="1" applyBorder="1" applyAlignment="1">
      <alignment horizontal="center" vertical="center"/>
    </xf>
    <xf numFmtId="179" fontId="9" fillId="34" borderId="162" xfId="0" applyNumberFormat="1" applyFont="1" applyFill="1" applyBorder="1" applyAlignment="1">
      <alignment horizontal="center" vertical="center"/>
    </xf>
    <xf numFmtId="179" fontId="9" fillId="0" borderId="160" xfId="0" applyNumberFormat="1" applyFont="1" applyFill="1" applyBorder="1" applyAlignment="1">
      <alignment horizontal="center" vertical="center"/>
    </xf>
    <xf numFmtId="179" fontId="5" fillId="0" borderId="162" xfId="0" applyNumberFormat="1" applyFont="1" applyFill="1" applyBorder="1" applyAlignment="1">
      <alignment horizontal="center" vertical="center"/>
    </xf>
    <xf numFmtId="179" fontId="5" fillId="38" borderId="162" xfId="0" applyNumberFormat="1" applyFont="1" applyFill="1" applyBorder="1" applyAlignment="1">
      <alignment horizontal="center" vertical="center"/>
    </xf>
    <xf numFmtId="179" fontId="5" fillId="34" borderId="162" xfId="0" applyNumberFormat="1" applyFont="1" applyFill="1" applyBorder="1" applyAlignment="1">
      <alignment horizontal="center" vertical="center"/>
    </xf>
    <xf numFmtId="179" fontId="5" fillId="34" borderId="19" xfId="0" applyNumberFormat="1" applyFont="1" applyFill="1" applyBorder="1" applyAlignment="1">
      <alignment horizontal="center" vertical="center"/>
    </xf>
    <xf numFmtId="41" fontId="33" fillId="0" borderId="55" xfId="0" applyNumberFormat="1" applyFont="1" applyFill="1" applyBorder="1" applyAlignment="1">
      <alignment vertical="center"/>
    </xf>
    <xf numFmtId="0" fontId="33" fillId="0" borderId="55" xfId="0" applyFont="1" applyFill="1" applyBorder="1" applyAlignment="1">
      <alignment horizontal="left" vertical="center"/>
    </xf>
    <xf numFmtId="0" fontId="33" fillId="0" borderId="59" xfId="0" applyFont="1" applyFill="1" applyBorder="1" applyAlignment="1">
      <alignment horizontal="left" vertical="center"/>
    </xf>
    <xf numFmtId="0" fontId="33" fillId="0" borderId="63" xfId="0" applyFont="1" applyFill="1" applyBorder="1" applyAlignment="1">
      <alignment vertical="center"/>
    </xf>
    <xf numFmtId="49" fontId="33" fillId="0" borderId="83" xfId="0" applyNumberFormat="1" applyFont="1" applyFill="1" applyBorder="1" applyAlignment="1">
      <alignment horizontal="left"/>
    </xf>
    <xf numFmtId="41" fontId="33" fillId="0" borderId="83" xfId="0" applyNumberFormat="1" applyFont="1" applyFill="1" applyBorder="1" applyAlignment="1">
      <alignment horizontal="center" vertical="center"/>
    </xf>
    <xf numFmtId="183" fontId="0" fillId="0" borderId="0" xfId="0" applyNumberFormat="1" applyFill="1" applyAlignment="1">
      <alignment horizontal="right" vertical="center"/>
    </xf>
    <xf numFmtId="0" fontId="33" fillId="0" borderId="80" xfId="0" applyFont="1" applyFill="1" applyBorder="1" applyAlignment="1">
      <alignment horizontal="left" vertical="center"/>
    </xf>
    <xf numFmtId="0" fontId="33" fillId="0" borderId="64" xfId="0" applyFont="1" applyFill="1" applyBorder="1" applyAlignment="1">
      <alignment vertical="center"/>
    </xf>
    <xf numFmtId="41" fontId="10" fillId="0" borderId="86" xfId="0" applyNumberFormat="1" applyFont="1" applyFill="1" applyBorder="1" applyAlignment="1">
      <alignment vertical="center"/>
    </xf>
    <xf numFmtId="41" fontId="10" fillId="0" borderId="0" xfId="0" applyNumberFormat="1" applyFont="1" applyFill="1" applyBorder="1" applyAlignment="1">
      <alignment vertical="center"/>
    </xf>
    <xf numFmtId="41" fontId="10" fillId="0" borderId="63" xfId="0" applyNumberFormat="1" applyFont="1" applyFill="1" applyBorder="1" applyAlignment="1">
      <alignment horizontal="left" vertical="center"/>
    </xf>
    <xf numFmtId="41" fontId="14" fillId="0" borderId="80" xfId="1" applyFont="1" applyFill="1" applyBorder="1" applyAlignment="1">
      <alignment horizontal="left" vertical="center"/>
    </xf>
    <xf numFmtId="41" fontId="10" fillId="34" borderId="61" xfId="0" applyNumberFormat="1" applyFont="1" applyFill="1" applyBorder="1" applyAlignment="1">
      <alignment vertical="center"/>
    </xf>
    <xf numFmtId="41" fontId="20" fillId="39" borderId="61" xfId="0" applyNumberFormat="1" applyFont="1" applyFill="1" applyBorder="1" applyAlignment="1">
      <alignment vertical="center"/>
    </xf>
    <xf numFmtId="0" fontId="10" fillId="0" borderId="63" xfId="0" applyNumberFormat="1" applyFont="1" applyFill="1" applyBorder="1" applyAlignment="1">
      <alignment horizontal="center" vertical="center"/>
    </xf>
    <xf numFmtId="41" fontId="10" fillId="39" borderId="96" xfId="0" applyNumberFormat="1" applyFont="1" applyFill="1" applyBorder="1" applyAlignment="1">
      <alignment vertical="center"/>
    </xf>
    <xf numFmtId="41" fontId="10" fillId="0" borderId="105" xfId="0" applyNumberFormat="1" applyFont="1" applyFill="1" applyBorder="1" applyAlignment="1">
      <alignment vertical="center"/>
    </xf>
    <xf numFmtId="41" fontId="306" fillId="0" borderId="96" xfId="0" applyNumberFormat="1" applyFont="1" applyFill="1" applyBorder="1" applyAlignment="1">
      <alignment vertical="center"/>
    </xf>
    <xf numFmtId="41" fontId="25" fillId="0" borderId="63" xfId="0" applyNumberFormat="1" applyFont="1" applyFill="1" applyBorder="1" applyAlignment="1">
      <alignment horizontal="center" vertical="center"/>
    </xf>
    <xf numFmtId="41" fontId="10" fillId="0" borderId="86" xfId="0" applyNumberFormat="1" applyFont="1" applyFill="1" applyBorder="1" applyAlignment="1">
      <alignment horizontal="right" vertical="center"/>
    </xf>
    <xf numFmtId="178" fontId="33" fillId="34" borderId="64" xfId="0" applyNumberFormat="1" applyFont="1" applyFill="1" applyBorder="1" applyAlignment="1">
      <alignment vertical="center"/>
    </xf>
    <xf numFmtId="41" fontId="33" fillId="0" borderId="64" xfId="0" applyNumberFormat="1" applyFont="1" applyFill="1" applyBorder="1" applyAlignment="1">
      <alignment vertical="center"/>
    </xf>
    <xf numFmtId="49" fontId="33" fillId="0" borderId="85" xfId="0" applyNumberFormat="1" applyFont="1" applyFill="1" applyBorder="1" applyAlignment="1">
      <alignment horizontal="left"/>
    </xf>
    <xf numFmtId="41" fontId="33" fillId="34" borderId="88" xfId="0" applyNumberFormat="1" applyFont="1" applyFill="1" applyBorder="1" applyAlignment="1">
      <alignment horizontal="center" vertical="center"/>
    </xf>
    <xf numFmtId="179" fontId="9" fillId="34" borderId="160" xfId="0" applyNumberFormat="1" applyFont="1" applyFill="1" applyBorder="1" applyAlignment="1">
      <alignment horizontal="center" vertical="center"/>
    </xf>
    <xf numFmtId="41" fontId="33" fillId="34" borderId="56" xfId="0" applyNumberFormat="1" applyFont="1" applyFill="1" applyBorder="1" applyAlignment="1">
      <alignment vertical="center"/>
    </xf>
    <xf numFmtId="0" fontId="34" fillId="34" borderId="90" xfId="0" applyFont="1" applyFill="1" applyBorder="1" applyAlignment="1">
      <alignment vertical="center"/>
    </xf>
    <xf numFmtId="0" fontId="34" fillId="34" borderId="91" xfId="0" applyFont="1" applyFill="1" applyBorder="1" applyAlignment="1">
      <alignment vertical="center"/>
    </xf>
    <xf numFmtId="0" fontId="34" fillId="34" borderId="85" xfId="0" applyFont="1" applyFill="1" applyBorder="1" applyAlignment="1">
      <alignment vertical="center" shrinkToFit="1"/>
    </xf>
    <xf numFmtId="177" fontId="34" fillId="34" borderId="53" xfId="0" applyNumberFormat="1" applyFont="1" applyFill="1" applyBorder="1" applyAlignment="1">
      <alignment horizontal="right" vertical="center"/>
    </xf>
    <xf numFmtId="41" fontId="33" fillId="34" borderId="53" xfId="0" applyNumberFormat="1" applyFont="1" applyFill="1" applyBorder="1" applyAlignment="1">
      <alignment horizontal="center" vertical="center"/>
    </xf>
    <xf numFmtId="0" fontId="33" fillId="0" borderId="53" xfId="0" applyFont="1" applyFill="1" applyBorder="1" applyAlignment="1">
      <alignment vertical="center"/>
    </xf>
    <xf numFmtId="41" fontId="33" fillId="37" borderId="80" xfId="0" applyNumberFormat="1" applyFont="1" applyFill="1" applyBorder="1" applyAlignment="1">
      <alignment horizontal="center" vertical="center" shrinkToFit="1"/>
    </xf>
    <xf numFmtId="41" fontId="10" fillId="37" borderId="80" xfId="0" applyNumberFormat="1" applyFont="1" applyFill="1" applyBorder="1" applyAlignment="1">
      <alignment horizontal="right" vertical="center"/>
    </xf>
    <xf numFmtId="41" fontId="33" fillId="0" borderId="152" xfId="0" applyNumberFormat="1" applyFont="1" applyFill="1" applyBorder="1" applyAlignment="1">
      <alignment horizontal="center" vertical="center"/>
    </xf>
    <xf numFmtId="179" fontId="9" fillId="34" borderId="159" xfId="0" applyNumberFormat="1" applyFont="1" applyFill="1" applyBorder="1" applyAlignment="1">
      <alignment horizontal="center" vertical="center"/>
    </xf>
    <xf numFmtId="41" fontId="10" fillId="0" borderId="63" xfId="0" applyNumberFormat="1" applyFont="1" applyFill="1" applyBorder="1" applyAlignment="1">
      <alignment horizontal="right" vertical="center"/>
    </xf>
    <xf numFmtId="41" fontId="33" fillId="0" borderId="63" xfId="0" applyNumberFormat="1" applyFont="1" applyFill="1" applyBorder="1" applyAlignment="1">
      <alignment horizontal="center" vertical="center"/>
    </xf>
    <xf numFmtId="0" fontId="33" fillId="0" borderId="154" xfId="0" applyFont="1" applyFill="1" applyBorder="1" applyAlignment="1">
      <alignment horizontal="left" vertical="center"/>
    </xf>
    <xf numFmtId="49" fontId="33" fillId="34" borderId="85" xfId="0" applyNumberFormat="1" applyFont="1" applyFill="1" applyBorder="1" applyAlignment="1">
      <alignment horizontal="left"/>
    </xf>
    <xf numFmtId="41" fontId="306" fillId="0" borderId="61" xfId="0" applyNumberFormat="1" applyFont="1" applyFill="1" applyBorder="1" applyAlignment="1">
      <alignment vertical="center"/>
    </xf>
    <xf numFmtId="41" fontId="306" fillId="0" borderId="106" xfId="0" applyNumberFormat="1" applyFont="1" applyFill="1" applyBorder="1" applyAlignment="1">
      <alignment vertical="center"/>
    </xf>
    <xf numFmtId="41" fontId="306" fillId="0" borderId="105" xfId="0" applyNumberFormat="1" applyFont="1" applyFill="1" applyBorder="1" applyAlignment="1">
      <alignment vertical="center"/>
    </xf>
    <xf numFmtId="41" fontId="306" fillId="0" borderId="102" xfId="0" applyNumberFormat="1" applyFont="1" applyFill="1" applyBorder="1" applyAlignment="1">
      <alignment vertical="center"/>
    </xf>
    <xf numFmtId="41" fontId="16" fillId="38" borderId="15" xfId="0" applyNumberFormat="1" applyFont="1" applyFill="1" applyBorder="1" applyAlignment="1">
      <alignment vertical="center"/>
    </xf>
    <xf numFmtId="41" fontId="10" fillId="37" borderId="87" xfId="0" applyNumberFormat="1" applyFont="1" applyFill="1" applyBorder="1" applyAlignment="1">
      <alignment horizontal="right" vertical="center"/>
    </xf>
    <xf numFmtId="181" fontId="25" fillId="39" borderId="63" xfId="0" applyNumberFormat="1" applyFont="1" applyFill="1" applyBorder="1" applyAlignment="1">
      <alignment horizontal="center" vertical="center"/>
    </xf>
    <xf numFmtId="41" fontId="27" fillId="36" borderId="35" xfId="0" applyNumberFormat="1" applyFont="1" applyFill="1" applyBorder="1" applyAlignment="1">
      <alignment horizontal="center" vertical="center"/>
    </xf>
    <xf numFmtId="41" fontId="27" fillId="36" borderId="33" xfId="0" applyNumberFormat="1" applyFont="1" applyFill="1" applyBorder="1" applyAlignment="1">
      <alignment horizontal="center" vertical="center"/>
    </xf>
    <xf numFmtId="41" fontId="27" fillId="36" borderId="35" xfId="0" applyNumberFormat="1" applyFont="1" applyFill="1" applyBorder="1" applyAlignment="1">
      <alignment vertical="center"/>
    </xf>
    <xf numFmtId="41" fontId="27" fillId="35" borderId="35" xfId="0" applyNumberFormat="1" applyFont="1" applyFill="1" applyBorder="1" applyAlignment="1">
      <alignment vertical="center"/>
    </xf>
    <xf numFmtId="41" fontId="27" fillId="35" borderId="35" xfId="0" applyNumberFormat="1" applyFont="1" applyFill="1" applyBorder="1" applyAlignment="1">
      <alignment horizontal="center" vertical="center"/>
    </xf>
    <xf numFmtId="0" fontId="5" fillId="35" borderId="30" xfId="0" applyFont="1" applyFill="1" applyBorder="1" applyAlignment="1">
      <alignment horizontal="left" vertical="center" wrapText="1"/>
    </xf>
    <xf numFmtId="0" fontId="5" fillId="35" borderId="30" xfId="0" applyFont="1" applyFill="1" applyBorder="1" applyAlignment="1">
      <alignment horizontal="center" vertical="center" wrapText="1"/>
    </xf>
    <xf numFmtId="41" fontId="5" fillId="35" borderId="50" xfId="0" applyNumberFormat="1" applyFont="1" applyFill="1" applyBorder="1" applyAlignment="1">
      <alignment horizontal="center" vertical="center"/>
    </xf>
    <xf numFmtId="41" fontId="5" fillId="33" borderId="29" xfId="0" applyNumberFormat="1" applyFont="1" applyFill="1" applyBorder="1" applyAlignment="1">
      <alignment horizontal="center" vertical="center"/>
    </xf>
    <xf numFmtId="0" fontId="5" fillId="33" borderId="30" xfId="0" applyFont="1" applyFill="1" applyBorder="1" applyAlignment="1">
      <alignment horizontal="center" vertical="center"/>
    </xf>
    <xf numFmtId="41" fontId="5" fillId="33" borderId="30" xfId="0" applyNumberFormat="1" applyFont="1" applyFill="1" applyBorder="1" applyAlignment="1">
      <alignment horizontal="center" vertical="center"/>
    </xf>
    <xf numFmtId="41" fontId="5" fillId="33" borderId="51" xfId="0" applyNumberFormat="1" applyFont="1" applyFill="1" applyBorder="1" applyAlignment="1">
      <alignment horizontal="center" vertical="center"/>
    </xf>
    <xf numFmtId="41" fontId="309" fillId="35" borderId="30" xfId="0" applyNumberFormat="1" applyFont="1" applyFill="1" applyBorder="1" applyAlignment="1">
      <alignment horizontal="center" vertical="center" wrapText="1"/>
    </xf>
    <xf numFmtId="41" fontId="23" fillId="0" borderId="11" xfId="0" applyNumberFormat="1" applyFont="1" applyFill="1" applyBorder="1" applyAlignment="1">
      <alignment horizontal="left" vertical="top" wrapText="1"/>
    </xf>
    <xf numFmtId="41" fontId="23" fillId="0" borderId="11" xfId="0" applyNumberFormat="1" applyFont="1" applyFill="1" applyBorder="1" applyAlignment="1">
      <alignment horizontal="left" vertical="top"/>
    </xf>
    <xf numFmtId="41" fontId="23" fillId="0" borderId="12" xfId="0" applyNumberFormat="1" applyFont="1" applyFill="1" applyBorder="1" applyAlignment="1">
      <alignment horizontal="left" vertical="top"/>
    </xf>
    <xf numFmtId="41" fontId="23" fillId="0" borderId="0" xfId="0" applyNumberFormat="1" applyFont="1" applyFill="1" applyBorder="1" applyAlignment="1">
      <alignment horizontal="left" vertical="top"/>
    </xf>
    <xf numFmtId="41" fontId="23" fillId="0" borderId="14" xfId="0" applyNumberFormat="1" applyFont="1" applyFill="1" applyBorder="1" applyAlignment="1">
      <alignment horizontal="left" vertical="top"/>
    </xf>
    <xf numFmtId="41" fontId="23" fillId="0" borderId="16" xfId="0" applyNumberFormat="1" applyFont="1" applyFill="1" applyBorder="1" applyAlignment="1">
      <alignment horizontal="left" vertical="top"/>
    </xf>
    <xf numFmtId="41" fontId="23" fillId="0" borderId="17" xfId="0" applyNumberFormat="1" applyFont="1" applyFill="1" applyBorder="1" applyAlignment="1">
      <alignment horizontal="left" vertical="top"/>
    </xf>
    <xf numFmtId="6" fontId="16" fillId="34" borderId="0" xfId="0" applyNumberFormat="1" applyFont="1" applyFill="1" applyBorder="1" applyAlignment="1">
      <alignment horizontal="center" vertical="center"/>
    </xf>
    <xf numFmtId="0" fontId="16" fillId="37" borderId="61" xfId="0" applyFont="1" applyFill="1" applyBorder="1" applyAlignment="1">
      <alignment horizontal="center" vertical="center"/>
    </xf>
    <xf numFmtId="0" fontId="16" fillId="37" borderId="79" xfId="0" applyFont="1" applyFill="1" applyBorder="1" applyAlignment="1">
      <alignment horizontal="center" vertical="center"/>
    </xf>
    <xf numFmtId="0" fontId="16" fillId="37" borderId="80" xfId="0" applyFont="1" applyFill="1" applyBorder="1" applyAlignment="1">
      <alignment horizontal="center" vertical="center"/>
    </xf>
    <xf numFmtId="0" fontId="11" fillId="37" borderId="61" xfId="0" applyFont="1" applyFill="1" applyBorder="1" applyAlignment="1">
      <alignment horizontal="center" vertical="center"/>
    </xf>
    <xf numFmtId="0" fontId="11" fillId="37" borderId="79" xfId="0" applyFont="1" applyFill="1" applyBorder="1" applyAlignment="1">
      <alignment horizontal="center" vertical="center"/>
    </xf>
    <xf numFmtId="0" fontId="11" fillId="37" borderId="80" xfId="0" applyFont="1" applyFill="1" applyBorder="1" applyAlignment="1">
      <alignment horizontal="center" vertical="center"/>
    </xf>
    <xf numFmtId="0" fontId="16" fillId="37" borderId="102" xfId="0" applyFont="1" applyFill="1" applyBorder="1" applyAlignment="1">
      <alignment horizontal="center" vertical="center"/>
    </xf>
    <xf numFmtId="0" fontId="16" fillId="37" borderId="103" xfId="0" applyFont="1" applyFill="1" applyBorder="1" applyAlignment="1">
      <alignment horizontal="center" vertical="center"/>
    </xf>
    <xf numFmtId="0" fontId="16" fillId="37" borderId="104" xfId="0" applyFont="1" applyFill="1" applyBorder="1" applyAlignment="1">
      <alignment horizontal="center" vertical="center"/>
    </xf>
    <xf numFmtId="0" fontId="10" fillId="34" borderId="32" xfId="0" applyFont="1" applyFill="1" applyBorder="1" applyAlignment="1">
      <alignment horizontal="left" vertical="center" indent="1"/>
    </xf>
    <xf numFmtId="0" fontId="10" fillId="34" borderId="36" xfId="0" applyFont="1" applyFill="1" applyBorder="1" applyAlignment="1">
      <alignment horizontal="left" vertical="center" indent="1"/>
    </xf>
    <xf numFmtId="0" fontId="10" fillId="34" borderId="37" xfId="0" applyFont="1" applyFill="1" applyBorder="1" applyAlignment="1">
      <alignment horizontal="left" vertical="center" indent="1"/>
    </xf>
    <xf numFmtId="41" fontId="16" fillId="38" borderId="10" xfId="0" applyNumberFormat="1" applyFont="1" applyFill="1" applyBorder="1" applyAlignment="1">
      <alignment horizontal="center" vertical="center"/>
    </xf>
    <xf numFmtId="41" fontId="16" fillId="38" borderId="12" xfId="0" applyNumberFormat="1" applyFont="1" applyFill="1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/>
    </xf>
    <xf numFmtId="0" fontId="16" fillId="38" borderId="12" xfId="0" applyFont="1" applyFill="1" applyBorder="1" applyAlignment="1">
      <alignment horizontal="center" vertical="center"/>
    </xf>
    <xf numFmtId="0" fontId="16" fillId="37" borderId="57" xfId="0" applyFont="1" applyFill="1" applyBorder="1" applyAlignment="1">
      <alignment horizontal="center" vertical="center"/>
    </xf>
    <xf numFmtId="0" fontId="16" fillId="37" borderId="54" xfId="0" applyFont="1" applyFill="1" applyBorder="1" applyAlignment="1">
      <alignment horizontal="center" vertical="center"/>
    </xf>
    <xf numFmtId="0" fontId="16" fillId="37" borderId="59" xfId="0" applyFont="1" applyFill="1" applyBorder="1" applyAlignment="1">
      <alignment horizontal="center" vertical="center"/>
    </xf>
    <xf numFmtId="41" fontId="5" fillId="37" borderId="10" xfId="0" applyNumberFormat="1" applyFont="1" applyFill="1" applyBorder="1" applyAlignment="1">
      <alignment horizontal="center" vertical="center"/>
    </xf>
    <xf numFmtId="41" fontId="5" fillId="37" borderId="11" xfId="0" applyNumberFormat="1" applyFont="1" applyFill="1" applyBorder="1" applyAlignment="1">
      <alignment horizontal="center" vertical="center"/>
    </xf>
    <xf numFmtId="41" fontId="5" fillId="37" borderId="12" xfId="0" applyNumberFormat="1" applyFont="1" applyFill="1" applyBorder="1" applyAlignment="1">
      <alignment horizontal="center" vertical="center"/>
    </xf>
    <xf numFmtId="41" fontId="5" fillId="37" borderId="13" xfId="0" applyNumberFormat="1" applyFont="1" applyFill="1" applyBorder="1" applyAlignment="1">
      <alignment horizontal="center" vertical="center"/>
    </xf>
    <xf numFmtId="41" fontId="5" fillId="37" borderId="0" xfId="0" applyNumberFormat="1" applyFont="1" applyFill="1" applyBorder="1" applyAlignment="1">
      <alignment horizontal="center" vertical="center"/>
    </xf>
    <xf numFmtId="41" fontId="5" fillId="37" borderId="14" xfId="0" applyNumberFormat="1" applyFont="1" applyFill="1" applyBorder="1" applyAlignment="1">
      <alignment horizontal="center" vertical="center"/>
    </xf>
    <xf numFmtId="41" fontId="5" fillId="37" borderId="15" xfId="0" applyNumberFormat="1" applyFont="1" applyFill="1" applyBorder="1" applyAlignment="1">
      <alignment horizontal="center" vertical="center"/>
    </xf>
    <xf numFmtId="41" fontId="5" fillId="37" borderId="16" xfId="0" applyNumberFormat="1" applyFont="1" applyFill="1" applyBorder="1" applyAlignment="1">
      <alignment horizontal="center" vertical="center"/>
    </xf>
    <xf numFmtId="41" fontId="5" fillId="37" borderId="17" xfId="0" applyNumberFormat="1" applyFont="1" applyFill="1" applyBorder="1" applyAlignment="1">
      <alignment horizontal="center" vertical="center"/>
    </xf>
    <xf numFmtId="0" fontId="16" fillId="0" borderId="61" xfId="0" applyFont="1" applyFill="1" applyBorder="1" applyAlignment="1">
      <alignment horizontal="center" vertical="center" shrinkToFit="1"/>
    </xf>
    <xf numFmtId="0" fontId="16" fillId="0" borderId="79" xfId="0" applyFont="1" applyFill="1" applyBorder="1" applyAlignment="1">
      <alignment horizontal="center" vertical="center" shrinkToFit="1"/>
    </xf>
    <xf numFmtId="0" fontId="16" fillId="0" borderId="80" xfId="0" applyFont="1" applyFill="1" applyBorder="1" applyAlignment="1">
      <alignment horizontal="center" vertical="center" shrinkToFit="1"/>
    </xf>
    <xf numFmtId="0" fontId="16" fillId="0" borderId="61" xfId="0" applyFont="1" applyFill="1" applyBorder="1" applyAlignment="1">
      <alignment horizontal="center" vertical="center"/>
    </xf>
    <xf numFmtId="0" fontId="16" fillId="0" borderId="79" xfId="0" applyFont="1" applyFill="1" applyBorder="1" applyAlignment="1">
      <alignment horizontal="center" vertical="center"/>
    </xf>
    <xf numFmtId="0" fontId="16" fillId="0" borderId="80" xfId="0" applyFont="1" applyFill="1" applyBorder="1" applyAlignment="1">
      <alignment horizontal="center" vertical="center"/>
    </xf>
    <xf numFmtId="0" fontId="16" fillId="35" borderId="51" xfId="0" applyFont="1" applyFill="1" applyBorder="1" applyAlignment="1">
      <alignment horizontal="center" vertical="center"/>
    </xf>
    <xf numFmtId="0" fontId="16" fillId="35" borderId="92" xfId="0" applyFont="1" applyFill="1" applyBorder="1" applyAlignment="1">
      <alignment horizontal="center" vertical="center"/>
    </xf>
    <xf numFmtId="0" fontId="16" fillId="35" borderId="29" xfId="0" applyFont="1" applyFill="1" applyBorder="1" applyAlignment="1">
      <alignment horizontal="center" vertical="center"/>
    </xf>
    <xf numFmtId="0" fontId="16" fillId="35" borderId="51" xfId="0" applyFont="1" applyFill="1" applyBorder="1" applyAlignment="1">
      <alignment horizontal="right" vertical="center"/>
    </xf>
    <xf numFmtId="0" fontId="16" fillId="35" borderId="93" xfId="0" applyFont="1" applyFill="1" applyBorder="1" applyAlignment="1">
      <alignment horizontal="right" vertical="center"/>
    </xf>
    <xf numFmtId="0" fontId="13" fillId="37" borderId="38" xfId="0" applyFont="1" applyFill="1" applyBorder="1" applyAlignment="1">
      <alignment horizontal="center" vertical="center" textRotation="255" wrapText="1"/>
    </xf>
    <xf numFmtId="0" fontId="13" fillId="37" borderId="60" xfId="0" applyFont="1" applyFill="1" applyBorder="1" applyAlignment="1">
      <alignment horizontal="center" vertical="center" textRotation="255" wrapText="1"/>
    </xf>
    <xf numFmtId="0" fontId="10" fillId="37" borderId="22" xfId="0" applyFont="1" applyFill="1" applyBorder="1" applyAlignment="1">
      <alignment horizontal="center" vertical="center" textRotation="255" shrinkToFit="1"/>
    </xf>
    <xf numFmtId="0" fontId="10" fillId="37" borderId="85" xfId="0" applyFont="1" applyFill="1" applyBorder="1" applyAlignment="1">
      <alignment horizontal="center" vertical="center" textRotation="255" shrinkToFit="1"/>
    </xf>
    <xf numFmtId="0" fontId="10" fillId="37" borderId="53" xfId="0" applyFont="1" applyFill="1" applyBorder="1" applyAlignment="1">
      <alignment horizontal="center" vertical="center" textRotation="255" shrinkToFit="1"/>
    </xf>
    <xf numFmtId="0" fontId="5" fillId="37" borderId="23" xfId="0" applyFont="1" applyFill="1" applyBorder="1" applyAlignment="1">
      <alignment horizontal="right" vertical="center"/>
    </xf>
    <xf numFmtId="0" fontId="5" fillId="37" borderId="68" xfId="0" applyFont="1" applyFill="1" applyBorder="1" applyAlignment="1">
      <alignment horizontal="right" vertical="center"/>
    </xf>
    <xf numFmtId="0" fontId="5" fillId="37" borderId="73" xfId="0" applyFont="1" applyFill="1" applyBorder="1" applyAlignment="1">
      <alignment horizontal="right" vertical="center"/>
    </xf>
    <xf numFmtId="0" fontId="10" fillId="37" borderId="26" xfId="0" applyFont="1" applyFill="1" applyBorder="1" applyAlignment="1">
      <alignment horizontal="center" vertical="center" textRotation="255" shrinkToFit="1"/>
    </xf>
    <xf numFmtId="0" fontId="5" fillId="37" borderId="27" xfId="0" applyFont="1" applyFill="1" applyBorder="1" applyAlignment="1">
      <alignment horizontal="right" vertical="center"/>
    </xf>
    <xf numFmtId="0" fontId="13" fillId="37" borderId="38" xfId="0" applyFont="1" applyFill="1" applyBorder="1" applyAlignment="1">
      <alignment horizontal="center" vertical="center" textRotation="255"/>
    </xf>
    <xf numFmtId="0" fontId="13" fillId="37" borderId="60" xfId="0" applyFont="1" applyFill="1" applyBorder="1" applyAlignment="1">
      <alignment horizontal="center" vertical="center" textRotation="255"/>
    </xf>
    <xf numFmtId="0" fontId="10" fillId="34" borderId="22" xfId="0" applyFont="1" applyFill="1" applyBorder="1" applyAlignment="1">
      <alignment horizontal="center" vertical="center" textRotation="255"/>
    </xf>
    <xf numFmtId="0" fontId="10" fillId="34" borderId="85" xfId="0" applyFont="1" applyFill="1" applyBorder="1" applyAlignment="1">
      <alignment horizontal="center" vertical="center" textRotation="255"/>
    </xf>
    <xf numFmtId="0" fontId="10" fillId="37" borderId="148" xfId="0" applyFont="1" applyFill="1" applyBorder="1" applyAlignment="1">
      <alignment horizontal="right" vertical="top"/>
    </xf>
    <xf numFmtId="0" fontId="10" fillId="37" borderId="163" xfId="0" applyFont="1" applyFill="1" applyBorder="1" applyAlignment="1">
      <alignment horizontal="right" vertical="top"/>
    </xf>
    <xf numFmtId="0" fontId="10" fillId="37" borderId="96" xfId="0" applyFont="1" applyFill="1" applyBorder="1" applyAlignment="1">
      <alignment horizontal="right" vertical="top"/>
    </xf>
    <xf numFmtId="0" fontId="10" fillId="37" borderId="155" xfId="0" applyFont="1" applyFill="1" applyBorder="1" applyAlignment="1">
      <alignment horizontal="right" vertical="top"/>
    </xf>
    <xf numFmtId="0" fontId="10" fillId="37" borderId="53" xfId="0" applyFont="1" applyFill="1" applyBorder="1" applyAlignment="1">
      <alignment horizontal="center" vertical="center" textRotation="255"/>
    </xf>
    <xf numFmtId="0" fontId="10" fillId="37" borderId="27" xfId="0" applyFont="1" applyFill="1" applyBorder="1" applyAlignment="1">
      <alignment horizontal="right" vertical="top"/>
    </xf>
    <xf numFmtId="0" fontId="10" fillId="37" borderId="68" xfId="0" applyFont="1" applyFill="1" applyBorder="1" applyAlignment="1">
      <alignment horizontal="right" vertical="top"/>
    </xf>
    <xf numFmtId="0" fontId="10" fillId="37" borderId="73" xfId="0" applyFont="1" applyFill="1" applyBorder="1" applyAlignment="1">
      <alignment horizontal="right" vertical="top"/>
    </xf>
    <xf numFmtId="0" fontId="15" fillId="0" borderId="60" xfId="0" applyFont="1" applyBorder="1">
      <alignment vertical="center"/>
    </xf>
    <xf numFmtId="0" fontId="15" fillId="0" borderId="46" xfId="0" applyFont="1" applyBorder="1">
      <alignment vertical="center"/>
    </xf>
    <xf numFmtId="0" fontId="10" fillId="37" borderId="69" xfId="0" applyFont="1" applyFill="1" applyBorder="1" applyAlignment="1">
      <alignment horizontal="center" vertical="center" textRotation="255"/>
    </xf>
    <xf numFmtId="41" fontId="10" fillId="0" borderId="23" xfId="0" applyNumberFormat="1" applyFont="1" applyFill="1" applyBorder="1" applyAlignment="1">
      <alignment horizontal="center" vertical="center"/>
    </xf>
    <xf numFmtId="41" fontId="10" fillId="0" borderId="68" xfId="0" applyNumberFormat="1" applyFont="1" applyFill="1" applyBorder="1" applyAlignment="1">
      <alignment horizontal="center" vertical="center"/>
    </xf>
    <xf numFmtId="41" fontId="10" fillId="0" borderId="73" xfId="0" applyNumberFormat="1" applyFont="1" applyFill="1" applyBorder="1" applyAlignment="1">
      <alignment horizontal="center" vertical="center"/>
    </xf>
    <xf numFmtId="0" fontId="16" fillId="35" borderId="51" xfId="0" applyFont="1" applyFill="1" applyBorder="1" applyAlignment="1">
      <alignment horizontal="right" vertical="top"/>
    </xf>
    <xf numFmtId="0" fontId="16" fillId="35" borderId="93" xfId="0" applyFont="1" applyFill="1" applyBorder="1" applyAlignment="1">
      <alignment horizontal="right" vertical="top"/>
    </xf>
    <xf numFmtId="41" fontId="27" fillId="35" borderId="36" xfId="0" applyNumberFormat="1" applyFont="1" applyFill="1" applyBorder="1" applyAlignment="1">
      <alignment horizontal="center" vertical="center"/>
    </xf>
    <xf numFmtId="41" fontId="27" fillId="35" borderId="37" xfId="0" applyNumberFormat="1" applyFont="1" applyFill="1" applyBorder="1" applyAlignment="1">
      <alignment horizontal="center" vertical="center"/>
    </xf>
    <xf numFmtId="0" fontId="5" fillId="35" borderId="38" xfId="0" applyFont="1" applyFill="1" applyBorder="1" applyAlignment="1">
      <alignment horizontal="center" vertical="center"/>
    </xf>
    <xf numFmtId="0" fontId="5" fillId="35" borderId="46" xfId="0" applyFont="1" applyFill="1" applyBorder="1" applyAlignment="1">
      <alignment horizontal="center" vertical="center"/>
    </xf>
    <xf numFmtId="0" fontId="5" fillId="35" borderId="22" xfId="0" applyFont="1" applyFill="1" applyBorder="1" applyAlignment="1">
      <alignment horizontal="center" vertical="center" wrapText="1"/>
    </xf>
    <xf numFmtId="0" fontId="5" fillId="35" borderId="47" xfId="0" applyFont="1" applyFill="1" applyBorder="1" applyAlignment="1">
      <alignment horizontal="center" vertical="center" wrapText="1"/>
    </xf>
    <xf numFmtId="0" fontId="5" fillId="35" borderId="39" xfId="0" applyFont="1" applyFill="1" applyBorder="1" applyAlignment="1">
      <alignment horizontal="center" vertical="center" wrapText="1"/>
    </xf>
    <xf numFmtId="0" fontId="5" fillId="35" borderId="11" xfId="0" applyFont="1" applyFill="1" applyBorder="1" applyAlignment="1">
      <alignment horizontal="center" vertical="center"/>
    </xf>
    <xf numFmtId="0" fontId="5" fillId="35" borderId="40" xfId="0" applyFont="1" applyFill="1" applyBorder="1" applyAlignment="1">
      <alignment horizontal="center" vertical="center"/>
    </xf>
    <xf numFmtId="0" fontId="5" fillId="35" borderId="48" xfId="0" applyFont="1" applyFill="1" applyBorder="1" applyAlignment="1">
      <alignment horizontal="center" vertical="center"/>
    </xf>
    <xf numFmtId="0" fontId="5" fillId="35" borderId="16" xfId="0" applyFont="1" applyFill="1" applyBorder="1" applyAlignment="1">
      <alignment horizontal="center" vertical="center"/>
    </xf>
    <xf numFmtId="0" fontId="5" fillId="35" borderId="49" xfId="0" applyFont="1" applyFill="1" applyBorder="1" applyAlignment="1">
      <alignment horizontal="center" vertical="center"/>
    </xf>
    <xf numFmtId="0" fontId="5" fillId="35" borderId="41" xfId="0" applyFont="1" applyFill="1" applyBorder="1" applyAlignment="1">
      <alignment horizontal="center" vertical="center"/>
    </xf>
    <xf numFmtId="0" fontId="5" fillId="35" borderId="42" xfId="0" applyFont="1" applyFill="1" applyBorder="1" applyAlignment="1">
      <alignment horizontal="center" vertical="center"/>
    </xf>
    <xf numFmtId="0" fontId="5" fillId="35" borderId="43" xfId="0" applyFont="1" applyFill="1" applyBorder="1" applyAlignment="1">
      <alignment horizontal="center" vertical="center"/>
    </xf>
    <xf numFmtId="0" fontId="5" fillId="33" borderId="44" xfId="0" applyFont="1" applyFill="1" applyBorder="1" applyAlignment="1">
      <alignment horizontal="center" vertical="center"/>
    </xf>
    <xf numFmtId="0" fontId="5" fillId="33" borderId="42" xfId="0" applyFont="1" applyFill="1" applyBorder="1" applyAlignment="1">
      <alignment horizontal="center" vertical="center"/>
    </xf>
    <xf numFmtId="0" fontId="27" fillId="33" borderId="18" xfId="0" applyFont="1" applyFill="1" applyBorder="1" applyAlignment="1">
      <alignment horizontal="center" vertical="center" wrapText="1"/>
    </xf>
    <xf numFmtId="0" fontId="27" fillId="33" borderId="19" xfId="0" applyFont="1" applyFill="1" applyBorder="1" applyAlignment="1">
      <alignment horizontal="center" vertical="center" wrapText="1"/>
    </xf>
    <xf numFmtId="0" fontId="5" fillId="35" borderId="38" xfId="0" applyFont="1" applyFill="1" applyBorder="1" applyAlignment="1">
      <alignment horizontal="center" vertical="center" wrapText="1"/>
    </xf>
    <xf numFmtId="0" fontId="5" fillId="35" borderId="11" xfId="0" applyFont="1" applyFill="1" applyBorder="1" applyAlignment="1">
      <alignment horizontal="center" vertical="center" wrapText="1"/>
    </xf>
    <xf numFmtId="0" fontId="5" fillId="35" borderId="23" xfId="0" applyFont="1" applyFill="1" applyBorder="1" applyAlignment="1">
      <alignment horizontal="center" vertical="center"/>
    </xf>
    <xf numFmtId="0" fontId="5" fillId="35" borderId="52" xfId="0" applyFont="1" applyFill="1" applyBorder="1" applyAlignment="1">
      <alignment horizontal="center" vertical="center"/>
    </xf>
    <xf numFmtId="41" fontId="27" fillId="35" borderId="34" xfId="0" applyNumberFormat="1" applyFont="1" applyFill="1" applyBorder="1" applyAlignment="1">
      <alignment horizontal="center" vertical="center"/>
    </xf>
    <xf numFmtId="41" fontId="27" fillId="35" borderId="33" xfId="0" applyNumberFormat="1" applyFont="1" applyFill="1" applyBorder="1" applyAlignment="1">
      <alignment horizontal="center" vertical="center"/>
    </xf>
    <xf numFmtId="41" fontId="27" fillId="36" borderId="34" xfId="0" applyNumberFormat="1" applyFont="1" applyFill="1" applyBorder="1" applyAlignment="1">
      <alignment horizontal="center" vertical="center"/>
    </xf>
    <xf numFmtId="41" fontId="27" fillId="36" borderId="36" xfId="0" applyNumberFormat="1" applyFont="1" applyFill="1" applyBorder="1" applyAlignment="1">
      <alignment horizontal="center" vertical="center"/>
    </xf>
    <xf numFmtId="41" fontId="27" fillId="36" borderId="33" xfId="0" applyNumberFormat="1" applyFont="1" applyFill="1" applyBorder="1" applyAlignment="1">
      <alignment horizontal="center" vertical="center"/>
    </xf>
    <xf numFmtId="0" fontId="8" fillId="33" borderId="10" xfId="0" applyFont="1" applyFill="1" applyBorder="1" applyAlignment="1">
      <alignment horizontal="center" vertical="center"/>
    </xf>
    <xf numFmtId="0" fontId="8" fillId="33" borderId="11" xfId="0" applyFont="1" applyFill="1" applyBorder="1" applyAlignment="1">
      <alignment horizontal="center" vertical="center"/>
    </xf>
    <xf numFmtId="0" fontId="8" fillId="33" borderId="12" xfId="0" applyFont="1" applyFill="1" applyBorder="1" applyAlignment="1">
      <alignment horizontal="center" vertical="center"/>
    </xf>
    <xf numFmtId="0" fontId="8" fillId="33" borderId="13" xfId="0" applyFont="1" applyFill="1" applyBorder="1" applyAlignment="1">
      <alignment horizontal="center" vertical="center"/>
    </xf>
    <xf numFmtId="0" fontId="8" fillId="33" borderId="0" xfId="0" applyFont="1" applyFill="1" applyBorder="1" applyAlignment="1">
      <alignment horizontal="center" vertical="center"/>
    </xf>
    <xf numFmtId="0" fontId="8" fillId="33" borderId="14" xfId="0" applyFont="1" applyFill="1" applyBorder="1" applyAlignment="1">
      <alignment horizontal="center" vertical="center"/>
    </xf>
    <xf numFmtId="0" fontId="8" fillId="33" borderId="15" xfId="0" applyFont="1" applyFill="1" applyBorder="1" applyAlignment="1">
      <alignment horizontal="center" vertical="center"/>
    </xf>
    <xf numFmtId="0" fontId="8" fillId="33" borderId="16" xfId="0" applyFont="1" applyFill="1" applyBorder="1" applyAlignment="1">
      <alignment horizontal="center" vertical="center"/>
    </xf>
    <xf numFmtId="0" fontId="8" fillId="33" borderId="17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6" fillId="34" borderId="28" xfId="0" applyFont="1" applyFill="1" applyBorder="1" applyAlignment="1">
      <alignment horizontal="center" vertical="center"/>
    </xf>
    <xf numFmtId="0" fontId="6" fillId="34" borderId="29" xfId="0" applyFont="1" applyFill="1" applyBorder="1" applyAlignment="1">
      <alignment horizontal="center" vertical="center"/>
    </xf>
    <xf numFmtId="0" fontId="27" fillId="35" borderId="32" xfId="0" applyFont="1" applyFill="1" applyBorder="1" applyAlignment="1">
      <alignment horizontal="center" vertical="center"/>
    </xf>
    <xf numFmtId="0" fontId="27" fillId="35" borderId="33" xfId="0" applyFont="1" applyFill="1" applyBorder="1" applyAlignment="1">
      <alignment horizontal="center" vertical="center"/>
    </xf>
    <xf numFmtId="0" fontId="308" fillId="36" borderId="34" xfId="0" applyFont="1" applyFill="1" applyBorder="1" applyAlignment="1">
      <alignment horizontal="center" vertical="center" shrinkToFit="1"/>
    </xf>
    <xf numFmtId="0" fontId="27" fillId="36" borderId="33" xfId="0" applyFont="1" applyFill="1" applyBorder="1" applyAlignment="1">
      <alignment horizontal="center" vertical="center" shrinkToFit="1"/>
    </xf>
    <xf numFmtId="0" fontId="0" fillId="0" borderId="85" xfId="0" applyBorder="1" applyAlignment="1">
      <alignment horizontal="center" vertical="center" textRotation="255"/>
    </xf>
    <xf numFmtId="0" fontId="0" fillId="0" borderId="53" xfId="0" applyBorder="1" applyAlignment="1">
      <alignment horizontal="center" vertical="center" textRotation="255"/>
    </xf>
  </cellXfs>
  <cellStyles count="4888">
    <cellStyle name=" " xfId="5"/>
    <cellStyle name=" _111 key data master" xfId="6"/>
    <cellStyle name=" _2004 budget 15 Sept" xfId="7"/>
    <cellStyle name=" _AUS 1p11 Management Package Update" xfId="8"/>
    <cellStyle name=" _BPFIN Oct review" xfId="9"/>
    <cellStyle name=" _Feb2001" xfId="10"/>
    <cellStyle name=" _FIP 111 Mgt Summary_Feb19_FAP Subm" xfId="11"/>
    <cellStyle name=" _Profit 04-08" xfId="12"/>
    <cellStyle name=" _Profit outlook.xls Chart 1" xfId="13"/>
    <cellStyle name=" _Profit outlook.xls Chart 13" xfId="14"/>
    <cellStyle name=" _Profit outlook.xls Chart 14" xfId="15"/>
    <cellStyle name=" _Profit outlook.xls Chart 2" xfId="16"/>
    <cellStyle name=" _Profit outlook.xls Chart 3" xfId="17"/>
    <cellStyle name=" _Profit outlook.xls Chart 4" xfId="18"/>
    <cellStyle name=" _Profit outlook.xls Chart 5" xfId="19"/>
    <cellStyle name=" _Profit outlook.xls Chart 6" xfId="20"/>
    <cellStyle name=" _Taiwan" xfId="21"/>
    <cellStyle name=" _Taiwan_0+12 R&amp;O" xfId="22"/>
    <cellStyle name=" _Taiwan_0+12 R&amp;O (2)" xfId="23"/>
    <cellStyle name=" _Taiwan_1st Half Total Cost" xfId="24"/>
    <cellStyle name=" _Taiwan_1st Half Total Cost_0+12 R&amp;O" xfId="25"/>
    <cellStyle name=" _Taiwan_1st Half Total Cost_0+12 R&amp;O (2)" xfId="26"/>
    <cellStyle name=" _Taiwan_1st Half Total Cost_Affordable Business Structure" xfId="27"/>
    <cellStyle name=" _Taiwan_1st Half Total Cost_Affordable Business Structure_0+12 R&amp;O" xfId="28"/>
    <cellStyle name=" _Taiwan_1st Half Total Cost_Affordable Business Structure_0+12 R&amp;O (2)" xfId="29"/>
    <cellStyle name=" _Taiwan_1st Half Total Cost_BP Key Assumptions" xfId="30"/>
    <cellStyle name=" _Taiwan_1st Half Total Cost_BP Key Assumptions_0+12 R&amp;O" xfId="31"/>
    <cellStyle name=" _Taiwan_1st Half Total Cost_BP Key Assumptions_0+12 R&amp;O (2)" xfId="32"/>
    <cellStyle name=" _Taiwan_1st Half Total Cost_Task" xfId="33"/>
    <cellStyle name=" _Taiwan_1st Half Total Cost_Task_0+12 R&amp;O" xfId="34"/>
    <cellStyle name=" _Taiwan_1st Half Total Cost_Task_0+12 R&amp;O (2)" xfId="35"/>
    <cellStyle name=" _Taiwan_1st Half Total Cost_TTLCOST BACKUP" xfId="36"/>
    <cellStyle name=" _Taiwan_1st Half Total Cost_TTLCOST BACKUP_0+12 R&amp;O (2)" xfId="37"/>
    <cellStyle name=" _Taiwan_1st Half Total Cost_Updated R&amp;O - 1999" xfId="38"/>
    <cellStyle name=" _Taiwan_1st Half Total Cost_Updated R&amp;O - 1999_0+12 R&amp;O" xfId="39"/>
    <cellStyle name=" _Taiwan_1st Half Total Cost_Updated R&amp;O - 1999_0+12 R&amp;O (2)" xfId="40"/>
    <cellStyle name=" _Taiwan_1st Half Total Cost_Vehicle Line Profit" xfId="41"/>
    <cellStyle name=" _Taiwan_1st Half Total Cost_Vehicle Line Profit_0+12 R&amp;O" xfId="42"/>
    <cellStyle name=" _Taiwan_1st Half Total Cost_Vehicle Line Profit_0+12 R&amp;O (2)" xfId="43"/>
    <cellStyle name=" _Taiwan_Affordable Business Structure" xfId="44"/>
    <cellStyle name=" _Taiwan_Affordable Business Structure_0+12 R&amp;O" xfId="45"/>
    <cellStyle name=" _Taiwan_Affordable Business Structure_0+12 R&amp;O (2)" xfId="46"/>
    <cellStyle name=" _Taiwan_Affordable Business Structure_BP Key Assumptions" xfId="47"/>
    <cellStyle name=" _Taiwan_Affordable Business Structure_BP Key Assumptions_0+12 R&amp;O" xfId="48"/>
    <cellStyle name=" _Taiwan_Affordable Business Structure_BP Key Assumptions_0+12 R&amp;O (2)" xfId="49"/>
    <cellStyle name=" _Taiwan_Affordable Business Structure_Task" xfId="50"/>
    <cellStyle name=" _Taiwan_Affordable Business Structure_Task_0+12 R&amp;O" xfId="51"/>
    <cellStyle name=" _Taiwan_Affordable Business Structure_Task_0+12 R&amp;O (2)" xfId="52"/>
    <cellStyle name=" _Taiwan_Affordable Business Structure_TTLCOST BACKUP" xfId="53"/>
    <cellStyle name=" _Taiwan_Affordable Business Structure_TTLCOST BACKUP_0+12 R&amp;O (2)" xfId="54"/>
    <cellStyle name=" _Taiwan_Affordable Business Structure_Updated R&amp;O - 1999" xfId="55"/>
    <cellStyle name=" _Taiwan_Affordable Business Structure_Updated R&amp;O - 1999_0+12 R&amp;O" xfId="56"/>
    <cellStyle name=" _Taiwan_Affordable Business Structure_Updated R&amp;O - 1999_0+12 R&amp;O (2)" xfId="57"/>
    <cellStyle name=" _Taiwan_Affordable Business Structure_Vehicle Line Profit" xfId="58"/>
    <cellStyle name=" _Taiwan_Affordable Business Structure_Vehicle Line Profit_0+12 R&amp;O" xfId="59"/>
    <cellStyle name=" _Taiwan_Affordable Business Structure_Vehicle Line Profit_0+12 R&amp;O (2)" xfId="60"/>
    <cellStyle name=" _Taiwan_BP Key Assumptions" xfId="61"/>
    <cellStyle name=" _Taiwan_BP Key Assumptions_0+12 R&amp;O" xfId="62"/>
    <cellStyle name=" _Taiwan_BP Key Assumptions_0+12 R&amp;O (2)" xfId="63"/>
    <cellStyle name=" _Taiwan_KD&amp;BU Study" xfId="64"/>
    <cellStyle name=" _Taiwan_KD&amp;BU Study_0+12 R&amp;O" xfId="65"/>
    <cellStyle name=" _Taiwan_KD&amp;BU Study_0+12 R&amp;O (2)" xfId="66"/>
    <cellStyle name=" _Taiwan_KD&amp;BU Study_Affordable Business Structure" xfId="67"/>
    <cellStyle name=" _Taiwan_KD&amp;BU Study_Affordable Business Structure_0+12 R&amp;O" xfId="68"/>
    <cellStyle name=" _Taiwan_KD&amp;BU Study_Affordable Business Structure_0+12 R&amp;O (2)" xfId="69"/>
    <cellStyle name=" _Taiwan_KD&amp;BU Study_BP Key Assumptions" xfId="70"/>
    <cellStyle name=" _Taiwan_KD&amp;BU Study_BP Key Assumptions_0+12 R&amp;O" xfId="71"/>
    <cellStyle name=" _Taiwan_KD&amp;BU Study_BP Key Assumptions_0+12 R&amp;O (2)" xfId="72"/>
    <cellStyle name=" _Taiwan_KD&amp;BU Study_Task" xfId="73"/>
    <cellStyle name=" _Taiwan_KD&amp;BU Study_Task_0+12 R&amp;O" xfId="74"/>
    <cellStyle name=" _Taiwan_KD&amp;BU Study_Task_0+12 R&amp;O (2)" xfId="75"/>
    <cellStyle name=" _Taiwan_KD&amp;BU Study_TTLCOST BACKUP" xfId="76"/>
    <cellStyle name=" _Taiwan_KD&amp;BU Study_TTLCOST BACKUP_0+12 R&amp;O (2)" xfId="77"/>
    <cellStyle name=" _Taiwan_KD&amp;BU Study_Updated R&amp;O - 1999" xfId="78"/>
    <cellStyle name=" _Taiwan_KD&amp;BU Study_Updated R&amp;O - 1999_0+12 R&amp;O" xfId="79"/>
    <cellStyle name=" _Taiwan_KD&amp;BU Study_Updated R&amp;O - 1999_0+12 R&amp;O (2)" xfId="80"/>
    <cellStyle name=" _Taiwan_KD&amp;BU Study_Vehicle Line Profit" xfId="81"/>
    <cellStyle name=" _Taiwan_KD&amp;BU Study_Vehicle Line Profit_0+12 R&amp;O" xfId="82"/>
    <cellStyle name=" _Taiwan_KD&amp;BU Study_Vehicle Line Profit_0+12 R&amp;O (2)" xfId="83"/>
    <cellStyle name=" _Taiwan_Task" xfId="84"/>
    <cellStyle name=" _Taiwan_Task_0+12 R&amp;O" xfId="85"/>
    <cellStyle name=" _Taiwan_Task_0+12 R&amp;O (2)" xfId="86"/>
    <cellStyle name=" _Taiwan_TTLCOST BACKUP" xfId="87"/>
    <cellStyle name=" _Taiwan_TTLCOST BACKUP_0+12 R&amp;O" xfId="88"/>
    <cellStyle name=" _Taiwan_TTLCOST BACKUP_0+12 R&amp;O (2)" xfId="89"/>
    <cellStyle name=" _Taiwan_TTLCOST BACKUP_Affordable Business Structure" xfId="90"/>
    <cellStyle name=" _Taiwan_TTLCOST BACKUP_Affordable Business Structure_0+12 R&amp;O" xfId="91"/>
    <cellStyle name=" _Taiwan_TTLCOST BACKUP_Affordable Business Structure_0+12 R&amp;O (2)" xfId="92"/>
    <cellStyle name=" _Taiwan_TTLCOST BACKUP_BP Key Assumptions" xfId="93"/>
    <cellStyle name=" _Taiwan_TTLCOST BACKUP_BP Key Assumptions_0+12 R&amp;O" xfId="94"/>
    <cellStyle name=" _Taiwan_TTLCOST BACKUP_BP Key Assumptions_0+12 R&amp;O (2)" xfId="95"/>
    <cellStyle name=" _Taiwan_TTLCOST BACKUP_Task" xfId="96"/>
    <cellStyle name=" _Taiwan_TTLCOST BACKUP_Task_0+12 R&amp;O" xfId="97"/>
    <cellStyle name=" _Taiwan_TTLCOST BACKUP_Task_0+12 R&amp;O (2)" xfId="98"/>
    <cellStyle name=" _Taiwan_TTLCOST BACKUP_Updated R&amp;O - 1999" xfId="99"/>
    <cellStyle name=" _Taiwan_TTLCOST BACKUP_Updated R&amp;O - 1999_0+12 R&amp;O" xfId="100"/>
    <cellStyle name=" _Taiwan_TTLCOST BACKUP_Updated R&amp;O - 1999_0+12 R&amp;O (2)" xfId="101"/>
    <cellStyle name=" _Taiwan_TTLCOST BACKUP_Vehicle Line Profit" xfId="102"/>
    <cellStyle name=" _Taiwan_TTLCOST BACKUP_Vehicle Line Profit_0+12 R&amp;O" xfId="103"/>
    <cellStyle name=" _Taiwan_TTLCOST BACKUP_Vehicle Line Profit_0+12 R&amp;O (2)" xfId="104"/>
    <cellStyle name=" _Taiwan_Updated R&amp;O - 1998" xfId="105"/>
    <cellStyle name=" _Taiwan_Updated R&amp;O - 1998_0+12 R&amp;O" xfId="106"/>
    <cellStyle name=" _Taiwan_Updated R&amp;O - 1998_0+12 R&amp;O (2)" xfId="107"/>
    <cellStyle name=" _Taiwan_Updated R&amp;O - 1999" xfId="108"/>
    <cellStyle name=" _Taiwan_Updated R&amp;O - 1999_0+12 R&amp;O" xfId="109"/>
    <cellStyle name=" _Taiwan_Updated R&amp;O - 1999_0+12 R&amp;O (2)" xfId="110"/>
    <cellStyle name=" _Taiwan_Vehicle Line Profit" xfId="111"/>
    <cellStyle name=" _Taiwan_Vehicle Line Profit_0+12 R&amp;O" xfId="112"/>
    <cellStyle name=" _Taiwan_Vehicle Line Profit_0+12 R&amp;O (2)" xfId="113"/>
    <cellStyle name="#,##0" xfId="114"/>
    <cellStyle name="$" xfId="115"/>
    <cellStyle name="$_1+11 mgmt pkg" xfId="116"/>
    <cellStyle name="$_111 key data master" xfId="117"/>
    <cellStyle name="$_2002 -6+18 flh flash" xfId="118"/>
    <cellStyle name="$_2003 Business Plan NOA Template" xfId="119"/>
    <cellStyle name="$_2004 budget 15 Sept" xfId="120"/>
    <cellStyle name="$_4-8map" xfId="121"/>
    <cellStyle name="$_4-8map_1-11mapb" xfId="122"/>
    <cellStyle name="$_4-8map_1-11mapb_2002 -6+18 flh flash" xfId="123"/>
    <cellStyle name="$_4-8map_1-11mapb_COVER" xfId="124"/>
    <cellStyle name="$_4-8map_1-11mapb_PBTTemplate" xfId="125"/>
    <cellStyle name="$_4-8map_2002 -6+18 flh flash" xfId="126"/>
    <cellStyle name="$_4-8map_2-10map" xfId="127"/>
    <cellStyle name="$_4-8map_2-10map_2002 -6+18 flh flash" xfId="128"/>
    <cellStyle name="$_4-8map_2-10map_COVER" xfId="129"/>
    <cellStyle name="$_4-8map_2-10map_PBTTemplate" xfId="130"/>
    <cellStyle name="$_4-8map_5-7map" xfId="131"/>
    <cellStyle name="$_4-8map_5-7map_2002 -6+18 flh flash" xfId="132"/>
    <cellStyle name="$_4-8map_5-7map_COVER" xfId="133"/>
    <cellStyle name="$_4-8map_5-7map_PBTTemplate" xfId="134"/>
    <cellStyle name="$_4-8map_COVER" xfId="135"/>
    <cellStyle name="$_4-8map_exchange2" xfId="136"/>
    <cellStyle name="$_4-8map_exchange2_2002 -6+18 flh flash" xfId="137"/>
    <cellStyle name="$_4-8map_exchange2_5-7map" xfId="138"/>
    <cellStyle name="$_4-8map_exchange2_5-7map_2002 -6+18 flh flash" xfId="139"/>
    <cellStyle name="$_4-8map_exchange2_5-7map_COVER" xfId="140"/>
    <cellStyle name="$_4-8map_exchange2_5-7map_PBTTemplate" xfId="141"/>
    <cellStyle name="$_4-8map_exchange2_COVER" xfId="142"/>
    <cellStyle name="$_4-8map_exchange2_PBTTemplate" xfId="143"/>
    <cellStyle name="$_4-8map_PBTTemplate" xfId="144"/>
    <cellStyle name="$_6-6map" xfId="145"/>
    <cellStyle name="$_6-6map_2002 -6+18 flh flash" xfId="146"/>
    <cellStyle name="$_6-6map_COVER" xfId="147"/>
    <cellStyle name="$_6-6map_PBTTemplate" xfId="148"/>
    <cellStyle name="$_견적2" xfId="192"/>
    <cellStyle name="$_견적2 2" xfId="193"/>
    <cellStyle name="$_견적2 3" xfId="194"/>
    <cellStyle name="$_기아" xfId="195"/>
    <cellStyle name="$_기아 2" xfId="196"/>
    <cellStyle name="$_기아 3" xfId="197"/>
    <cellStyle name="$_AUS 1p11 Management Package Update" xfId="149"/>
    <cellStyle name="$_BPFIN Oct review" xfId="150"/>
    <cellStyle name="$_COVER" xfId="151"/>
    <cellStyle name="$_db진흥" xfId="152"/>
    <cellStyle name="$_db진흥 2" xfId="153"/>
    <cellStyle name="$_db진흥 3" xfId="154"/>
    <cellStyle name="$_FIP 111 Mgt Summary_Feb19_FAP Subm" xfId="155"/>
    <cellStyle name="$_forecast#662" xfId="156"/>
    <cellStyle name="$_forecast#662 with 2 mil task" xfId="157"/>
    <cellStyle name="$_FVL 2003 (5+7) R&amp;Os" xfId="158"/>
    <cellStyle name="$_Inventory-cash#643" xfId="159"/>
    <cellStyle name="$_Invty_661_Due Jan 14" xfId="160"/>
    <cellStyle name="$_PBTTemplate" xfId="161"/>
    <cellStyle name="$_Profit 04-08" xfId="162"/>
    <cellStyle name="$_review3" xfId="163"/>
    <cellStyle name="$_review3_1-11mapb" xfId="164"/>
    <cellStyle name="$_review3_1-11mapb_2002 -6+18 flh flash" xfId="165"/>
    <cellStyle name="$_review3_1-11mapb_COVER" xfId="166"/>
    <cellStyle name="$_review3_1-11mapb_PBTTemplate" xfId="167"/>
    <cellStyle name="$_review3_2002 -6+18 flh flash" xfId="168"/>
    <cellStyle name="$_review3_2-10map" xfId="169"/>
    <cellStyle name="$_review3_2-10map_2002 -6+18 flh flash" xfId="170"/>
    <cellStyle name="$_review3_2-10map_COVER" xfId="171"/>
    <cellStyle name="$_review3_2-10map_PBTTemplate" xfId="172"/>
    <cellStyle name="$_review3_5-7map" xfId="173"/>
    <cellStyle name="$_review3_5-7map_2002 -6+18 flh flash" xfId="174"/>
    <cellStyle name="$_review3_5-7map_COVER" xfId="175"/>
    <cellStyle name="$_review3_5-7map_PBTTemplate" xfId="176"/>
    <cellStyle name="$_review3_COVER" xfId="177"/>
    <cellStyle name="$_review3_exchange2" xfId="178"/>
    <cellStyle name="$_review3_exchange2_2002 -6+18 flh flash" xfId="179"/>
    <cellStyle name="$_review3_exchange2_5-7map" xfId="180"/>
    <cellStyle name="$_review3_exchange2_5-7map_2002 -6+18 flh flash" xfId="181"/>
    <cellStyle name="$_review3_exchange2_5-7map_COVER" xfId="182"/>
    <cellStyle name="$_review3_exchange2_5-7map_PBTTemplate" xfId="183"/>
    <cellStyle name="$_review3_exchange2_COVER" xfId="184"/>
    <cellStyle name="$_review3_exchange2_PBTTemplate" xfId="185"/>
    <cellStyle name="$_review3_PBTTemplate" xfId="186"/>
    <cellStyle name="$_SE40" xfId="187"/>
    <cellStyle name="$_SE40 2" xfId="188"/>
    <cellStyle name="$_SE40 3" xfId="189"/>
    <cellStyle name="$_SHINTS BVT Profit (Loss) 2008-Issue 6+6 (USD)" xfId="190"/>
    <cellStyle name="$_task2" xfId="191"/>
    <cellStyle name="$0" xfId="198"/>
    <cellStyle name="$0.0" xfId="199"/>
    <cellStyle name="$0.00" xfId="200"/>
    <cellStyle name="$0_!!!GO" xfId="201"/>
    <cellStyle name="$No Dollars" xfId="202"/>
    <cellStyle name="$one" xfId="203"/>
    <cellStyle name="$two" xfId="204"/>
    <cellStyle name="%" xfId="205"/>
    <cellStyle name="%0" xfId="206"/>
    <cellStyle name="%0.0" xfId="207"/>
    <cellStyle name="%0_!!!GO" xfId="208"/>
    <cellStyle name="%one" xfId="209"/>
    <cellStyle name="%two" xfId="210"/>
    <cellStyle name="(△콤마)" xfId="211"/>
    <cellStyle name="(백분율)" xfId="212"/>
    <cellStyle name="(콤마)" xfId="213"/>
    <cellStyle name="(표준)" xfId="214"/>
    <cellStyle name="､@ｯ・0+12 vs bgt" xfId="215"/>
    <cellStyle name="､@ｯ・flhkd" xfId="216"/>
    <cellStyle name="､d､ﾀｦ・0]_0+12 vs bgt" xfId="217"/>
    <cellStyle name="､d､ﾀｦ・0+12 vs bgt" xfId="218"/>
    <cellStyle name="?" xfId="219"/>
    <cellStyle name="??" xfId="220"/>
    <cellStyle name="?? [0.00]_List-dwgwg" xfId="221"/>
    <cellStyle name="?? [0]" xfId="222"/>
    <cellStyle name="??&amp;O?&amp;H?_x0008__x000f__x0007_?_x0007__x0001__x0001_" xfId="223"/>
    <cellStyle name="??&amp;O?&amp;H?_x0008_??_x0007__x0001__x0001_" xfId="224"/>
    <cellStyle name="??&amp;O?&amp;H?_x0008__x000f__x0007_?_x0007__x0001__x0001__new form on Mar-04-2011" xfId="225"/>
    <cellStyle name="???" xfId="226"/>
    <cellStyle name="??? ?????" xfId="227"/>
    <cellStyle name="???? [0.00]_List-dwg????" xfId="228"/>
    <cellStyle name="???? \" xfId="229"/>
    <cellStyle name="?????" xfId="230"/>
    <cellStyle name="??????" xfId="231"/>
    <cellStyle name="???????" xfId="232"/>
    <cellStyle name="????????????" xfId="233"/>
    <cellStyle name="??????????????????? [0]_FTC_OFFER" xfId="234"/>
    <cellStyle name="???????????????????_FTC_OFFER" xfId="235"/>
    <cellStyle name="????_FTC_OFFER" xfId="236"/>
    <cellStyle name="???[0]_INV-BPR" xfId="237"/>
    <cellStyle name="???_HOBONG" xfId="238"/>
    <cellStyle name="??[0]_INV-BPR" xfId="239"/>
    <cellStyle name="??_ ??? ???? " xfId="240"/>
    <cellStyle name="?_02" xfId="241"/>
    <cellStyle name="?_1-11mapb" xfId="242"/>
    <cellStyle name="?_1-11mapb_2002 -6+18 flh flash" xfId="243"/>
    <cellStyle name="?_1-11mapb_COVER" xfId="244"/>
    <cellStyle name="?_1-11mapb_PBTTemplate" xfId="245"/>
    <cellStyle name="?_2-10map" xfId="246"/>
    <cellStyle name="?_2-10map_2002 -6+18 flh flash" xfId="247"/>
    <cellStyle name="?_2-10map_COVER" xfId="248"/>
    <cellStyle name="?_2-10map_PBTTemplate" xfId="249"/>
    <cellStyle name="?_5-7map" xfId="250"/>
    <cellStyle name="?_5-7map_2002 -6+18 flh flash" xfId="251"/>
    <cellStyle name="?_5-7map_COVER" xfId="252"/>
    <cellStyle name="?_5-7map_PBTTemplate" xfId="253"/>
    <cellStyle name="?_Attachment D" xfId="254"/>
    <cellStyle name="?_cover1 (2)" xfId="255"/>
    <cellStyle name="?_cover1 (2)_Fixed Costs 2001 (1)" xfId="256"/>
    <cellStyle name="?_EcoPro(Dom) (1)" xfId="257"/>
    <cellStyle name="?_EcoPro(Dom) (1)_2002 -6+18 flh flash" xfId="258"/>
    <cellStyle name="?_EcoPro(Dom) (1)_COVER" xfId="259"/>
    <cellStyle name="?_EcoPro(Dom) (1)_fjl642" xfId="260"/>
    <cellStyle name="?_EcoPro(Dom) (1)_PBTTemplate" xfId="261"/>
    <cellStyle name="?_EcoPro(Dom) (2)" xfId="262"/>
    <cellStyle name="?_EcoPro(Dom) (2)_2002 -6+18 flh flash" xfId="263"/>
    <cellStyle name="?_EcoPro(Dom) (2)_COVER" xfId="264"/>
    <cellStyle name="?_EcoPro(Dom) (2)_fjl642" xfId="265"/>
    <cellStyle name="?_EcoPro(Dom) (2)_PBTTemplate" xfId="266"/>
    <cellStyle name="?_EcoPro(Dom) (3)" xfId="267"/>
    <cellStyle name="?_EcoPro(Dom) (3)_2002 -6+18 flh flash" xfId="268"/>
    <cellStyle name="?_EcoPro(Dom) (3)_COVER" xfId="269"/>
    <cellStyle name="?_EcoPro(Dom) (3)_fjl642" xfId="270"/>
    <cellStyle name="?_EcoPro(Dom) (3)_PBTTemplate" xfId="271"/>
    <cellStyle name="?_EcoPro(Dom) (4)" xfId="272"/>
    <cellStyle name="?_EcoPro(Dom) (4)_2002 -6+18 flh flash" xfId="273"/>
    <cellStyle name="?_EcoPro(Dom) (4)_COVER" xfId="274"/>
    <cellStyle name="?_EcoPro(Dom) (4)_fjl642" xfId="275"/>
    <cellStyle name="?_EcoPro(Dom) (4)_PBTTemplate" xfId="276"/>
    <cellStyle name="?_EP(Dom) Ave." xfId="277"/>
    <cellStyle name="?_EP(Dom) Ave._2002 -6+18 flh flash" xfId="278"/>
    <cellStyle name="?_EP(Dom) Ave._COVER" xfId="279"/>
    <cellStyle name="?_EP(Dom) Ave._fjl642" xfId="280"/>
    <cellStyle name="?_EP(Dom) Ave._PBTTemplate" xfId="281"/>
    <cellStyle name="?_exchange2" xfId="282"/>
    <cellStyle name="?_exchange2_2002 -6+18 flh flash" xfId="283"/>
    <cellStyle name="?_exchange2_5-7map" xfId="284"/>
    <cellStyle name="?_exchange2_5-7map_2002 -6+18 flh flash" xfId="285"/>
    <cellStyle name="?_exchange2_5-7map_COVER" xfId="286"/>
    <cellStyle name="?_exchange2_5-7map_PBTTemplate" xfId="287"/>
    <cellStyle name="?_exchange2_COVER" xfId="288"/>
    <cellStyle name="?_exchange2_PBTTemplate" xfId="289"/>
    <cellStyle name="?_fjl642" xfId="290"/>
    <cellStyle name="?_fjl642_2002 -6+18 flh flash" xfId="291"/>
    <cellStyle name="?_fjl642_COVER" xfId="292"/>
    <cellStyle name="?_fjl642_PBTTemplate" xfId="293"/>
    <cellStyle name="?_review3" xfId="294"/>
    <cellStyle name="?_review3_1-11mapb" xfId="295"/>
    <cellStyle name="?_review3_1-11mapb_2002 -6+18 flh flash" xfId="296"/>
    <cellStyle name="?_review3_1-11mapb_COVER" xfId="297"/>
    <cellStyle name="?_review3_1-11mapb_PBTTemplate" xfId="298"/>
    <cellStyle name="?_review3_2002 -6+18 flh flash" xfId="299"/>
    <cellStyle name="?_review3_2-10map" xfId="300"/>
    <cellStyle name="?_review3_2-10map_2002 -6+18 flh flash" xfId="301"/>
    <cellStyle name="?_review3_2-10map_COVER" xfId="302"/>
    <cellStyle name="?_review3_2-10map_PBTTemplate" xfId="303"/>
    <cellStyle name="?_review3_5-7map" xfId="304"/>
    <cellStyle name="?_review3_5-7map_2002 -6+18 flh flash" xfId="305"/>
    <cellStyle name="?_review3_5-7map_COVER" xfId="306"/>
    <cellStyle name="?_review3_5-7map_PBTTemplate" xfId="307"/>
    <cellStyle name="?_review3_COVER" xfId="308"/>
    <cellStyle name="?_review3_exchange2" xfId="309"/>
    <cellStyle name="?_review3_exchange2_2002 -6+18 flh flash" xfId="310"/>
    <cellStyle name="?_review3_exchange2_5-7map" xfId="311"/>
    <cellStyle name="?_review3_exchange2_5-7map_2002 -6+18 flh flash" xfId="312"/>
    <cellStyle name="?_review3_exchange2_5-7map_COVER" xfId="313"/>
    <cellStyle name="?_review3_exchange2_5-7map_PBTTemplate" xfId="314"/>
    <cellStyle name="?_review3_exchange2_COVER" xfId="315"/>
    <cellStyle name="?_review3_exchange2_PBTTemplate" xfId="316"/>
    <cellStyle name="?_review3_PBTTemplate" xfId="317"/>
    <cellStyle name="?_tate" xfId="318"/>
    <cellStyle name="?_tate_1" xfId="319"/>
    <cellStyle name="?_tate_1-11mapb" xfId="320"/>
    <cellStyle name="?_tate_1-11mapb_2002 -6+18 flh flash" xfId="321"/>
    <cellStyle name="?_tate_1-11mapb_COVER" xfId="322"/>
    <cellStyle name="?_tate_1-11mapb_PBTTemplate" xfId="323"/>
    <cellStyle name="?_tate_2002 -6+18 flh flash" xfId="324"/>
    <cellStyle name="?_tate_2-10map" xfId="325"/>
    <cellStyle name="?_tate_2-10map_2002 -6+18 flh flash" xfId="326"/>
    <cellStyle name="?_tate_2-10map_COVER" xfId="327"/>
    <cellStyle name="?_tate_2-10map_PBTTemplate" xfId="328"/>
    <cellStyle name="?_tate_5-7map" xfId="329"/>
    <cellStyle name="?_tate_5-7map_2002 -6+18 flh flash" xfId="330"/>
    <cellStyle name="?_tate_5-7map_COVER" xfId="331"/>
    <cellStyle name="?_tate_5-7map_PBTTemplate" xfId="332"/>
    <cellStyle name="?_tate_COVER" xfId="333"/>
    <cellStyle name="?_tate_EcoPro(Dom) (1)" xfId="334"/>
    <cellStyle name="?_tate_EcoPro(Dom) (1)_2002 -6+18 flh flash" xfId="335"/>
    <cellStyle name="?_tate_EcoPro(Dom) (1)_COVER" xfId="336"/>
    <cellStyle name="?_tate_EcoPro(Dom) (1)_exchange2" xfId="337"/>
    <cellStyle name="?_tate_EcoPro(Dom) (1)_exchange2_2002 -6+18 flh flash" xfId="338"/>
    <cellStyle name="?_tate_EcoPro(Dom) (1)_exchange2_5-7map" xfId="339"/>
    <cellStyle name="?_tate_EcoPro(Dom) (1)_exchange2_5-7map_2002 -6+18 flh flash" xfId="340"/>
    <cellStyle name="?_tate_EcoPro(Dom) (1)_exchange2_5-7map_COVER" xfId="341"/>
    <cellStyle name="?_tate_EcoPro(Dom) (1)_exchange2_5-7map_PBTTemplate" xfId="342"/>
    <cellStyle name="?_tate_EcoPro(Dom) (1)_exchange2_COVER" xfId="343"/>
    <cellStyle name="?_tate_EcoPro(Dom) (1)_exchange2_PBTTemplate" xfId="344"/>
    <cellStyle name="?_tate_EcoPro(Dom) (1)_PBTTemplate" xfId="345"/>
    <cellStyle name="?_tate_EcoPro(Dom) (2)" xfId="346"/>
    <cellStyle name="?_tate_EcoPro(Dom) (2)_2002 -6+18 flh flash" xfId="347"/>
    <cellStyle name="?_tate_EcoPro(Dom) (2)_COVER" xfId="348"/>
    <cellStyle name="?_tate_EcoPro(Dom) (2)_exchange2" xfId="349"/>
    <cellStyle name="?_tate_EcoPro(Dom) (2)_exchange2_2002 -6+18 flh flash" xfId="350"/>
    <cellStyle name="?_tate_EcoPro(Dom) (2)_exchange2_5-7map" xfId="351"/>
    <cellStyle name="?_tate_EcoPro(Dom) (2)_exchange2_5-7map_2002 -6+18 flh flash" xfId="352"/>
    <cellStyle name="?_tate_EcoPro(Dom) (2)_exchange2_5-7map_COVER" xfId="353"/>
    <cellStyle name="?_tate_EcoPro(Dom) (2)_exchange2_5-7map_PBTTemplate" xfId="354"/>
    <cellStyle name="?_tate_EcoPro(Dom) (2)_exchange2_COVER" xfId="355"/>
    <cellStyle name="?_tate_EcoPro(Dom) (2)_exchange2_PBTTemplate" xfId="356"/>
    <cellStyle name="?_tate_EcoPro(Dom) (2)_PBTTemplate" xfId="357"/>
    <cellStyle name="?_tate_EcoPro(Dom) (3)" xfId="358"/>
    <cellStyle name="?_tate_EcoPro(Dom) (3)_2002 -6+18 flh flash" xfId="359"/>
    <cellStyle name="?_tate_EcoPro(Dom) (3)_COVER" xfId="360"/>
    <cellStyle name="?_tate_EcoPro(Dom) (3)_exchange2" xfId="361"/>
    <cellStyle name="?_tate_EcoPro(Dom) (3)_exchange2_2002 -6+18 flh flash" xfId="362"/>
    <cellStyle name="?_tate_EcoPro(Dom) (3)_exchange2_5-7map" xfId="363"/>
    <cellStyle name="?_tate_EcoPro(Dom) (3)_exchange2_5-7map_2002 -6+18 flh flash" xfId="364"/>
    <cellStyle name="?_tate_EcoPro(Dom) (3)_exchange2_5-7map_COVER" xfId="365"/>
    <cellStyle name="?_tate_EcoPro(Dom) (3)_exchange2_5-7map_PBTTemplate" xfId="366"/>
    <cellStyle name="?_tate_EcoPro(Dom) (3)_exchange2_COVER" xfId="367"/>
    <cellStyle name="?_tate_EcoPro(Dom) (3)_exchange2_PBTTemplate" xfId="368"/>
    <cellStyle name="?_tate_EcoPro(Dom) (3)_PBTTemplate" xfId="369"/>
    <cellStyle name="?_tate_EcoPro(Dom) (4)" xfId="370"/>
    <cellStyle name="?_tate_EcoPro(Dom) (4)_2002 -6+18 flh flash" xfId="371"/>
    <cellStyle name="?_tate_EcoPro(Dom) (4)_COVER" xfId="372"/>
    <cellStyle name="?_tate_EcoPro(Dom) (4)_exchange2" xfId="373"/>
    <cellStyle name="?_tate_EcoPro(Dom) (4)_exchange2_2002 -6+18 flh flash" xfId="374"/>
    <cellStyle name="?_tate_EcoPro(Dom) (4)_exchange2_5-7map" xfId="375"/>
    <cellStyle name="?_tate_EcoPro(Dom) (4)_exchange2_5-7map_2002 -6+18 flh flash" xfId="376"/>
    <cellStyle name="?_tate_EcoPro(Dom) (4)_exchange2_5-7map_COVER" xfId="377"/>
    <cellStyle name="?_tate_EcoPro(Dom) (4)_exchange2_5-7map_PBTTemplate" xfId="378"/>
    <cellStyle name="?_tate_EcoPro(Dom) (4)_exchange2_COVER" xfId="379"/>
    <cellStyle name="?_tate_EcoPro(Dom) (4)_exchange2_PBTTemplate" xfId="380"/>
    <cellStyle name="?_tate_EcoPro(Dom) (4)_PBTTemplate" xfId="381"/>
    <cellStyle name="?_tate_EP(Dom) Ave." xfId="382"/>
    <cellStyle name="?_tate_EP(Dom) Ave._2002 -6+18 flh flash" xfId="383"/>
    <cellStyle name="?_tate_EP(Dom) Ave._COVER" xfId="384"/>
    <cellStyle name="?_tate_EP(Dom) Ave._exchange2" xfId="385"/>
    <cellStyle name="?_tate_EP(Dom) Ave._exchange2_2002 -6+18 flh flash" xfId="386"/>
    <cellStyle name="?_tate_EP(Dom) Ave._exchange2_5-7map" xfId="387"/>
    <cellStyle name="?_tate_EP(Dom) Ave._exchange2_5-7map_2002 -6+18 flh flash" xfId="388"/>
    <cellStyle name="?_tate_EP(Dom) Ave._exchange2_5-7map_COVER" xfId="389"/>
    <cellStyle name="?_tate_EP(Dom) Ave._exchange2_5-7map_PBTTemplate" xfId="390"/>
    <cellStyle name="?_tate_EP(Dom) Ave._exchange2_COVER" xfId="391"/>
    <cellStyle name="?_tate_EP(Dom) Ave._exchange2_PBTTemplate" xfId="392"/>
    <cellStyle name="?_tate_EP(Dom) Ave._PBTTemplate" xfId="393"/>
    <cellStyle name="?_tate_exchange2" xfId="394"/>
    <cellStyle name="?_tate_exchange2_2002 -6+18 flh flash" xfId="395"/>
    <cellStyle name="?_tate_exchange2_5-7map" xfId="396"/>
    <cellStyle name="?_tate_exchange2_5-7map_2002 -6+18 flh flash" xfId="397"/>
    <cellStyle name="?_tate_exchange2_5-7map_COVER" xfId="398"/>
    <cellStyle name="?_tate_exchange2_5-7map_PBTTemplate" xfId="399"/>
    <cellStyle name="?_tate_exchange2_COVER" xfId="400"/>
    <cellStyle name="?_tate_exchange2_PBTTemplate" xfId="401"/>
    <cellStyle name="?_tate_fjl642" xfId="402"/>
    <cellStyle name="?_tate_fjl642_2002 -6+18 flh flash" xfId="403"/>
    <cellStyle name="?_tate_fjl642_COVER" xfId="404"/>
    <cellStyle name="?_tate_fjl642_PBTTemplate" xfId="405"/>
    <cellStyle name="?_tate_PBTTemplate" xfId="406"/>
    <cellStyle name="?_tate_review3" xfId="407"/>
    <cellStyle name="?_tate_review3_1-11mapb" xfId="408"/>
    <cellStyle name="?_tate_review3_1-11mapb_2002 -6+18 flh flash" xfId="409"/>
    <cellStyle name="?_tate_review3_1-11mapb_COVER" xfId="410"/>
    <cellStyle name="?_tate_review3_1-11mapb_PBTTemplate" xfId="411"/>
    <cellStyle name="?_tate_review3_2002 -6+18 flh flash" xfId="412"/>
    <cellStyle name="?_tate_review3_2-10map" xfId="413"/>
    <cellStyle name="?_tate_review3_2-10map_2002 -6+18 flh flash" xfId="414"/>
    <cellStyle name="?_tate_review3_2-10map_COVER" xfId="415"/>
    <cellStyle name="?_tate_review3_2-10map_PBTTemplate" xfId="416"/>
    <cellStyle name="?_tate_review3_5-7map" xfId="417"/>
    <cellStyle name="?_tate_review3_5-7map_2002 -6+18 flh flash" xfId="418"/>
    <cellStyle name="?_tate_review3_5-7map_COVER" xfId="419"/>
    <cellStyle name="?_tate_review3_5-7map_PBTTemplate" xfId="420"/>
    <cellStyle name="?_tate_review3_COVER" xfId="421"/>
    <cellStyle name="?_tate_review3_exchange2" xfId="422"/>
    <cellStyle name="?_tate_review3_exchange2_2002 -6+18 flh flash" xfId="423"/>
    <cellStyle name="?_tate_review3_exchange2_5-7map" xfId="424"/>
    <cellStyle name="?_tate_review3_exchange2_5-7map_2002 -6+18 flh flash" xfId="425"/>
    <cellStyle name="?_tate_review3_exchange2_5-7map_COVER" xfId="426"/>
    <cellStyle name="?_tate_review3_exchange2_5-7map_PBTTemplate" xfId="427"/>
    <cellStyle name="?_tate_review3_exchange2_COVER" xfId="428"/>
    <cellStyle name="?_tate_review3_exchange2_PBTTemplate" xfId="429"/>
    <cellStyle name="?_tate_review3_PBTTemplate" xfId="430"/>
    <cellStyle name="?_tate_Vol.(Dom)" xfId="431"/>
    <cellStyle name="?_tate_Vol.(Dom)_2002 -6+18 flh flash" xfId="432"/>
    <cellStyle name="?_tate_Vol.(Dom)_COVER" xfId="433"/>
    <cellStyle name="?_tate_Vol.(Dom)_exchange2" xfId="434"/>
    <cellStyle name="?_tate_Vol.(Dom)_exchange2_2002 -6+18 flh flash" xfId="435"/>
    <cellStyle name="?_tate_Vol.(Dom)_exchange2_5-7map" xfId="436"/>
    <cellStyle name="?_tate_Vol.(Dom)_exchange2_5-7map_2002 -6+18 flh flash" xfId="437"/>
    <cellStyle name="?_tate_Vol.(Dom)_exchange2_5-7map_COVER" xfId="438"/>
    <cellStyle name="?_tate_Vol.(Dom)_exchange2_5-7map_PBTTemplate" xfId="439"/>
    <cellStyle name="?_tate_Vol.(Dom)_exchange2_COVER" xfId="440"/>
    <cellStyle name="?_tate_Vol.(Dom)_exchange2_PBTTemplate" xfId="441"/>
    <cellStyle name="?_tate_Vol.(Dom)_PBTTemplate" xfId="442"/>
    <cellStyle name="?_Vol" xfId="443"/>
    <cellStyle name="?_Vol.(Dom)" xfId="444"/>
    <cellStyle name="?_Vol.(Dom)_2002 -6+18 flh flash" xfId="445"/>
    <cellStyle name="?_Vol.(Dom)_COVER" xfId="446"/>
    <cellStyle name="?_Vol.(Dom)_fjl642" xfId="447"/>
    <cellStyle name="?_Vol.(Dom)_PBTTemplate" xfId="448"/>
    <cellStyle name="?_Vol_exchange2" xfId="449"/>
    <cellStyle name="?_Vol_exchange2_2002 -6+18 flh flash" xfId="450"/>
    <cellStyle name="?_Vol_exchange2_5-7map" xfId="451"/>
    <cellStyle name="?_Vol_exchange2_5-7map_2002 -6+18 flh flash" xfId="452"/>
    <cellStyle name="?_Vol_exchange2_5-7map_COVER" xfId="453"/>
    <cellStyle name="?_Vol_exchange2_5-7map_PBTTemplate" xfId="454"/>
    <cellStyle name="?_Vol_exchange2_COVER" xfId="455"/>
    <cellStyle name="?_Vol_exchange2_PBTTemplate" xfId="456"/>
    <cellStyle name="?_Vol_fjl642" xfId="457"/>
    <cellStyle name="?_Vol_fjl642_2002 -6+18 flh flash" xfId="458"/>
    <cellStyle name="?_Vol_fjl642_COVER" xfId="459"/>
    <cellStyle name="?_Vol_fjl642_PBTTemplate" xfId="460"/>
    <cellStyle name="?…????è [0.00]_!!!GO" xfId="462"/>
    <cellStyle name="?…????è_!!!GO" xfId="463"/>
    <cellStyle name="?\??・?????n?C?pー???“?N" xfId="461"/>
    <cellStyle name="?렑띙귒궻긪귽긬?깏깛긏" xfId="470"/>
    <cellStyle name="?acc" xfId="464"/>
    <cellStyle name="?n?C?pー???“?N" xfId="465"/>
    <cellStyle name="?W?_!!!GO" xfId="466"/>
    <cellStyle name="?W・_Mkt Size figs for Misuya March 2001 ver2" xfId="467"/>
    <cellStyle name="? [0.00]_!!!GO" xfId="468"/>
    <cellStyle name="?_!!!GO" xfId="469"/>
    <cellStyle name="@" xfId="471"/>
    <cellStyle name="_?_TP12TD" xfId="472"/>
    <cellStyle name="___ECC" xfId="473"/>
    <cellStyle name="___ECC_EKL FY03 Format A (Main Unit) 1st cut1" xfId="474"/>
    <cellStyle name="___ECC_EKL FY03 Format A (Main Unit) 1st cut1_(주)이랜드레저비스" xfId="475"/>
    <cellStyle name="___ECC_EKL FY03 Format A (Main Unit) 1st cut1_2월 Amis(결과)" xfId="476"/>
    <cellStyle name="___ECC_EKL FY03 Format A (Main Unit) 1st cut1_미래" xfId="479"/>
    <cellStyle name="___ECC_EKL FY03 Format A (Main Unit) 1st cut1_투자부분내부관리용" xfId="480"/>
    <cellStyle name="___ECC_EKL FY03 Format A (Main Unit) 1st cut1_mcf" xfId="477"/>
    <cellStyle name="___ECC_EKL FY03 Format A (Main Unit) 1st cut1_mcf_1" xfId="478"/>
    <cellStyle name="___ECC_EKL FY03 Format A (Main Unit) 2nd cut a" xfId="481"/>
    <cellStyle name="___ECC_EKL FY03 Format A (Main Unit) 2nd cut a_(주)이랜드레저비스" xfId="482"/>
    <cellStyle name="___ECC_EKL FY03 Format A (Main Unit) 2nd cut a_2월 Amis(결과)" xfId="483"/>
    <cellStyle name="___ECC_EKL FY03 Format A (Main Unit) 2nd cut a_미래" xfId="486"/>
    <cellStyle name="___ECC_EKL FY03 Format A (Main Unit) 2nd cut a_투자부분내부관리용" xfId="487"/>
    <cellStyle name="___ECC_EKL FY03 Format A (Main Unit) 2nd cut a_mcf" xfId="484"/>
    <cellStyle name="___ECC_EKL FY03 Format A (Main Unit) 2nd cut a_mcf_1" xfId="485"/>
    <cellStyle name="___ECC_EKL FY03 Format A (Main Unit) 2nd cut(rev.A)" xfId="488"/>
    <cellStyle name="___ECC_EKL FY03 Format A (Main Unit) 2nd cut(rev.A)_(주)이랜드레저비스" xfId="489"/>
    <cellStyle name="___ECC_EKL FY03 Format A (Main Unit) 2nd cut(rev.A)_2월 Amis(결과)" xfId="490"/>
    <cellStyle name="___ECC_EKL FY03 Format A (Main Unit) 2nd cut(rev.A)_미래" xfId="493"/>
    <cellStyle name="___ECC_EKL FY03 Format A (Main Unit) 2nd cut(rev.A)_투자부분내부관리용" xfId="494"/>
    <cellStyle name="___ECC_EKL FY03 Format A (Main Unit) 2nd cut(rev.A)_mcf" xfId="491"/>
    <cellStyle name="___ECC_EKL FY03 Format A (Main Unit) 2nd cut(rev.A)_mcf_1" xfId="492"/>
    <cellStyle name="___ECC_EKL FY03 Format A (Main Unit) 2nd cut(rev.B)" xfId="495"/>
    <cellStyle name="___ECC_EKL FY03 Format A (Main Unit) 2nd cut(rev.B)_(주)이랜드레저비스" xfId="496"/>
    <cellStyle name="___ECC_EKL FY03 Format A (Main Unit) 2nd cut(rev.B)_2월 Amis(결과)" xfId="497"/>
    <cellStyle name="___ECC_EKL FY03 Format A (Main Unit) 2nd cut(rev.B)_미래" xfId="500"/>
    <cellStyle name="___ECC_EKL FY03 Format A (Main Unit) 2nd cut(rev.B)_투자부분내부관리용" xfId="501"/>
    <cellStyle name="___ECC_EKL FY03 Format A (Main Unit) 2nd cut(rev.B)_mcf" xfId="498"/>
    <cellStyle name="___ECC_EKL FY03 Format A (Main Unit) 2nd cut(rev.B)_mcf_1" xfId="499"/>
    <cellStyle name="___FY00" xfId="502"/>
    <cellStyle name="___TP12" xfId="503"/>
    <cellStyle name="_0126" xfId="504"/>
    <cellStyle name="_0126(3)" xfId="505"/>
    <cellStyle name="_021276 IRON 2.0 SW M JACKET(phượng)" xfId="506"/>
    <cellStyle name="_0223" xfId="507"/>
    <cellStyle name="_03년 이익 목표 및 달성 계획(03.3 )" xfId="508"/>
    <cellStyle name="_0511" xfId="509"/>
    <cellStyle name="_0518" xfId="510"/>
    <cellStyle name="_0601" xfId="511"/>
    <cellStyle name="_0615-0621" xfId="512"/>
    <cellStyle name="_08FW 국내판매현황(Q4의류)" xfId="513"/>
    <cellStyle name="_08FW 국내판매현황(Q4의류)_09FW주간판매(1026)" xfId="514"/>
    <cellStyle name="_09SS Q1 (1212)" xfId="515"/>
    <cellStyle name="_1996220 Volund 07" xfId="516"/>
    <cellStyle name="_204503 46 MADITA(28.12.2010)" xfId="517"/>
    <cellStyle name="_2기lead" xfId="518"/>
    <cellStyle name="_2기lead_이랜드유통" xfId="519"/>
    <cellStyle name="_3204012 Cape Town Air Drystar JKT D.Z(2011.05.04)" xfId="520"/>
    <cellStyle name="_3개월 AMIS" xfId="521"/>
    <cellStyle name="_50th Anniversary - Apparel 0319(압축2)" xfId="522"/>
    <cellStyle name="_99 Lead" xfId="523"/>
    <cellStyle name="_감사조서00" xfId="550"/>
    <cellStyle name="_감사조서00_이랜드유통" xfId="551"/>
    <cellStyle name="_감사조서99-1" xfId="552"/>
    <cellStyle name="_감사조서99-1_이랜드유통" xfId="553"/>
    <cellStyle name="_갑지" xfId="554"/>
    <cellStyle name="_강남도급내역(기계설비)" xfId="555"/>
    <cellStyle name="_공사원가계산서 만들기'0812" xfId="556"/>
    <cellStyle name="_금형" xfId="557"/>
    <cellStyle name="_금형_이랜드유통" xfId="558"/>
    <cellStyle name="_반기검토" xfId="559"/>
    <cellStyle name="_반기검토_이랜드유통" xfId="560"/>
    <cellStyle name="_삼영중간" xfId="561"/>
    <cellStyle name="_샤시 (2)" xfId="562"/>
    <cellStyle name="_샤시 (2)_1" xfId="563"/>
    <cellStyle name="_샤시 (2)_1_이랜드유통" xfId="564"/>
    <cellStyle name="_샤시 (2)_2" xfId="565"/>
    <cellStyle name="_샤시 (2)_2_이랜드유통" xfId="566"/>
    <cellStyle name="_샤시 (2)_이랜드유통" xfId="567"/>
    <cellStyle name="_순천 인테리어 예산-2005.5.11" xfId="568"/>
    <cellStyle name="_아미스" xfId="569"/>
    <cellStyle name="_울산점활성화협조전3(상품총괄용)" xfId="570"/>
    <cellStyle name="_인건비_11.19(진짜 최종)" xfId="571"/>
    <cellStyle name="_인원인건비(퇴충포함)1" xfId="572"/>
    <cellStyle name="_정산표 및 수정분개" xfId="573"/>
    <cellStyle name="_정산표 및 수정분개_이랜드유통" xfId="574"/>
    <cellStyle name="_주당순이익" xfId="575"/>
    <cellStyle name="_주당순이익_이랜드유통" xfId="576"/>
    <cellStyle name="_차체 (2)" xfId="577"/>
    <cellStyle name="_차체 (2)_1" xfId="578"/>
    <cellStyle name="_차체 (2)_1_이랜드유통" xfId="579"/>
    <cellStyle name="_차체 (2)_이랜드유통" xfId="580"/>
    <cellStyle name="_한강준비주제(060414)" xfId="581"/>
    <cellStyle name="_Bấm giờ HP(H7+H8)" xfId="524"/>
    <cellStyle name="_Book1" xfId="525"/>
    <cellStyle name="_BOUNI#1+BOUNI#2(25.05.2011)" xfId="526"/>
    <cellStyle name="_Copy of SUII ACTIVATE PANTS WOMEN (1500222) A1" xfId="527"/>
    <cellStyle name="_DUAL JKT (08.04.2011)" xfId="528"/>
    <cellStyle name="_KTM Pure Adventure JKT" xfId="529"/>
    <cellStyle name="_MCF" xfId="530"/>
    <cellStyle name="_PQT" xfId="531"/>
    <cellStyle name="_PQT_1" xfId="532"/>
    <cellStyle name="_PQT_1_이랜드유통" xfId="533"/>
    <cellStyle name="_PQT_이랜드유통" xfId="534"/>
    <cellStyle name="_RHD (2)" xfId="535"/>
    <cellStyle name="_RHD (2)_1" xfId="536"/>
    <cellStyle name="_RHD (2)_1_이랜드유통" xfId="537"/>
    <cellStyle name="_RHD (2)_이랜드유통" xfId="538"/>
    <cellStyle name="_Richa Shirt  (27.05.2011)" xfId="539"/>
    <cellStyle name="_S BU FW발주점검090316" xfId="540"/>
    <cellStyle name="_S BU FW발주점검090316_09FW주간판매(1026)" xfId="541"/>
    <cellStyle name="_Sheet1" xfId="542"/>
    <cellStyle name="_Sheet2" xfId="543"/>
    <cellStyle name="_Sheet3" xfId="544"/>
    <cellStyle name="_Storm pro JKt(12.7.2011)" xfId="545"/>
    <cellStyle name="_technical proposal" xfId="546"/>
    <cellStyle name="_Weise Tex Fleece JKT(24.9.2010)" xfId="547"/>
    <cellStyle name="_WP000" xfId="548"/>
    <cellStyle name="_WP911051" xfId="549"/>
    <cellStyle name="’Ê‰Ý [0.00]_!!!GO" xfId="582"/>
    <cellStyle name="’Ê‰Ý_!!!GO" xfId="583"/>
    <cellStyle name="’ส [0.00]_mscprice" xfId="584"/>
    <cellStyle name="’ส_mscprice" xfId="585"/>
    <cellStyle name="｣" xfId="882"/>
    <cellStyle name="｣_2000 Actual" xfId="883"/>
    <cellStyle name="｣_2000(1+11)" xfId="884"/>
    <cellStyle name="｣_2000(1+11)_2004 budget 15 Sept" xfId="885"/>
    <cellStyle name="｣_2000(1+11)_BPFIN Oct review" xfId="886"/>
    <cellStyle name="｣_2000(3+9)" xfId="887"/>
    <cellStyle name="｣_2000(3+9)_2004 budget 15 Sept" xfId="888"/>
    <cellStyle name="｣_2000(3+9)_BPFIN Oct review" xfId="889"/>
    <cellStyle name="｣_2000(5+7)TK" xfId="890"/>
    <cellStyle name="｣_2000(5+7)TK_2004 budget 15 Sept" xfId="891"/>
    <cellStyle name="｣_2000(5+7)TK_BPFIN Oct review" xfId="892"/>
    <cellStyle name="｣_2000(6+6)" xfId="893"/>
    <cellStyle name="｣_2000(6+6)_2004 budget 15 Sept" xfId="894"/>
    <cellStyle name="｣_2000(6+6)_BPFIN Oct review" xfId="895"/>
    <cellStyle name="｣_Attachment D_3" xfId="896"/>
    <cellStyle name="｣_JEO2000(10+2)" xfId="897"/>
    <cellStyle name="｣_JEO2000(10+2)_Attachment D" xfId="898"/>
    <cellStyle name="｣_JEO2001(2+10)" xfId="899"/>
    <cellStyle name="△백분율" xfId="900"/>
    <cellStyle name="△콤마" xfId="901"/>
    <cellStyle name="£" xfId="586"/>
    <cellStyle name="￡" xfId="587"/>
    <cellStyle name="£_1+11 mgmt pkg" xfId="588"/>
    <cellStyle name="£_111 key data master" xfId="589"/>
    <cellStyle name="£_2000(1+11)" xfId="590"/>
    <cellStyle name="￡_2000(1+11)" xfId="591"/>
    <cellStyle name="£_2000(1+11)_2004 budget 15 Sept" xfId="592"/>
    <cellStyle name="￡_2000(1+11)_2004 budget 15 Sept" xfId="593"/>
    <cellStyle name="£_2000(1+11)_BPFIN Oct review" xfId="594"/>
    <cellStyle name="￡_2000(1+11)_BPFIN Oct review" xfId="595"/>
    <cellStyle name="£_2000(3+9)" xfId="596"/>
    <cellStyle name="￡_2000(3+9)" xfId="597"/>
    <cellStyle name="£_2000(3+9)_2004 budget 15 Sept" xfId="598"/>
    <cellStyle name="￡_2000(3+9)_2004 budget 15 Sept" xfId="599"/>
    <cellStyle name="£_2000(3+9)_BPFIN Oct review" xfId="600"/>
    <cellStyle name="￡_2000(3+9)_BPFIN Oct review" xfId="601"/>
    <cellStyle name="£_2000(5+7)TK" xfId="602"/>
    <cellStyle name="￡_2000(5+7)TK" xfId="603"/>
    <cellStyle name="£_2000(5+7)TK_2004 budget 15 Sept" xfId="604"/>
    <cellStyle name="￡_2000(5+7)TK_2004 budget 15 Sept" xfId="605"/>
    <cellStyle name="£_2000(5+7)TK_BPFIN Oct review" xfId="606"/>
    <cellStyle name="￡_2000(5+7)TK_BPFIN Oct review" xfId="607"/>
    <cellStyle name="£_2000(6+6)" xfId="608"/>
    <cellStyle name="￡_2000(6+6)" xfId="609"/>
    <cellStyle name="£_2000(6+6)_2001 by Qtr (IOI)" xfId="610"/>
    <cellStyle name="￡_2000(6+6)_2001 by Qtr (IOI)" xfId="611"/>
    <cellStyle name="£_2000(6+6)_2001 by Qtr (IOI)_2004 budget 15 Sept" xfId="612"/>
    <cellStyle name="￡_2000(6+6)_2001 by Qtr (IOI)_2004 budget 15 Sept" xfId="613"/>
    <cellStyle name="£_2000(6+6)_2001 by Qtr (IOI)_BPFIN Oct review" xfId="614"/>
    <cellStyle name="￡_2000(6+6)_2001 by Qtr (IOI)_BPFIN Oct review" xfId="615"/>
    <cellStyle name="£_2000(6+6)_2004 budget 15 Sept" xfId="616"/>
    <cellStyle name="￡_2000(6+6)_2004 budget 15 Sept" xfId="617"/>
    <cellStyle name="£_2000(6+6)_BPFIN Oct review" xfId="618"/>
    <cellStyle name="￡_2000(6+6)_BPFIN Oct review" xfId="619"/>
    <cellStyle name="£_2000BP(YOY)" xfId="620"/>
    <cellStyle name="￡_2000BP(YOY)" xfId="621"/>
    <cellStyle name="£_2000BP(YOY)_2004 budget 15 Sept" xfId="622"/>
    <cellStyle name="￡_2000BP(YOY)_2004 budget 15 Sept" xfId="623"/>
    <cellStyle name="£_2000BP(YOY)_BPFIN Oct review" xfId="624"/>
    <cellStyle name="￡_2000BP(YOY)_BPFIN Oct review" xfId="625"/>
    <cellStyle name="£_2002 -6+18 flh flash" xfId="626"/>
    <cellStyle name="£_2003 Business Plan NOA Template" xfId="627"/>
    <cellStyle name="£_2004 budget 15 Sept" xfId="628"/>
    <cellStyle name="￡_2004 budget 15 Sept" xfId="629"/>
    <cellStyle name="£_4-8map" xfId="630"/>
    <cellStyle name="£_4-8map_1-11mapb" xfId="631"/>
    <cellStyle name="£_4-8map_1-11mapb_2002 -6+18 flh flash" xfId="632"/>
    <cellStyle name="£_4-8map_1-11mapb_COVER" xfId="633"/>
    <cellStyle name="£_4-8map_1-11mapb_PBTTemplate" xfId="634"/>
    <cellStyle name="£_4-8map_2002 -6+18 flh flash" xfId="635"/>
    <cellStyle name="£_4-8map_2002 -6+18 flh flash_Attachment D" xfId="636"/>
    <cellStyle name="£_4-8map_2-10map" xfId="637"/>
    <cellStyle name="£_4-8map_2-10map_2002 -6+18 flh flash" xfId="638"/>
    <cellStyle name="£_4-8map_2-10map_COVER" xfId="639"/>
    <cellStyle name="£_4-8map_2-10map_PBTTemplate" xfId="640"/>
    <cellStyle name="£_4-8map_5-7map" xfId="641"/>
    <cellStyle name="£_4-8map_5-7map_2002 -6+18 flh flash" xfId="642"/>
    <cellStyle name="£_4-8map_5-7map_COVER" xfId="643"/>
    <cellStyle name="£_4-8map_5-7map_PBTTemplate" xfId="644"/>
    <cellStyle name="£_4-8map_COVER" xfId="645"/>
    <cellStyle name="£_4-8map_exchange2" xfId="646"/>
    <cellStyle name="£_4-8map_exchange2_2002 -6+18 flh flash" xfId="647"/>
    <cellStyle name="£_4-8map_exchange2_5-7map" xfId="648"/>
    <cellStyle name="£_4-8map_exchange2_5-7map_2002 -6+18 flh flash" xfId="649"/>
    <cellStyle name="£_4-8map_exchange2_5-7map_COVER" xfId="650"/>
    <cellStyle name="£_4-8map_exchange2_5-7map_PBTTemplate" xfId="651"/>
    <cellStyle name="£_4-8map_exchange2_COVER" xfId="652"/>
    <cellStyle name="£_4-8map_exchange2_PBTTemplate" xfId="653"/>
    <cellStyle name="£_4-8map_PBTTemplate" xfId="654"/>
    <cellStyle name="£_4-8map_PBTTemplate_Attachment D" xfId="655"/>
    <cellStyle name="£_6_6" xfId="656"/>
    <cellStyle name="￡_6_6" xfId="657"/>
    <cellStyle name="£_6_6_Attachment D" xfId="658"/>
    <cellStyle name="￡_Attachment D_2" xfId="659"/>
    <cellStyle name="£_AUS 1p11 Management Package Update" xfId="660"/>
    <cellStyle name="£_BPFIN Oct review" xfId="661"/>
    <cellStyle name="￡_BPFIN Oct review" xfId="662"/>
    <cellStyle name="£_BPfinal" xfId="663"/>
    <cellStyle name="£_BPfinal_1-11mapb" xfId="664"/>
    <cellStyle name="£_BPfinal_1-11mapb_2002 -6+18 flh flash" xfId="665"/>
    <cellStyle name="£_BPfinal_1-11mapb_COVER" xfId="666"/>
    <cellStyle name="£_BPfinal_1-11mapb_PBTTemplate" xfId="667"/>
    <cellStyle name="£_BPfinal_2002 -6+18 flh flash" xfId="668"/>
    <cellStyle name="£_BPfinal_2002 -6+18 flh flash_Attachment D" xfId="669"/>
    <cellStyle name="£_BPfinal_2-10map" xfId="670"/>
    <cellStyle name="£_BPfinal_2-10map_2002 -6+18 flh flash" xfId="671"/>
    <cellStyle name="£_BPfinal_2-10map_COVER" xfId="672"/>
    <cellStyle name="£_BPfinal_2-10map_PBTTemplate" xfId="673"/>
    <cellStyle name="£_BPfinal_5-7map" xfId="674"/>
    <cellStyle name="£_BPfinal_5-7map_2002 -6+18 flh flash" xfId="675"/>
    <cellStyle name="£_BPfinal_5-7map_COVER" xfId="676"/>
    <cellStyle name="£_BPfinal_5-7map_PBTTemplate" xfId="677"/>
    <cellStyle name="£_BPfinal_COVER" xfId="678"/>
    <cellStyle name="£_BPfinal_exchange2" xfId="679"/>
    <cellStyle name="£_BPfinal_exchange2_2002 -6+18 flh flash" xfId="680"/>
    <cellStyle name="£_BPfinal_exchange2_5-7map" xfId="681"/>
    <cellStyle name="£_BPfinal_exchange2_5-7map_2002 -6+18 flh flash" xfId="682"/>
    <cellStyle name="£_BPfinal_exchange2_5-7map_COVER" xfId="683"/>
    <cellStyle name="£_BPfinal_exchange2_5-7map_PBTTemplate" xfId="684"/>
    <cellStyle name="£_BPfinal_exchange2_COVER" xfId="685"/>
    <cellStyle name="£_BPfinal_exchange2_PBTTemplate" xfId="686"/>
    <cellStyle name="£_BPfinal_PBTTemplate" xfId="687"/>
    <cellStyle name="£_COVER" xfId="688"/>
    <cellStyle name="£_COVER_Attachment D" xfId="689"/>
    <cellStyle name="£_FIP 111 Mgt Summary_Feb19_FAP Subm" xfId="690"/>
    <cellStyle name="£_FIP 111 Mgt Summary_Feb19_FAP Subm_Attachment D" xfId="691"/>
    <cellStyle name="£_FVL 2003 (5+7) R&amp;Os" xfId="692"/>
    <cellStyle name="£_Inventory-cash#643" xfId="693"/>
    <cellStyle name="£_Invty_661_Due Jan 14" xfId="694"/>
    <cellStyle name="£_Invty_661_Due Jan 14_Attachment D" xfId="695"/>
    <cellStyle name="£_PBTTemplate" xfId="696"/>
    <cellStyle name="£_Profit 04-08" xfId="697"/>
    <cellStyle name="¤@??_flhkd_Key Data, new format" xfId="698"/>
    <cellStyle name="¤@?e_TEST-1 " xfId="699"/>
    <cellStyle name="¤@¯ë_0+12 vs bgt" xfId="700"/>
    <cellStyle name="¤d¤À¦ì[0]_0+12 vs bgt" xfId="701"/>
    <cellStyle name="¤d¤À¦ì_0+12 vs bgt" xfId="702"/>
    <cellStyle name="¥" xfId="703"/>
    <cellStyle name="¥_111 key data master" xfId="704"/>
    <cellStyle name="¥_111 key data master_Attachment D" xfId="705"/>
    <cellStyle name="¥_2000(6+6)" xfId="706"/>
    <cellStyle name="¥_2000(6+6)_1996220 Volund 07" xfId="707"/>
    <cellStyle name="¥_2000(6+6)_204503 46 MADITA(28.12.2010)" xfId="708"/>
    <cellStyle name="¥_2000(6+6)_Attachment D" xfId="709"/>
    <cellStyle name="¥_2000(6+6)_Attachment D_1996220 Volund 07" xfId="710"/>
    <cellStyle name="¥_2000(6+6)_Attachment D_204503 46 MADITA(28.12.2010)" xfId="711"/>
    <cellStyle name="¥_2000(6+6)_Attachment D_DUAL JKT (08.04.2011)" xfId="712"/>
    <cellStyle name="¥_2000(6+6)_DUAL JKT (08.04.2011)" xfId="713"/>
    <cellStyle name="¥_2000BP(YOY)" xfId="714"/>
    <cellStyle name="¥_2000BP(YOY)_1996220 Volund 07" xfId="715"/>
    <cellStyle name="¥_2000BP(YOY)_204503 46 MADITA(28.12.2010)" xfId="716"/>
    <cellStyle name="¥_2000BP(YOY)_Attachment D" xfId="717"/>
    <cellStyle name="¥_2000BP(YOY)_Attachment D_1996220 Volund 07" xfId="718"/>
    <cellStyle name="¥_2000BP(YOY)_Attachment D_204503 46 MADITA(28.12.2010)" xfId="719"/>
    <cellStyle name="¥_2000BP(YOY)_Attachment D_DUAL JKT (08.04.2011)" xfId="720"/>
    <cellStyle name="¥_2000BP(YOY)_DUAL JKT (08.04.2011)" xfId="721"/>
    <cellStyle name="¥_2001 by Qtr (IOI)" xfId="722"/>
    <cellStyle name="¥_2001 by Qtr (IOI)_1996220 Volund 07" xfId="723"/>
    <cellStyle name="¥_2001 by Qtr (IOI)_204503 46 MADITA(28.12.2010)" xfId="724"/>
    <cellStyle name="¥_2001 by Qtr (IOI)_DUAL JKT (08.04.2011)" xfId="725"/>
    <cellStyle name="¥_2001 Jul Actual - Final" xfId="726"/>
    <cellStyle name="¥_2001(4+8)vs2001(3+9)revised" xfId="727"/>
    <cellStyle name="¥_2001(4+8)vs2001(3+9)revised_1996220 Volund 07" xfId="728"/>
    <cellStyle name="¥_2001(4+8)vs2001(3+9)revised_204503 46 MADITA(28.12.2010)" xfId="729"/>
    <cellStyle name="¥_2001(4+8)vs2001(3+9)revised_DUAL JKT (08.04.2011)" xfId="730"/>
    <cellStyle name="¥_2001(5+7) with June Act - FINAL" xfId="731"/>
    <cellStyle name="¥_2001(5+7)vs2001(3+9)" xfId="732"/>
    <cellStyle name="¥_2001(5+7)vs2001(3+9)_1996220 Volund 07" xfId="733"/>
    <cellStyle name="¥_2001(5+7)vs2001(3+9)_204503 46 MADITA(28.12.2010)" xfId="734"/>
    <cellStyle name="¥_2001(5+7)vs2001(3+9)_DUAL JKT (08.04.2011)" xfId="735"/>
    <cellStyle name="¥_2001(6+6) - FINAL" xfId="736"/>
    <cellStyle name="¥_2001(8+4)Summary" xfId="737"/>
    <cellStyle name="¥_2001(8+4)Summary_1996220 Volund 07" xfId="738"/>
    <cellStyle name="¥_2001(8+4)Summary_204503 46 MADITA(28.12.2010)" xfId="739"/>
    <cellStyle name="¥_2001(8+4)Summary_DUAL JKT (08.04.2011)" xfId="740"/>
    <cellStyle name="¥_2002 -6+18 flh flash" xfId="741"/>
    <cellStyle name="¥_2002 -6+18 flh flash_Attachment D" xfId="742"/>
    <cellStyle name="¥_2002 Budget Other" xfId="743"/>
    <cellStyle name="¥_2002 Final Budget - True-Final-Dual currency (Dec.14)-JPY&amp;THB rate" xfId="744"/>
    <cellStyle name="¥_2003 Business Plan NOA Template" xfId="745"/>
    <cellStyle name="¥_2004 budget 15 Sept" xfId="746"/>
    <cellStyle name="¥_4-8map" xfId="747"/>
    <cellStyle name="¥_4-8map_111 key data master" xfId="748"/>
    <cellStyle name="¥_4-8map_2002 -6+18 flh flash" xfId="749"/>
    <cellStyle name="¥_4-8map_2004 budget 15 Sept" xfId="750"/>
    <cellStyle name="¥_4-8map_Attachment D" xfId="751"/>
    <cellStyle name="¥_4-8map_Attachment D_1996220 Volund 07" xfId="752"/>
    <cellStyle name="¥_4-8map_Attachment D_204503 46 MADITA(28.12.2010)" xfId="753"/>
    <cellStyle name="¥_4-8map_Attachment D_DUAL JKT (08.04.2011)" xfId="754"/>
    <cellStyle name="¥_4-8map_AUS 1p11 Management Package Update" xfId="755"/>
    <cellStyle name="¥_4-8map_BPFIN Oct review" xfId="756"/>
    <cellStyle name="¥_4-8map_BPFIN Oct review_1996220 Volund 07" xfId="757"/>
    <cellStyle name="¥_4-8map_BPFIN Oct review_204503 46 MADITA(28.12.2010)" xfId="758"/>
    <cellStyle name="¥_4-8map_BPFIN Oct review_DUAL JKT (08.04.2011)" xfId="759"/>
    <cellStyle name="¥_4-8map_COVER" xfId="760"/>
    <cellStyle name="¥_4-8map_COVER_Attachment D" xfId="761"/>
    <cellStyle name="¥_4-8map_FIP 111 Mgt Summary_Feb19_FAP Subm" xfId="762"/>
    <cellStyle name="¥_4-8map_PBTTemplate" xfId="763"/>
    <cellStyle name="¥_4-8map_PBTTemplate_Attachment D_1" xfId="764"/>
    <cellStyle name="¥_4-8map_Profit 04-08" xfId="765"/>
    <cellStyle name="¥_6_6" xfId="766"/>
    <cellStyle name="¥_6_6_1996220 Volund 07" xfId="767"/>
    <cellStyle name="¥_6_6_204503 46 MADITA(28.12.2010)" xfId="768"/>
    <cellStyle name="¥_6_6_Attachment D_1" xfId="769"/>
    <cellStyle name="¥_6_6_Attachment D_1_1996220 Volund 07" xfId="770"/>
    <cellStyle name="¥_6_6_Attachment D_1_204503 46 MADITA(28.12.2010)" xfId="771"/>
    <cellStyle name="¥_6_6_Attachment D_1_DUAL JKT (08.04.2011)" xfId="772"/>
    <cellStyle name="¥_6_6_DUAL JKT (08.04.2011)" xfId="773"/>
    <cellStyle name="¥_98aust4" xfId="774"/>
    <cellStyle name="¥_98austact" xfId="775"/>
    <cellStyle name="¥_98ftc12" xfId="776"/>
    <cellStyle name="¥_99ADR" xfId="777"/>
    <cellStyle name="¥_99aust" xfId="778"/>
    <cellStyle name="¥_99ec" xfId="779"/>
    <cellStyle name="¥_99ecadd" xfId="780"/>
    <cellStyle name="¥_99PF31-11" xfId="781"/>
    <cellStyle name="¥_99PF31-11_111 key data master" xfId="782"/>
    <cellStyle name="¥_99PF31-11_2002 -6+18 flh flash" xfId="783"/>
    <cellStyle name="¥_99PF31-11_2003 Business Plan NOA Template" xfId="784"/>
    <cellStyle name="¥_99PF31-11_2004 budget 15 Sept" xfId="785"/>
    <cellStyle name="¥_99PF31-11_AUS 1p11 Management Package Update" xfId="786"/>
    <cellStyle name="¥_99PF31-11_BPFIN Oct review" xfId="787"/>
    <cellStyle name="¥_99PF31-11_BPFIN Oct review_1996220 Volund 07" xfId="788"/>
    <cellStyle name="¥_99PF31-11_BPFIN Oct review_204503 46 MADITA(28.12.2010)" xfId="789"/>
    <cellStyle name="¥_99PF31-11_BPFIN Oct review_DUAL JKT (08.04.2011)" xfId="790"/>
    <cellStyle name="¥_99PF31-11_COVER" xfId="791"/>
    <cellStyle name="¥_99PF31-11_FIP 111 Mgt Summary_Feb19_FAP Subm" xfId="792"/>
    <cellStyle name="¥_99PF31-11_Inventory-cash#643" xfId="793"/>
    <cellStyle name="¥_99PF31-11_Invty_661_Due Jan 14" xfId="794"/>
    <cellStyle name="¥_99PF31-11_PBTTemplate" xfId="795"/>
    <cellStyle name="¥_99PF31-11_Profit 04-08" xfId="796"/>
    <cellStyle name="¥_99pr623" xfId="797"/>
    <cellStyle name="¥_99pr623c" xfId="798"/>
    <cellStyle name="¥_99PRICE" xfId="799"/>
    <cellStyle name="¥_99SUM" xfId="800"/>
    <cellStyle name="¥_August Actual" xfId="801"/>
    <cellStyle name="¥_August Actual_1996220 Volund 07" xfId="802"/>
    <cellStyle name="¥_August Actual_204503 46 MADITA(28.12.2010)" xfId="803"/>
    <cellStyle name="¥_August Actual_DUAL JKT (08.04.2011)" xfId="804"/>
    <cellStyle name="¥_AUS 1p11 Management Package Update" xfId="805"/>
    <cellStyle name="¥_AUS 1p11 Management Package Update_Attachment D" xfId="806"/>
    <cellStyle name="¥_BPFIN Oct review" xfId="807"/>
    <cellStyle name="¥_BPFIN Oct review_1996220 Volund 07" xfId="808"/>
    <cellStyle name="¥_BPFIN Oct review_204503 46 MADITA(28.12.2010)" xfId="809"/>
    <cellStyle name="¥_BPFIN Oct review_DUAL JKT (08.04.2011)" xfId="810"/>
    <cellStyle name="¥_BPfinal" xfId="811"/>
    <cellStyle name="¥_BPfinal_111 key data master" xfId="812"/>
    <cellStyle name="¥_BPfinal_2002 -6+18 flh flash" xfId="813"/>
    <cellStyle name="¥_BPfinal_2002 -6+18 flh flash_Attachment D_1" xfId="814"/>
    <cellStyle name="¥_BPfinal_2004 budget 15 Sept" xfId="815"/>
    <cellStyle name="¥_BPfinal_Attachment D" xfId="816"/>
    <cellStyle name="¥_BPfinal_Attachment D_1996220 Volund 07" xfId="817"/>
    <cellStyle name="¥_BPfinal_Attachment D_204503 46 MADITA(28.12.2010)" xfId="818"/>
    <cellStyle name="¥_BPfinal_Attachment D_DUAL JKT (08.04.2011)" xfId="819"/>
    <cellStyle name="¥_BPfinal_AUS 1p11 Management Package Update" xfId="820"/>
    <cellStyle name="¥_BPfinal_BPFIN Oct review" xfId="821"/>
    <cellStyle name="¥_BPfinal_BPFIN Oct review_1996220 Volund 07" xfId="822"/>
    <cellStyle name="¥_BPfinal_BPFIN Oct review_204503 46 MADITA(28.12.2010)" xfId="823"/>
    <cellStyle name="¥_BPfinal_BPFIN Oct review_DUAL JKT (08.04.2011)" xfId="824"/>
    <cellStyle name="¥_BPfinal_COVER" xfId="825"/>
    <cellStyle name="¥_BPfinal_COVER_Attachment D" xfId="826"/>
    <cellStyle name="¥_BPfinal_FIP 111 Mgt Summary_Feb19_FAP Subm" xfId="827"/>
    <cellStyle name="¥_BPfinal_PBTTemplate" xfId="828"/>
    <cellStyle name="¥_BPfinal_PBTTemplate_Attachment D" xfId="829"/>
    <cellStyle name="¥_BPfinal_Profit 04-08" xfId="830"/>
    <cellStyle name="¥_Cover" xfId="831"/>
    <cellStyle name="¥_COVER_1" xfId="832"/>
    <cellStyle name="¥_Cover_111 key data master" xfId="833"/>
    <cellStyle name="¥_Cover_2002 -6+18 flh flash" xfId="834"/>
    <cellStyle name="¥_Cover_2003 Business Plan NOA Template" xfId="835"/>
    <cellStyle name="¥_Cover_2004 budget 15 Sept" xfId="836"/>
    <cellStyle name="¥_Cover_AUS 1p11 Management Package Update" xfId="837"/>
    <cellStyle name="¥_Cover_BPFIN Oct review" xfId="838"/>
    <cellStyle name="¥_Cover_BPFIN Oct review_1996220 Volund 07" xfId="839"/>
    <cellStyle name="¥_Cover_BPFIN Oct review_204503 46 MADITA(28.12.2010)" xfId="840"/>
    <cellStyle name="¥_Cover_BPFIN Oct review_DUAL JKT (08.04.2011)" xfId="841"/>
    <cellStyle name="¥_Cover_COVER" xfId="842"/>
    <cellStyle name="¥_Cover_FIP 111 Mgt Summary_Feb19_FAP Subm" xfId="843"/>
    <cellStyle name="¥_Cover_Inventory-cash#643" xfId="844"/>
    <cellStyle name="¥_Cover_Invty_661_Due Jan 14" xfId="845"/>
    <cellStyle name="¥_Cover_PBTTemplate" xfId="846"/>
    <cellStyle name="¥_Cover_Profit 04-08" xfId="847"/>
    <cellStyle name="¥_FIP 111 Mgt Summary_Feb19_FAP Subm" xfId="848"/>
    <cellStyle name="¥_FTC package- #655" xfId="849"/>
    <cellStyle name="¥_FTC-Japan 2001 Q4 Actual" xfId="850"/>
    <cellStyle name="¥_FTC-Japan 2001(8+4) - #657" xfId="851"/>
    <cellStyle name="¥_FTC-Japan 2001(8+4) - #657_1996220 Volund 07" xfId="852"/>
    <cellStyle name="¥_FTC-Japan 2001(8+4) - #657_204503 46 MADITA(28.12.2010)" xfId="853"/>
    <cellStyle name="¥_FTC-Japan 2001(8+4) - #657_DUAL JKT (08.04.2011)" xfId="854"/>
    <cellStyle name="¥_FVL 2003 (5+7) R&amp;Os" xfId="855"/>
    <cellStyle name="¥_Inventory-cash#643" xfId="856"/>
    <cellStyle name="¥_Invty_661_Due Jan 14" xfId="857"/>
    <cellStyle name="¥_Invty_661_Due Jan 14_Attachment D_1" xfId="858"/>
    <cellStyle name="¥_Issue-to-Issue" xfId="859"/>
    <cellStyle name="¥_Issue-to-Issue_1996220 Volund 07" xfId="860"/>
    <cellStyle name="¥_Issue-to-Issue_204503 46 MADITA(28.12.2010)" xfId="861"/>
    <cellStyle name="¥_Issue-to-Issue_DUAL JKT (08.04.2011)" xfId="862"/>
    <cellStyle name="¥_J97FT623" xfId="863"/>
    <cellStyle name="¥_J97FTC_1" xfId="864"/>
    <cellStyle name="¥_JANPRIC2" xfId="865"/>
    <cellStyle name="¥_JANPRIC2_1" xfId="866"/>
    <cellStyle name="¥_newadr2" xfId="867"/>
    <cellStyle name="¥_package- 2002 budget - Aug 27 review" xfId="868"/>
    <cellStyle name="¥_PBTTemplate" xfId="869"/>
    <cellStyle name="¥_PBTTemplate_Attachment D" xfId="870"/>
    <cellStyle name="¥_PRICEADR" xfId="871"/>
    <cellStyle name="¥_PRICEADR_1" xfId="872"/>
    <cellStyle name="¥_PRICEEC" xfId="873"/>
    <cellStyle name="¥_PRICEEC_1" xfId="874"/>
    <cellStyle name="¥_Profit 04-08" xfId="875"/>
    <cellStyle name="¥_Risk and Opps - FOA" xfId="876"/>
    <cellStyle name="¥_Risk and Opps - FOA_1996220 Volund 07" xfId="877"/>
    <cellStyle name="¥_Risk and Opps - FOA_204503 46 MADITA(28.12.2010)" xfId="878"/>
    <cellStyle name="¥_Risk and Opps - FOA_DUAL JKT (08.04.2011)" xfId="879"/>
    <cellStyle name="¥_WDMO399" xfId="880"/>
    <cellStyle name="¥acc" xfId="881"/>
    <cellStyle name="･" xfId="902"/>
    <cellStyle name="･_2000 Actual" xfId="903"/>
    <cellStyle name="･_2000 Actual_Attachment D" xfId="904"/>
    <cellStyle name="･_Attachment D_1" xfId="905"/>
    <cellStyle name="･_JEO2000(10+2)" xfId="906"/>
    <cellStyle name="･_JEO2000(10+2)_Attachment D_1" xfId="907"/>
    <cellStyle name="･_JEO2001(2+10)" xfId="908"/>
    <cellStyle name="･_JEO2001(2+10)_Attachment D" xfId="909"/>
    <cellStyle name="･acc" xfId="910"/>
    <cellStyle name="•W??_Sheet1" xfId="911"/>
    <cellStyle name="•W_!!!GO" xfId="913"/>
    <cellStyle name="•W€_!!!GO" xfId="912"/>
    <cellStyle name="…ๆุ่ [0.00]_mscprice" xfId="914"/>
    <cellStyle name="…ๆุ่_mscprice" xfId="915"/>
    <cellStyle name="0" xfId="916"/>
    <cellStyle name="0,0_x000d__x000a_NA_x000d__x000a_" xfId="917"/>
    <cellStyle name="0.0" xfId="918"/>
    <cellStyle name="0.00" xfId="919"/>
    <cellStyle name="0_!!!GO" xfId="920"/>
    <cellStyle name="0_!!!GO_2003 BP financials-Oct 1 Review" xfId="921"/>
    <cellStyle name="0_!!!GO_2003 BP preliminary financials" xfId="922"/>
    <cellStyle name="0_!!!GO_2004 budget 22 Sept" xfId="923"/>
    <cellStyle name="0_!!!GO_BPFIN Oct review" xfId="924"/>
    <cellStyle name="0_!!!GO_FAP CBG Vietnam Business Plan 2002 BK review Sept revised" xfId="925"/>
    <cellStyle name="0_!!!GO_Profit 04-08 22 Sept" xfId="926"/>
    <cellStyle name="0_!!!GO_Profit 04-08 26 Sept- rev" xfId="927"/>
    <cellStyle name="0_(Program #669) Exchange Assumptions" xfId="928"/>
    <cellStyle name="0_01KeyData1" xfId="929"/>
    <cellStyle name="0_02-All-In-Cy-Facer 1f #2" xfId="930"/>
    <cellStyle name="0_2001 6+6 pperformance" xfId="931"/>
    <cellStyle name="0_2002 Budget Update" xfId="932"/>
    <cellStyle name="0_2002 KeyData" xfId="933"/>
    <cellStyle name="0_2002 KeyData1" xfId="934"/>
    <cellStyle name="0_2002 Plan to Plan" xfId="935"/>
    <cellStyle name="0_2002 Profit Roadmap" xfId="936"/>
    <cellStyle name="0_2002 YOY" xfId="937"/>
    <cellStyle name="0_2002Final84busplanfpresentation" xfId="938"/>
    <cellStyle name="0_2003 BP financials-Oct 1 Review" xfId="939"/>
    <cellStyle name="0_2003 BP preliminary financials" xfId="940"/>
    <cellStyle name="0_2003 Business Plan NOA Template" xfId="941"/>
    <cellStyle name="0_2004 budget 15 Sept" xfId="942"/>
    <cellStyle name="0_2004 budget 22 Sept" xfId="943"/>
    <cellStyle name="0_3+9Income" xfId="944"/>
    <cellStyle name="0_30 Keydata" xfId="945"/>
    <cellStyle name="0_4 needle " xfId="946"/>
    <cellStyle name="0_5p7assets" xfId="947"/>
    <cellStyle name="0_5p7assets_10P2Keydata" xfId="948"/>
    <cellStyle name="0_5p7assets_2001 Profit Outlook Update 4" xfId="949"/>
    <cellStyle name="0_5p7assets_2002 Budget Update" xfId="950"/>
    <cellStyle name="0_5p7assets_2002 Plan to Plan" xfId="951"/>
    <cellStyle name="0_5p7assets_2002 Profit Roadmap" xfId="952"/>
    <cellStyle name="0_5p7assets_2002 YOY" xfId="953"/>
    <cellStyle name="0_5p7assets_aoc - 5th September" xfId="954"/>
    <cellStyle name="0_5p7assets_Book1" xfId="955"/>
    <cellStyle name="0_5p7assets_Final Financial Appendix" xfId="956"/>
    <cellStyle name="0_5p7assets_Financial Appendix Summary" xfId="957"/>
    <cellStyle name="0_5p7assets_FOA Qtr 1 Actual" xfId="958"/>
    <cellStyle name="0_5p7assets_FOA Qtr 4 Actual" xfId="959"/>
    <cellStyle name="0_5p7assets_headcount" xfId="960"/>
    <cellStyle name="0_5p7assets_Headcount (0p12) Forecast" xfId="961"/>
    <cellStyle name="0_5p7assets_Headcount1" xfId="962"/>
    <cellStyle name="0_5p7assets_Kay Data -- Vol Only" xfId="963"/>
    <cellStyle name="0_5p7assets_lewis booth - 6th September" xfId="964"/>
    <cellStyle name="0_5p7assets_lewis booth - 6th September_1" xfId="965"/>
    <cellStyle name="0_5p7assets_lewis booth - 6th September_2" xfId="966"/>
    <cellStyle name="0_5p7assets_lewis booth - 6th September_3" xfId="967"/>
    <cellStyle name="0_5p7assets_Plan to Plan Update 1" xfId="968"/>
    <cellStyle name="0_5p7assets_Profit Tracking" xfId="969"/>
    <cellStyle name="0_5p7assets_target gaps" xfId="970"/>
    <cellStyle name="0_5p7assets_volume impact summary" xfId="971"/>
    <cellStyle name="0_5p7assets_Volume Summary" xfId="972"/>
    <cellStyle name="0_5p7assets_Year over Year Update 1 (VAK Pres)" xfId="973"/>
    <cellStyle name="0_5p7assets_YOY Causal Factor" xfId="974"/>
    <cellStyle name="0_9312 keydata" xfId="975"/>
    <cellStyle name="0_96 Plan" xfId="976"/>
    <cellStyle name="0_97BUSPLN" xfId="977"/>
    <cellStyle name="0_aoc - 5th September" xfId="978"/>
    <cellStyle name="0_Assets" xfId="979"/>
    <cellStyle name="0_Assets_2002 Budget Update" xfId="980"/>
    <cellStyle name="0_Assets_2002 Plan to Plan" xfId="981"/>
    <cellStyle name="0_Assets_2002 Profit Roadmap" xfId="982"/>
    <cellStyle name="0_Assets_2002 YOY" xfId="983"/>
    <cellStyle name="0_Assets_aoc - 5th September" xfId="984"/>
    <cellStyle name="0_Assets_Final Financial Appendix" xfId="985"/>
    <cellStyle name="0_Assets_Financial Appendix Summary" xfId="986"/>
    <cellStyle name="0_Assets_FOA Plan to Plan" xfId="987"/>
    <cellStyle name="0_Assets_headcount" xfId="988"/>
    <cellStyle name="0_Assets_Headcount (0p12) Forecast" xfId="989"/>
    <cellStyle name="0_Assets_Headcount1" xfId="990"/>
    <cellStyle name="0_Assets_lewis booth - 6th September" xfId="991"/>
    <cellStyle name="0_Assets_lewis booth - 6th September_1" xfId="992"/>
    <cellStyle name="0_Assets_lewis booth - 6th September_2" xfId="993"/>
    <cellStyle name="0_Assets_lewis booth - 6th September_3" xfId="994"/>
    <cellStyle name="0_Assets_Plan to Plan Update 1" xfId="995"/>
    <cellStyle name="0_Assets_Profit Tracking" xfId="996"/>
    <cellStyle name="0_Assets_target gaps" xfId="997"/>
    <cellStyle name="0_Assets_volume impact summary" xfId="998"/>
    <cellStyle name="0_Assets_Volume Summary" xfId="999"/>
    <cellStyle name="0_Assets_Year over Year Update 1 (VAK Pres)" xfId="1000"/>
    <cellStyle name="0_Assets_YOY Causal Factor" xfId="1001"/>
    <cellStyle name="0_b_car" xfId="1002"/>
    <cellStyle name="0_Book1" xfId="1003"/>
    <cellStyle name="0_Book1_01KeyData1" xfId="1004"/>
    <cellStyle name="0_BPFIN Oct review" xfId="1005"/>
    <cellStyle name="0_C-Car 2001 Business Plan Deck 4bscore" xfId="1006"/>
    <cellStyle name="0_C-Car Scorecard_E" xfId="1007"/>
    <cellStyle name="0_CCarproforma_balanced scorecard" xfId="1008"/>
    <cellStyle name="0_CD-Car Business Plan 2001E" xfId="1009"/>
    <cellStyle name="0_CD-Car Business Plan 2001G" xfId="1010"/>
    <cellStyle name="0_CD-Europe section5NA3 EP03" xfId="1011"/>
    <cellStyle name="0_CD-Europe section5NA3 EP06" xfId="1012"/>
    <cellStyle name="0_cf39" xfId="1013"/>
    <cellStyle name="0_Consolidators" xfId="1014"/>
    <cellStyle name="0_COVER" xfId="1015"/>
    <cellStyle name="0_Economic Assumptions " xfId="1016"/>
    <cellStyle name="0_EU BP_Ccar_31" xfId="1017"/>
    <cellStyle name="0_EU BP_CDcar_3" xfId="1018"/>
    <cellStyle name="0_FAP CBG Vietnam Business Plan 2002 BK review Sept revised" xfId="1019"/>
    <cellStyle name="0_Feb2001" xfId="1020"/>
    <cellStyle name="0_Final Financial Appendix" xfId="1021"/>
    <cellStyle name="0_Financial Appendix Summary" xfId="1022"/>
    <cellStyle name="0_fixed cost yy ii" xfId="1023"/>
    <cellStyle name="0_FOA Plan to Plan" xfId="1024"/>
    <cellStyle name="0_FOAinv2002bplan" xfId="1025"/>
    <cellStyle name="0_FOAinv20030p12#674exchange" xfId="1026"/>
    <cellStyle name="0_GLeigh" xfId="1027"/>
    <cellStyle name="0_headcount" xfId="1028"/>
    <cellStyle name="0_Headcount (0p12) Forecast" xfId="1029"/>
    <cellStyle name="0_Headcount1" xfId="1030"/>
    <cellStyle name="0_Income" xfId="1031"/>
    <cellStyle name="0_Income_matrix" xfId="1032"/>
    <cellStyle name="0_Income_matrix1" xfId="1033"/>
    <cellStyle name="0_Inventory-cash#643" xfId="1034"/>
    <cellStyle name="0_Invty_661_Due Jan 14" xfId="1035"/>
    <cellStyle name="0_Key Data" xfId="1036"/>
    <cellStyle name="0_Key Data new format" xfId="1037"/>
    <cellStyle name="0_Key Data Us Version" xfId="1038"/>
    <cellStyle name="0_Key Data, new format(6+6vs 34000 10)" xfId="1039"/>
    <cellStyle name="0_lewis booth - 6th September" xfId="1040"/>
    <cellStyle name="0_Main production" xfId="1041"/>
    <cellStyle name="0_martix" xfId="1042"/>
    <cellStyle name="0_martix1" xfId="1043"/>
    <cellStyle name="0_matrix" xfId="1044"/>
    <cellStyle name="0_matrix1" xfId="1045"/>
    <cellStyle name="0_Mazda Profit Summary" xfId="1046"/>
    <cellStyle name="0_Module1" xfId="1047"/>
    <cellStyle name="0_Other - YOY" xfId="1048"/>
    <cellStyle name="0_Other - YOY_2002 Budget Update" xfId="1049"/>
    <cellStyle name="0_Other - YOY_2002 Plan to Plan" xfId="1050"/>
    <cellStyle name="0_Other - YOY_2002 Profit Roadmap" xfId="1051"/>
    <cellStyle name="0_Other - YOY_2002 YOY" xfId="1052"/>
    <cellStyle name="0_Other - YOY_aoc - 5th September" xfId="1053"/>
    <cellStyle name="0_Other - YOY_Final Financial Appendix" xfId="1054"/>
    <cellStyle name="0_Other - YOY_Financial Appendix Summary" xfId="1055"/>
    <cellStyle name="0_Other - YOY_FOA Plan to Plan" xfId="1056"/>
    <cellStyle name="0_Other - YOY_headcount" xfId="1057"/>
    <cellStyle name="0_Other - YOY_Headcount (0p12) Forecast" xfId="1058"/>
    <cellStyle name="0_Other - YOY_Headcount1" xfId="1059"/>
    <cellStyle name="0_Other - YOY_lewis booth - 6th September" xfId="1060"/>
    <cellStyle name="0_Other - YOY_lewis booth - 6th September_1" xfId="1061"/>
    <cellStyle name="0_Other - YOY_lewis booth - 6th September_2" xfId="1062"/>
    <cellStyle name="0_Other - YOY_lewis booth - 6th September_3" xfId="1063"/>
    <cellStyle name="0_Other - YOY_Plan to Plan Update 1" xfId="1064"/>
    <cellStyle name="0_Other - YOY_Profit Tracking" xfId="1065"/>
    <cellStyle name="0_Other - YOY_target gaps" xfId="1066"/>
    <cellStyle name="0_Other - YOY_volume impact summary" xfId="1067"/>
    <cellStyle name="0_Other - YOY_Volume Summary" xfId="1068"/>
    <cellStyle name="0_Other - YOY_Year over Year Update 1 (VAK Pres)" xfId="1069"/>
    <cellStyle name="0_Other - YOY_YOY Causal Factor" xfId="1070"/>
    <cellStyle name="0_Other -BPR" xfId="1071"/>
    <cellStyle name="0_Other -BPR_2002 Budget Update" xfId="1072"/>
    <cellStyle name="0_Other -BPR_2002 Plan to Plan" xfId="1073"/>
    <cellStyle name="0_Other -BPR_2002 Profit Roadmap" xfId="1074"/>
    <cellStyle name="0_Other -BPR_2002 YOY" xfId="1075"/>
    <cellStyle name="0_Other -BPR_aoc - 5th September" xfId="1076"/>
    <cellStyle name="0_Other -BPR_Final Financial Appendix" xfId="1077"/>
    <cellStyle name="0_Other -BPR_Financial Appendix Summary" xfId="1078"/>
    <cellStyle name="0_Other -BPR_FOA Plan to Plan" xfId="1079"/>
    <cellStyle name="0_Other -BPR_headcount" xfId="1080"/>
    <cellStyle name="0_Other -BPR_Headcount (0p12) Forecast" xfId="1081"/>
    <cellStyle name="0_Other -BPR_Headcount1" xfId="1082"/>
    <cellStyle name="0_Other -BPR_lewis booth - 6th September" xfId="1083"/>
    <cellStyle name="0_Other -BPR_lewis booth - 6th September_1" xfId="1084"/>
    <cellStyle name="0_Other -BPR_lewis booth - 6th September_2" xfId="1085"/>
    <cellStyle name="0_Other -BPR_lewis booth - 6th September_3" xfId="1086"/>
    <cellStyle name="0_Other -BPR_Plan to Plan Update 1" xfId="1087"/>
    <cellStyle name="0_Other -BPR_Profit Tracking" xfId="1088"/>
    <cellStyle name="0_Other -BPR_target gaps" xfId="1089"/>
    <cellStyle name="0_Other -BPR_volume impact summary" xfId="1090"/>
    <cellStyle name="0_Other -BPR_Volume Summary" xfId="1091"/>
    <cellStyle name="0_Other -BPR_Year over Year Update 1 (VAK Pres)" xfId="1092"/>
    <cellStyle name="0_Other -BPR_YOY Causal Factor" xfId="1093"/>
    <cellStyle name="0_Other -ITI" xfId="1094"/>
    <cellStyle name="0_Other -ITI_2002 Budget Update" xfId="1095"/>
    <cellStyle name="0_Other -ITI_2002 Plan to Plan" xfId="1096"/>
    <cellStyle name="0_Other -ITI_2002 Profit Roadmap" xfId="1097"/>
    <cellStyle name="0_Other -ITI_2002 YOY" xfId="1098"/>
    <cellStyle name="0_Other -ITI_aoc - 5th September" xfId="1099"/>
    <cellStyle name="0_Other -ITI_Final Financial Appendix" xfId="1100"/>
    <cellStyle name="0_Other -ITI_Financial Appendix Summary" xfId="1101"/>
    <cellStyle name="0_Other -ITI_FOA Plan to Plan" xfId="1102"/>
    <cellStyle name="0_Other -ITI_headcount" xfId="1103"/>
    <cellStyle name="0_Other -ITI_Headcount (0p12) Forecast" xfId="1104"/>
    <cellStyle name="0_Other -ITI_Headcount1" xfId="1105"/>
    <cellStyle name="0_Other -ITI_lewis booth - 6th September" xfId="1106"/>
    <cellStyle name="0_Other -ITI_lewis booth - 6th September_1" xfId="1107"/>
    <cellStyle name="0_Other -ITI_lewis booth - 6th September_2" xfId="1108"/>
    <cellStyle name="0_Other -ITI_lewis booth - 6th September_3" xfId="1109"/>
    <cellStyle name="0_Other -ITI_Plan to Plan Update 1" xfId="1110"/>
    <cellStyle name="0_Other -ITI_Profit Tracking" xfId="1111"/>
    <cellStyle name="0_Other -ITI_target gaps" xfId="1112"/>
    <cellStyle name="0_Other -ITI_volume impact summary" xfId="1113"/>
    <cellStyle name="0_Other -ITI_Volume Summary" xfId="1114"/>
    <cellStyle name="0_Other -ITI_Year over Year Update 1 (VAK Pres)" xfId="1115"/>
    <cellStyle name="0_Other -ITI_YOY Causal Factor" xfId="1116"/>
    <cellStyle name="0_Plan to Plan Update 1" xfId="1117"/>
    <cellStyle name="0_Profit 04-08" xfId="1118"/>
    <cellStyle name="0_Profit 04-08 22 Sept" xfId="1119"/>
    <cellStyle name="0_Profit 04-08 26 Sept- rev" xfId="1120"/>
    <cellStyle name="0_Profit Tracking" xfId="1121"/>
    <cellStyle name="0_Recipients" xfId="1122"/>
    <cellStyle name="0_rePL Profit(reallocated)(xx)" xfId="1123"/>
    <cellStyle name="0_roadmap02_06a" xfId="1124"/>
    <cellStyle name="0_SA KData -(Updated key data file)(3+9)" xfId="1125"/>
    <cellStyle name="0_Salary Headcount" xfId="1126"/>
    <cellStyle name="0_Salary Headcount_01KeyData1" xfId="1127"/>
    <cellStyle name="0_Salary Headcount_2002 KeyData" xfId="1128"/>
    <cellStyle name="0_Salary Headcount_2002 KeyData1" xfId="1129"/>
    <cellStyle name="0_Salary Headcount_2003 Business Plan NOA Template" xfId="1130"/>
    <cellStyle name="0_Salary Headcount_3+9Income" xfId="1131"/>
    <cellStyle name="0_Salary Headcount_30 Keydata" xfId="1132"/>
    <cellStyle name="0_Salary Headcount_9312 keydata" xfId="1133"/>
    <cellStyle name="0_Salary Headcount_Book1" xfId="1134"/>
    <cellStyle name="0_Salary Headcount_Book1_01KeyData1" xfId="1135"/>
    <cellStyle name="0_Salary Headcount_cf39" xfId="1136"/>
    <cellStyle name="0_Salary Headcount_Income" xfId="1137"/>
    <cellStyle name="0_Salary Headcount_Income_matrix" xfId="1138"/>
    <cellStyle name="0_Salary Headcount_Income_matrix1" xfId="1139"/>
    <cellStyle name="0_Salary Headcount_Key Data, new format(6+6vs 34000 10)" xfId="1140"/>
    <cellStyle name="0_Salary Headcount_martix" xfId="1141"/>
    <cellStyle name="0_Salary Headcount_martix1" xfId="1142"/>
    <cellStyle name="0_Salary Headcount_matrix" xfId="1143"/>
    <cellStyle name="0_Salary Headcount_matrix1" xfId="1144"/>
    <cellStyle name="0_Salary Headcount_rePL Profit(reallocated)(xx)" xfId="1145"/>
    <cellStyle name="0_Salary Headcount_Wsalevol - October" xfId="1146"/>
    <cellStyle name="0_target gaps" xfId="1147"/>
    <cellStyle name="0_Total" xfId="1148"/>
    <cellStyle name="0_Total_01KeyData1" xfId="1149"/>
    <cellStyle name="0_Total_2002 KeyData" xfId="1150"/>
    <cellStyle name="0_Total_2002 KeyData1" xfId="1151"/>
    <cellStyle name="0_Total_2003 Business Plan NOA Template" xfId="1152"/>
    <cellStyle name="0_Total_3+9Income" xfId="1153"/>
    <cellStyle name="0_Total_30 Keydata" xfId="1154"/>
    <cellStyle name="0_Total_9312 keydata" xfId="1155"/>
    <cellStyle name="0_Total_Book1" xfId="1156"/>
    <cellStyle name="0_Total_Book1_01KeyData1" xfId="1157"/>
    <cellStyle name="0_Total_cf39" xfId="1158"/>
    <cellStyle name="0_Total_Income" xfId="1159"/>
    <cellStyle name="0_Total_Income_matrix" xfId="1160"/>
    <cellStyle name="0_Total_Income_matrix1" xfId="1161"/>
    <cellStyle name="0_Total_Key Data, new format(6+6vs 34000 10)" xfId="1162"/>
    <cellStyle name="0_Total_martix" xfId="1163"/>
    <cellStyle name="0_Total_martix1" xfId="1164"/>
    <cellStyle name="0_Total_matrix" xfId="1165"/>
    <cellStyle name="0_Total_matrix1" xfId="1166"/>
    <cellStyle name="0_Total_rePL Profit(reallocated)(xx)" xfId="1167"/>
    <cellStyle name="0_Total_Wsalevol - October" xfId="1168"/>
    <cellStyle name="0_U.S. Economics" xfId="1169"/>
    <cellStyle name="0_volume impact summary" xfId="1170"/>
    <cellStyle name="0_Volume Summary" xfId="1171"/>
    <cellStyle name="0_Wsalevol - October" xfId="1172"/>
    <cellStyle name="0_XX97CALB" xfId="1173"/>
    <cellStyle name="0_XX97CALB_01KeyData1" xfId="1174"/>
    <cellStyle name="0_XX97CALB_2002 KeyData" xfId="1175"/>
    <cellStyle name="0_XX97CALB_2002 KeyData1" xfId="1176"/>
    <cellStyle name="0_XX97CALB_2003 Business Plan NOA Template" xfId="1177"/>
    <cellStyle name="0_XX97CALB_3+9Income" xfId="1178"/>
    <cellStyle name="0_XX97CALB_30 Keydata" xfId="1179"/>
    <cellStyle name="0_XX97CALB_9312 keydata" xfId="1180"/>
    <cellStyle name="0_XX97CALB_Book1" xfId="1181"/>
    <cellStyle name="0_XX97CALB_Book1_01KeyData1" xfId="1182"/>
    <cellStyle name="0_XX97CALB_cf39" xfId="1183"/>
    <cellStyle name="0_XX97CALB_Income" xfId="1184"/>
    <cellStyle name="0_XX97CALB_Income_matrix" xfId="1185"/>
    <cellStyle name="0_XX97CALB_Income_matrix1" xfId="1186"/>
    <cellStyle name="0_XX97CALB_Key Data, new format(6+6vs 34000 10)" xfId="1187"/>
    <cellStyle name="0_XX97CALB_martix" xfId="1188"/>
    <cellStyle name="0_XX97CALB_martix1" xfId="1189"/>
    <cellStyle name="0_XX97CALB_matrix" xfId="1190"/>
    <cellStyle name="0_XX97CALB_matrix1" xfId="1191"/>
    <cellStyle name="0_XX97CALB_rePL Profit(reallocated)(xx)" xfId="1192"/>
    <cellStyle name="0_XX97CALB_Wsalevol - October" xfId="1193"/>
    <cellStyle name="0_Year over Year Update 1 (VAK Pres)" xfId="1194"/>
    <cellStyle name="0_YOY Causal Factor" xfId="1195"/>
    <cellStyle name="1" xfId="1196"/>
    <cellStyle name="1_1" xfId="1197"/>
    <cellStyle name="1_1_1" xfId="1198"/>
    <cellStyle name="1_1_1_D&amp;A" xfId="1199"/>
    <cellStyle name="1_1_1_Master_StatusCharts_39adj" xfId="1200"/>
    <cellStyle name="1_1_D&amp;A" xfId="1201"/>
    <cellStyle name="1_1_Master_StatusCharts_39adj" xfId="1202"/>
    <cellStyle name="1_단가조사표" xfId="1210"/>
    <cellStyle name="1_단가조사표_1011소각" xfId="1211"/>
    <cellStyle name="1_단가조사표_1113교~1" xfId="1212"/>
    <cellStyle name="1_단가조사표_121내역" xfId="1213"/>
    <cellStyle name="1_단가조사표_객토량" xfId="1214"/>
    <cellStyle name="1_단가조사표_교통센~1" xfId="1215"/>
    <cellStyle name="1_단가조사표_교통센터412" xfId="1216"/>
    <cellStyle name="1_단가조사표_교통수" xfId="1217"/>
    <cellStyle name="1_단가조사표_교통수량산출서" xfId="1218"/>
    <cellStyle name="1_단가조사표_구조물대가 (2)" xfId="1219"/>
    <cellStyle name="1_단가조사표_내역서 (2)" xfId="1220"/>
    <cellStyle name="1_단가조사표_대전관저지구" xfId="1221"/>
    <cellStyle name="1_단가조사표_동측지~1" xfId="1222"/>
    <cellStyle name="1_단가조사표_동측지원422" xfId="1223"/>
    <cellStyle name="1_단가조사표_동측지원512" xfId="1224"/>
    <cellStyle name="1_단가조사표_동측지원524" xfId="1225"/>
    <cellStyle name="1_단가조사표_부대422" xfId="1226"/>
    <cellStyle name="1_단가조사표_부대시설" xfId="1227"/>
    <cellStyle name="1_단가조사표_소각수~1" xfId="1228"/>
    <cellStyle name="1_단가조사표_소각수내역서" xfId="1229"/>
    <cellStyle name="1_단가조사표_소각수목2" xfId="1230"/>
    <cellStyle name="1_단가조사표_수량산출서 (2)" xfId="1231"/>
    <cellStyle name="1_단가조사표_엑스포~1" xfId="1232"/>
    <cellStyle name="1_단가조사표_엑스포한빛1" xfId="1233"/>
    <cellStyle name="1_단가조사표_여객터미널331" xfId="1234"/>
    <cellStyle name="1_단가조사표_여객터미널513" xfId="1235"/>
    <cellStyle name="1_단가조사표_여객터미널629" xfId="1236"/>
    <cellStyle name="1_단가조사표_외곽도로616" xfId="1237"/>
    <cellStyle name="1_단가조사표_용인죽전수량" xfId="1238"/>
    <cellStyle name="1_단가조사표_원가계~1" xfId="1239"/>
    <cellStyle name="1_단가조사표_유기질" xfId="1240"/>
    <cellStyle name="1_단가조사표_자재조서 (2)" xfId="1241"/>
    <cellStyle name="1_단가조사표_총괄내역" xfId="1242"/>
    <cellStyle name="1_단가조사표_총괄내역 (2)" xfId="1243"/>
    <cellStyle name="1_단가조사표_터미널도로403" xfId="1244"/>
    <cellStyle name="1_단가조사표_터미널도로429" xfId="1245"/>
    <cellStyle name="1_단가조사표_포장일위" xfId="1246"/>
    <cellStyle name="1_D&amp;A" xfId="1203"/>
    <cellStyle name="1_laroux" xfId="1204"/>
    <cellStyle name="1_laroux_ATC-YOON1" xfId="1205"/>
    <cellStyle name="1_Master_StatusCharts_39adj" xfId="1206"/>
    <cellStyle name="1_Summary L" xfId="1207"/>
    <cellStyle name="1_Summary L_D&amp;A" xfId="1208"/>
    <cellStyle name="1_Summary L_Master_StatusCharts_39adj" xfId="1209"/>
    <cellStyle name="123" xfId="1247"/>
    <cellStyle name="¹eºÐA²_±aA¸" xfId="1248"/>
    <cellStyle name="2" xfId="1249"/>
    <cellStyle name="2_단가조사표" xfId="1252"/>
    <cellStyle name="2_단가조사표_1011소각" xfId="1253"/>
    <cellStyle name="2_단가조사표_1113교~1" xfId="1254"/>
    <cellStyle name="2_단가조사표_121내역" xfId="1255"/>
    <cellStyle name="2_단가조사표_객토량" xfId="1256"/>
    <cellStyle name="2_단가조사표_교통센~1" xfId="1257"/>
    <cellStyle name="2_단가조사표_교통센터412" xfId="1258"/>
    <cellStyle name="2_단가조사표_교통수" xfId="1259"/>
    <cellStyle name="2_단가조사표_교통수량산출서" xfId="1260"/>
    <cellStyle name="2_단가조사표_구조물대가 (2)" xfId="1261"/>
    <cellStyle name="2_단가조사표_내역서 (2)" xfId="1262"/>
    <cellStyle name="2_단가조사표_대전관저지구" xfId="1263"/>
    <cellStyle name="2_단가조사표_동측지~1" xfId="1264"/>
    <cellStyle name="2_단가조사표_동측지원422" xfId="1265"/>
    <cellStyle name="2_단가조사표_동측지원512" xfId="1266"/>
    <cellStyle name="2_단가조사표_동측지원524" xfId="1267"/>
    <cellStyle name="2_단가조사표_부대422" xfId="1268"/>
    <cellStyle name="2_단가조사표_부대시설" xfId="1269"/>
    <cellStyle name="2_단가조사표_소각수~1" xfId="1270"/>
    <cellStyle name="2_단가조사표_소각수내역서" xfId="1271"/>
    <cellStyle name="2_단가조사표_소각수목2" xfId="1272"/>
    <cellStyle name="2_단가조사표_수량산출서 (2)" xfId="1273"/>
    <cellStyle name="2_단가조사표_엑스포~1" xfId="1274"/>
    <cellStyle name="2_단가조사표_엑스포한빛1" xfId="1275"/>
    <cellStyle name="2_단가조사표_여객터미널331" xfId="1276"/>
    <cellStyle name="2_단가조사표_여객터미널513" xfId="1277"/>
    <cellStyle name="2_단가조사표_여객터미널629" xfId="1278"/>
    <cellStyle name="2_단가조사표_외곽도로616" xfId="1279"/>
    <cellStyle name="2_단가조사표_용인죽전수량" xfId="1280"/>
    <cellStyle name="2_단가조사표_원가계~1" xfId="1281"/>
    <cellStyle name="2_단가조사표_유기질" xfId="1282"/>
    <cellStyle name="2_단가조사표_자재조서 (2)" xfId="1283"/>
    <cellStyle name="2_단가조사표_총괄내역" xfId="1284"/>
    <cellStyle name="2_단가조사표_총괄내역 (2)" xfId="1285"/>
    <cellStyle name="2_단가조사표_터미널도로403" xfId="1286"/>
    <cellStyle name="2_단가조사표_터미널도로429" xfId="1287"/>
    <cellStyle name="2_단가조사표_포장일위" xfId="1288"/>
    <cellStyle name="2_laroux" xfId="1250"/>
    <cellStyle name="2_laroux_ATC-YOON1" xfId="1251"/>
    <cellStyle name="20% - 강조색1 10" xfId="1319"/>
    <cellStyle name="20% - 강조색1 11" xfId="1320"/>
    <cellStyle name="20% - 강조색1 12" xfId="1321"/>
    <cellStyle name="20% - 강조색1 13" xfId="1322"/>
    <cellStyle name="20% - 강조색1 14" xfId="1323"/>
    <cellStyle name="20% - 강조색1 15" xfId="1324"/>
    <cellStyle name="20% - 강조색1 16" xfId="1325"/>
    <cellStyle name="20% - 강조색1 17" xfId="1326"/>
    <cellStyle name="20% - 강조색1 18" xfId="1327"/>
    <cellStyle name="20% - 강조색1 19" xfId="1328"/>
    <cellStyle name="20% - 강조색1 2" xfId="1329"/>
    <cellStyle name="20% - 강조색1 2 10" xfId="1330"/>
    <cellStyle name="20% - 강조색1 2 11" xfId="1331"/>
    <cellStyle name="20% - 강조색1 2 2" xfId="1332"/>
    <cellStyle name="20% - 강조색1 2 2 10" xfId="1333"/>
    <cellStyle name="20% - 강조색1 2 2 2" xfId="1334"/>
    <cellStyle name="20% - 강조색1 2 2 3" xfId="1335"/>
    <cellStyle name="20% - 강조색1 2 2 4" xfId="1336"/>
    <cellStyle name="20% - 강조색1 2 2 5" xfId="1337"/>
    <cellStyle name="20% - 강조색1 2 2 6" xfId="1338"/>
    <cellStyle name="20% - 강조색1 2 2 7" xfId="1339"/>
    <cellStyle name="20% - 강조색1 2 2 8" xfId="1340"/>
    <cellStyle name="20% - 강조색1 2 2 9" xfId="1341"/>
    <cellStyle name="20% - 강조색1 2 3" xfId="1342"/>
    <cellStyle name="20% - 강조색1 2 4" xfId="1343"/>
    <cellStyle name="20% - 강조색1 2 5" xfId="1344"/>
    <cellStyle name="20% - 강조색1 2 6" xfId="1345"/>
    <cellStyle name="20% - 강조색1 2 7" xfId="1346"/>
    <cellStyle name="20% - 강조색1 2 8" xfId="1347"/>
    <cellStyle name="20% - 강조색1 2 9" xfId="1348"/>
    <cellStyle name="20% - 강조색1 3" xfId="1349"/>
    <cellStyle name="20% - 강조색1 3 10" xfId="1350"/>
    <cellStyle name="20% - 강조색1 3 2" xfId="1351"/>
    <cellStyle name="20% - 강조색1 3 3" xfId="1352"/>
    <cellStyle name="20% - 강조색1 3 4" xfId="1353"/>
    <cellStyle name="20% - 강조색1 3 5" xfId="1354"/>
    <cellStyle name="20% - 강조색1 3 6" xfId="1355"/>
    <cellStyle name="20% - 강조색1 3 7" xfId="1356"/>
    <cellStyle name="20% - 강조색1 3 8" xfId="1357"/>
    <cellStyle name="20% - 강조색1 3 9" xfId="1358"/>
    <cellStyle name="20% - 강조색1 4" xfId="1359"/>
    <cellStyle name="20% - 강조색1 4 10" xfId="1360"/>
    <cellStyle name="20% - 강조색1 4 2" xfId="1361"/>
    <cellStyle name="20% - 강조색1 4 3" xfId="1362"/>
    <cellStyle name="20% - 강조색1 4 4" xfId="1363"/>
    <cellStyle name="20% - 강조색1 4 5" xfId="1364"/>
    <cellStyle name="20% - 강조색1 4 6" xfId="1365"/>
    <cellStyle name="20% - 강조색1 4 7" xfId="1366"/>
    <cellStyle name="20% - 강조색1 4 8" xfId="1367"/>
    <cellStyle name="20% - 강조색1 4 9" xfId="1368"/>
    <cellStyle name="20% - 강조색1 5" xfId="1369"/>
    <cellStyle name="20% - 강조색1 5 2" xfId="1370"/>
    <cellStyle name="20% - 강조색1 5 3" xfId="1371"/>
    <cellStyle name="20% - 강조색1 6" xfId="1372"/>
    <cellStyle name="20% - 강조색1 6 2" xfId="1373"/>
    <cellStyle name="20% - 강조색1 7" xfId="1374"/>
    <cellStyle name="20% - 강조색1 7 2" xfId="1375"/>
    <cellStyle name="20% - 강조색1 8" xfId="1376"/>
    <cellStyle name="20% - 강조색1 8 2" xfId="1377"/>
    <cellStyle name="20% - 강조색1 9" xfId="1378"/>
    <cellStyle name="20% - 강조색1 9 2" xfId="1379"/>
    <cellStyle name="20% - 강조색2 10" xfId="1380"/>
    <cellStyle name="20% - 강조색2 11" xfId="1381"/>
    <cellStyle name="20% - 강조색2 12" xfId="1382"/>
    <cellStyle name="20% - 강조색2 13" xfId="1383"/>
    <cellStyle name="20% - 강조색2 14" xfId="1384"/>
    <cellStyle name="20% - 강조색2 15" xfId="1385"/>
    <cellStyle name="20% - 강조색2 16" xfId="1386"/>
    <cellStyle name="20% - 강조색2 17" xfId="1387"/>
    <cellStyle name="20% - 강조색2 18" xfId="1388"/>
    <cellStyle name="20% - 강조색2 19" xfId="1389"/>
    <cellStyle name="20% - 강조색2 2" xfId="1390"/>
    <cellStyle name="20% - 강조색2 2 10" xfId="1391"/>
    <cellStyle name="20% - 강조색2 2 11" xfId="1392"/>
    <cellStyle name="20% - 강조색2 2 2" xfId="1393"/>
    <cellStyle name="20% - 강조색2 2 2 10" xfId="1394"/>
    <cellStyle name="20% - 강조색2 2 2 2" xfId="1395"/>
    <cellStyle name="20% - 강조색2 2 2 3" xfId="1396"/>
    <cellStyle name="20% - 강조색2 2 2 4" xfId="1397"/>
    <cellStyle name="20% - 강조색2 2 2 5" xfId="1398"/>
    <cellStyle name="20% - 강조색2 2 2 6" xfId="1399"/>
    <cellStyle name="20% - 강조색2 2 2 7" xfId="1400"/>
    <cellStyle name="20% - 강조색2 2 2 8" xfId="1401"/>
    <cellStyle name="20% - 강조색2 2 2 9" xfId="1402"/>
    <cellStyle name="20% - 강조색2 2 3" xfId="1403"/>
    <cellStyle name="20% - 강조색2 2 4" xfId="1404"/>
    <cellStyle name="20% - 강조색2 2 5" xfId="1405"/>
    <cellStyle name="20% - 강조색2 2 6" xfId="1406"/>
    <cellStyle name="20% - 강조색2 2 7" xfId="1407"/>
    <cellStyle name="20% - 강조색2 2 8" xfId="1408"/>
    <cellStyle name="20% - 강조색2 2 9" xfId="1409"/>
    <cellStyle name="20% - 강조색2 3" xfId="1410"/>
    <cellStyle name="20% - 강조색2 3 10" xfId="1411"/>
    <cellStyle name="20% - 강조색2 3 2" xfId="1412"/>
    <cellStyle name="20% - 강조색2 3 3" xfId="1413"/>
    <cellStyle name="20% - 강조색2 3 4" xfId="1414"/>
    <cellStyle name="20% - 강조색2 3 5" xfId="1415"/>
    <cellStyle name="20% - 강조색2 3 6" xfId="1416"/>
    <cellStyle name="20% - 강조색2 3 7" xfId="1417"/>
    <cellStyle name="20% - 강조색2 3 8" xfId="1418"/>
    <cellStyle name="20% - 강조색2 3 9" xfId="1419"/>
    <cellStyle name="20% - 강조색2 4" xfId="1420"/>
    <cellStyle name="20% - 강조색2 4 10" xfId="1421"/>
    <cellStyle name="20% - 강조색2 4 2" xfId="1422"/>
    <cellStyle name="20% - 강조색2 4 3" xfId="1423"/>
    <cellStyle name="20% - 강조색2 4 4" xfId="1424"/>
    <cellStyle name="20% - 강조색2 4 5" xfId="1425"/>
    <cellStyle name="20% - 강조색2 4 6" xfId="1426"/>
    <cellStyle name="20% - 강조색2 4 7" xfId="1427"/>
    <cellStyle name="20% - 강조색2 4 8" xfId="1428"/>
    <cellStyle name="20% - 강조색2 4 9" xfId="1429"/>
    <cellStyle name="20% - 강조색2 5" xfId="1430"/>
    <cellStyle name="20% - 강조색2 5 2" xfId="1431"/>
    <cellStyle name="20% - 강조색2 5 3" xfId="1432"/>
    <cellStyle name="20% - 강조색2 6" xfId="1433"/>
    <cellStyle name="20% - 강조색2 6 2" xfId="1434"/>
    <cellStyle name="20% - 강조색2 7" xfId="1435"/>
    <cellStyle name="20% - 강조색2 7 2" xfId="1436"/>
    <cellStyle name="20% - 강조색2 8" xfId="1437"/>
    <cellStyle name="20% - 강조색2 8 2" xfId="1438"/>
    <cellStyle name="20% - 강조색2 9" xfId="1439"/>
    <cellStyle name="20% - 강조색2 9 2" xfId="1440"/>
    <cellStyle name="20% - 강조색3 10" xfId="1441"/>
    <cellStyle name="20% - 강조색3 11" xfId="1442"/>
    <cellStyle name="20% - 강조색3 12" xfId="1443"/>
    <cellStyle name="20% - 강조색3 13" xfId="1444"/>
    <cellStyle name="20% - 강조색3 14" xfId="1445"/>
    <cellStyle name="20% - 강조색3 15" xfId="1446"/>
    <cellStyle name="20% - 강조색3 16" xfId="1447"/>
    <cellStyle name="20% - 강조색3 17" xfId="1448"/>
    <cellStyle name="20% - 강조색3 18" xfId="1449"/>
    <cellStyle name="20% - 강조색3 19" xfId="1450"/>
    <cellStyle name="20% - 강조색3 2" xfId="1451"/>
    <cellStyle name="20% - 강조색3 2 10" xfId="1452"/>
    <cellStyle name="20% - 강조색3 2 11" xfId="1453"/>
    <cellStyle name="20% - 강조색3 2 2" xfId="1454"/>
    <cellStyle name="20% - 강조색3 2 2 10" xfId="1455"/>
    <cellStyle name="20% - 강조색3 2 2 2" xfId="1456"/>
    <cellStyle name="20% - 강조색3 2 2 3" xfId="1457"/>
    <cellStyle name="20% - 강조색3 2 2 4" xfId="1458"/>
    <cellStyle name="20% - 강조색3 2 2 5" xfId="1459"/>
    <cellStyle name="20% - 강조색3 2 2 6" xfId="1460"/>
    <cellStyle name="20% - 강조색3 2 2 7" xfId="1461"/>
    <cellStyle name="20% - 강조색3 2 2 8" xfId="1462"/>
    <cellStyle name="20% - 강조색3 2 2 9" xfId="1463"/>
    <cellStyle name="20% - 강조색3 2 3" xfId="1464"/>
    <cellStyle name="20% - 강조색3 2 4" xfId="1465"/>
    <cellStyle name="20% - 강조색3 2 5" xfId="1466"/>
    <cellStyle name="20% - 강조색3 2 6" xfId="1467"/>
    <cellStyle name="20% - 강조색3 2 7" xfId="1468"/>
    <cellStyle name="20% - 강조색3 2 8" xfId="1469"/>
    <cellStyle name="20% - 강조색3 2 9" xfId="1470"/>
    <cellStyle name="20% - 강조색3 3" xfId="1471"/>
    <cellStyle name="20% - 강조색3 3 10" xfId="1472"/>
    <cellStyle name="20% - 강조색3 3 2" xfId="1473"/>
    <cellStyle name="20% - 강조색3 3 3" xfId="1474"/>
    <cellStyle name="20% - 강조색3 3 4" xfId="1475"/>
    <cellStyle name="20% - 강조색3 3 5" xfId="1476"/>
    <cellStyle name="20% - 강조색3 3 6" xfId="1477"/>
    <cellStyle name="20% - 강조색3 3 7" xfId="1478"/>
    <cellStyle name="20% - 강조색3 3 8" xfId="1479"/>
    <cellStyle name="20% - 강조색3 3 9" xfId="1480"/>
    <cellStyle name="20% - 강조색3 4" xfId="1481"/>
    <cellStyle name="20% - 강조색3 4 10" xfId="1482"/>
    <cellStyle name="20% - 강조색3 4 2" xfId="1483"/>
    <cellStyle name="20% - 강조색3 4 3" xfId="1484"/>
    <cellStyle name="20% - 강조색3 4 4" xfId="1485"/>
    <cellStyle name="20% - 강조색3 4 5" xfId="1486"/>
    <cellStyle name="20% - 강조색3 4 6" xfId="1487"/>
    <cellStyle name="20% - 강조색3 4 7" xfId="1488"/>
    <cellStyle name="20% - 강조색3 4 8" xfId="1489"/>
    <cellStyle name="20% - 강조색3 4 9" xfId="1490"/>
    <cellStyle name="20% - 강조색3 5" xfId="1491"/>
    <cellStyle name="20% - 강조색3 5 2" xfId="1492"/>
    <cellStyle name="20% - 강조색3 5 3" xfId="1493"/>
    <cellStyle name="20% - 강조색3 6" xfId="1494"/>
    <cellStyle name="20% - 강조색3 6 2" xfId="1495"/>
    <cellStyle name="20% - 강조색3 7" xfId="1496"/>
    <cellStyle name="20% - 강조색3 7 2" xfId="1497"/>
    <cellStyle name="20% - 강조색3 8" xfId="1498"/>
    <cellStyle name="20% - 강조색3 8 2" xfId="1499"/>
    <cellStyle name="20% - 강조색3 9" xfId="1500"/>
    <cellStyle name="20% - 강조색3 9 2" xfId="1501"/>
    <cellStyle name="20% - 강조색4 10" xfId="1502"/>
    <cellStyle name="20% - 강조색4 11" xfId="1503"/>
    <cellStyle name="20% - 강조색4 12" xfId="1504"/>
    <cellStyle name="20% - 강조색4 13" xfId="1505"/>
    <cellStyle name="20% - 강조색4 14" xfId="1506"/>
    <cellStyle name="20% - 강조색4 15" xfId="1507"/>
    <cellStyle name="20% - 강조색4 16" xfId="1508"/>
    <cellStyle name="20% - 강조색4 17" xfId="1509"/>
    <cellStyle name="20% - 강조색4 18" xfId="1510"/>
    <cellStyle name="20% - 강조색4 19" xfId="1511"/>
    <cellStyle name="20% - 강조색4 2" xfId="1512"/>
    <cellStyle name="20% - 강조색4 2 10" xfId="1513"/>
    <cellStyle name="20% - 강조색4 2 11" xfId="1514"/>
    <cellStyle name="20% - 강조색4 2 2" xfId="1515"/>
    <cellStyle name="20% - 강조색4 2 2 10" xfId="1516"/>
    <cellStyle name="20% - 강조색4 2 2 2" xfId="1517"/>
    <cellStyle name="20% - 강조색4 2 2 3" xfId="1518"/>
    <cellStyle name="20% - 강조색4 2 2 4" xfId="1519"/>
    <cellStyle name="20% - 강조색4 2 2 5" xfId="1520"/>
    <cellStyle name="20% - 강조색4 2 2 6" xfId="1521"/>
    <cellStyle name="20% - 강조색4 2 2 7" xfId="1522"/>
    <cellStyle name="20% - 강조색4 2 2 8" xfId="1523"/>
    <cellStyle name="20% - 강조색4 2 2 9" xfId="1524"/>
    <cellStyle name="20% - 강조색4 2 3" xfId="1525"/>
    <cellStyle name="20% - 강조색4 2 4" xfId="1526"/>
    <cellStyle name="20% - 강조색4 2 5" xfId="1527"/>
    <cellStyle name="20% - 강조색4 2 6" xfId="1528"/>
    <cellStyle name="20% - 강조색4 2 7" xfId="1529"/>
    <cellStyle name="20% - 강조색4 2 8" xfId="1530"/>
    <cellStyle name="20% - 강조색4 2 9" xfId="1531"/>
    <cellStyle name="20% - 강조색4 3" xfId="1532"/>
    <cellStyle name="20% - 강조색4 3 10" xfId="1533"/>
    <cellStyle name="20% - 강조색4 3 2" xfId="1534"/>
    <cellStyle name="20% - 강조색4 3 3" xfId="1535"/>
    <cellStyle name="20% - 강조색4 3 4" xfId="1536"/>
    <cellStyle name="20% - 강조색4 3 5" xfId="1537"/>
    <cellStyle name="20% - 강조색4 3 6" xfId="1538"/>
    <cellStyle name="20% - 강조색4 3 7" xfId="1539"/>
    <cellStyle name="20% - 강조색4 3 8" xfId="1540"/>
    <cellStyle name="20% - 강조색4 3 9" xfId="1541"/>
    <cellStyle name="20% - 강조색4 4" xfId="1542"/>
    <cellStyle name="20% - 강조색4 4 10" xfId="1543"/>
    <cellStyle name="20% - 강조색4 4 2" xfId="1544"/>
    <cellStyle name="20% - 강조색4 4 3" xfId="1545"/>
    <cellStyle name="20% - 강조색4 4 4" xfId="1546"/>
    <cellStyle name="20% - 강조색4 4 5" xfId="1547"/>
    <cellStyle name="20% - 강조색4 4 6" xfId="1548"/>
    <cellStyle name="20% - 강조색4 4 7" xfId="1549"/>
    <cellStyle name="20% - 강조색4 4 8" xfId="1550"/>
    <cellStyle name="20% - 강조색4 4 9" xfId="1551"/>
    <cellStyle name="20% - 강조색4 5" xfId="1552"/>
    <cellStyle name="20% - 강조색4 5 2" xfId="1553"/>
    <cellStyle name="20% - 강조색4 5 3" xfId="1554"/>
    <cellStyle name="20% - 강조색4 6" xfId="1555"/>
    <cellStyle name="20% - 강조색4 6 2" xfId="1556"/>
    <cellStyle name="20% - 강조색4 7" xfId="1557"/>
    <cellStyle name="20% - 강조색4 7 2" xfId="1558"/>
    <cellStyle name="20% - 강조색4 8" xfId="1559"/>
    <cellStyle name="20% - 강조색4 8 2" xfId="1560"/>
    <cellStyle name="20% - 강조색4 9" xfId="1561"/>
    <cellStyle name="20% - 강조색4 9 2" xfId="1562"/>
    <cellStyle name="20% - 강조색5 10" xfId="1563"/>
    <cellStyle name="20% - 강조색5 11" xfId="1564"/>
    <cellStyle name="20% - 강조색5 12" xfId="1565"/>
    <cellStyle name="20% - 강조색5 13" xfId="1566"/>
    <cellStyle name="20% - 강조색5 14" xfId="1567"/>
    <cellStyle name="20% - 강조색5 15" xfId="1568"/>
    <cellStyle name="20% - 강조색5 16" xfId="1569"/>
    <cellStyle name="20% - 강조색5 17" xfId="1570"/>
    <cellStyle name="20% - 강조색5 18" xfId="1571"/>
    <cellStyle name="20% - 강조색5 19" xfId="1572"/>
    <cellStyle name="20% - 강조색5 2" xfId="1573"/>
    <cellStyle name="20% - 강조색5 2 10" xfId="1574"/>
    <cellStyle name="20% - 강조색5 2 11" xfId="1575"/>
    <cellStyle name="20% - 강조색5 2 2" xfId="1576"/>
    <cellStyle name="20% - 강조색5 2 2 10" xfId="1577"/>
    <cellStyle name="20% - 강조색5 2 2 2" xfId="1578"/>
    <cellStyle name="20% - 강조색5 2 2 3" xfId="1579"/>
    <cellStyle name="20% - 강조색5 2 2 4" xfId="1580"/>
    <cellStyle name="20% - 강조색5 2 2 5" xfId="1581"/>
    <cellStyle name="20% - 강조색5 2 2 6" xfId="1582"/>
    <cellStyle name="20% - 강조색5 2 2 7" xfId="1583"/>
    <cellStyle name="20% - 강조색5 2 2 8" xfId="1584"/>
    <cellStyle name="20% - 강조색5 2 2 9" xfId="1585"/>
    <cellStyle name="20% - 강조색5 2 3" xfId="1586"/>
    <cellStyle name="20% - 강조색5 2 4" xfId="1587"/>
    <cellStyle name="20% - 강조색5 2 5" xfId="1588"/>
    <cellStyle name="20% - 강조색5 2 6" xfId="1589"/>
    <cellStyle name="20% - 강조색5 2 7" xfId="1590"/>
    <cellStyle name="20% - 강조색5 2 8" xfId="1591"/>
    <cellStyle name="20% - 강조색5 2 9" xfId="1592"/>
    <cellStyle name="20% - 강조색5 3" xfId="1593"/>
    <cellStyle name="20% - 강조색5 3 10" xfId="1594"/>
    <cellStyle name="20% - 강조색5 3 2" xfId="1595"/>
    <cellStyle name="20% - 강조색5 3 3" xfId="1596"/>
    <cellStyle name="20% - 강조색5 3 4" xfId="1597"/>
    <cellStyle name="20% - 강조색5 3 5" xfId="1598"/>
    <cellStyle name="20% - 강조색5 3 6" xfId="1599"/>
    <cellStyle name="20% - 강조색5 3 7" xfId="1600"/>
    <cellStyle name="20% - 강조색5 3 8" xfId="1601"/>
    <cellStyle name="20% - 강조색5 3 9" xfId="1602"/>
    <cellStyle name="20% - 강조색5 4" xfId="1603"/>
    <cellStyle name="20% - 강조색5 4 10" xfId="1604"/>
    <cellStyle name="20% - 강조색5 4 2" xfId="1605"/>
    <cellStyle name="20% - 강조색5 4 3" xfId="1606"/>
    <cellStyle name="20% - 강조색5 4 4" xfId="1607"/>
    <cellStyle name="20% - 강조색5 4 5" xfId="1608"/>
    <cellStyle name="20% - 강조색5 4 6" xfId="1609"/>
    <cellStyle name="20% - 강조색5 4 7" xfId="1610"/>
    <cellStyle name="20% - 강조색5 4 8" xfId="1611"/>
    <cellStyle name="20% - 강조색5 4 9" xfId="1612"/>
    <cellStyle name="20% - 강조색5 5" xfId="1613"/>
    <cellStyle name="20% - 강조색5 5 2" xfId="1614"/>
    <cellStyle name="20% - 강조색5 5 3" xfId="1615"/>
    <cellStyle name="20% - 강조색5 6" xfId="1616"/>
    <cellStyle name="20% - 강조색5 6 2" xfId="1617"/>
    <cellStyle name="20% - 강조색5 7" xfId="1618"/>
    <cellStyle name="20% - 강조색5 7 2" xfId="1619"/>
    <cellStyle name="20% - 강조색5 8" xfId="1620"/>
    <cellStyle name="20% - 강조색5 8 2" xfId="1621"/>
    <cellStyle name="20% - 강조색5 9" xfId="1622"/>
    <cellStyle name="20% - 강조색5 9 2" xfId="1623"/>
    <cellStyle name="20% - 강조색6 10" xfId="1624"/>
    <cellStyle name="20% - 강조색6 11" xfId="1625"/>
    <cellStyle name="20% - 강조색6 12" xfId="1626"/>
    <cellStyle name="20% - 강조색6 13" xfId="1627"/>
    <cellStyle name="20% - 강조색6 14" xfId="1628"/>
    <cellStyle name="20% - 강조색6 15" xfId="1629"/>
    <cellStyle name="20% - 강조색6 16" xfId="1630"/>
    <cellStyle name="20% - 강조색6 17" xfId="1631"/>
    <cellStyle name="20% - 강조색6 18" xfId="1632"/>
    <cellStyle name="20% - 강조색6 19" xfId="1633"/>
    <cellStyle name="20% - 강조색6 2" xfId="1634"/>
    <cellStyle name="20% - 강조색6 2 10" xfId="1635"/>
    <cellStyle name="20% - 강조색6 2 11" xfId="1636"/>
    <cellStyle name="20% - 강조색6 2 2" xfId="1637"/>
    <cellStyle name="20% - 강조색6 2 2 10" xfId="1638"/>
    <cellStyle name="20% - 강조색6 2 2 2" xfId="1639"/>
    <cellStyle name="20% - 강조색6 2 2 3" xfId="1640"/>
    <cellStyle name="20% - 강조색6 2 2 4" xfId="1641"/>
    <cellStyle name="20% - 강조색6 2 2 5" xfId="1642"/>
    <cellStyle name="20% - 강조색6 2 2 6" xfId="1643"/>
    <cellStyle name="20% - 강조색6 2 2 7" xfId="1644"/>
    <cellStyle name="20% - 강조색6 2 2 8" xfId="1645"/>
    <cellStyle name="20% - 강조색6 2 2 9" xfId="1646"/>
    <cellStyle name="20% - 강조색6 2 3" xfId="1647"/>
    <cellStyle name="20% - 강조색6 2 4" xfId="1648"/>
    <cellStyle name="20% - 강조색6 2 5" xfId="1649"/>
    <cellStyle name="20% - 강조색6 2 6" xfId="1650"/>
    <cellStyle name="20% - 강조색6 2 7" xfId="1651"/>
    <cellStyle name="20% - 강조색6 2 8" xfId="1652"/>
    <cellStyle name="20% - 강조색6 2 9" xfId="1653"/>
    <cellStyle name="20% - 강조색6 3" xfId="1654"/>
    <cellStyle name="20% - 강조색6 3 10" xfId="1655"/>
    <cellStyle name="20% - 강조색6 3 2" xfId="1656"/>
    <cellStyle name="20% - 강조색6 3 3" xfId="1657"/>
    <cellStyle name="20% - 강조색6 3 4" xfId="1658"/>
    <cellStyle name="20% - 강조색6 3 5" xfId="1659"/>
    <cellStyle name="20% - 강조색6 3 6" xfId="1660"/>
    <cellStyle name="20% - 강조색6 3 7" xfId="1661"/>
    <cellStyle name="20% - 강조색6 3 8" xfId="1662"/>
    <cellStyle name="20% - 강조색6 3 9" xfId="1663"/>
    <cellStyle name="20% - 강조색6 4" xfId="1664"/>
    <cellStyle name="20% - 강조색6 4 10" xfId="1665"/>
    <cellStyle name="20% - 강조색6 4 2" xfId="1666"/>
    <cellStyle name="20% - 강조색6 4 3" xfId="1667"/>
    <cellStyle name="20% - 강조색6 4 4" xfId="1668"/>
    <cellStyle name="20% - 강조색6 4 5" xfId="1669"/>
    <cellStyle name="20% - 강조색6 4 6" xfId="1670"/>
    <cellStyle name="20% - 강조색6 4 7" xfId="1671"/>
    <cellStyle name="20% - 강조색6 4 8" xfId="1672"/>
    <cellStyle name="20% - 강조색6 4 9" xfId="1673"/>
    <cellStyle name="20% - 강조색6 5" xfId="1674"/>
    <cellStyle name="20% - 강조색6 5 2" xfId="1675"/>
    <cellStyle name="20% - 강조색6 5 3" xfId="1676"/>
    <cellStyle name="20% - 강조색6 6" xfId="1677"/>
    <cellStyle name="20% - 강조색6 6 2" xfId="1678"/>
    <cellStyle name="20% - 강조색6 7" xfId="1679"/>
    <cellStyle name="20% - 강조색6 7 2" xfId="1680"/>
    <cellStyle name="20% - 강조색6 8" xfId="1681"/>
    <cellStyle name="20% - 강조색6 8 2" xfId="1682"/>
    <cellStyle name="20% - 강조색6 9" xfId="1683"/>
    <cellStyle name="20% - 강조색6 9 2" xfId="1684"/>
    <cellStyle name="20% - Accent1 2" xfId="1289"/>
    <cellStyle name="20% - Accent1 3" xfId="1290"/>
    <cellStyle name="20% - Accent1 4" xfId="1291"/>
    <cellStyle name="20% - Accent2 2" xfId="1292"/>
    <cellStyle name="20% - Accent2 3" xfId="1293"/>
    <cellStyle name="20% - Accent2 4" xfId="1294"/>
    <cellStyle name="20% - Accent3 2" xfId="1295"/>
    <cellStyle name="20% - Accent3 3" xfId="1296"/>
    <cellStyle name="20% - Accent3 4" xfId="1297"/>
    <cellStyle name="20% - Accent4 2" xfId="1298"/>
    <cellStyle name="20% - Accent4 3" xfId="1299"/>
    <cellStyle name="20% - Accent4 4" xfId="1300"/>
    <cellStyle name="20% - Accent5 2" xfId="1301"/>
    <cellStyle name="20% - Accent5 3" xfId="1302"/>
    <cellStyle name="20% - Accent5 4" xfId="1303"/>
    <cellStyle name="20% - Accent6 2" xfId="1304"/>
    <cellStyle name="20% - Accent6 3" xfId="1305"/>
    <cellStyle name="20% - Accent6 4" xfId="1306"/>
    <cellStyle name="20% - Énfasis1" xfId="1307"/>
    <cellStyle name="20% - Énfasis2" xfId="1308"/>
    <cellStyle name="20% - Énfasis3" xfId="1309"/>
    <cellStyle name="20% - Énfasis4" xfId="1310"/>
    <cellStyle name="20% - Énfasis5" xfId="1311"/>
    <cellStyle name="20% - Énfasis6" xfId="1312"/>
    <cellStyle name="20% - Nhấn1" xfId="1313"/>
    <cellStyle name="20% - Nhấn2" xfId="1314"/>
    <cellStyle name="20% - Nhấn3" xfId="1315"/>
    <cellStyle name="20% - Nhấn4" xfId="1316"/>
    <cellStyle name="20% - Nhấn5" xfId="1317"/>
    <cellStyle name="20% - Nhấn6" xfId="1318"/>
    <cellStyle name="³f¹ô [0]_Chart 1" xfId="1685"/>
    <cellStyle name="³f¹ô[0]_6_6 R&amp;O " xfId="1686"/>
    <cellStyle name="³f¹ô_6_6 R&amp;O " xfId="1687"/>
    <cellStyle name="40% - 강조색1 10" xfId="1718"/>
    <cellStyle name="40% - 강조색1 11" xfId="1719"/>
    <cellStyle name="40% - 강조색1 12" xfId="1720"/>
    <cellStyle name="40% - 강조색1 13" xfId="1721"/>
    <cellStyle name="40% - 강조색1 14" xfId="1722"/>
    <cellStyle name="40% - 강조색1 15" xfId="1723"/>
    <cellStyle name="40% - 강조색1 16" xfId="1724"/>
    <cellStyle name="40% - 강조색1 17" xfId="1725"/>
    <cellStyle name="40% - 강조색1 18" xfId="1726"/>
    <cellStyle name="40% - 강조색1 19" xfId="1727"/>
    <cellStyle name="40% - 강조색1 2" xfId="1728"/>
    <cellStyle name="40% - 강조색1 2 10" xfId="1729"/>
    <cellStyle name="40% - 강조색1 2 11" xfId="1730"/>
    <cellStyle name="40% - 강조색1 2 2" xfId="1731"/>
    <cellStyle name="40% - 강조색1 2 2 10" xfId="1732"/>
    <cellStyle name="40% - 강조색1 2 2 2" xfId="1733"/>
    <cellStyle name="40% - 강조색1 2 2 3" xfId="1734"/>
    <cellStyle name="40% - 강조색1 2 2 4" xfId="1735"/>
    <cellStyle name="40% - 강조색1 2 2 5" xfId="1736"/>
    <cellStyle name="40% - 강조색1 2 2 6" xfId="1737"/>
    <cellStyle name="40% - 강조색1 2 2 7" xfId="1738"/>
    <cellStyle name="40% - 강조색1 2 2 8" xfId="1739"/>
    <cellStyle name="40% - 강조색1 2 2 9" xfId="1740"/>
    <cellStyle name="40% - 강조색1 2 3" xfId="1741"/>
    <cellStyle name="40% - 강조색1 2 4" xfId="1742"/>
    <cellStyle name="40% - 강조색1 2 5" xfId="1743"/>
    <cellStyle name="40% - 강조색1 2 6" xfId="1744"/>
    <cellStyle name="40% - 강조색1 2 7" xfId="1745"/>
    <cellStyle name="40% - 강조색1 2 8" xfId="1746"/>
    <cellStyle name="40% - 강조색1 2 9" xfId="1747"/>
    <cellStyle name="40% - 강조색1 3" xfId="1748"/>
    <cellStyle name="40% - 강조색1 3 10" xfId="1749"/>
    <cellStyle name="40% - 강조색1 3 2" xfId="1750"/>
    <cellStyle name="40% - 강조색1 3 3" xfId="1751"/>
    <cellStyle name="40% - 강조색1 3 4" xfId="1752"/>
    <cellStyle name="40% - 강조색1 3 5" xfId="1753"/>
    <cellStyle name="40% - 강조색1 3 6" xfId="1754"/>
    <cellStyle name="40% - 강조색1 3 7" xfId="1755"/>
    <cellStyle name="40% - 강조색1 3 8" xfId="1756"/>
    <cellStyle name="40% - 강조색1 3 9" xfId="1757"/>
    <cellStyle name="40% - 강조색1 4" xfId="1758"/>
    <cellStyle name="40% - 강조색1 4 10" xfId="1759"/>
    <cellStyle name="40% - 강조색1 4 2" xfId="1760"/>
    <cellStyle name="40% - 강조색1 4 3" xfId="1761"/>
    <cellStyle name="40% - 강조색1 4 4" xfId="1762"/>
    <cellStyle name="40% - 강조색1 4 5" xfId="1763"/>
    <cellStyle name="40% - 강조색1 4 6" xfId="1764"/>
    <cellStyle name="40% - 강조색1 4 7" xfId="1765"/>
    <cellStyle name="40% - 강조색1 4 8" xfId="1766"/>
    <cellStyle name="40% - 강조색1 4 9" xfId="1767"/>
    <cellStyle name="40% - 강조색1 5" xfId="1768"/>
    <cellStyle name="40% - 강조색1 5 2" xfId="1769"/>
    <cellStyle name="40% - 강조색1 5 3" xfId="1770"/>
    <cellStyle name="40% - 강조색1 6" xfId="1771"/>
    <cellStyle name="40% - 강조색1 6 2" xfId="1772"/>
    <cellStyle name="40% - 강조색1 7" xfId="1773"/>
    <cellStyle name="40% - 강조색1 7 2" xfId="1774"/>
    <cellStyle name="40% - 강조색1 8" xfId="1775"/>
    <cellStyle name="40% - 강조색1 8 2" xfId="1776"/>
    <cellStyle name="40% - 강조색1 9" xfId="1777"/>
    <cellStyle name="40% - 강조색1 9 2" xfId="1778"/>
    <cellStyle name="40% - 강조색2 10" xfId="1779"/>
    <cellStyle name="40% - 강조색2 11" xfId="1780"/>
    <cellStyle name="40% - 강조색2 12" xfId="1781"/>
    <cellStyle name="40% - 강조색2 13" xfId="1782"/>
    <cellStyle name="40% - 강조색2 14" xfId="1783"/>
    <cellStyle name="40% - 강조색2 15" xfId="1784"/>
    <cellStyle name="40% - 강조색2 16" xfId="1785"/>
    <cellStyle name="40% - 강조색2 17" xfId="1786"/>
    <cellStyle name="40% - 강조색2 18" xfId="1787"/>
    <cellStyle name="40% - 강조색2 19" xfId="1788"/>
    <cellStyle name="40% - 강조색2 2" xfId="1789"/>
    <cellStyle name="40% - 강조색2 2 10" xfId="1790"/>
    <cellStyle name="40% - 강조색2 2 11" xfId="1791"/>
    <cellStyle name="40% - 강조색2 2 2" xfId="1792"/>
    <cellStyle name="40% - 강조색2 2 2 10" xfId="1793"/>
    <cellStyle name="40% - 강조색2 2 2 2" xfId="1794"/>
    <cellStyle name="40% - 강조색2 2 2 3" xfId="1795"/>
    <cellStyle name="40% - 강조색2 2 2 4" xfId="1796"/>
    <cellStyle name="40% - 강조색2 2 2 5" xfId="1797"/>
    <cellStyle name="40% - 강조색2 2 2 6" xfId="1798"/>
    <cellStyle name="40% - 강조색2 2 2 7" xfId="1799"/>
    <cellStyle name="40% - 강조색2 2 2 8" xfId="1800"/>
    <cellStyle name="40% - 강조색2 2 2 9" xfId="1801"/>
    <cellStyle name="40% - 강조색2 2 3" xfId="1802"/>
    <cellStyle name="40% - 강조색2 2 4" xfId="1803"/>
    <cellStyle name="40% - 강조색2 2 5" xfId="1804"/>
    <cellStyle name="40% - 강조색2 2 6" xfId="1805"/>
    <cellStyle name="40% - 강조색2 2 7" xfId="1806"/>
    <cellStyle name="40% - 강조색2 2 8" xfId="1807"/>
    <cellStyle name="40% - 강조색2 2 9" xfId="1808"/>
    <cellStyle name="40% - 강조색2 3" xfId="1809"/>
    <cellStyle name="40% - 강조색2 3 10" xfId="1810"/>
    <cellStyle name="40% - 강조색2 3 2" xfId="1811"/>
    <cellStyle name="40% - 강조색2 3 3" xfId="1812"/>
    <cellStyle name="40% - 강조색2 3 4" xfId="1813"/>
    <cellStyle name="40% - 강조색2 3 5" xfId="1814"/>
    <cellStyle name="40% - 강조색2 3 6" xfId="1815"/>
    <cellStyle name="40% - 강조색2 3 7" xfId="1816"/>
    <cellStyle name="40% - 강조색2 3 8" xfId="1817"/>
    <cellStyle name="40% - 강조색2 3 9" xfId="1818"/>
    <cellStyle name="40% - 강조색2 4" xfId="1819"/>
    <cellStyle name="40% - 강조색2 4 10" xfId="1820"/>
    <cellStyle name="40% - 강조색2 4 2" xfId="1821"/>
    <cellStyle name="40% - 강조색2 4 3" xfId="1822"/>
    <cellStyle name="40% - 강조색2 4 4" xfId="1823"/>
    <cellStyle name="40% - 강조색2 4 5" xfId="1824"/>
    <cellStyle name="40% - 강조색2 4 6" xfId="1825"/>
    <cellStyle name="40% - 강조색2 4 7" xfId="1826"/>
    <cellStyle name="40% - 강조색2 4 8" xfId="1827"/>
    <cellStyle name="40% - 강조색2 4 9" xfId="1828"/>
    <cellStyle name="40% - 강조색2 5" xfId="1829"/>
    <cellStyle name="40% - 강조색2 5 2" xfId="1830"/>
    <cellStyle name="40% - 강조색2 5 3" xfId="1831"/>
    <cellStyle name="40% - 강조색2 6" xfId="1832"/>
    <cellStyle name="40% - 강조색2 6 2" xfId="1833"/>
    <cellStyle name="40% - 강조색2 7" xfId="1834"/>
    <cellStyle name="40% - 강조색2 7 2" xfId="1835"/>
    <cellStyle name="40% - 강조색2 8" xfId="1836"/>
    <cellStyle name="40% - 강조색2 8 2" xfId="1837"/>
    <cellStyle name="40% - 강조색2 9" xfId="1838"/>
    <cellStyle name="40% - 강조색2 9 2" xfId="1839"/>
    <cellStyle name="40% - 강조색3 10" xfId="1840"/>
    <cellStyle name="40% - 강조색3 11" xfId="1841"/>
    <cellStyle name="40% - 강조색3 12" xfId="1842"/>
    <cellStyle name="40% - 강조색3 13" xfId="1843"/>
    <cellStyle name="40% - 강조색3 14" xfId="1844"/>
    <cellStyle name="40% - 강조색3 15" xfId="1845"/>
    <cellStyle name="40% - 강조색3 16" xfId="1846"/>
    <cellStyle name="40% - 강조색3 17" xfId="1847"/>
    <cellStyle name="40% - 강조색3 18" xfId="1848"/>
    <cellStyle name="40% - 강조색3 19" xfId="1849"/>
    <cellStyle name="40% - 강조색3 2" xfId="1850"/>
    <cellStyle name="40% - 강조색3 2 10" xfId="1851"/>
    <cellStyle name="40% - 강조색3 2 11" xfId="1852"/>
    <cellStyle name="40% - 강조색3 2 2" xfId="1853"/>
    <cellStyle name="40% - 강조색3 2 2 10" xfId="1854"/>
    <cellStyle name="40% - 강조색3 2 2 2" xfId="1855"/>
    <cellStyle name="40% - 강조색3 2 2 3" xfId="1856"/>
    <cellStyle name="40% - 강조색3 2 2 4" xfId="1857"/>
    <cellStyle name="40% - 강조색3 2 2 5" xfId="1858"/>
    <cellStyle name="40% - 강조색3 2 2 6" xfId="1859"/>
    <cellStyle name="40% - 강조색3 2 2 7" xfId="1860"/>
    <cellStyle name="40% - 강조색3 2 2 8" xfId="1861"/>
    <cellStyle name="40% - 강조색3 2 2 9" xfId="1862"/>
    <cellStyle name="40% - 강조색3 2 3" xfId="1863"/>
    <cellStyle name="40% - 강조색3 2 4" xfId="1864"/>
    <cellStyle name="40% - 강조색3 2 5" xfId="1865"/>
    <cellStyle name="40% - 강조색3 2 6" xfId="1866"/>
    <cellStyle name="40% - 강조색3 2 7" xfId="1867"/>
    <cellStyle name="40% - 강조색3 2 8" xfId="1868"/>
    <cellStyle name="40% - 강조색3 2 9" xfId="1869"/>
    <cellStyle name="40% - 강조색3 3" xfId="1870"/>
    <cellStyle name="40% - 강조색3 3 10" xfId="1871"/>
    <cellStyle name="40% - 강조색3 3 2" xfId="1872"/>
    <cellStyle name="40% - 강조색3 3 3" xfId="1873"/>
    <cellStyle name="40% - 강조색3 3 4" xfId="1874"/>
    <cellStyle name="40% - 강조색3 3 5" xfId="1875"/>
    <cellStyle name="40% - 강조색3 3 6" xfId="1876"/>
    <cellStyle name="40% - 강조색3 3 7" xfId="1877"/>
    <cellStyle name="40% - 강조색3 3 8" xfId="1878"/>
    <cellStyle name="40% - 강조색3 3 9" xfId="1879"/>
    <cellStyle name="40% - 강조색3 4" xfId="1880"/>
    <cellStyle name="40% - 강조색3 4 10" xfId="1881"/>
    <cellStyle name="40% - 강조색3 4 2" xfId="1882"/>
    <cellStyle name="40% - 강조색3 4 3" xfId="1883"/>
    <cellStyle name="40% - 강조색3 4 4" xfId="1884"/>
    <cellStyle name="40% - 강조색3 4 5" xfId="1885"/>
    <cellStyle name="40% - 강조색3 4 6" xfId="1886"/>
    <cellStyle name="40% - 강조색3 4 7" xfId="1887"/>
    <cellStyle name="40% - 강조색3 4 8" xfId="1888"/>
    <cellStyle name="40% - 강조색3 4 9" xfId="1889"/>
    <cellStyle name="40% - 강조색3 5" xfId="1890"/>
    <cellStyle name="40% - 강조색3 5 2" xfId="1891"/>
    <cellStyle name="40% - 강조색3 5 3" xfId="1892"/>
    <cellStyle name="40% - 강조색3 6" xfId="1893"/>
    <cellStyle name="40% - 강조색3 6 2" xfId="1894"/>
    <cellStyle name="40% - 강조색3 7" xfId="1895"/>
    <cellStyle name="40% - 강조색3 7 2" xfId="1896"/>
    <cellStyle name="40% - 강조색3 8" xfId="1897"/>
    <cellStyle name="40% - 강조색3 8 2" xfId="1898"/>
    <cellStyle name="40% - 강조색3 9" xfId="1899"/>
    <cellStyle name="40% - 강조색3 9 2" xfId="1900"/>
    <cellStyle name="40% - 강조색4 10" xfId="1901"/>
    <cellStyle name="40% - 강조색4 11" xfId="1902"/>
    <cellStyle name="40% - 강조색4 12" xfId="1903"/>
    <cellStyle name="40% - 강조색4 13" xfId="1904"/>
    <cellStyle name="40% - 강조색4 14" xfId="1905"/>
    <cellStyle name="40% - 강조색4 15" xfId="1906"/>
    <cellStyle name="40% - 강조색4 16" xfId="1907"/>
    <cellStyle name="40% - 강조색4 17" xfId="1908"/>
    <cellStyle name="40% - 강조색4 18" xfId="1909"/>
    <cellStyle name="40% - 강조색4 19" xfId="1910"/>
    <cellStyle name="40% - 강조색4 2" xfId="1911"/>
    <cellStyle name="40% - 강조색4 2 10" xfId="1912"/>
    <cellStyle name="40% - 강조색4 2 11" xfId="1913"/>
    <cellStyle name="40% - 강조색4 2 2" xfId="1914"/>
    <cellStyle name="40% - 강조색4 2 2 10" xfId="1915"/>
    <cellStyle name="40% - 강조색4 2 2 2" xfId="1916"/>
    <cellStyle name="40% - 강조색4 2 2 3" xfId="1917"/>
    <cellStyle name="40% - 강조색4 2 2 4" xfId="1918"/>
    <cellStyle name="40% - 강조색4 2 2 5" xfId="1919"/>
    <cellStyle name="40% - 강조색4 2 2 6" xfId="1920"/>
    <cellStyle name="40% - 강조색4 2 2 7" xfId="1921"/>
    <cellStyle name="40% - 강조색4 2 2 8" xfId="1922"/>
    <cellStyle name="40% - 강조색4 2 2 9" xfId="1923"/>
    <cellStyle name="40% - 강조색4 2 3" xfId="1924"/>
    <cellStyle name="40% - 강조색4 2 4" xfId="1925"/>
    <cellStyle name="40% - 강조색4 2 5" xfId="1926"/>
    <cellStyle name="40% - 강조색4 2 6" xfId="1927"/>
    <cellStyle name="40% - 강조색4 2 7" xfId="1928"/>
    <cellStyle name="40% - 강조색4 2 8" xfId="1929"/>
    <cellStyle name="40% - 강조색4 2 9" xfId="1930"/>
    <cellStyle name="40% - 강조색4 3" xfId="1931"/>
    <cellStyle name="40% - 강조색4 3 10" xfId="1932"/>
    <cellStyle name="40% - 강조색4 3 2" xfId="1933"/>
    <cellStyle name="40% - 강조색4 3 3" xfId="1934"/>
    <cellStyle name="40% - 강조색4 3 4" xfId="1935"/>
    <cellStyle name="40% - 강조색4 3 5" xfId="1936"/>
    <cellStyle name="40% - 강조색4 3 6" xfId="1937"/>
    <cellStyle name="40% - 강조색4 3 7" xfId="1938"/>
    <cellStyle name="40% - 강조색4 3 8" xfId="1939"/>
    <cellStyle name="40% - 강조색4 3 9" xfId="1940"/>
    <cellStyle name="40% - 강조색4 4" xfId="1941"/>
    <cellStyle name="40% - 강조색4 4 10" xfId="1942"/>
    <cellStyle name="40% - 강조색4 4 2" xfId="1943"/>
    <cellStyle name="40% - 강조색4 4 3" xfId="1944"/>
    <cellStyle name="40% - 강조색4 4 4" xfId="1945"/>
    <cellStyle name="40% - 강조색4 4 5" xfId="1946"/>
    <cellStyle name="40% - 강조색4 4 6" xfId="1947"/>
    <cellStyle name="40% - 강조색4 4 7" xfId="1948"/>
    <cellStyle name="40% - 강조색4 4 8" xfId="1949"/>
    <cellStyle name="40% - 강조색4 4 9" xfId="1950"/>
    <cellStyle name="40% - 강조색4 5" xfId="1951"/>
    <cellStyle name="40% - 강조색4 5 2" xfId="1952"/>
    <cellStyle name="40% - 강조색4 5 3" xfId="1953"/>
    <cellStyle name="40% - 강조색4 6" xfId="1954"/>
    <cellStyle name="40% - 강조색4 6 2" xfId="1955"/>
    <cellStyle name="40% - 강조색4 7" xfId="1956"/>
    <cellStyle name="40% - 강조색4 7 2" xfId="1957"/>
    <cellStyle name="40% - 강조색4 8" xfId="1958"/>
    <cellStyle name="40% - 강조색4 8 2" xfId="1959"/>
    <cellStyle name="40% - 강조색4 9" xfId="1960"/>
    <cellStyle name="40% - 강조색4 9 2" xfId="1961"/>
    <cellStyle name="40% - 강조색5 10" xfId="1962"/>
    <cellStyle name="40% - 강조색5 11" xfId="1963"/>
    <cellStyle name="40% - 강조색5 12" xfId="1964"/>
    <cellStyle name="40% - 강조색5 13" xfId="1965"/>
    <cellStyle name="40% - 강조색5 14" xfId="1966"/>
    <cellStyle name="40% - 강조색5 15" xfId="1967"/>
    <cellStyle name="40% - 강조색5 16" xfId="1968"/>
    <cellStyle name="40% - 강조색5 17" xfId="1969"/>
    <cellStyle name="40% - 강조색5 18" xfId="1970"/>
    <cellStyle name="40% - 강조색5 19" xfId="1971"/>
    <cellStyle name="40% - 강조색5 2" xfId="1972"/>
    <cellStyle name="40% - 강조색5 2 10" xfId="1973"/>
    <cellStyle name="40% - 강조색5 2 11" xfId="1974"/>
    <cellStyle name="40% - 강조색5 2 2" xfId="1975"/>
    <cellStyle name="40% - 강조색5 2 2 10" xfId="1976"/>
    <cellStyle name="40% - 강조색5 2 2 2" xfId="1977"/>
    <cellStyle name="40% - 강조색5 2 2 3" xfId="1978"/>
    <cellStyle name="40% - 강조색5 2 2 4" xfId="1979"/>
    <cellStyle name="40% - 강조색5 2 2 5" xfId="1980"/>
    <cellStyle name="40% - 강조색5 2 2 6" xfId="1981"/>
    <cellStyle name="40% - 강조색5 2 2 7" xfId="1982"/>
    <cellStyle name="40% - 강조색5 2 2 8" xfId="1983"/>
    <cellStyle name="40% - 강조색5 2 2 9" xfId="1984"/>
    <cellStyle name="40% - 강조색5 2 3" xfId="1985"/>
    <cellStyle name="40% - 강조색5 2 4" xfId="1986"/>
    <cellStyle name="40% - 강조색5 2 5" xfId="1987"/>
    <cellStyle name="40% - 강조색5 2 6" xfId="1988"/>
    <cellStyle name="40% - 강조색5 2 7" xfId="1989"/>
    <cellStyle name="40% - 강조색5 2 8" xfId="1990"/>
    <cellStyle name="40% - 강조색5 2 9" xfId="1991"/>
    <cellStyle name="40% - 강조색5 3" xfId="1992"/>
    <cellStyle name="40% - 강조색5 3 10" xfId="1993"/>
    <cellStyle name="40% - 강조색5 3 2" xfId="1994"/>
    <cellStyle name="40% - 강조색5 3 3" xfId="1995"/>
    <cellStyle name="40% - 강조색5 3 4" xfId="1996"/>
    <cellStyle name="40% - 강조색5 3 5" xfId="1997"/>
    <cellStyle name="40% - 강조색5 3 6" xfId="1998"/>
    <cellStyle name="40% - 강조색5 3 7" xfId="1999"/>
    <cellStyle name="40% - 강조색5 3 8" xfId="2000"/>
    <cellStyle name="40% - 강조색5 3 9" xfId="2001"/>
    <cellStyle name="40% - 강조색5 4" xfId="2002"/>
    <cellStyle name="40% - 강조색5 4 10" xfId="2003"/>
    <cellStyle name="40% - 강조색5 4 2" xfId="2004"/>
    <cellStyle name="40% - 강조색5 4 3" xfId="2005"/>
    <cellStyle name="40% - 강조색5 4 4" xfId="2006"/>
    <cellStyle name="40% - 강조색5 4 5" xfId="2007"/>
    <cellStyle name="40% - 강조색5 4 6" xfId="2008"/>
    <cellStyle name="40% - 강조색5 4 7" xfId="2009"/>
    <cellStyle name="40% - 강조색5 4 8" xfId="2010"/>
    <cellStyle name="40% - 강조색5 4 9" xfId="2011"/>
    <cellStyle name="40% - 강조색5 5" xfId="2012"/>
    <cellStyle name="40% - 강조색5 5 2" xfId="2013"/>
    <cellStyle name="40% - 강조색5 5 3" xfId="2014"/>
    <cellStyle name="40% - 강조색5 6" xfId="2015"/>
    <cellStyle name="40% - 강조색5 6 2" xfId="2016"/>
    <cellStyle name="40% - 강조색5 7" xfId="2017"/>
    <cellStyle name="40% - 강조색5 7 2" xfId="2018"/>
    <cellStyle name="40% - 강조색5 8" xfId="2019"/>
    <cellStyle name="40% - 강조색5 8 2" xfId="2020"/>
    <cellStyle name="40% - 강조색5 9" xfId="2021"/>
    <cellStyle name="40% - 강조색5 9 2" xfId="2022"/>
    <cellStyle name="40% - 강조색6 10" xfId="2023"/>
    <cellStyle name="40% - 강조색6 11" xfId="2024"/>
    <cellStyle name="40% - 강조색6 12" xfId="2025"/>
    <cellStyle name="40% - 강조색6 13" xfId="2026"/>
    <cellStyle name="40% - 강조색6 14" xfId="2027"/>
    <cellStyle name="40% - 강조색6 15" xfId="2028"/>
    <cellStyle name="40% - 강조색6 16" xfId="2029"/>
    <cellStyle name="40% - 강조색6 17" xfId="2030"/>
    <cellStyle name="40% - 강조색6 18" xfId="2031"/>
    <cellStyle name="40% - 강조색6 19" xfId="2032"/>
    <cellStyle name="40% - 강조색6 2" xfId="2033"/>
    <cellStyle name="40% - 강조색6 2 10" xfId="2034"/>
    <cellStyle name="40% - 강조색6 2 11" xfId="2035"/>
    <cellStyle name="40% - 강조색6 2 2" xfId="2036"/>
    <cellStyle name="40% - 강조색6 2 2 10" xfId="2037"/>
    <cellStyle name="40% - 강조색6 2 2 2" xfId="2038"/>
    <cellStyle name="40% - 강조색6 2 2 3" xfId="2039"/>
    <cellStyle name="40% - 강조색6 2 2 4" xfId="2040"/>
    <cellStyle name="40% - 강조색6 2 2 5" xfId="2041"/>
    <cellStyle name="40% - 강조색6 2 2 6" xfId="2042"/>
    <cellStyle name="40% - 강조색6 2 2 7" xfId="2043"/>
    <cellStyle name="40% - 강조색6 2 2 8" xfId="2044"/>
    <cellStyle name="40% - 강조색6 2 2 9" xfId="2045"/>
    <cellStyle name="40% - 강조색6 2 3" xfId="2046"/>
    <cellStyle name="40% - 강조색6 2 4" xfId="2047"/>
    <cellStyle name="40% - 강조색6 2 5" xfId="2048"/>
    <cellStyle name="40% - 강조색6 2 6" xfId="2049"/>
    <cellStyle name="40% - 강조색6 2 7" xfId="2050"/>
    <cellStyle name="40% - 강조색6 2 8" xfId="2051"/>
    <cellStyle name="40% - 강조색6 2 9" xfId="2052"/>
    <cellStyle name="40% - 강조색6 3" xfId="2053"/>
    <cellStyle name="40% - 강조색6 3 10" xfId="2054"/>
    <cellStyle name="40% - 강조색6 3 2" xfId="2055"/>
    <cellStyle name="40% - 강조색6 3 3" xfId="2056"/>
    <cellStyle name="40% - 강조색6 3 4" xfId="2057"/>
    <cellStyle name="40% - 강조색6 3 5" xfId="2058"/>
    <cellStyle name="40% - 강조색6 3 6" xfId="2059"/>
    <cellStyle name="40% - 강조색6 3 7" xfId="2060"/>
    <cellStyle name="40% - 강조색6 3 8" xfId="2061"/>
    <cellStyle name="40% - 강조색6 3 9" xfId="2062"/>
    <cellStyle name="40% - 강조색6 4" xfId="2063"/>
    <cellStyle name="40% - 강조색6 4 10" xfId="2064"/>
    <cellStyle name="40% - 강조색6 4 2" xfId="2065"/>
    <cellStyle name="40% - 강조색6 4 3" xfId="2066"/>
    <cellStyle name="40% - 강조색6 4 4" xfId="2067"/>
    <cellStyle name="40% - 강조색6 4 5" xfId="2068"/>
    <cellStyle name="40% - 강조색6 4 6" xfId="2069"/>
    <cellStyle name="40% - 강조색6 4 7" xfId="2070"/>
    <cellStyle name="40% - 강조색6 4 8" xfId="2071"/>
    <cellStyle name="40% - 강조색6 4 9" xfId="2072"/>
    <cellStyle name="40% - 강조색6 5" xfId="2073"/>
    <cellStyle name="40% - 강조색6 5 2" xfId="2074"/>
    <cellStyle name="40% - 강조색6 5 3" xfId="2075"/>
    <cellStyle name="40% - 강조색6 6" xfId="2076"/>
    <cellStyle name="40% - 강조색6 6 2" xfId="2077"/>
    <cellStyle name="40% - 강조색6 7" xfId="2078"/>
    <cellStyle name="40% - 강조색6 7 2" xfId="2079"/>
    <cellStyle name="40% - 강조색6 8" xfId="2080"/>
    <cellStyle name="40% - 강조색6 8 2" xfId="2081"/>
    <cellStyle name="40% - 강조색6 9" xfId="2082"/>
    <cellStyle name="40% - 강조색6 9 2" xfId="2083"/>
    <cellStyle name="40% - Accent1 2" xfId="1688"/>
    <cellStyle name="40% - Accent1 3" xfId="1689"/>
    <cellStyle name="40% - Accent1 4" xfId="1690"/>
    <cellStyle name="40% - Accent2 2" xfId="1691"/>
    <cellStyle name="40% - Accent2 3" xfId="1692"/>
    <cellStyle name="40% - Accent2 4" xfId="1693"/>
    <cellStyle name="40% - Accent3 2" xfId="1694"/>
    <cellStyle name="40% - Accent3 3" xfId="1695"/>
    <cellStyle name="40% - Accent3 4" xfId="1696"/>
    <cellStyle name="40% - Accent4 2" xfId="1697"/>
    <cellStyle name="40% - Accent4 3" xfId="1698"/>
    <cellStyle name="40% - Accent4 4" xfId="1699"/>
    <cellStyle name="40% - Accent5 2" xfId="1700"/>
    <cellStyle name="40% - Accent5 3" xfId="1701"/>
    <cellStyle name="40% - Accent5 4" xfId="1702"/>
    <cellStyle name="40% - Accent6 2" xfId="1703"/>
    <cellStyle name="40% - Accent6 3" xfId="1704"/>
    <cellStyle name="40% - Accent6 4" xfId="1705"/>
    <cellStyle name="40% - Énfasis1" xfId="1706"/>
    <cellStyle name="40% - Énfasis2" xfId="1707"/>
    <cellStyle name="40% - Énfasis3" xfId="1708"/>
    <cellStyle name="40% - Énfasis4" xfId="1709"/>
    <cellStyle name="40% - Énfasis5" xfId="1710"/>
    <cellStyle name="40% - Énfasis6" xfId="1711"/>
    <cellStyle name="40% - Nhấn1" xfId="1712"/>
    <cellStyle name="40% - Nhấn2" xfId="1713"/>
    <cellStyle name="40% - Nhấn3" xfId="1714"/>
    <cellStyle name="40% - Nhấn4" xfId="1715"/>
    <cellStyle name="40% - Nhấn5" xfId="1716"/>
    <cellStyle name="40% - Nhấn6" xfId="1717"/>
    <cellStyle name="60% - 강조색1 10" xfId="2114"/>
    <cellStyle name="60% - 강조색1 11" xfId="2115"/>
    <cellStyle name="60% - 강조색1 12" xfId="2116"/>
    <cellStyle name="60% - 강조색1 13" xfId="2117"/>
    <cellStyle name="60% - 강조색1 14" xfId="2118"/>
    <cellStyle name="60% - 강조색1 15" xfId="2119"/>
    <cellStyle name="60% - 강조색1 16" xfId="2120"/>
    <cellStyle name="60% - 강조색1 17" xfId="2121"/>
    <cellStyle name="60% - 강조색1 18" xfId="2122"/>
    <cellStyle name="60% - 강조색1 19" xfId="2123"/>
    <cellStyle name="60% - 강조색1 2" xfId="2124"/>
    <cellStyle name="60% - 강조색1 2 10" xfId="2125"/>
    <cellStyle name="60% - 강조색1 2 2" xfId="2126"/>
    <cellStyle name="60% - 강조색1 2 2 2" xfId="2127"/>
    <cellStyle name="60% - 강조색1 2 2 3" xfId="2128"/>
    <cellStyle name="60% - 강조색1 2 3" xfId="2129"/>
    <cellStyle name="60% - 강조색1 2 4" xfId="2130"/>
    <cellStyle name="60% - 강조색1 2 5" xfId="2131"/>
    <cellStyle name="60% - 강조색1 2 6" xfId="2132"/>
    <cellStyle name="60% - 강조색1 2 7" xfId="2133"/>
    <cellStyle name="60% - 강조색1 2 8" xfId="2134"/>
    <cellStyle name="60% - 강조색1 2 9" xfId="2135"/>
    <cellStyle name="60% - 강조색1 3" xfId="2136"/>
    <cellStyle name="60% - 강조색1 3 2" xfId="2137"/>
    <cellStyle name="60% - 강조색1 3 3" xfId="2138"/>
    <cellStyle name="60% - 강조색1 4" xfId="2139"/>
    <cellStyle name="60% - 강조색1 4 2" xfId="2140"/>
    <cellStyle name="60% - 강조색1 4 3" xfId="2141"/>
    <cellStyle name="60% - 강조색1 5" xfId="2142"/>
    <cellStyle name="60% - 강조색1 5 2" xfId="2143"/>
    <cellStyle name="60% - 강조색1 5 3" xfId="2144"/>
    <cellStyle name="60% - 강조색1 6" xfId="2145"/>
    <cellStyle name="60% - 강조색1 6 2" xfId="2146"/>
    <cellStyle name="60% - 강조색1 7" xfId="2147"/>
    <cellStyle name="60% - 강조색1 7 2" xfId="2148"/>
    <cellStyle name="60% - 강조색1 8" xfId="2149"/>
    <cellStyle name="60% - 강조색1 8 2" xfId="2150"/>
    <cellStyle name="60% - 강조색1 9" xfId="2151"/>
    <cellStyle name="60% - 강조색1 9 2" xfId="2152"/>
    <cellStyle name="60% - 강조색2 10" xfId="2153"/>
    <cellStyle name="60% - 강조색2 11" xfId="2154"/>
    <cellStyle name="60% - 강조색2 12" xfId="2155"/>
    <cellStyle name="60% - 강조색2 13" xfId="2156"/>
    <cellStyle name="60% - 강조색2 14" xfId="2157"/>
    <cellStyle name="60% - 강조색2 15" xfId="2158"/>
    <cellStyle name="60% - 강조색2 16" xfId="2159"/>
    <cellStyle name="60% - 강조색2 17" xfId="2160"/>
    <cellStyle name="60% - 강조색2 18" xfId="2161"/>
    <cellStyle name="60% - 강조색2 19" xfId="2162"/>
    <cellStyle name="60% - 강조색2 2" xfId="2163"/>
    <cellStyle name="60% - 강조색2 2 10" xfId="2164"/>
    <cellStyle name="60% - 강조색2 2 2" xfId="2165"/>
    <cellStyle name="60% - 강조색2 2 2 2" xfId="2166"/>
    <cellStyle name="60% - 강조색2 2 2 3" xfId="2167"/>
    <cellStyle name="60% - 강조색2 2 3" xfId="2168"/>
    <cellStyle name="60% - 강조색2 2 4" xfId="2169"/>
    <cellStyle name="60% - 강조색2 2 5" xfId="2170"/>
    <cellStyle name="60% - 강조색2 2 6" xfId="2171"/>
    <cellStyle name="60% - 강조색2 2 7" xfId="2172"/>
    <cellStyle name="60% - 강조색2 2 8" xfId="2173"/>
    <cellStyle name="60% - 강조색2 2 9" xfId="2174"/>
    <cellStyle name="60% - 강조색2 3" xfId="2175"/>
    <cellStyle name="60% - 강조색2 3 2" xfId="2176"/>
    <cellStyle name="60% - 강조색2 3 3" xfId="2177"/>
    <cellStyle name="60% - 강조색2 4" xfId="2178"/>
    <cellStyle name="60% - 강조색2 4 2" xfId="2179"/>
    <cellStyle name="60% - 강조색2 4 3" xfId="2180"/>
    <cellStyle name="60% - 강조색2 5" xfId="2181"/>
    <cellStyle name="60% - 강조색2 5 2" xfId="2182"/>
    <cellStyle name="60% - 강조색2 5 3" xfId="2183"/>
    <cellStyle name="60% - 강조색2 6" xfId="2184"/>
    <cellStyle name="60% - 강조색2 6 2" xfId="2185"/>
    <cellStyle name="60% - 강조색2 7" xfId="2186"/>
    <cellStyle name="60% - 강조색2 7 2" xfId="2187"/>
    <cellStyle name="60% - 강조색2 8" xfId="2188"/>
    <cellStyle name="60% - 강조색2 8 2" xfId="2189"/>
    <cellStyle name="60% - 강조색2 9" xfId="2190"/>
    <cellStyle name="60% - 강조색2 9 2" xfId="2191"/>
    <cellStyle name="60% - 강조색3 10" xfId="2192"/>
    <cellStyle name="60% - 강조색3 11" xfId="2193"/>
    <cellStyle name="60% - 강조색3 12" xfId="2194"/>
    <cellStyle name="60% - 강조색3 13" xfId="2195"/>
    <cellStyle name="60% - 강조색3 14" xfId="2196"/>
    <cellStyle name="60% - 강조색3 15" xfId="2197"/>
    <cellStyle name="60% - 강조색3 16" xfId="2198"/>
    <cellStyle name="60% - 강조색3 17" xfId="2199"/>
    <cellStyle name="60% - 강조색3 18" xfId="2200"/>
    <cellStyle name="60% - 강조색3 19" xfId="2201"/>
    <cellStyle name="60% - 강조색3 2" xfId="2202"/>
    <cellStyle name="60% - 강조색3 2 10" xfId="2203"/>
    <cellStyle name="60% - 강조색3 2 2" xfId="2204"/>
    <cellStyle name="60% - 강조색3 2 2 2" xfId="2205"/>
    <cellStyle name="60% - 강조색3 2 2 3" xfId="2206"/>
    <cellStyle name="60% - 강조색3 2 3" xfId="2207"/>
    <cellStyle name="60% - 강조색3 2 4" xfId="2208"/>
    <cellStyle name="60% - 강조색3 2 5" xfId="2209"/>
    <cellStyle name="60% - 강조색3 2 6" xfId="2210"/>
    <cellStyle name="60% - 강조색3 2 7" xfId="2211"/>
    <cellStyle name="60% - 강조색3 2 8" xfId="2212"/>
    <cellStyle name="60% - 강조색3 2 9" xfId="2213"/>
    <cellStyle name="60% - 강조색3 3" xfId="2214"/>
    <cellStyle name="60% - 강조색3 3 2" xfId="2215"/>
    <cellStyle name="60% - 강조색3 3 3" xfId="2216"/>
    <cellStyle name="60% - 강조색3 4" xfId="2217"/>
    <cellStyle name="60% - 강조색3 4 2" xfId="2218"/>
    <cellStyle name="60% - 강조색3 4 3" xfId="2219"/>
    <cellStyle name="60% - 강조색3 5" xfId="2220"/>
    <cellStyle name="60% - 강조색3 5 2" xfId="2221"/>
    <cellStyle name="60% - 강조색3 5 3" xfId="2222"/>
    <cellStyle name="60% - 강조색3 6" xfId="2223"/>
    <cellStyle name="60% - 강조색3 6 2" xfId="2224"/>
    <cellStyle name="60% - 강조색3 7" xfId="2225"/>
    <cellStyle name="60% - 강조색3 7 2" xfId="2226"/>
    <cellStyle name="60% - 강조색3 8" xfId="2227"/>
    <cellStyle name="60% - 강조색3 8 2" xfId="2228"/>
    <cellStyle name="60% - 강조색3 9" xfId="2229"/>
    <cellStyle name="60% - 강조색3 9 2" xfId="2230"/>
    <cellStyle name="60% - 강조색4 10" xfId="2231"/>
    <cellStyle name="60% - 강조색4 11" xfId="2232"/>
    <cellStyle name="60% - 강조색4 12" xfId="2233"/>
    <cellStyle name="60% - 강조색4 13" xfId="2234"/>
    <cellStyle name="60% - 강조색4 14" xfId="2235"/>
    <cellStyle name="60% - 강조색4 15" xfId="2236"/>
    <cellStyle name="60% - 강조색4 16" xfId="2237"/>
    <cellStyle name="60% - 강조색4 17" xfId="2238"/>
    <cellStyle name="60% - 강조색4 18" xfId="2239"/>
    <cellStyle name="60% - 강조색4 19" xfId="2240"/>
    <cellStyle name="60% - 강조색4 2" xfId="2241"/>
    <cellStyle name="60% - 강조색4 2 10" xfId="2242"/>
    <cellStyle name="60% - 강조색4 2 2" xfId="2243"/>
    <cellStyle name="60% - 강조색4 2 2 2" xfId="2244"/>
    <cellStyle name="60% - 강조색4 2 2 3" xfId="2245"/>
    <cellStyle name="60% - 강조색4 2 3" xfId="2246"/>
    <cellStyle name="60% - 강조색4 2 4" xfId="2247"/>
    <cellStyle name="60% - 강조색4 2 5" xfId="2248"/>
    <cellStyle name="60% - 강조색4 2 6" xfId="2249"/>
    <cellStyle name="60% - 강조색4 2 7" xfId="2250"/>
    <cellStyle name="60% - 강조색4 2 8" xfId="2251"/>
    <cellStyle name="60% - 강조색4 2 9" xfId="2252"/>
    <cellStyle name="60% - 강조색4 3" xfId="2253"/>
    <cellStyle name="60% - 강조색4 3 2" xfId="2254"/>
    <cellStyle name="60% - 강조색4 3 3" xfId="2255"/>
    <cellStyle name="60% - 강조색4 4" xfId="2256"/>
    <cellStyle name="60% - 강조색4 4 2" xfId="2257"/>
    <cellStyle name="60% - 강조색4 4 3" xfId="2258"/>
    <cellStyle name="60% - 강조색4 5" xfId="2259"/>
    <cellStyle name="60% - 강조색4 5 2" xfId="2260"/>
    <cellStyle name="60% - 강조색4 5 3" xfId="2261"/>
    <cellStyle name="60% - 강조색4 6" xfId="2262"/>
    <cellStyle name="60% - 강조색4 6 2" xfId="2263"/>
    <cellStyle name="60% - 강조색4 7" xfId="2264"/>
    <cellStyle name="60% - 강조색4 7 2" xfId="2265"/>
    <cellStyle name="60% - 강조색4 8" xfId="2266"/>
    <cellStyle name="60% - 강조색4 8 2" xfId="2267"/>
    <cellStyle name="60% - 강조색4 9" xfId="2268"/>
    <cellStyle name="60% - 강조색4 9 2" xfId="2269"/>
    <cellStyle name="60% - 강조색5 10" xfId="2270"/>
    <cellStyle name="60% - 강조색5 11" xfId="2271"/>
    <cellStyle name="60% - 강조색5 12" xfId="2272"/>
    <cellStyle name="60% - 강조색5 13" xfId="2273"/>
    <cellStyle name="60% - 강조색5 14" xfId="2274"/>
    <cellStyle name="60% - 강조색5 15" xfId="2275"/>
    <cellStyle name="60% - 강조색5 16" xfId="2276"/>
    <cellStyle name="60% - 강조색5 17" xfId="2277"/>
    <cellStyle name="60% - 강조색5 18" xfId="2278"/>
    <cellStyle name="60% - 강조색5 19" xfId="2279"/>
    <cellStyle name="60% - 강조색5 2" xfId="2280"/>
    <cellStyle name="60% - 강조색5 2 10" xfId="2281"/>
    <cellStyle name="60% - 강조색5 2 2" xfId="2282"/>
    <cellStyle name="60% - 강조색5 2 2 2" xfId="2283"/>
    <cellStyle name="60% - 강조색5 2 2 3" xfId="2284"/>
    <cellStyle name="60% - 강조색5 2 3" xfId="2285"/>
    <cellStyle name="60% - 강조색5 2 4" xfId="2286"/>
    <cellStyle name="60% - 강조색5 2 5" xfId="2287"/>
    <cellStyle name="60% - 강조색5 2 6" xfId="2288"/>
    <cellStyle name="60% - 강조색5 2 7" xfId="2289"/>
    <cellStyle name="60% - 강조색5 2 8" xfId="2290"/>
    <cellStyle name="60% - 강조색5 2 9" xfId="2291"/>
    <cellStyle name="60% - 강조색5 3" xfId="2292"/>
    <cellStyle name="60% - 강조색5 3 2" xfId="2293"/>
    <cellStyle name="60% - 강조색5 3 3" xfId="2294"/>
    <cellStyle name="60% - 강조색5 4" xfId="2295"/>
    <cellStyle name="60% - 강조색5 4 2" xfId="2296"/>
    <cellStyle name="60% - 강조색5 4 3" xfId="2297"/>
    <cellStyle name="60% - 강조색5 5" xfId="2298"/>
    <cellStyle name="60% - 강조색5 5 2" xfId="2299"/>
    <cellStyle name="60% - 강조색5 5 3" xfId="2300"/>
    <cellStyle name="60% - 강조색5 6" xfId="2301"/>
    <cellStyle name="60% - 강조색5 6 2" xfId="2302"/>
    <cellStyle name="60% - 강조색5 7" xfId="2303"/>
    <cellStyle name="60% - 강조색5 7 2" xfId="2304"/>
    <cellStyle name="60% - 강조색5 8" xfId="2305"/>
    <cellStyle name="60% - 강조색5 8 2" xfId="2306"/>
    <cellStyle name="60% - 강조색5 9" xfId="2307"/>
    <cellStyle name="60% - 강조색5 9 2" xfId="2308"/>
    <cellStyle name="60% - 강조색6 10" xfId="2309"/>
    <cellStyle name="60% - 강조색6 11" xfId="2310"/>
    <cellStyle name="60% - 강조색6 12" xfId="2311"/>
    <cellStyle name="60% - 강조색6 13" xfId="2312"/>
    <cellStyle name="60% - 강조색6 14" xfId="2313"/>
    <cellStyle name="60% - 강조색6 15" xfId="2314"/>
    <cellStyle name="60% - 강조색6 16" xfId="2315"/>
    <cellStyle name="60% - 강조색6 17" xfId="2316"/>
    <cellStyle name="60% - 강조색6 18" xfId="2317"/>
    <cellStyle name="60% - 강조색6 19" xfId="2318"/>
    <cellStyle name="60% - 강조색6 2" xfId="2319"/>
    <cellStyle name="60% - 강조색6 2 10" xfId="2320"/>
    <cellStyle name="60% - 강조색6 2 2" xfId="2321"/>
    <cellStyle name="60% - 강조색6 2 2 2" xfId="2322"/>
    <cellStyle name="60% - 강조색6 2 2 3" xfId="2323"/>
    <cellStyle name="60% - 강조색6 2 3" xfId="2324"/>
    <cellStyle name="60% - 강조색6 2 4" xfId="2325"/>
    <cellStyle name="60% - 강조색6 2 5" xfId="2326"/>
    <cellStyle name="60% - 강조색6 2 6" xfId="2327"/>
    <cellStyle name="60% - 강조색6 2 7" xfId="2328"/>
    <cellStyle name="60% - 강조색6 2 8" xfId="2329"/>
    <cellStyle name="60% - 강조색6 2 9" xfId="2330"/>
    <cellStyle name="60% - 강조색6 3" xfId="2331"/>
    <cellStyle name="60% - 강조색6 3 2" xfId="2332"/>
    <cellStyle name="60% - 강조색6 3 3" xfId="2333"/>
    <cellStyle name="60% - 강조색6 4" xfId="2334"/>
    <cellStyle name="60% - 강조색6 4 2" xfId="2335"/>
    <cellStyle name="60% - 강조색6 4 3" xfId="2336"/>
    <cellStyle name="60% - 강조색6 5" xfId="2337"/>
    <cellStyle name="60% - 강조색6 5 2" xfId="2338"/>
    <cellStyle name="60% - 강조색6 5 3" xfId="2339"/>
    <cellStyle name="60% - 강조색6 6" xfId="2340"/>
    <cellStyle name="60% - 강조색6 6 2" xfId="2341"/>
    <cellStyle name="60% - 강조색6 7" xfId="2342"/>
    <cellStyle name="60% - 강조색6 7 2" xfId="2343"/>
    <cellStyle name="60% - 강조색6 8" xfId="2344"/>
    <cellStyle name="60% - 강조색6 8 2" xfId="2345"/>
    <cellStyle name="60% - 강조색6 9" xfId="2346"/>
    <cellStyle name="60% - 강조색6 9 2" xfId="2347"/>
    <cellStyle name="60% - Accent1 2" xfId="2084"/>
    <cellStyle name="60% - Accent1 3" xfId="2085"/>
    <cellStyle name="60% - Accent1 4" xfId="2086"/>
    <cellStyle name="60% - Accent2 2" xfId="2087"/>
    <cellStyle name="60% - Accent2 3" xfId="2088"/>
    <cellStyle name="60% - Accent2 4" xfId="2089"/>
    <cellStyle name="60% - Accent3 2" xfId="2090"/>
    <cellStyle name="60% - Accent3 3" xfId="2091"/>
    <cellStyle name="60% - Accent3 4" xfId="2092"/>
    <cellStyle name="60% - Accent4 2" xfId="2093"/>
    <cellStyle name="60% - Accent4 3" xfId="2094"/>
    <cellStyle name="60% - Accent4 4" xfId="2095"/>
    <cellStyle name="60% - Accent5 2" xfId="2096"/>
    <cellStyle name="60% - Accent5 3" xfId="2097"/>
    <cellStyle name="60% - Accent5 4" xfId="2098"/>
    <cellStyle name="60% - Accent6 2" xfId="2099"/>
    <cellStyle name="60% - Accent6 3" xfId="2100"/>
    <cellStyle name="60% - Accent6 4" xfId="2101"/>
    <cellStyle name="60% - Énfasis1" xfId="2102"/>
    <cellStyle name="60% - Énfasis2" xfId="2103"/>
    <cellStyle name="60% - Énfasis3" xfId="2104"/>
    <cellStyle name="60% - Énfasis4" xfId="2105"/>
    <cellStyle name="60% - Énfasis5" xfId="2106"/>
    <cellStyle name="60% - Énfasis6" xfId="2107"/>
    <cellStyle name="60% - Nhấn1" xfId="2108"/>
    <cellStyle name="60% - Nhấn2" xfId="2109"/>
    <cellStyle name="60% - Nhấn3" xfId="2110"/>
    <cellStyle name="60% - Nhấn4" xfId="2111"/>
    <cellStyle name="60% - Nhấn5" xfId="2112"/>
    <cellStyle name="60% - Nhấn6" xfId="2113"/>
    <cellStyle name="82" xfId="2348"/>
    <cellStyle name="강조색1 10" xfId="3089"/>
    <cellStyle name="강조색1 11" xfId="3090"/>
    <cellStyle name="강조색1 12" xfId="3091"/>
    <cellStyle name="강조색1 13" xfId="3092"/>
    <cellStyle name="강조색1 14" xfId="3093"/>
    <cellStyle name="강조색1 15" xfId="3094"/>
    <cellStyle name="강조색1 16" xfId="3095"/>
    <cellStyle name="강조색1 17" xfId="3096"/>
    <cellStyle name="강조색1 18" xfId="3097"/>
    <cellStyle name="강조색1 19" xfId="3098"/>
    <cellStyle name="강조색1 2" xfId="3099"/>
    <cellStyle name="강조색1 2 10" xfId="3100"/>
    <cellStyle name="강조색1 2 2" xfId="3101"/>
    <cellStyle name="강조색1 2 2 2" xfId="3102"/>
    <cellStyle name="강조색1 2 2 3" xfId="3103"/>
    <cellStyle name="강조색1 2 3" xfId="3104"/>
    <cellStyle name="강조색1 2 4" xfId="3105"/>
    <cellStyle name="강조색1 2 5" xfId="3106"/>
    <cellStyle name="강조색1 2 6" xfId="3107"/>
    <cellStyle name="강조색1 2 7" xfId="3108"/>
    <cellStyle name="강조색1 2 8" xfId="3109"/>
    <cellStyle name="강조색1 2 9" xfId="3110"/>
    <cellStyle name="강조색1 3" xfId="3111"/>
    <cellStyle name="강조색1 3 2" xfId="3112"/>
    <cellStyle name="강조색1 3 3" xfId="3113"/>
    <cellStyle name="강조색1 4" xfId="3114"/>
    <cellStyle name="강조색1 4 2" xfId="3115"/>
    <cellStyle name="강조색1 4 3" xfId="3116"/>
    <cellStyle name="강조색1 5" xfId="3117"/>
    <cellStyle name="강조색1 5 2" xfId="3118"/>
    <cellStyle name="강조색1 5 3" xfId="3119"/>
    <cellStyle name="강조색1 6" xfId="3120"/>
    <cellStyle name="강조색1 6 2" xfId="3121"/>
    <cellStyle name="강조색1 7" xfId="3122"/>
    <cellStyle name="강조색1 7 2" xfId="3123"/>
    <cellStyle name="강조색1 8" xfId="3124"/>
    <cellStyle name="강조색1 8 2" xfId="3125"/>
    <cellStyle name="강조색1 9" xfId="3126"/>
    <cellStyle name="강조색1 9 2" xfId="3127"/>
    <cellStyle name="강조색2 10" xfId="3128"/>
    <cellStyle name="강조색2 11" xfId="3129"/>
    <cellStyle name="강조색2 12" xfId="3130"/>
    <cellStyle name="강조색2 13" xfId="3131"/>
    <cellStyle name="강조색2 14" xfId="3132"/>
    <cellStyle name="강조색2 15" xfId="3133"/>
    <cellStyle name="강조색2 16" xfId="3134"/>
    <cellStyle name="강조색2 17" xfId="3135"/>
    <cellStyle name="강조색2 18" xfId="3136"/>
    <cellStyle name="강조색2 19" xfId="3137"/>
    <cellStyle name="강조색2 2" xfId="3138"/>
    <cellStyle name="강조색2 2 10" xfId="3139"/>
    <cellStyle name="강조색2 2 2" xfId="3140"/>
    <cellStyle name="강조색2 2 2 2" xfId="3141"/>
    <cellStyle name="강조색2 2 2 3" xfId="3142"/>
    <cellStyle name="강조색2 2 3" xfId="3143"/>
    <cellStyle name="강조색2 2 4" xfId="3144"/>
    <cellStyle name="강조색2 2 5" xfId="3145"/>
    <cellStyle name="강조색2 2 6" xfId="3146"/>
    <cellStyle name="강조색2 2 7" xfId="3147"/>
    <cellStyle name="강조색2 2 8" xfId="3148"/>
    <cellStyle name="강조색2 2 9" xfId="3149"/>
    <cellStyle name="강조색2 3" xfId="3150"/>
    <cellStyle name="강조색2 3 2" xfId="3151"/>
    <cellStyle name="강조색2 3 3" xfId="3152"/>
    <cellStyle name="강조색2 4" xfId="3153"/>
    <cellStyle name="강조색2 4 2" xfId="3154"/>
    <cellStyle name="강조색2 4 3" xfId="3155"/>
    <cellStyle name="강조색2 5" xfId="3156"/>
    <cellStyle name="강조색2 5 2" xfId="3157"/>
    <cellStyle name="강조색2 5 3" xfId="3158"/>
    <cellStyle name="강조색2 6" xfId="3159"/>
    <cellStyle name="강조색2 6 2" xfId="3160"/>
    <cellStyle name="강조색2 7" xfId="3161"/>
    <cellStyle name="강조색2 7 2" xfId="3162"/>
    <cellStyle name="강조색2 8" xfId="3163"/>
    <cellStyle name="강조색2 8 2" xfId="3164"/>
    <cellStyle name="강조색2 9" xfId="3165"/>
    <cellStyle name="강조색2 9 2" xfId="3166"/>
    <cellStyle name="강조색3 10" xfId="3167"/>
    <cellStyle name="강조색3 11" xfId="3168"/>
    <cellStyle name="강조색3 12" xfId="3169"/>
    <cellStyle name="강조색3 13" xfId="3170"/>
    <cellStyle name="강조색3 14" xfId="3171"/>
    <cellStyle name="강조색3 15" xfId="3172"/>
    <cellStyle name="강조색3 16" xfId="3173"/>
    <cellStyle name="강조색3 17" xfId="3174"/>
    <cellStyle name="강조색3 18" xfId="3175"/>
    <cellStyle name="강조색3 19" xfId="3176"/>
    <cellStyle name="강조색3 2" xfId="3177"/>
    <cellStyle name="강조색3 2 10" xfId="3178"/>
    <cellStyle name="강조색3 2 2" xfId="3179"/>
    <cellStyle name="강조색3 2 2 2" xfId="3180"/>
    <cellStyle name="강조색3 2 2 3" xfId="3181"/>
    <cellStyle name="강조색3 2 3" xfId="3182"/>
    <cellStyle name="강조색3 2 4" xfId="3183"/>
    <cellStyle name="강조색3 2 5" xfId="3184"/>
    <cellStyle name="강조색3 2 6" xfId="3185"/>
    <cellStyle name="강조색3 2 7" xfId="3186"/>
    <cellStyle name="강조색3 2 8" xfId="3187"/>
    <cellStyle name="강조색3 2 9" xfId="3188"/>
    <cellStyle name="강조색3 3" xfId="3189"/>
    <cellStyle name="강조색3 3 2" xfId="3190"/>
    <cellStyle name="강조색3 3 3" xfId="3191"/>
    <cellStyle name="강조색3 4" xfId="3192"/>
    <cellStyle name="강조색3 4 2" xfId="3193"/>
    <cellStyle name="강조색3 4 3" xfId="3194"/>
    <cellStyle name="강조색3 5" xfId="3195"/>
    <cellStyle name="강조색3 5 2" xfId="3196"/>
    <cellStyle name="강조색3 5 3" xfId="3197"/>
    <cellStyle name="강조색3 6" xfId="3198"/>
    <cellStyle name="강조색3 6 2" xfId="3199"/>
    <cellStyle name="강조색3 7" xfId="3200"/>
    <cellStyle name="강조색3 7 2" xfId="3201"/>
    <cellStyle name="강조색3 8" xfId="3202"/>
    <cellStyle name="강조색3 8 2" xfId="3203"/>
    <cellStyle name="강조색3 9" xfId="3204"/>
    <cellStyle name="강조색3 9 2" xfId="3205"/>
    <cellStyle name="강조색4 10" xfId="3206"/>
    <cellStyle name="강조색4 11" xfId="3207"/>
    <cellStyle name="강조색4 12" xfId="3208"/>
    <cellStyle name="강조색4 13" xfId="3209"/>
    <cellStyle name="강조색4 14" xfId="3210"/>
    <cellStyle name="강조색4 15" xfId="3211"/>
    <cellStyle name="강조색4 16" xfId="3212"/>
    <cellStyle name="강조색4 17" xfId="3213"/>
    <cellStyle name="강조색4 18" xfId="3214"/>
    <cellStyle name="강조색4 19" xfId="3215"/>
    <cellStyle name="강조색4 2" xfId="3216"/>
    <cellStyle name="강조색4 2 10" xfId="3217"/>
    <cellStyle name="강조색4 2 2" xfId="3218"/>
    <cellStyle name="강조색4 2 2 2" xfId="3219"/>
    <cellStyle name="강조색4 2 2 3" xfId="3220"/>
    <cellStyle name="강조색4 2 3" xfId="3221"/>
    <cellStyle name="강조색4 2 4" xfId="3222"/>
    <cellStyle name="강조색4 2 5" xfId="3223"/>
    <cellStyle name="강조색4 2 6" xfId="3224"/>
    <cellStyle name="강조색4 2 7" xfId="3225"/>
    <cellStyle name="강조색4 2 8" xfId="3226"/>
    <cellStyle name="강조색4 2 9" xfId="3227"/>
    <cellStyle name="강조색4 3" xfId="3228"/>
    <cellStyle name="강조색4 3 2" xfId="3229"/>
    <cellStyle name="강조색4 3 3" xfId="3230"/>
    <cellStyle name="강조색4 4" xfId="3231"/>
    <cellStyle name="강조색4 4 2" xfId="3232"/>
    <cellStyle name="강조색4 4 3" xfId="3233"/>
    <cellStyle name="강조색4 5" xfId="3234"/>
    <cellStyle name="강조색4 5 2" xfId="3235"/>
    <cellStyle name="강조색4 5 3" xfId="3236"/>
    <cellStyle name="강조색4 6" xfId="3237"/>
    <cellStyle name="강조색4 6 2" xfId="3238"/>
    <cellStyle name="강조색4 7" xfId="3239"/>
    <cellStyle name="강조색4 7 2" xfId="3240"/>
    <cellStyle name="강조색4 8" xfId="3241"/>
    <cellStyle name="강조색4 8 2" xfId="3242"/>
    <cellStyle name="강조색4 9" xfId="3243"/>
    <cellStyle name="강조색4 9 2" xfId="3244"/>
    <cellStyle name="강조색5 10" xfId="3245"/>
    <cellStyle name="강조색5 11" xfId="3246"/>
    <cellStyle name="강조색5 12" xfId="3247"/>
    <cellStyle name="강조색5 13" xfId="3248"/>
    <cellStyle name="강조색5 14" xfId="3249"/>
    <cellStyle name="강조색5 15" xfId="3250"/>
    <cellStyle name="강조색5 16" xfId="3251"/>
    <cellStyle name="강조색5 17" xfId="3252"/>
    <cellStyle name="강조색5 18" xfId="3253"/>
    <cellStyle name="강조색5 19" xfId="3254"/>
    <cellStyle name="강조색5 2" xfId="3255"/>
    <cellStyle name="강조색5 2 10" xfId="3256"/>
    <cellStyle name="강조색5 2 2" xfId="3257"/>
    <cellStyle name="강조색5 2 2 2" xfId="3258"/>
    <cellStyle name="강조색5 2 2 3" xfId="3259"/>
    <cellStyle name="강조색5 2 3" xfId="3260"/>
    <cellStyle name="강조색5 2 4" xfId="3261"/>
    <cellStyle name="강조색5 2 5" xfId="3262"/>
    <cellStyle name="강조색5 2 6" xfId="3263"/>
    <cellStyle name="강조색5 2 7" xfId="3264"/>
    <cellStyle name="강조색5 2 8" xfId="3265"/>
    <cellStyle name="강조색5 2 9" xfId="3266"/>
    <cellStyle name="강조색5 3" xfId="3267"/>
    <cellStyle name="강조색5 3 2" xfId="3268"/>
    <cellStyle name="강조색5 3 3" xfId="3269"/>
    <cellStyle name="강조색5 4" xfId="3270"/>
    <cellStyle name="강조색5 4 2" xfId="3271"/>
    <cellStyle name="강조색5 4 3" xfId="3272"/>
    <cellStyle name="강조색5 5" xfId="3273"/>
    <cellStyle name="강조색5 5 2" xfId="3274"/>
    <cellStyle name="강조색5 5 3" xfId="3275"/>
    <cellStyle name="강조색5 6" xfId="3276"/>
    <cellStyle name="강조색5 6 2" xfId="3277"/>
    <cellStyle name="강조색5 7" xfId="3278"/>
    <cellStyle name="강조색5 7 2" xfId="3279"/>
    <cellStyle name="강조색5 8" xfId="3280"/>
    <cellStyle name="강조색5 8 2" xfId="3281"/>
    <cellStyle name="강조색5 9" xfId="3282"/>
    <cellStyle name="강조색5 9 2" xfId="3283"/>
    <cellStyle name="강조색6 10" xfId="3284"/>
    <cellStyle name="강조색6 11" xfId="3285"/>
    <cellStyle name="강조색6 12" xfId="3286"/>
    <cellStyle name="강조색6 13" xfId="3287"/>
    <cellStyle name="강조색6 14" xfId="3288"/>
    <cellStyle name="강조색6 15" xfId="3289"/>
    <cellStyle name="강조색6 16" xfId="3290"/>
    <cellStyle name="강조색6 17" xfId="3291"/>
    <cellStyle name="강조색6 18" xfId="3292"/>
    <cellStyle name="강조색6 19" xfId="3293"/>
    <cellStyle name="강조색6 2" xfId="3294"/>
    <cellStyle name="강조색6 2 10" xfId="3295"/>
    <cellStyle name="강조색6 2 2" xfId="3296"/>
    <cellStyle name="강조색6 2 2 2" xfId="3297"/>
    <cellStyle name="강조색6 2 2 3" xfId="3298"/>
    <cellStyle name="강조색6 2 3" xfId="3299"/>
    <cellStyle name="강조색6 2 4" xfId="3300"/>
    <cellStyle name="강조색6 2 5" xfId="3301"/>
    <cellStyle name="강조색6 2 6" xfId="3302"/>
    <cellStyle name="강조색6 2 7" xfId="3303"/>
    <cellStyle name="강조색6 2 8" xfId="3304"/>
    <cellStyle name="강조색6 2 9" xfId="3305"/>
    <cellStyle name="강조색6 3" xfId="3306"/>
    <cellStyle name="강조색6 3 2" xfId="3307"/>
    <cellStyle name="강조색6 3 3" xfId="3308"/>
    <cellStyle name="강조색6 4" xfId="3309"/>
    <cellStyle name="강조색6 4 2" xfId="3310"/>
    <cellStyle name="강조색6 4 3" xfId="3311"/>
    <cellStyle name="강조색6 5" xfId="3312"/>
    <cellStyle name="강조색6 5 2" xfId="3313"/>
    <cellStyle name="강조색6 5 3" xfId="3314"/>
    <cellStyle name="강조색6 6" xfId="3315"/>
    <cellStyle name="강조색6 6 2" xfId="3316"/>
    <cellStyle name="강조색6 7" xfId="3317"/>
    <cellStyle name="강조색6 7 2" xfId="3318"/>
    <cellStyle name="강조색6 8" xfId="3319"/>
    <cellStyle name="강조색6 8 2" xfId="3320"/>
    <cellStyle name="강조색6 9" xfId="3321"/>
    <cellStyle name="강조색6 9 2" xfId="3322"/>
    <cellStyle name="견적" xfId="3323"/>
    <cellStyle name="경고문 10" xfId="3324"/>
    <cellStyle name="경고문 11" xfId="3325"/>
    <cellStyle name="경고문 12" xfId="3326"/>
    <cellStyle name="경고문 13" xfId="3327"/>
    <cellStyle name="경고문 14" xfId="3328"/>
    <cellStyle name="경고문 15" xfId="3329"/>
    <cellStyle name="경고문 16" xfId="3330"/>
    <cellStyle name="경고문 17" xfId="3331"/>
    <cellStyle name="경고문 18" xfId="3332"/>
    <cellStyle name="경고문 19" xfId="3333"/>
    <cellStyle name="경고문 2" xfId="3334"/>
    <cellStyle name="경고문 2 10" xfId="3335"/>
    <cellStyle name="경고문 2 2" xfId="3336"/>
    <cellStyle name="경고문 2 2 2" xfId="3337"/>
    <cellStyle name="경고문 2 2 3" xfId="3338"/>
    <cellStyle name="경고문 2 3" xfId="3339"/>
    <cellStyle name="경고문 2 4" xfId="3340"/>
    <cellStyle name="경고문 2 5" xfId="3341"/>
    <cellStyle name="경고문 2 6" xfId="3342"/>
    <cellStyle name="경고문 2 7" xfId="3343"/>
    <cellStyle name="경고문 2 8" xfId="3344"/>
    <cellStyle name="경고문 2 9" xfId="3345"/>
    <cellStyle name="경고문 3" xfId="3346"/>
    <cellStyle name="경고문 3 2" xfId="3347"/>
    <cellStyle name="경고문 3 3" xfId="3348"/>
    <cellStyle name="경고문 4" xfId="3349"/>
    <cellStyle name="경고문 4 2" xfId="3350"/>
    <cellStyle name="경고문 4 3" xfId="3351"/>
    <cellStyle name="경고문 5" xfId="3352"/>
    <cellStyle name="경고문 5 2" xfId="3353"/>
    <cellStyle name="경고문 5 3" xfId="3354"/>
    <cellStyle name="경고문 6" xfId="3355"/>
    <cellStyle name="경고문 6 2" xfId="3356"/>
    <cellStyle name="경고문 7" xfId="3357"/>
    <cellStyle name="경고문 7 2" xfId="3358"/>
    <cellStyle name="경고문 8" xfId="3359"/>
    <cellStyle name="경고문 8 2" xfId="3360"/>
    <cellStyle name="경고문 9" xfId="3361"/>
    <cellStyle name="경고문 9 2" xfId="3362"/>
    <cellStyle name="계산 10" xfId="3363"/>
    <cellStyle name="계산 11" xfId="3364"/>
    <cellStyle name="계산 12" xfId="3365"/>
    <cellStyle name="계산 13" xfId="3366"/>
    <cellStyle name="계산 14" xfId="3367"/>
    <cellStyle name="계산 15" xfId="3368"/>
    <cellStyle name="계산 16" xfId="3369"/>
    <cellStyle name="계산 17" xfId="3370"/>
    <cellStyle name="계산 18" xfId="3371"/>
    <cellStyle name="계산 19" xfId="3372"/>
    <cellStyle name="계산 2" xfId="3373"/>
    <cellStyle name="계산 2 10" xfId="3374"/>
    <cellStyle name="계산 2 2" xfId="3375"/>
    <cellStyle name="계산 2 2 2" xfId="3376"/>
    <cellStyle name="계산 2 2 3" xfId="3377"/>
    <cellStyle name="계산 2 3" xfId="3378"/>
    <cellStyle name="계산 2 4" xfId="3379"/>
    <cellStyle name="계산 2 5" xfId="3380"/>
    <cellStyle name="계산 2 6" xfId="3381"/>
    <cellStyle name="계산 2 7" xfId="3382"/>
    <cellStyle name="계산 2 8" xfId="3383"/>
    <cellStyle name="계산 2 9" xfId="3384"/>
    <cellStyle name="계산 3" xfId="3385"/>
    <cellStyle name="계산 3 2" xfId="3386"/>
    <cellStyle name="계산 3 3" xfId="3387"/>
    <cellStyle name="계산 4" xfId="3388"/>
    <cellStyle name="계산 4 2" xfId="3389"/>
    <cellStyle name="계산 4 3" xfId="3390"/>
    <cellStyle name="계산 5" xfId="3391"/>
    <cellStyle name="계산 5 2" xfId="3392"/>
    <cellStyle name="계산 5 3" xfId="3393"/>
    <cellStyle name="계산 6" xfId="3394"/>
    <cellStyle name="계산 6 2" xfId="3395"/>
    <cellStyle name="계산 7" xfId="3396"/>
    <cellStyle name="계산 7 2" xfId="3397"/>
    <cellStyle name="계산 8" xfId="3398"/>
    <cellStyle name="계산 8 2" xfId="3399"/>
    <cellStyle name="계산 9" xfId="3400"/>
    <cellStyle name="계산 9 2" xfId="3401"/>
    <cellStyle name="계약유지" xfId="3402"/>
    <cellStyle name="고정소숫점" xfId="3403"/>
    <cellStyle name="고정출력1" xfId="3404"/>
    <cellStyle name="고정출력2" xfId="3405"/>
    <cellStyle name="咬訌裝?INCOM1" xfId="3406"/>
    <cellStyle name="咬訌裝?INCOM10" xfId="3407"/>
    <cellStyle name="咬訌裝?INCOM2" xfId="3408"/>
    <cellStyle name="咬訌裝?INCOM3" xfId="3409"/>
    <cellStyle name="咬訌裝?INCOM4" xfId="3410"/>
    <cellStyle name="咬訌裝?INCOM5" xfId="3411"/>
    <cellStyle name="咬訌裝?INCOM6" xfId="3412"/>
    <cellStyle name="咬訌裝?INCOM7" xfId="3413"/>
    <cellStyle name="咬訌裝?INCOM8" xfId="3414"/>
    <cellStyle name="咬訌裝?INCOM9" xfId="3415"/>
    <cellStyle name="咬訌裝?PRIB11" xfId="3416"/>
    <cellStyle name="굵은항목" xfId="3417"/>
    <cellStyle name="금액" xfId="3418"/>
    <cellStyle name="긪귽긬?깏깛긏" xfId="3419"/>
    <cellStyle name="기계" xfId="3420"/>
    <cellStyle name="나쁨 10" xfId="3421"/>
    <cellStyle name="나쁨 11" xfId="3422"/>
    <cellStyle name="나쁨 12" xfId="3423"/>
    <cellStyle name="나쁨 13" xfId="3424"/>
    <cellStyle name="나쁨 14" xfId="3425"/>
    <cellStyle name="나쁨 15" xfId="3426"/>
    <cellStyle name="나쁨 16" xfId="3427"/>
    <cellStyle name="나쁨 17" xfId="3428"/>
    <cellStyle name="나쁨 18" xfId="3429"/>
    <cellStyle name="나쁨 19" xfId="3430"/>
    <cellStyle name="나쁨 2" xfId="3431"/>
    <cellStyle name="나쁨 2 10" xfId="3432"/>
    <cellStyle name="나쁨 2 2" xfId="3433"/>
    <cellStyle name="나쁨 2 2 2" xfId="3434"/>
    <cellStyle name="나쁨 2 2 3" xfId="3435"/>
    <cellStyle name="나쁨 2 3" xfId="3436"/>
    <cellStyle name="나쁨 2 4" xfId="3437"/>
    <cellStyle name="나쁨 2 5" xfId="3438"/>
    <cellStyle name="나쁨 2 6" xfId="3439"/>
    <cellStyle name="나쁨 2 7" xfId="3440"/>
    <cellStyle name="나쁨 2 8" xfId="3441"/>
    <cellStyle name="나쁨 2 9" xfId="3442"/>
    <cellStyle name="나쁨 3" xfId="3443"/>
    <cellStyle name="나쁨 3 2" xfId="3444"/>
    <cellStyle name="나쁨 3 3" xfId="3445"/>
    <cellStyle name="나쁨 4" xfId="3446"/>
    <cellStyle name="나쁨 4 2" xfId="3447"/>
    <cellStyle name="나쁨 4 3" xfId="3448"/>
    <cellStyle name="나쁨 5" xfId="3449"/>
    <cellStyle name="나쁨 5 2" xfId="3450"/>
    <cellStyle name="나쁨 5 3" xfId="3451"/>
    <cellStyle name="나쁨 6" xfId="3452"/>
    <cellStyle name="나쁨 6 2" xfId="3453"/>
    <cellStyle name="나쁨 7" xfId="3454"/>
    <cellStyle name="나쁨 7 2" xfId="3455"/>
    <cellStyle name="나쁨 8" xfId="3456"/>
    <cellStyle name="나쁨 8 2" xfId="3457"/>
    <cellStyle name="나쁨 9" xfId="3458"/>
    <cellStyle name="나쁨 9 2" xfId="3459"/>
    <cellStyle name="날짜" xfId="3460"/>
    <cellStyle name="내역서" xfId="3461"/>
    <cellStyle name="년도" xfId="3462"/>
    <cellStyle name="단위 : 백만원" xfId="3463"/>
    <cellStyle name="단위 : 원" xfId="3464"/>
    <cellStyle name="단위 : 천원" xfId="3465"/>
    <cellStyle name="달러" xfId="3466"/>
    <cellStyle name="동진 목차스타일1" xfId="3467"/>
    <cellStyle name="뒤에 오는 하이퍼링크" xfId="3468"/>
    <cellStyle name="똿뗦먛귟 [0.00]_9703JPY" xfId="3469"/>
    <cellStyle name="똿뗦먛귟_9703JPY" xfId="3470"/>
    <cellStyle name="메모 10" xfId="3471"/>
    <cellStyle name="메모 10 2" xfId="3472"/>
    <cellStyle name="메모 11" xfId="3473"/>
    <cellStyle name="메모 11 2" xfId="3474"/>
    <cellStyle name="메모 12" xfId="3475"/>
    <cellStyle name="메모 12 2" xfId="3476"/>
    <cellStyle name="메모 13" xfId="3477"/>
    <cellStyle name="메모 13 2" xfId="3478"/>
    <cellStyle name="메모 14" xfId="3479"/>
    <cellStyle name="메모 14 2" xfId="3480"/>
    <cellStyle name="메모 15" xfId="3481"/>
    <cellStyle name="메모 15 2" xfId="3482"/>
    <cellStyle name="메모 16" xfId="3483"/>
    <cellStyle name="메모 16 2" xfId="3484"/>
    <cellStyle name="메모 17" xfId="3485"/>
    <cellStyle name="메모 18" xfId="3486"/>
    <cellStyle name="메모 19" xfId="3487"/>
    <cellStyle name="메모 2" xfId="3488"/>
    <cellStyle name="메모 2 10" xfId="3489"/>
    <cellStyle name="메모 2 2" xfId="3490"/>
    <cellStyle name="메모 2 2 2" xfId="3491"/>
    <cellStyle name="메모 2 2 3" xfId="3492"/>
    <cellStyle name="메모 2 3" xfId="3493"/>
    <cellStyle name="메모 2 4" xfId="3494"/>
    <cellStyle name="메모 2 5" xfId="3495"/>
    <cellStyle name="메모 2 6" xfId="3496"/>
    <cellStyle name="메모 2 7" xfId="3497"/>
    <cellStyle name="메모 2 8" xfId="3498"/>
    <cellStyle name="메모 2 9" xfId="3499"/>
    <cellStyle name="메모 3" xfId="3500"/>
    <cellStyle name="메모 3 2" xfId="3501"/>
    <cellStyle name="메모 3 3" xfId="3502"/>
    <cellStyle name="메모 4" xfId="3503"/>
    <cellStyle name="메모 4 2" xfId="3504"/>
    <cellStyle name="메모 4 3" xfId="3505"/>
    <cellStyle name="메모 5" xfId="3506"/>
    <cellStyle name="메모 5 2" xfId="3507"/>
    <cellStyle name="메모 5 3" xfId="3508"/>
    <cellStyle name="메모 6" xfId="3509"/>
    <cellStyle name="메모 6 2" xfId="3510"/>
    <cellStyle name="메모 7" xfId="3511"/>
    <cellStyle name="메모 7 2" xfId="3512"/>
    <cellStyle name="메모 8" xfId="3513"/>
    <cellStyle name="메모 8 2" xfId="3514"/>
    <cellStyle name="메모 9" xfId="3515"/>
    <cellStyle name="메모 9 2" xfId="3516"/>
    <cellStyle name="명" xfId="3517"/>
    <cellStyle name="믅됞 [0.00]_9703JPY" xfId="3518"/>
    <cellStyle name="믅됞_9703JPY" xfId="3519"/>
    <cellStyle name="未定義" xfId="3520"/>
    <cellStyle name="백분율 [0]" xfId="3521"/>
    <cellStyle name="백분율 [2]" xfId="3522"/>
    <cellStyle name="백분율 10" xfId="3523"/>
    <cellStyle name="백분율 10 2" xfId="3524"/>
    <cellStyle name="백분율 100" xfId="3525"/>
    <cellStyle name="백분율 101" xfId="3526"/>
    <cellStyle name="백분율 102" xfId="3527"/>
    <cellStyle name="백분율 103" xfId="3528"/>
    <cellStyle name="백분율 104" xfId="3529"/>
    <cellStyle name="백분율 105" xfId="3530"/>
    <cellStyle name="백분율 106" xfId="3531"/>
    <cellStyle name="백분율 107" xfId="3532"/>
    <cellStyle name="백분율 108" xfId="3533"/>
    <cellStyle name="백분율 109" xfId="3534"/>
    <cellStyle name="백분율 11" xfId="3535"/>
    <cellStyle name="백분율 110" xfId="3536"/>
    <cellStyle name="백분율 111" xfId="3537"/>
    <cellStyle name="백분율 112" xfId="3538"/>
    <cellStyle name="백분율 113" xfId="3539"/>
    <cellStyle name="백분율 114" xfId="3540"/>
    <cellStyle name="백분율 115" xfId="3541"/>
    <cellStyle name="백분율 115 2" xfId="3542"/>
    <cellStyle name="백분율 115 2 2" xfId="3543"/>
    <cellStyle name="백분율 115 2 2 2" xfId="3544"/>
    <cellStyle name="백분율 115 2 2 2 2" xfId="3545"/>
    <cellStyle name="백분율 115 2 2 2 2 2" xfId="3546"/>
    <cellStyle name="백분율 115 2 2 2 3" xfId="3547"/>
    <cellStyle name="백분율 115 2 2 3" xfId="3548"/>
    <cellStyle name="백분율 115 2 2 3 2" xfId="3549"/>
    <cellStyle name="백분율 115 2 2 4" xfId="3550"/>
    <cellStyle name="백분율 115 2 3" xfId="3551"/>
    <cellStyle name="백분율 115 2 3 2" xfId="3552"/>
    <cellStyle name="백분율 115 2 3 2 2" xfId="3553"/>
    <cellStyle name="백분율 115 2 3 3" xfId="3554"/>
    <cellStyle name="백분율 115 2 4" xfId="3555"/>
    <cellStyle name="백분율 115 2 4 2" xfId="3556"/>
    <cellStyle name="백분율 115 2 5" xfId="3557"/>
    <cellStyle name="백분율 115 2 6" xfId="3558"/>
    <cellStyle name="백분율 115 2 7" xfId="3559"/>
    <cellStyle name="백분율 115 2 8" xfId="3560"/>
    <cellStyle name="백분율 115 3" xfId="3561"/>
    <cellStyle name="백분율 115 3 2" xfId="3562"/>
    <cellStyle name="백분율 115 3 2 2" xfId="3563"/>
    <cellStyle name="백분율 115 3 2 2 2" xfId="3564"/>
    <cellStyle name="백분율 115 3 2 3" xfId="3565"/>
    <cellStyle name="백분율 115 3 3" xfId="3566"/>
    <cellStyle name="백분율 115 3 3 2" xfId="3567"/>
    <cellStyle name="백분율 115 3 4" xfId="3568"/>
    <cellStyle name="백분율 115 3 5" xfId="3569"/>
    <cellStyle name="백분율 115 3 6" xfId="3570"/>
    <cellStyle name="백분율 115 3 7" xfId="3571"/>
    <cellStyle name="백분율 115 4" xfId="3572"/>
    <cellStyle name="백분율 115 4 2" xfId="3573"/>
    <cellStyle name="백분율 115 4 2 2" xfId="3574"/>
    <cellStyle name="백분율 115 4 3" xfId="3575"/>
    <cellStyle name="백분율 115 4 4" xfId="3576"/>
    <cellStyle name="백분율 115 4 5" xfId="3577"/>
    <cellStyle name="백분율 115 4 6" xfId="3578"/>
    <cellStyle name="백분율 115 5" xfId="3579"/>
    <cellStyle name="백분율 115 5 2" xfId="3580"/>
    <cellStyle name="백분율 115 6" xfId="3581"/>
    <cellStyle name="백분율 115 7" xfId="3582"/>
    <cellStyle name="백분율 115 8" xfId="3583"/>
    <cellStyle name="백분율 115 9" xfId="3584"/>
    <cellStyle name="백분율 116" xfId="3585"/>
    <cellStyle name="백분율 117" xfId="3586"/>
    <cellStyle name="백분율 12" xfId="3587"/>
    <cellStyle name="백분율 13" xfId="3588"/>
    <cellStyle name="백분율 14" xfId="3589"/>
    <cellStyle name="백분율 15" xfId="3590"/>
    <cellStyle name="백분율 16" xfId="3591"/>
    <cellStyle name="백분율 17" xfId="3592"/>
    <cellStyle name="백분율 18" xfId="3593"/>
    <cellStyle name="백분율 19" xfId="3594"/>
    <cellStyle name="백분율 2" xfId="3595"/>
    <cellStyle name="백분율 2 2" xfId="3596"/>
    <cellStyle name="백분율 2 2 2" xfId="3597"/>
    <cellStyle name="백분율 2 2 3" xfId="3598"/>
    <cellStyle name="백분율 2 3" xfId="3599"/>
    <cellStyle name="백분율 2 4" xfId="3600"/>
    <cellStyle name="백분율 2 5" xfId="3601"/>
    <cellStyle name="백분율 20" xfId="3602"/>
    <cellStyle name="백분율 21" xfId="3603"/>
    <cellStyle name="백분율 22" xfId="3604"/>
    <cellStyle name="백분율 23" xfId="3605"/>
    <cellStyle name="백분율 24" xfId="3606"/>
    <cellStyle name="백분율 25" xfId="3607"/>
    <cellStyle name="백분율 26" xfId="3608"/>
    <cellStyle name="백분율 27" xfId="3609"/>
    <cellStyle name="백분율 28" xfId="3610"/>
    <cellStyle name="백분율 29" xfId="3611"/>
    <cellStyle name="백분율 3" xfId="3612"/>
    <cellStyle name="백분율 3 2" xfId="3613"/>
    <cellStyle name="백분율 3 3" xfId="3614"/>
    <cellStyle name="백분율 30" xfId="3615"/>
    <cellStyle name="백분율 31" xfId="3616"/>
    <cellStyle name="백분율 32" xfId="3617"/>
    <cellStyle name="백분율 33" xfId="3618"/>
    <cellStyle name="백분율 34" xfId="3619"/>
    <cellStyle name="백분율 35" xfId="3620"/>
    <cellStyle name="백분율 36" xfId="3621"/>
    <cellStyle name="백분율 37" xfId="3622"/>
    <cellStyle name="백분율 38" xfId="3623"/>
    <cellStyle name="백분율 39" xfId="3624"/>
    <cellStyle name="백분율 4" xfId="3625"/>
    <cellStyle name="백분율 40" xfId="3626"/>
    <cellStyle name="백분율 41" xfId="3627"/>
    <cellStyle name="백분율 42" xfId="3628"/>
    <cellStyle name="백분율 43" xfId="3629"/>
    <cellStyle name="백분율 44" xfId="3630"/>
    <cellStyle name="백분율 45" xfId="3631"/>
    <cellStyle name="백분율 46" xfId="3632"/>
    <cellStyle name="백분율 47" xfId="3633"/>
    <cellStyle name="백분율 48" xfId="3634"/>
    <cellStyle name="백분율 49" xfId="3635"/>
    <cellStyle name="백분율 5" xfId="3636"/>
    <cellStyle name="백분율 50" xfId="3637"/>
    <cellStyle name="백분율 51" xfId="3638"/>
    <cellStyle name="백분율 52" xfId="3639"/>
    <cellStyle name="백분율 53" xfId="3640"/>
    <cellStyle name="백분율 54" xfId="3641"/>
    <cellStyle name="백분율 55" xfId="3642"/>
    <cellStyle name="백분율 56" xfId="3643"/>
    <cellStyle name="백분율 57" xfId="3644"/>
    <cellStyle name="백분율 58" xfId="3645"/>
    <cellStyle name="백분율 59" xfId="3646"/>
    <cellStyle name="백분율 6" xfId="3647"/>
    <cellStyle name="백분율 60" xfId="3648"/>
    <cellStyle name="백분율 61" xfId="3649"/>
    <cellStyle name="백분율 62" xfId="3650"/>
    <cellStyle name="백분율 63" xfId="3651"/>
    <cellStyle name="백분율 64" xfId="3652"/>
    <cellStyle name="백분율 65" xfId="3653"/>
    <cellStyle name="백분율 66" xfId="3654"/>
    <cellStyle name="백분율 67" xfId="3655"/>
    <cellStyle name="백분율 68" xfId="3656"/>
    <cellStyle name="백분율 69" xfId="3657"/>
    <cellStyle name="백분율 7" xfId="3658"/>
    <cellStyle name="백분율 70" xfId="3659"/>
    <cellStyle name="백분율 71" xfId="3660"/>
    <cellStyle name="백분율 72" xfId="3661"/>
    <cellStyle name="백분율 73" xfId="3662"/>
    <cellStyle name="백분율 74" xfId="3663"/>
    <cellStyle name="백분율 75" xfId="3664"/>
    <cellStyle name="백분율 76" xfId="3665"/>
    <cellStyle name="백분율 77" xfId="3666"/>
    <cellStyle name="백분율 78" xfId="3667"/>
    <cellStyle name="백분율 79" xfId="3668"/>
    <cellStyle name="백분율 8" xfId="3669"/>
    <cellStyle name="백분율 80" xfId="3670"/>
    <cellStyle name="백분율 81" xfId="3671"/>
    <cellStyle name="백분율 82" xfId="3672"/>
    <cellStyle name="백분율 83" xfId="3673"/>
    <cellStyle name="백분율 84" xfId="3674"/>
    <cellStyle name="백분율 85" xfId="3675"/>
    <cellStyle name="백분율 86" xfId="3676"/>
    <cellStyle name="백분율 87" xfId="3677"/>
    <cellStyle name="백분율 88" xfId="3678"/>
    <cellStyle name="백분율 89" xfId="3679"/>
    <cellStyle name="백분율 9" xfId="3680"/>
    <cellStyle name="백분율 90" xfId="3681"/>
    <cellStyle name="백분율 91" xfId="3682"/>
    <cellStyle name="백분율 92" xfId="3683"/>
    <cellStyle name="백분율 93" xfId="3684"/>
    <cellStyle name="백분율 94" xfId="3685"/>
    <cellStyle name="백분율 95" xfId="3686"/>
    <cellStyle name="백분율 96" xfId="3687"/>
    <cellStyle name="백분율 97" xfId="3688"/>
    <cellStyle name="백분율 98" xfId="3689"/>
    <cellStyle name="백분율 99" xfId="3690"/>
    <cellStyle name="백분율[1]" xfId="3691"/>
    <cellStyle name="백분율[2]" xfId="3692"/>
    <cellStyle name="백창콤마" xfId="3693"/>
    <cellStyle name="보통 10" xfId="3694"/>
    <cellStyle name="보통 11" xfId="3695"/>
    <cellStyle name="보통 12" xfId="3696"/>
    <cellStyle name="보통 13" xfId="3697"/>
    <cellStyle name="보통 14" xfId="3698"/>
    <cellStyle name="보통 15" xfId="3699"/>
    <cellStyle name="보통 16" xfId="3700"/>
    <cellStyle name="보통 17" xfId="3701"/>
    <cellStyle name="보통 18" xfId="3702"/>
    <cellStyle name="보통 19" xfId="3703"/>
    <cellStyle name="보통 2" xfId="3704"/>
    <cellStyle name="보통 2 10" xfId="3705"/>
    <cellStyle name="보통 2 2" xfId="3706"/>
    <cellStyle name="보통 2 2 2" xfId="3707"/>
    <cellStyle name="보통 2 2 3" xfId="3708"/>
    <cellStyle name="보통 2 3" xfId="3709"/>
    <cellStyle name="보통 2 4" xfId="3710"/>
    <cellStyle name="보통 2 5" xfId="3711"/>
    <cellStyle name="보통 2 6" xfId="3712"/>
    <cellStyle name="보통 2 7" xfId="3713"/>
    <cellStyle name="보통 2 8" xfId="3714"/>
    <cellStyle name="보통 2 9" xfId="3715"/>
    <cellStyle name="보통 3" xfId="3716"/>
    <cellStyle name="보통 3 2" xfId="3717"/>
    <cellStyle name="보통 3 3" xfId="3718"/>
    <cellStyle name="보통 4" xfId="3719"/>
    <cellStyle name="보통 4 2" xfId="3720"/>
    <cellStyle name="보통 4 3" xfId="3721"/>
    <cellStyle name="보통 5" xfId="3722"/>
    <cellStyle name="보통 5 2" xfId="3723"/>
    <cellStyle name="보통 5 3" xfId="3724"/>
    <cellStyle name="보통 6" xfId="3725"/>
    <cellStyle name="보통 6 2" xfId="3726"/>
    <cellStyle name="보통 7" xfId="3727"/>
    <cellStyle name="보통 7 2" xfId="3728"/>
    <cellStyle name="보통 8" xfId="3729"/>
    <cellStyle name="보통 8 2" xfId="3730"/>
    <cellStyle name="보통 9" xfId="3731"/>
    <cellStyle name="보통 9 2" xfId="3732"/>
    <cellStyle name="본사" xfId="3733"/>
    <cellStyle name="北02" xfId="3734"/>
    <cellStyle name="北cover1 (2)" xfId="3735"/>
    <cellStyle name="北Sheet1" xfId="3736"/>
    <cellStyle name="北Source Var Margin" xfId="3737"/>
    <cellStyle name="北tate" xfId="3738"/>
    <cellStyle name="北Volume (5-12)" xfId="3739"/>
    <cellStyle name="北Volume Model" xfId="3740"/>
    <cellStyle name="뷭?_ 뽑裳쾴C둖" xfId="3741"/>
    <cellStyle name="常规_ALL" xfId="3742"/>
    <cellStyle name="선택영역의 가운데로" xfId="3743"/>
    <cellStyle name="설명 텍스트 10" xfId="3744"/>
    <cellStyle name="설명 텍스트 11" xfId="3745"/>
    <cellStyle name="설명 텍스트 12" xfId="3746"/>
    <cellStyle name="설명 텍스트 13" xfId="3747"/>
    <cellStyle name="설명 텍스트 14" xfId="3748"/>
    <cellStyle name="설명 텍스트 15" xfId="3749"/>
    <cellStyle name="설명 텍스트 16" xfId="3750"/>
    <cellStyle name="설명 텍스트 17" xfId="3751"/>
    <cellStyle name="설명 텍스트 18" xfId="3752"/>
    <cellStyle name="설명 텍스트 19" xfId="3753"/>
    <cellStyle name="설명 텍스트 2" xfId="3754"/>
    <cellStyle name="설명 텍스트 2 10" xfId="3755"/>
    <cellStyle name="설명 텍스트 2 2" xfId="3756"/>
    <cellStyle name="설명 텍스트 2 2 2" xfId="3757"/>
    <cellStyle name="설명 텍스트 2 2 3" xfId="3758"/>
    <cellStyle name="설명 텍스트 2 3" xfId="3759"/>
    <cellStyle name="설명 텍스트 2 4" xfId="3760"/>
    <cellStyle name="설명 텍스트 2 5" xfId="3761"/>
    <cellStyle name="설명 텍스트 2 6" xfId="3762"/>
    <cellStyle name="설명 텍스트 2 7" xfId="3763"/>
    <cellStyle name="설명 텍스트 2 8" xfId="3764"/>
    <cellStyle name="설명 텍스트 2 9" xfId="3765"/>
    <cellStyle name="설명 텍스트 3" xfId="3766"/>
    <cellStyle name="설명 텍스트 3 2" xfId="3767"/>
    <cellStyle name="설명 텍스트 3 3" xfId="3768"/>
    <cellStyle name="설명 텍스트 4" xfId="3769"/>
    <cellStyle name="설명 텍스트 4 2" xfId="3770"/>
    <cellStyle name="설명 텍스트 4 3" xfId="3771"/>
    <cellStyle name="설명 텍스트 5" xfId="3772"/>
    <cellStyle name="설명 텍스트 5 2" xfId="3773"/>
    <cellStyle name="설명 텍스트 5 3" xfId="3774"/>
    <cellStyle name="설명 텍스트 6" xfId="3775"/>
    <cellStyle name="설명 텍스트 6 2" xfId="3776"/>
    <cellStyle name="설명 텍스트 7" xfId="3777"/>
    <cellStyle name="설명 텍스트 7 2" xfId="3778"/>
    <cellStyle name="설명 텍스트 8" xfId="3779"/>
    <cellStyle name="설명 텍스트 8 2" xfId="3780"/>
    <cellStyle name="설명 텍스트 9" xfId="3781"/>
    <cellStyle name="설명 텍스트 9 2" xfId="3782"/>
    <cellStyle name="셀 확인 10" xfId="3783"/>
    <cellStyle name="셀 확인 11" xfId="3784"/>
    <cellStyle name="셀 확인 12" xfId="3785"/>
    <cellStyle name="셀 확인 13" xfId="3786"/>
    <cellStyle name="셀 확인 14" xfId="3787"/>
    <cellStyle name="셀 확인 15" xfId="3788"/>
    <cellStyle name="셀 확인 16" xfId="3789"/>
    <cellStyle name="셀 확인 17" xfId="3790"/>
    <cellStyle name="셀 확인 18" xfId="3791"/>
    <cellStyle name="셀 확인 19" xfId="3792"/>
    <cellStyle name="셀 확인 2" xfId="3793"/>
    <cellStyle name="셀 확인 2 10" xfId="3794"/>
    <cellStyle name="셀 확인 2 2" xfId="3795"/>
    <cellStyle name="셀 확인 2 2 2" xfId="3796"/>
    <cellStyle name="셀 확인 2 2 3" xfId="3797"/>
    <cellStyle name="셀 확인 2 3" xfId="3798"/>
    <cellStyle name="셀 확인 2 4" xfId="3799"/>
    <cellStyle name="셀 확인 2 5" xfId="3800"/>
    <cellStyle name="셀 확인 2 6" xfId="3801"/>
    <cellStyle name="셀 확인 2 7" xfId="3802"/>
    <cellStyle name="셀 확인 2 8" xfId="3803"/>
    <cellStyle name="셀 확인 2 9" xfId="3804"/>
    <cellStyle name="셀 확인 3" xfId="3805"/>
    <cellStyle name="셀 확인 3 2" xfId="3806"/>
    <cellStyle name="셀 확인 3 3" xfId="3807"/>
    <cellStyle name="셀 확인 4" xfId="3808"/>
    <cellStyle name="셀 확인 4 2" xfId="3809"/>
    <cellStyle name="셀 확인 4 3" xfId="3810"/>
    <cellStyle name="셀 확인 5" xfId="3811"/>
    <cellStyle name="셀 확인 5 2" xfId="3812"/>
    <cellStyle name="셀 확인 5 3" xfId="3813"/>
    <cellStyle name="셀 확인 6" xfId="3814"/>
    <cellStyle name="셀 확인 6 2" xfId="3815"/>
    <cellStyle name="셀 확인 7" xfId="3816"/>
    <cellStyle name="셀 확인 7 2" xfId="3817"/>
    <cellStyle name="셀 확인 8" xfId="3818"/>
    <cellStyle name="셀 확인 8 2" xfId="3819"/>
    <cellStyle name="셀 확인 9" xfId="3820"/>
    <cellStyle name="셀 확인 9 2" xfId="3821"/>
    <cellStyle name="셈迷?XLS!check_filesche|_x0005_" xfId="3822"/>
    <cellStyle name="소제목" xfId="3823"/>
    <cellStyle name="수량" xfId="3824"/>
    <cellStyle name="숫자" xfId="3825"/>
    <cellStyle name="숫자(R)" xfId="3826"/>
    <cellStyle name="숫자_☆☆실사리포트작성안(실사팀종합)" xfId="3827"/>
    <cellStyle name="쉼표 [0]" xfId="1" builtinId="6"/>
    <cellStyle name="쉼표 [0] 10" xfId="3828"/>
    <cellStyle name="쉼표 [0] 2" xfId="3829"/>
    <cellStyle name="쉼표 [0] 2 2" xfId="3"/>
    <cellStyle name="쉼표 [0] 2 2 2" xfId="3830"/>
    <cellStyle name="쉼표 [0] 2 2 3" xfId="3831"/>
    <cellStyle name="쉼표 [0] 2 2 3 2" xfId="3832"/>
    <cellStyle name="쉼표 [0] 2 2 4" xfId="3833"/>
    <cellStyle name="쉼표 [0] 2 2 4 2" xfId="3834"/>
    <cellStyle name="쉼표 [0] 2 2 4 3" xfId="3835"/>
    <cellStyle name="쉼표 [0] 2 2 4 4" xfId="3836"/>
    <cellStyle name="쉼표 [0] 2 3" xfId="3837"/>
    <cellStyle name="쉼표 [0] 2 4" xfId="3838"/>
    <cellStyle name="쉼표 [0] 2 5" xfId="3839"/>
    <cellStyle name="쉼표 [0] 2 6" xfId="3840"/>
    <cellStyle name="쉼표 [0] 3" xfId="3841"/>
    <cellStyle name="쉼표 [0] 3 2" xfId="3842"/>
    <cellStyle name="쉼표 [0] 3 3" xfId="3843"/>
    <cellStyle name="쉼표 [0] 3 4" xfId="3844"/>
    <cellStyle name="쉼표 [0] 3 4 2" xfId="3845"/>
    <cellStyle name="쉼표 [0] 4" xfId="3846"/>
    <cellStyle name="쉼표 [0] 5" xfId="3847"/>
    <cellStyle name="쉼표 [0] 5 2 2" xfId="3848"/>
    <cellStyle name="쉼표 [0] 6" xfId="3849"/>
    <cellStyle name="쉼표 [0] 7" xfId="3850"/>
    <cellStyle name="쉼표 [0] 7 2" xfId="3851"/>
    <cellStyle name="쉼표 [0] 7 2 10" xfId="3852"/>
    <cellStyle name="쉼표 [0] 7 2 11" xfId="3853"/>
    <cellStyle name="쉼표 [0] 7 2 11 2" xfId="3854"/>
    <cellStyle name="쉼표 [0] 7 2 2" xfId="3855"/>
    <cellStyle name="쉼표 [0] 7 2 2 2" xfId="3856"/>
    <cellStyle name="쉼표 [0] 7 2 2 2 2" xfId="3857"/>
    <cellStyle name="쉼표 [0] 7 2 2 2 2 2" xfId="3858"/>
    <cellStyle name="쉼표 [0] 7 2 2 2 3" xfId="3859"/>
    <cellStyle name="쉼표 [0] 7 2 2 3" xfId="3860"/>
    <cellStyle name="쉼표 [0] 7 2 2 3 2" xfId="3861"/>
    <cellStyle name="쉼표 [0] 7 2 2 4" xfId="3862"/>
    <cellStyle name="쉼표 [0] 7 2 2 5" xfId="3863"/>
    <cellStyle name="쉼표 [0] 7 2 2 6" xfId="3864"/>
    <cellStyle name="쉼표 [0] 7 2 2 7" xfId="3865"/>
    <cellStyle name="쉼표 [0] 7 2 3" xfId="3866"/>
    <cellStyle name="쉼표 [0] 7 2 3 2" xfId="3867"/>
    <cellStyle name="쉼표 [0] 7 2 3 2 2" xfId="3868"/>
    <cellStyle name="쉼표 [0] 7 2 3 3" xfId="3869"/>
    <cellStyle name="쉼표 [0] 7 2 3 4" xfId="3870"/>
    <cellStyle name="쉼표 [0] 7 2 3 5" xfId="3871"/>
    <cellStyle name="쉼표 [0] 7 2 3 6" xfId="3872"/>
    <cellStyle name="쉼표 [0] 7 2 4" xfId="3873"/>
    <cellStyle name="쉼표 [0] 7 2 4 2" xfId="3874"/>
    <cellStyle name="쉼표 [0] 7 2 5" xfId="3875"/>
    <cellStyle name="쉼표 [0] 7 2 6" xfId="3876"/>
    <cellStyle name="쉼표 [0] 7 2 6 2" xfId="3877"/>
    <cellStyle name="쉼표 [0] 7 2 7" xfId="3878"/>
    <cellStyle name="쉼표 [0] 7 2 8" xfId="3879"/>
    <cellStyle name="쉼표 [0] 7 2 9" xfId="3880"/>
    <cellStyle name="쉼표 [0] 7 3" xfId="3881"/>
    <cellStyle name="쉼표 [0] 7 3 2" xfId="3882"/>
    <cellStyle name="쉼표 [0] 7 3 2 2" xfId="3883"/>
    <cellStyle name="쉼표 [0] 7 3 2 2 2" xfId="3884"/>
    <cellStyle name="쉼표 [0] 7 3 2 3" xfId="3885"/>
    <cellStyle name="쉼표 [0] 7 3 2 4" xfId="3886"/>
    <cellStyle name="쉼표 [0] 7 3 2 5" xfId="3887"/>
    <cellStyle name="쉼표 [0] 7 3 2 6" xfId="3888"/>
    <cellStyle name="쉼표 [0] 7 3 3" xfId="3889"/>
    <cellStyle name="쉼표 [0] 7 3 3 2" xfId="3890"/>
    <cellStyle name="쉼표 [0] 7 3 4" xfId="3891"/>
    <cellStyle name="쉼표 [0] 7 3 5" xfId="3892"/>
    <cellStyle name="쉼표 [0] 7 3 6" xfId="3893"/>
    <cellStyle name="쉼표 [0] 7 3 7" xfId="3894"/>
    <cellStyle name="쉼표 [0] 7 4" xfId="3895"/>
    <cellStyle name="쉼표 [0] 7 4 2" xfId="3896"/>
    <cellStyle name="쉼표 [0] 7 4 2 2" xfId="3897"/>
    <cellStyle name="쉼표 [0] 7 4 3" xfId="3898"/>
    <cellStyle name="쉼표 [0] 7 4 4" xfId="3899"/>
    <cellStyle name="쉼표 [0] 7 4 5" xfId="3900"/>
    <cellStyle name="쉼표 [0] 7 4 6" xfId="3901"/>
    <cellStyle name="쉼표 [0] 7 5" xfId="3902"/>
    <cellStyle name="쉼표 [0] 7 5 2" xfId="3903"/>
    <cellStyle name="쉼표 [0] 7 5 3" xfId="3904"/>
    <cellStyle name="쉼표 [0] 7 5 4" xfId="3905"/>
    <cellStyle name="쉼표 [0] 7 5 5" xfId="3906"/>
    <cellStyle name="쉼표 [0] 7 6" xfId="3907"/>
    <cellStyle name="쉼표 [0] 7 6 2" xfId="3908"/>
    <cellStyle name="쉼표 [0] 7 6 3" xfId="3909"/>
    <cellStyle name="쉼표 [0] 7 6 4" xfId="3910"/>
    <cellStyle name="쉼표 [0] 7 7" xfId="3911"/>
    <cellStyle name="쉼표 [0] 7 8" xfId="3912"/>
    <cellStyle name="쉼표 [0] 7 9" xfId="3913"/>
    <cellStyle name="쉼표 [0] 8" xfId="3914"/>
    <cellStyle name="쉼표 [0] 9" xfId="3915"/>
    <cellStyle name="쉼표 [0] 9 2" xfId="3916"/>
    <cellStyle name="쉼표 2" xfId="3917"/>
    <cellStyle name="쉼표 3" xfId="3918"/>
    <cellStyle name="쉼표 4" xfId="3919"/>
    <cellStyle name="쉼표 5" xfId="3920"/>
    <cellStyle name="쉼표 6" xfId="3921"/>
    <cellStyle name="쉼표 7" xfId="3922"/>
    <cellStyle name="쉼표 8" xfId="3923"/>
    <cellStyle name="스타일 1" xfId="3924"/>
    <cellStyle name="스타일 1 2" xfId="3925"/>
    <cellStyle name="신규계약" xfId="3926"/>
    <cellStyle name="안건회계법인" xfId="3927"/>
    <cellStyle name="연결된 셀 10" xfId="3928"/>
    <cellStyle name="연결된 셀 11" xfId="3929"/>
    <cellStyle name="연결된 셀 12" xfId="3930"/>
    <cellStyle name="연결된 셀 13" xfId="3931"/>
    <cellStyle name="연결된 셀 14" xfId="3932"/>
    <cellStyle name="연결된 셀 15" xfId="3933"/>
    <cellStyle name="연결된 셀 16" xfId="3934"/>
    <cellStyle name="연결된 셀 17" xfId="3935"/>
    <cellStyle name="연결된 셀 18" xfId="3936"/>
    <cellStyle name="연결된 셀 19" xfId="3937"/>
    <cellStyle name="연결된 셀 2" xfId="3938"/>
    <cellStyle name="연결된 셀 2 10" xfId="3939"/>
    <cellStyle name="연결된 셀 2 2" xfId="3940"/>
    <cellStyle name="연결된 셀 2 2 2" xfId="3941"/>
    <cellStyle name="연결된 셀 2 2 3" xfId="3942"/>
    <cellStyle name="연결된 셀 2 3" xfId="3943"/>
    <cellStyle name="연결된 셀 2 4" xfId="3944"/>
    <cellStyle name="연결된 셀 2 5" xfId="3945"/>
    <cellStyle name="연결된 셀 2 6" xfId="3946"/>
    <cellStyle name="연결된 셀 2 7" xfId="3947"/>
    <cellStyle name="연결된 셀 2 8" xfId="3948"/>
    <cellStyle name="연결된 셀 2 9" xfId="3949"/>
    <cellStyle name="연결된 셀 3" xfId="3950"/>
    <cellStyle name="연결된 셀 3 2" xfId="3951"/>
    <cellStyle name="연결된 셀 3 3" xfId="3952"/>
    <cellStyle name="연결된 셀 4" xfId="3953"/>
    <cellStyle name="연결된 셀 4 2" xfId="3954"/>
    <cellStyle name="연결된 셀 4 3" xfId="3955"/>
    <cellStyle name="연결된 셀 5" xfId="3956"/>
    <cellStyle name="연결된 셀 5 2" xfId="3957"/>
    <cellStyle name="연결된 셀 5 3" xfId="3958"/>
    <cellStyle name="연결된 셀 6" xfId="3959"/>
    <cellStyle name="연결된 셀 6 2" xfId="3960"/>
    <cellStyle name="연결된 셀 7" xfId="3961"/>
    <cellStyle name="연결된 셀 7 2" xfId="3962"/>
    <cellStyle name="연결된 셀 8" xfId="3963"/>
    <cellStyle name="연결된 셀 8 2" xfId="3964"/>
    <cellStyle name="연결된 셀 9" xfId="3965"/>
    <cellStyle name="연결된 셀 9 2" xfId="3966"/>
    <cellStyle name="요약 10" xfId="3967"/>
    <cellStyle name="요약 11" xfId="3968"/>
    <cellStyle name="요약 12" xfId="3969"/>
    <cellStyle name="요약 13" xfId="3970"/>
    <cellStyle name="요약 14" xfId="3971"/>
    <cellStyle name="요약 15" xfId="3972"/>
    <cellStyle name="요약 16" xfId="3973"/>
    <cellStyle name="요약 17" xfId="3974"/>
    <cellStyle name="요약 18" xfId="3975"/>
    <cellStyle name="요약 19" xfId="3976"/>
    <cellStyle name="요약 2" xfId="3977"/>
    <cellStyle name="요약 2 10" xfId="3978"/>
    <cellStyle name="요약 2 2" xfId="3979"/>
    <cellStyle name="요약 2 2 2" xfId="3980"/>
    <cellStyle name="요약 2 2 3" xfId="3981"/>
    <cellStyle name="요약 2 3" xfId="3982"/>
    <cellStyle name="요약 2 4" xfId="3983"/>
    <cellStyle name="요약 2 5" xfId="3984"/>
    <cellStyle name="요약 2 6" xfId="3985"/>
    <cellStyle name="요약 2 7" xfId="3986"/>
    <cellStyle name="요약 2 8" xfId="3987"/>
    <cellStyle name="요약 2 9" xfId="3988"/>
    <cellStyle name="요약 3" xfId="3989"/>
    <cellStyle name="요약 3 2" xfId="3990"/>
    <cellStyle name="요약 3 3" xfId="3991"/>
    <cellStyle name="요약 4" xfId="3992"/>
    <cellStyle name="요약 4 2" xfId="3993"/>
    <cellStyle name="요약 4 3" xfId="3994"/>
    <cellStyle name="요약 5" xfId="3995"/>
    <cellStyle name="요약 5 2" xfId="3996"/>
    <cellStyle name="요약 5 3" xfId="3997"/>
    <cellStyle name="요약 6" xfId="3998"/>
    <cellStyle name="요약 6 2" xfId="3999"/>
    <cellStyle name="요약 7" xfId="4000"/>
    <cellStyle name="요약 7 2" xfId="4001"/>
    <cellStyle name="요약 8" xfId="4002"/>
    <cellStyle name="요약 8 2" xfId="4003"/>
    <cellStyle name="요약 9" xfId="4004"/>
    <cellStyle name="요약 9 2" xfId="4005"/>
    <cellStyle name="원" xfId="4006"/>
    <cellStyle name="원 2" xfId="4007"/>
    <cellStyle name="원 3" xfId="4008"/>
    <cellStyle name="원_1996220 Volund 07" xfId="4009"/>
    <cellStyle name="원_204503 46 MADITA(28.12.2010)" xfId="4010"/>
    <cellStyle name="원_자재부계획초안" xfId="4012"/>
    <cellStyle name="원_자재부계획초안 2" xfId="4013"/>
    <cellStyle name="원_자재부계획초안 3" xfId="4014"/>
    <cellStyle name="원_자재부계획초안_1996220 Volund 07" xfId="4015"/>
    <cellStyle name="원_자재부계획초안_204503 46 MADITA(28.12.2010)" xfId="4016"/>
    <cellStyle name="원_자재부계획초안_DUAL JKT (08.04.2011)" xfId="4017"/>
    <cellStyle name="원_DUAL JKT (08.04.2011)" xfId="4011"/>
    <cellStyle name="一般_00Q3902REV.1" xfId="4018"/>
    <cellStyle name="입력 10" xfId="4019"/>
    <cellStyle name="입력 11" xfId="4020"/>
    <cellStyle name="입력 12" xfId="4021"/>
    <cellStyle name="입력 13" xfId="4022"/>
    <cellStyle name="입력 14" xfId="4023"/>
    <cellStyle name="입력 15" xfId="4024"/>
    <cellStyle name="입력 16" xfId="4025"/>
    <cellStyle name="입력 17" xfId="4026"/>
    <cellStyle name="입력 18" xfId="4027"/>
    <cellStyle name="입력 19" xfId="4028"/>
    <cellStyle name="입력 2" xfId="4029"/>
    <cellStyle name="입력 2 10" xfId="4030"/>
    <cellStyle name="입력 2 2" xfId="4031"/>
    <cellStyle name="입력 2 2 2" xfId="4032"/>
    <cellStyle name="입력 2 2 3" xfId="4033"/>
    <cellStyle name="입력 2 3" xfId="4034"/>
    <cellStyle name="입력 2 4" xfId="4035"/>
    <cellStyle name="입력 2 5" xfId="4036"/>
    <cellStyle name="입력 2 6" xfId="4037"/>
    <cellStyle name="입력 2 7" xfId="4038"/>
    <cellStyle name="입력 2 8" xfId="4039"/>
    <cellStyle name="입력 2 9" xfId="4040"/>
    <cellStyle name="입력 3" xfId="4041"/>
    <cellStyle name="입력 3 2" xfId="4042"/>
    <cellStyle name="입력 3 3" xfId="4043"/>
    <cellStyle name="입력 4" xfId="4044"/>
    <cellStyle name="입력 4 2" xfId="4045"/>
    <cellStyle name="입력 4 3" xfId="4046"/>
    <cellStyle name="입력 5" xfId="4047"/>
    <cellStyle name="입력 5 2" xfId="4048"/>
    <cellStyle name="입력 5 3" xfId="4049"/>
    <cellStyle name="입력 6" xfId="4050"/>
    <cellStyle name="입력 6 2" xfId="4051"/>
    <cellStyle name="입력 7" xfId="4052"/>
    <cellStyle name="입력 7 2" xfId="4053"/>
    <cellStyle name="입력 8" xfId="4054"/>
    <cellStyle name="입력 8 2" xfId="4055"/>
    <cellStyle name="입력 9" xfId="4056"/>
    <cellStyle name="입력 9 2" xfId="4057"/>
    <cellStyle name="자리수" xfId="4058"/>
    <cellStyle name="자리수0" xfId="4059"/>
    <cellStyle name="재계약" xfId="4060"/>
    <cellStyle name="제목 1 10" xfId="4061"/>
    <cellStyle name="제목 1 11" xfId="4062"/>
    <cellStyle name="제목 1 12" xfId="4063"/>
    <cellStyle name="제목 1 13" xfId="4064"/>
    <cellStyle name="제목 1 14" xfId="4065"/>
    <cellStyle name="제목 1 15" xfId="4066"/>
    <cellStyle name="제목 1 16" xfId="4067"/>
    <cellStyle name="제목 1 17" xfId="4068"/>
    <cellStyle name="제목 1 18" xfId="4069"/>
    <cellStyle name="제목 1 19" xfId="4070"/>
    <cellStyle name="제목 1 2" xfId="4071"/>
    <cellStyle name="제목 1 2 10" xfId="4072"/>
    <cellStyle name="제목 1 2 2" xfId="4073"/>
    <cellStyle name="제목 1 2 2 2" xfId="4074"/>
    <cellStyle name="제목 1 2 2 3" xfId="4075"/>
    <cellStyle name="제목 1 2 3" xfId="4076"/>
    <cellStyle name="제목 1 2 4" xfId="4077"/>
    <cellStyle name="제목 1 2 5" xfId="4078"/>
    <cellStyle name="제목 1 2 6" xfId="4079"/>
    <cellStyle name="제목 1 2 7" xfId="4080"/>
    <cellStyle name="제목 1 2 8" xfId="4081"/>
    <cellStyle name="제목 1 2 9" xfId="4082"/>
    <cellStyle name="제목 1 3" xfId="4083"/>
    <cellStyle name="제목 1 3 2" xfId="4084"/>
    <cellStyle name="제목 1 3 3" xfId="4085"/>
    <cellStyle name="제목 1 4" xfId="4086"/>
    <cellStyle name="제목 1 4 2" xfId="4087"/>
    <cellStyle name="제목 1 4 3" xfId="4088"/>
    <cellStyle name="제목 1 5" xfId="4089"/>
    <cellStyle name="제목 1 5 2" xfId="4090"/>
    <cellStyle name="제목 1 5 3" xfId="4091"/>
    <cellStyle name="제목 1 6" xfId="4092"/>
    <cellStyle name="제목 1 6 2" xfId="4093"/>
    <cellStyle name="제목 1 7" xfId="4094"/>
    <cellStyle name="제목 1 7 2" xfId="4095"/>
    <cellStyle name="제목 1 8" xfId="4096"/>
    <cellStyle name="제목 1 8 2" xfId="4097"/>
    <cellStyle name="제목 1 9" xfId="4098"/>
    <cellStyle name="제목 1 9 2" xfId="4099"/>
    <cellStyle name="제목 10" xfId="4100"/>
    <cellStyle name="제목 10 2" xfId="4101"/>
    <cellStyle name="제목 11" xfId="4102"/>
    <cellStyle name="제목 11 2" xfId="4103"/>
    <cellStyle name="제목 12" xfId="4104"/>
    <cellStyle name="제목 12 2" xfId="4105"/>
    <cellStyle name="제목 13" xfId="4106"/>
    <cellStyle name="제목 14" xfId="4107"/>
    <cellStyle name="제목 15" xfId="4108"/>
    <cellStyle name="제목 16" xfId="4109"/>
    <cellStyle name="제목 17" xfId="4110"/>
    <cellStyle name="제목 18" xfId="4111"/>
    <cellStyle name="제목 19" xfId="4112"/>
    <cellStyle name="제목 2 10" xfId="4113"/>
    <cellStyle name="제목 2 11" xfId="4114"/>
    <cellStyle name="제목 2 12" xfId="4115"/>
    <cellStyle name="제목 2 13" xfId="4116"/>
    <cellStyle name="제목 2 14" xfId="4117"/>
    <cellStyle name="제목 2 15" xfId="4118"/>
    <cellStyle name="제목 2 16" xfId="4119"/>
    <cellStyle name="제목 2 17" xfId="4120"/>
    <cellStyle name="제목 2 18" xfId="4121"/>
    <cellStyle name="제목 2 19" xfId="4122"/>
    <cellStyle name="제목 2 2" xfId="4123"/>
    <cellStyle name="제목 2 2 10" xfId="4124"/>
    <cellStyle name="제목 2 2 2" xfId="4125"/>
    <cellStyle name="제목 2 2 2 2" xfId="4126"/>
    <cellStyle name="제목 2 2 2 3" xfId="4127"/>
    <cellStyle name="제목 2 2 3" xfId="4128"/>
    <cellStyle name="제목 2 2 4" xfId="4129"/>
    <cellStyle name="제목 2 2 5" xfId="4130"/>
    <cellStyle name="제목 2 2 6" xfId="4131"/>
    <cellStyle name="제목 2 2 7" xfId="4132"/>
    <cellStyle name="제목 2 2 8" xfId="4133"/>
    <cellStyle name="제목 2 2 9" xfId="4134"/>
    <cellStyle name="제목 2 3" xfId="4135"/>
    <cellStyle name="제목 2 3 2" xfId="4136"/>
    <cellStyle name="제목 2 3 3" xfId="4137"/>
    <cellStyle name="제목 2 4" xfId="4138"/>
    <cellStyle name="제목 2 4 2" xfId="4139"/>
    <cellStyle name="제목 2 4 3" xfId="4140"/>
    <cellStyle name="제목 2 5" xfId="4141"/>
    <cellStyle name="제목 2 5 2" xfId="4142"/>
    <cellStyle name="제목 2 5 3" xfId="4143"/>
    <cellStyle name="제목 2 6" xfId="4144"/>
    <cellStyle name="제목 2 6 2" xfId="4145"/>
    <cellStyle name="제목 2 7" xfId="4146"/>
    <cellStyle name="제목 2 7 2" xfId="4147"/>
    <cellStyle name="제목 2 8" xfId="4148"/>
    <cellStyle name="제목 2 8 2" xfId="4149"/>
    <cellStyle name="제목 2 9" xfId="4150"/>
    <cellStyle name="제목 2 9 2" xfId="4151"/>
    <cellStyle name="제목 20" xfId="4152"/>
    <cellStyle name="제목 21" xfId="4153"/>
    <cellStyle name="제목 22" xfId="4154"/>
    <cellStyle name="제목 3 10" xfId="4155"/>
    <cellStyle name="제목 3 11" xfId="4156"/>
    <cellStyle name="제목 3 12" xfId="4157"/>
    <cellStyle name="제목 3 13" xfId="4158"/>
    <cellStyle name="제목 3 14" xfId="4159"/>
    <cellStyle name="제목 3 15" xfId="4160"/>
    <cellStyle name="제목 3 16" xfId="4161"/>
    <cellStyle name="제목 3 17" xfId="4162"/>
    <cellStyle name="제목 3 18" xfId="4163"/>
    <cellStyle name="제목 3 19" xfId="4164"/>
    <cellStyle name="제목 3 2" xfId="4165"/>
    <cellStyle name="제목 3 2 10" xfId="4166"/>
    <cellStyle name="제목 3 2 2" xfId="4167"/>
    <cellStyle name="제목 3 2 2 2" xfId="4168"/>
    <cellStyle name="제목 3 2 2 3" xfId="4169"/>
    <cellStyle name="제목 3 2 3" xfId="4170"/>
    <cellStyle name="제목 3 2 4" xfId="4171"/>
    <cellStyle name="제목 3 2 5" xfId="4172"/>
    <cellStyle name="제목 3 2 6" xfId="4173"/>
    <cellStyle name="제목 3 2 7" xfId="4174"/>
    <cellStyle name="제목 3 2 8" xfId="4175"/>
    <cellStyle name="제목 3 2 9" xfId="4176"/>
    <cellStyle name="제목 3 3" xfId="4177"/>
    <cellStyle name="제목 3 3 2" xfId="4178"/>
    <cellStyle name="제목 3 3 3" xfId="4179"/>
    <cellStyle name="제목 3 4" xfId="4180"/>
    <cellStyle name="제목 3 4 2" xfId="4181"/>
    <cellStyle name="제목 3 4 3" xfId="4182"/>
    <cellStyle name="제목 3 5" xfId="4183"/>
    <cellStyle name="제목 3 5 2" xfId="4184"/>
    <cellStyle name="제목 3 5 3" xfId="4185"/>
    <cellStyle name="제목 3 6" xfId="4186"/>
    <cellStyle name="제목 3 6 2" xfId="4187"/>
    <cellStyle name="제목 3 7" xfId="4188"/>
    <cellStyle name="제목 3 7 2" xfId="4189"/>
    <cellStyle name="제목 3 8" xfId="4190"/>
    <cellStyle name="제목 3 8 2" xfId="4191"/>
    <cellStyle name="제목 3 9" xfId="4192"/>
    <cellStyle name="제목 3 9 2" xfId="4193"/>
    <cellStyle name="제목 4 10" xfId="4194"/>
    <cellStyle name="제목 4 11" xfId="4195"/>
    <cellStyle name="제목 4 12" xfId="4196"/>
    <cellStyle name="제목 4 13" xfId="4197"/>
    <cellStyle name="제목 4 14" xfId="4198"/>
    <cellStyle name="제목 4 15" xfId="4199"/>
    <cellStyle name="제목 4 16" xfId="4200"/>
    <cellStyle name="제목 4 17" xfId="4201"/>
    <cellStyle name="제목 4 18" xfId="4202"/>
    <cellStyle name="제목 4 19" xfId="4203"/>
    <cellStyle name="제목 4 2" xfId="4204"/>
    <cellStyle name="제목 4 2 10" xfId="4205"/>
    <cellStyle name="제목 4 2 2" xfId="4206"/>
    <cellStyle name="제목 4 2 2 2" xfId="4207"/>
    <cellStyle name="제목 4 2 2 3" xfId="4208"/>
    <cellStyle name="제목 4 2 3" xfId="4209"/>
    <cellStyle name="제목 4 2 4" xfId="4210"/>
    <cellStyle name="제목 4 2 5" xfId="4211"/>
    <cellStyle name="제목 4 2 6" xfId="4212"/>
    <cellStyle name="제목 4 2 7" xfId="4213"/>
    <cellStyle name="제목 4 2 8" xfId="4214"/>
    <cellStyle name="제목 4 2 9" xfId="4215"/>
    <cellStyle name="제목 4 3" xfId="4216"/>
    <cellStyle name="제목 4 3 2" xfId="4217"/>
    <cellStyle name="제목 4 3 3" xfId="4218"/>
    <cellStyle name="제목 4 4" xfId="4219"/>
    <cellStyle name="제목 4 4 2" xfId="4220"/>
    <cellStyle name="제목 4 4 3" xfId="4221"/>
    <cellStyle name="제목 4 5" xfId="4222"/>
    <cellStyle name="제목 4 5 2" xfId="4223"/>
    <cellStyle name="제목 4 5 3" xfId="4224"/>
    <cellStyle name="제목 4 6" xfId="4225"/>
    <cellStyle name="제목 4 6 2" xfId="4226"/>
    <cellStyle name="제목 4 7" xfId="4227"/>
    <cellStyle name="제목 4 7 2" xfId="4228"/>
    <cellStyle name="제목 4 8" xfId="4229"/>
    <cellStyle name="제목 4 8 2" xfId="4230"/>
    <cellStyle name="제목 4 9" xfId="4231"/>
    <cellStyle name="제목 4 9 2" xfId="4232"/>
    <cellStyle name="제목 5" xfId="4233"/>
    <cellStyle name="제목 5 10" xfId="4234"/>
    <cellStyle name="제목 5 2" xfId="4235"/>
    <cellStyle name="제목 5 2 2" xfId="4236"/>
    <cellStyle name="제목 5 2 3" xfId="4237"/>
    <cellStyle name="제목 5 3" xfId="4238"/>
    <cellStyle name="제목 5 4" xfId="4239"/>
    <cellStyle name="제목 5 5" xfId="4240"/>
    <cellStyle name="제목 5 6" xfId="4241"/>
    <cellStyle name="제목 5 7" xfId="4242"/>
    <cellStyle name="제목 5 8" xfId="4243"/>
    <cellStyle name="제목 5 9" xfId="4244"/>
    <cellStyle name="제목 6" xfId="4245"/>
    <cellStyle name="제목 6 2" xfId="4246"/>
    <cellStyle name="제목 6 3" xfId="4247"/>
    <cellStyle name="제목 7" xfId="4248"/>
    <cellStyle name="제목 7 2" xfId="4249"/>
    <cellStyle name="제목 7 3" xfId="4250"/>
    <cellStyle name="제목 8" xfId="4251"/>
    <cellStyle name="제목 8 2" xfId="4252"/>
    <cellStyle name="제목 8 3" xfId="4253"/>
    <cellStyle name="제목 9" xfId="4254"/>
    <cellStyle name="제목 9 2" xfId="4255"/>
    <cellStyle name="좋음 10" xfId="4256"/>
    <cellStyle name="좋음 11" xfId="4257"/>
    <cellStyle name="좋음 12" xfId="4258"/>
    <cellStyle name="좋음 13" xfId="4259"/>
    <cellStyle name="좋음 14" xfId="4260"/>
    <cellStyle name="좋음 15" xfId="4261"/>
    <cellStyle name="좋음 16" xfId="4262"/>
    <cellStyle name="좋음 17" xfId="4263"/>
    <cellStyle name="좋음 18" xfId="4264"/>
    <cellStyle name="좋음 19" xfId="4265"/>
    <cellStyle name="좋음 2" xfId="4266"/>
    <cellStyle name="좋음 2 10" xfId="4267"/>
    <cellStyle name="좋음 2 2" xfId="4268"/>
    <cellStyle name="좋음 2 2 2" xfId="4269"/>
    <cellStyle name="좋음 2 2 3" xfId="4270"/>
    <cellStyle name="좋음 2 3" xfId="4271"/>
    <cellStyle name="좋음 2 4" xfId="4272"/>
    <cellStyle name="좋음 2 5" xfId="4273"/>
    <cellStyle name="좋음 2 6" xfId="4274"/>
    <cellStyle name="좋음 2 7" xfId="4275"/>
    <cellStyle name="좋음 2 8" xfId="4276"/>
    <cellStyle name="좋음 2 9" xfId="4277"/>
    <cellStyle name="좋음 3" xfId="4278"/>
    <cellStyle name="좋음 3 2" xfId="4279"/>
    <cellStyle name="좋음 3 3" xfId="4280"/>
    <cellStyle name="좋음 4" xfId="4281"/>
    <cellStyle name="좋음 4 2" xfId="4282"/>
    <cellStyle name="좋음 4 3" xfId="4283"/>
    <cellStyle name="좋음 5" xfId="4284"/>
    <cellStyle name="좋음 5 2" xfId="4285"/>
    <cellStyle name="좋음 5 3" xfId="4286"/>
    <cellStyle name="좋음 6" xfId="4287"/>
    <cellStyle name="좋음 6 2" xfId="4288"/>
    <cellStyle name="좋음 7" xfId="4289"/>
    <cellStyle name="좋음 7 2" xfId="4290"/>
    <cellStyle name="좋음 8" xfId="4291"/>
    <cellStyle name="좋음 8 2" xfId="4292"/>
    <cellStyle name="좋음 9" xfId="4293"/>
    <cellStyle name="좋음 9 2" xfId="4294"/>
    <cellStyle name="지정되지 않음" xfId="4295"/>
    <cellStyle name="千分位[0]_00Q3902REV.1" xfId="4297"/>
    <cellStyle name="千分位_00Q3902REV.1" xfId="4298"/>
    <cellStyle name="千位分隔[0]_single country of origin document" xfId="4299"/>
    <cellStyle name="千位分隔_Sheet1" xfId="4300"/>
    <cellStyle name="仟cc" xfId="4296"/>
    <cellStyle name="출력 10" xfId="4301"/>
    <cellStyle name="출력 11" xfId="4302"/>
    <cellStyle name="출력 12" xfId="4303"/>
    <cellStyle name="출력 13" xfId="4304"/>
    <cellStyle name="출력 14" xfId="4305"/>
    <cellStyle name="출력 15" xfId="4306"/>
    <cellStyle name="출력 16" xfId="4307"/>
    <cellStyle name="출력 17" xfId="4308"/>
    <cellStyle name="출력 18" xfId="4309"/>
    <cellStyle name="출력 19" xfId="4310"/>
    <cellStyle name="출력 2" xfId="4311"/>
    <cellStyle name="출력 2 10" xfId="4312"/>
    <cellStyle name="출력 2 2" xfId="4313"/>
    <cellStyle name="출력 2 2 2" xfId="4314"/>
    <cellStyle name="출력 2 2 3" xfId="4315"/>
    <cellStyle name="출력 2 3" xfId="4316"/>
    <cellStyle name="출력 2 4" xfId="4317"/>
    <cellStyle name="출력 2 5" xfId="4318"/>
    <cellStyle name="출력 2 6" xfId="4319"/>
    <cellStyle name="출력 2 7" xfId="4320"/>
    <cellStyle name="출력 2 8" xfId="4321"/>
    <cellStyle name="출력 2 9" xfId="4322"/>
    <cellStyle name="출력 3" xfId="4323"/>
    <cellStyle name="출력 3 2" xfId="4324"/>
    <cellStyle name="출력 3 3" xfId="4325"/>
    <cellStyle name="출력 4" xfId="4326"/>
    <cellStyle name="출력 4 2" xfId="4327"/>
    <cellStyle name="출력 4 3" xfId="4328"/>
    <cellStyle name="출력 5" xfId="4329"/>
    <cellStyle name="출력 5 2" xfId="4330"/>
    <cellStyle name="출력 5 3" xfId="4331"/>
    <cellStyle name="출력 6" xfId="4332"/>
    <cellStyle name="출력 6 2" xfId="4333"/>
    <cellStyle name="출력 7" xfId="4334"/>
    <cellStyle name="출력 7 2" xfId="4335"/>
    <cellStyle name="출력 8" xfId="4336"/>
    <cellStyle name="출력 8 2" xfId="4337"/>
    <cellStyle name="출력 9" xfId="4338"/>
    <cellStyle name="출력 9 2" xfId="4339"/>
    <cellStyle name="콤냡?&lt;_x000f_$??: `1_1 " xfId="4340"/>
    <cellStyle name="콤냡?&lt;_x000f_$??:_x0009_`1_1 " xfId="4341"/>
    <cellStyle name="콤마 [0]_  종  합  " xfId="4342"/>
    <cellStyle name="콤마 [1]" xfId="4343"/>
    <cellStyle name="콤마 [2]" xfId="4344"/>
    <cellStyle name="콤마,_x0005__x0014_" xfId="4345"/>
    <cellStyle name="콤마,_x0005__x0014_ 2" xfId="4346"/>
    <cellStyle name="콤마,_x0005__x0014__09FW주간판매(1026)" xfId="4347"/>
    <cellStyle name="콤마[0]" xfId="4348"/>
    <cellStyle name="콤마_  종  합  " xfId="4349"/>
    <cellStyle name="通貨 [0.00]_Ratio98" xfId="4350"/>
    <cellStyle name="통화 [0] 2" xfId="4351"/>
    <cellStyle name="통화 [0] 2 2" xfId="4352"/>
    <cellStyle name="통화 [0] 2 3" xfId="4353"/>
    <cellStyle name="통화 [0] 2 3 2" xfId="4354"/>
    <cellStyle name="통화 [0] 3" xfId="4355"/>
    <cellStyle name="통화 [0] 3 2" xfId="4356"/>
    <cellStyle name="통화 [0] 4" xfId="4357"/>
    <cellStyle name="통화 [0] 4 2" xfId="4358"/>
    <cellStyle name="통화 [0] 4 2 10" xfId="4359"/>
    <cellStyle name="통화 [0] 4 2 11" xfId="4360"/>
    <cellStyle name="통화 [0] 4 2 11 2" xfId="4361"/>
    <cellStyle name="통화 [0] 4 2 2" xfId="4362"/>
    <cellStyle name="통화 [0] 4 2 2 2" xfId="4363"/>
    <cellStyle name="통화 [0] 4 2 2 2 2" xfId="4364"/>
    <cellStyle name="통화 [0] 4 2 2 2 2 2" xfId="4365"/>
    <cellStyle name="통화 [0] 4 2 2 2 3" xfId="4366"/>
    <cellStyle name="통화 [0] 4 2 2 3" xfId="4367"/>
    <cellStyle name="통화 [0] 4 2 2 3 2" xfId="4368"/>
    <cellStyle name="통화 [0] 4 2 2 4" xfId="4369"/>
    <cellStyle name="통화 [0] 4 2 2 5" xfId="4370"/>
    <cellStyle name="통화 [0] 4 2 2 6" xfId="4371"/>
    <cellStyle name="통화 [0] 4 2 2 7" xfId="4372"/>
    <cellStyle name="통화 [0] 4 2 3" xfId="4373"/>
    <cellStyle name="통화 [0] 4 2 3 2" xfId="4374"/>
    <cellStyle name="통화 [0] 4 2 3 2 2" xfId="4375"/>
    <cellStyle name="통화 [0] 4 2 3 3" xfId="4376"/>
    <cellStyle name="통화 [0] 4 2 4" xfId="4377"/>
    <cellStyle name="통화 [0] 4 2 4 2" xfId="4378"/>
    <cellStyle name="통화 [0] 4 2 5" xfId="4379"/>
    <cellStyle name="통화 [0] 4 2 6" xfId="4380"/>
    <cellStyle name="통화 [0] 4 2 6 2" xfId="4381"/>
    <cellStyle name="통화 [0] 4 2 7" xfId="4382"/>
    <cellStyle name="통화 [0] 4 2 8" xfId="4383"/>
    <cellStyle name="통화 [0] 4 2 9" xfId="4384"/>
    <cellStyle name="통화 [0] 4 3" xfId="4385"/>
    <cellStyle name="통화 [0] 4 3 2" xfId="4386"/>
    <cellStyle name="통화 [0] 4 3 2 2" xfId="4387"/>
    <cellStyle name="통화 [0] 4 3 2 2 2" xfId="4388"/>
    <cellStyle name="통화 [0] 4 3 2 3" xfId="4389"/>
    <cellStyle name="통화 [0] 4 3 2 4" xfId="4390"/>
    <cellStyle name="통화 [0] 4 3 2 5" xfId="4391"/>
    <cellStyle name="통화 [0] 4 3 2 6" xfId="4392"/>
    <cellStyle name="통화 [0] 4 3 3" xfId="4393"/>
    <cellStyle name="통화 [0] 4 3 3 2" xfId="4394"/>
    <cellStyle name="통화 [0] 4 3 4" xfId="4395"/>
    <cellStyle name="통화 [0] 4 3 5" xfId="4396"/>
    <cellStyle name="통화 [0] 4 3 6" xfId="4397"/>
    <cellStyle name="통화 [0] 4 3 7" xfId="4398"/>
    <cellStyle name="통화 [0] 4 4" xfId="4399"/>
    <cellStyle name="통화 [0] 4 4 2" xfId="4400"/>
    <cellStyle name="통화 [0] 4 4 2 2" xfId="4401"/>
    <cellStyle name="통화 [0] 4 4 3" xfId="4402"/>
    <cellStyle name="통화 [0] 4 4 4" xfId="4403"/>
    <cellStyle name="통화 [0] 4 4 5" xfId="4404"/>
    <cellStyle name="통화 [0] 4 4 6" xfId="4405"/>
    <cellStyle name="통화 [0] 4 5" xfId="4406"/>
    <cellStyle name="통화 [0] 4 5 2" xfId="4407"/>
    <cellStyle name="통화 [0] 4 5 3" xfId="4408"/>
    <cellStyle name="통화 [0] 4 5 4" xfId="4409"/>
    <cellStyle name="통화 [0] 4 5 5" xfId="4410"/>
    <cellStyle name="통화 [0] 4 6" xfId="4411"/>
    <cellStyle name="통화 [0] 4 6 2" xfId="4412"/>
    <cellStyle name="통화 [0] 4 6 3" xfId="4413"/>
    <cellStyle name="통화 [0] 4 6 4" xfId="4414"/>
    <cellStyle name="통화 [0] 4 7" xfId="4415"/>
    <cellStyle name="통화 [0] 4 8" xfId="4416"/>
    <cellStyle name="통화 [0] 4 9" xfId="4417"/>
    <cellStyle name="通貨_!!!GO" xfId="4418"/>
    <cellStyle name="퍼센트" xfId="4419"/>
    <cellStyle name="表示済みのハイパー??ク" xfId="4420"/>
    <cellStyle name="表示済みのハイパーリンク" xfId="4421"/>
    <cellStyle name="표준" xfId="0" builtinId="0"/>
    <cellStyle name="표준 10" xfId="4422"/>
    <cellStyle name="표준 10 2" xfId="4423"/>
    <cellStyle name="표준 10 3" xfId="4424"/>
    <cellStyle name="표준 10 4" xfId="4425"/>
    <cellStyle name="표준 11" xfId="4426"/>
    <cellStyle name="표준 11 2" xfId="4427"/>
    <cellStyle name="표준 11 3" xfId="4428"/>
    <cellStyle name="표준 11 3 2" xfId="4429"/>
    <cellStyle name="표준 11 4" xfId="4430"/>
    <cellStyle name="표준 11 5" xfId="4431"/>
    <cellStyle name="표준 12" xfId="4432"/>
    <cellStyle name="표준 12 2" xfId="4433"/>
    <cellStyle name="표준 12 3" xfId="4434"/>
    <cellStyle name="표준 13" xfId="4435"/>
    <cellStyle name="표준 13 2" xfId="4436"/>
    <cellStyle name="표준 13 3" xfId="4437"/>
    <cellStyle name="표준 14" xfId="4438"/>
    <cellStyle name="표준 14 2" xfId="4439"/>
    <cellStyle name="표준 15" xfId="4440"/>
    <cellStyle name="표준 15 2" xfId="4441"/>
    <cellStyle name="표준 15 3" xfId="4442"/>
    <cellStyle name="표준 16" xfId="4443"/>
    <cellStyle name="표준 16 10" xfId="4444"/>
    <cellStyle name="표준 16 2" xfId="4445"/>
    <cellStyle name="표준 16 3" xfId="4446"/>
    <cellStyle name="표준 16 3 2" xfId="4447"/>
    <cellStyle name="표준 16 3 2 2" xfId="4448"/>
    <cellStyle name="표준 16 3 2 2 2" xfId="4449"/>
    <cellStyle name="표준 16 3 2 2 2 2" xfId="4450"/>
    <cellStyle name="표준 16 3 2 2 3" xfId="4451"/>
    <cellStyle name="표준 16 3 2 3" xfId="4452"/>
    <cellStyle name="표준 16 3 2 3 2" xfId="4453"/>
    <cellStyle name="표준 16 3 2 4" xfId="4454"/>
    <cellStyle name="표준 16 3 2 5" xfId="4455"/>
    <cellStyle name="표준 16 3 2 6" xfId="4456"/>
    <cellStyle name="표준 16 3 2 7" xfId="4457"/>
    <cellStyle name="표준 16 3 3" xfId="4458"/>
    <cellStyle name="표준 16 3 3 2" xfId="4459"/>
    <cellStyle name="표준 16 3 3 2 2" xfId="4460"/>
    <cellStyle name="표준 16 3 3 3" xfId="4461"/>
    <cellStyle name="표준 16 3 4" xfId="4462"/>
    <cellStyle name="표준 16 3 4 2" xfId="4463"/>
    <cellStyle name="표준 16 3 5" xfId="4464"/>
    <cellStyle name="표준 16 3 6" xfId="4465"/>
    <cellStyle name="표준 16 3 7" xfId="4466"/>
    <cellStyle name="표준 16 3 8" xfId="4467"/>
    <cellStyle name="표준 16 4" xfId="4468"/>
    <cellStyle name="표준 16 4 2" xfId="4469"/>
    <cellStyle name="표준 16 4 2 2" xfId="4470"/>
    <cellStyle name="표준 16 4 2 2 2" xfId="4471"/>
    <cellStyle name="표준 16 4 2 3" xfId="4472"/>
    <cellStyle name="표준 16 4 2 4" xfId="4473"/>
    <cellStyle name="표준 16 4 2 5" xfId="4474"/>
    <cellStyle name="표준 16 4 2 6" xfId="4475"/>
    <cellStyle name="표준 16 4 3" xfId="4476"/>
    <cellStyle name="표준 16 4 3 2" xfId="4477"/>
    <cellStyle name="표준 16 4 4" xfId="4478"/>
    <cellStyle name="표준 16 4 5" xfId="4479"/>
    <cellStyle name="표준 16 4 6" xfId="4480"/>
    <cellStyle name="표준 16 4 7" xfId="4481"/>
    <cellStyle name="표준 16 5" xfId="4482"/>
    <cellStyle name="표준 16 5 2" xfId="4483"/>
    <cellStyle name="표준 16 5 2 2" xfId="4484"/>
    <cellStyle name="표준 16 5 3" xfId="4485"/>
    <cellStyle name="표준 16 5 4" xfId="4486"/>
    <cellStyle name="표준 16 5 5" xfId="4487"/>
    <cellStyle name="표준 16 5 6" xfId="4488"/>
    <cellStyle name="표준 16 6" xfId="4489"/>
    <cellStyle name="표준 16 6 2" xfId="4490"/>
    <cellStyle name="표준 16 7" xfId="4491"/>
    <cellStyle name="표준 16 8" xfId="4492"/>
    <cellStyle name="표준 16 9" xfId="4493"/>
    <cellStyle name="표준 17" xfId="4494"/>
    <cellStyle name="표준 18" xfId="4495"/>
    <cellStyle name="표준 19" xfId="4496"/>
    <cellStyle name="표준 19 2" xfId="4497"/>
    <cellStyle name="표준 2" xfId="2"/>
    <cellStyle name="표준 2 10" xfId="4498"/>
    <cellStyle name="표준 2 10 2" xfId="4499"/>
    <cellStyle name="표준 2 10 3" xfId="4500"/>
    <cellStyle name="표준 2 11" xfId="4501"/>
    <cellStyle name="표준 2 11 2" xfId="4502"/>
    <cellStyle name="표준 2 11 3" xfId="4503"/>
    <cellStyle name="표준 2 12" xfId="4504"/>
    <cellStyle name="표준 2 12 2" xfId="4505"/>
    <cellStyle name="표준 2 12 3" xfId="4506"/>
    <cellStyle name="표준 2 13" xfId="4507"/>
    <cellStyle name="표준 2 13 2" xfId="4508"/>
    <cellStyle name="표준 2 13 3" xfId="4509"/>
    <cellStyle name="표준 2 14" xfId="4510"/>
    <cellStyle name="표준 2 14 2" xfId="4511"/>
    <cellStyle name="표준 2 14 3" xfId="4512"/>
    <cellStyle name="표준 2 15" xfId="4513"/>
    <cellStyle name="표준 2 16" xfId="4514"/>
    <cellStyle name="표준 2 17" xfId="4515"/>
    <cellStyle name="표준 2 18" xfId="4516"/>
    <cellStyle name="표준 2 19" xfId="4517"/>
    <cellStyle name="표준 2 2" xfId="4518"/>
    <cellStyle name="표준 2 2 10" xfId="4519"/>
    <cellStyle name="표준 2 2 11" xfId="4520"/>
    <cellStyle name="표준 2 2 12" xfId="4521"/>
    <cellStyle name="표준 2 2 13" xfId="4522"/>
    <cellStyle name="표준 2 2 14" xfId="4523"/>
    <cellStyle name="표준 2 2 15" xfId="4524"/>
    <cellStyle name="표준 2 2 16" xfId="4525"/>
    <cellStyle name="표준 2 2 17" xfId="4526"/>
    <cellStyle name="표준 2 2 18" xfId="4527"/>
    <cellStyle name="표준 2 2 19" xfId="4528"/>
    <cellStyle name="표준 2 2 2" xfId="4529"/>
    <cellStyle name="표준 2 2 2 2" xfId="4530"/>
    <cellStyle name="표준 2 2 2 2 2" xfId="4531"/>
    <cellStyle name="표준 2 2 2 2 3" xfId="4532"/>
    <cellStyle name="표준 2 2 2 2 4" xfId="4533"/>
    <cellStyle name="표준 2 2 2 2 5" xfId="4534"/>
    <cellStyle name="표준 2 2 2 2 6" xfId="4535"/>
    <cellStyle name="표준 2 2 2 2 7" xfId="4536"/>
    <cellStyle name="표준 2 2 2 2 8" xfId="4537"/>
    <cellStyle name="표준 2 2 2 3" xfId="4538"/>
    <cellStyle name="표준 2 2 2 4" xfId="4539"/>
    <cellStyle name="표준 2 2 2 5" xfId="4540"/>
    <cellStyle name="표준 2 2 2 6" xfId="4541"/>
    <cellStyle name="표준 2 2 2 7" xfId="4542"/>
    <cellStyle name="표준 2 2 20" xfId="4543"/>
    <cellStyle name="표준 2 2 21" xfId="4544"/>
    <cellStyle name="표준 2 2 22" xfId="4545"/>
    <cellStyle name="표준 2 2 23" xfId="4546"/>
    <cellStyle name="표준 2 2 24" xfId="4547"/>
    <cellStyle name="표준 2 2 25" xfId="4548"/>
    <cellStyle name="표준 2 2 26" xfId="4549"/>
    <cellStyle name="표준 2 2 3" xfId="4550"/>
    <cellStyle name="표준 2 2 4" xfId="4551"/>
    <cellStyle name="표준 2 2 5" xfId="4552"/>
    <cellStyle name="표준 2 2 6" xfId="4553"/>
    <cellStyle name="표준 2 2 7" xfId="4554"/>
    <cellStyle name="표준 2 2 8" xfId="4555"/>
    <cellStyle name="표준 2 2 9" xfId="4556"/>
    <cellStyle name="표준 2 20" xfId="4557"/>
    <cellStyle name="표준 2 21" xfId="4558"/>
    <cellStyle name="표준 2 22" xfId="4559"/>
    <cellStyle name="표준 2 23" xfId="4560"/>
    <cellStyle name="표준 2 24" xfId="4561"/>
    <cellStyle name="표준 2 25" xfId="4562"/>
    <cellStyle name="표준 2 26" xfId="4563"/>
    <cellStyle name="표준 2 3" xfId="4564"/>
    <cellStyle name="표준 2 3 10" xfId="4565"/>
    <cellStyle name="표준 2 3 11" xfId="4566"/>
    <cellStyle name="표준 2 3 12" xfId="4567"/>
    <cellStyle name="표준 2 3 13" xfId="4568"/>
    <cellStyle name="표준 2 3 14" xfId="4569"/>
    <cellStyle name="표준 2 3 15" xfId="4570"/>
    <cellStyle name="표준 2 3 16" xfId="4571"/>
    <cellStyle name="표준 2 3 17" xfId="4572"/>
    <cellStyle name="표준 2 3 18" xfId="4573"/>
    <cellStyle name="표준 2 3 19" xfId="4574"/>
    <cellStyle name="표준 2 3 2" xfId="4575"/>
    <cellStyle name="표준 2 3 2 2" xfId="4576"/>
    <cellStyle name="표준 2 3 2 2 2" xfId="4577"/>
    <cellStyle name="표준 2 3 2 2 3" xfId="4578"/>
    <cellStyle name="표준 2 3 2 2 4" xfId="4579"/>
    <cellStyle name="표준 2 3 2 2 5" xfId="4580"/>
    <cellStyle name="표준 2 3 2 2 6" xfId="4581"/>
    <cellStyle name="표준 2 3 2 2 7" xfId="4582"/>
    <cellStyle name="표준 2 3 2 3" xfId="4583"/>
    <cellStyle name="표준 2 3 2 4" xfId="4584"/>
    <cellStyle name="표준 2 3 2 5" xfId="4585"/>
    <cellStyle name="표준 2 3 2 6" xfId="4586"/>
    <cellStyle name="표준 2 3 2 7" xfId="4587"/>
    <cellStyle name="표준 2 3 20" xfId="4588"/>
    <cellStyle name="표준 2 3 21" xfId="4589"/>
    <cellStyle name="표준 2 3 22" xfId="4590"/>
    <cellStyle name="표준 2 3 23" xfId="4591"/>
    <cellStyle name="표준 2 3 24" xfId="4592"/>
    <cellStyle name="표준 2 3 3" xfId="4593"/>
    <cellStyle name="표준 2 3 4" xfId="4594"/>
    <cellStyle name="표준 2 3 5" xfId="4595"/>
    <cellStyle name="표준 2 3 6" xfId="4596"/>
    <cellStyle name="표준 2 3 7" xfId="4597"/>
    <cellStyle name="표준 2 3 8" xfId="4598"/>
    <cellStyle name="표준 2 3 9" xfId="4599"/>
    <cellStyle name="표준 2 4" xfId="4600"/>
    <cellStyle name="표준 2 4 10" xfId="4601"/>
    <cellStyle name="표준 2 4 11" xfId="4602"/>
    <cellStyle name="표준 2 4 12" xfId="4603"/>
    <cellStyle name="표준 2 4 13" xfId="4604"/>
    <cellStyle name="표준 2 4 14" xfId="4605"/>
    <cellStyle name="표준 2 4 2" xfId="4606"/>
    <cellStyle name="표준 2 4 3" xfId="4607"/>
    <cellStyle name="표준 2 4 4" xfId="4608"/>
    <cellStyle name="표준 2 4 5" xfId="4609"/>
    <cellStyle name="표준 2 4 6" xfId="4610"/>
    <cellStyle name="표준 2 4 7" xfId="4611"/>
    <cellStyle name="표준 2 4 8" xfId="4612"/>
    <cellStyle name="표준 2 4 9" xfId="4613"/>
    <cellStyle name="표준 2 5" xfId="4614"/>
    <cellStyle name="표준 2 5 2" xfId="4615"/>
    <cellStyle name="표준 2 5 3" xfId="4616"/>
    <cellStyle name="표준 2 5 4" xfId="4617"/>
    <cellStyle name="표준 2 6" xfId="4618"/>
    <cellStyle name="표준 2 6 2" xfId="4619"/>
    <cellStyle name="표준 2 7" xfId="4620"/>
    <cellStyle name="표준 2 7 2" xfId="4621"/>
    <cellStyle name="표준 2 7 3" xfId="4622"/>
    <cellStyle name="표준 2 8" xfId="4623"/>
    <cellStyle name="표준 2 8 2" xfId="4624"/>
    <cellStyle name="표준 2 8 3" xfId="4625"/>
    <cellStyle name="표준 2 9" xfId="4626"/>
    <cellStyle name="표준 2 9 2" xfId="4627"/>
    <cellStyle name="표준 2 9 3" xfId="4628"/>
    <cellStyle name="표준 2_0511" xfId="4629"/>
    <cellStyle name="표준 20 2" xfId="4630"/>
    <cellStyle name="표준 22 2" xfId="4631"/>
    <cellStyle name="표준 23 2" xfId="4632"/>
    <cellStyle name="표준 24" xfId="4633"/>
    <cellStyle name="표준 24 2" xfId="4634"/>
    <cellStyle name="표준 24 3" xfId="4635"/>
    <cellStyle name="표준 25" xfId="4636"/>
    <cellStyle name="표준 25 2" xfId="4637"/>
    <cellStyle name="표준 25 3" xfId="4638"/>
    <cellStyle name="표준 26" xfId="4639"/>
    <cellStyle name="표준 26 2" xfId="4640"/>
    <cellStyle name="표준 26 3" xfId="4641"/>
    <cellStyle name="표준 27" xfId="4642"/>
    <cellStyle name="표준 27 2" xfId="4643"/>
    <cellStyle name="표준 27 3" xfId="4644"/>
    <cellStyle name="표준 28" xfId="4645"/>
    <cellStyle name="표준 28 2" xfId="4646"/>
    <cellStyle name="표준 3" xfId="4647"/>
    <cellStyle name="표준 3 2" xfId="4648"/>
    <cellStyle name="표준 3 2 2" xfId="4"/>
    <cellStyle name="표준 3 3" xfId="4649"/>
    <cellStyle name="표준 3 3 2" xfId="4650"/>
    <cellStyle name="표준 3 4" xfId="4651"/>
    <cellStyle name="표준 3 4 2" xfId="4652"/>
    <cellStyle name="표준 3 5" xfId="4653"/>
    <cellStyle name="표준 3 6" xfId="4654"/>
    <cellStyle name="표준 3_xSAPtemp69" xfId="4655"/>
    <cellStyle name="표준 4" xfId="4656"/>
    <cellStyle name="표준 4 10" xfId="4657"/>
    <cellStyle name="표준 4 11" xfId="4658"/>
    <cellStyle name="표준 4 12" xfId="4659"/>
    <cellStyle name="표준 4 13" xfId="4660"/>
    <cellStyle name="표준 4 14" xfId="4661"/>
    <cellStyle name="표준 4 15" xfId="4662"/>
    <cellStyle name="표준 4 16" xfId="4663"/>
    <cellStyle name="표준 4 17" xfId="4664"/>
    <cellStyle name="표준 4 18" xfId="4665"/>
    <cellStyle name="표준 4 19" xfId="4666"/>
    <cellStyle name="표준 4 2" xfId="4667"/>
    <cellStyle name="표준 4 2 2" xfId="4668"/>
    <cellStyle name="표준 4 2 2 2" xfId="4669"/>
    <cellStyle name="표준 4 2 2 3" xfId="4670"/>
    <cellStyle name="표준 4 2 2 4" xfId="4671"/>
    <cellStyle name="표준 4 2 2 5" xfId="4672"/>
    <cellStyle name="표준 4 2 2 6" xfId="4673"/>
    <cellStyle name="표준 4 2 2 7" xfId="4674"/>
    <cellStyle name="표준 4 2 3" xfId="4675"/>
    <cellStyle name="표준 4 2 4" xfId="4676"/>
    <cellStyle name="표준 4 2 5" xfId="4677"/>
    <cellStyle name="표준 4 2 6" xfId="4678"/>
    <cellStyle name="표준 4 2 7" xfId="4679"/>
    <cellStyle name="표준 4 20" xfId="4680"/>
    <cellStyle name="표준 4 21" xfId="4681"/>
    <cellStyle name="표준 4 22" xfId="4682"/>
    <cellStyle name="표준 4 23" xfId="4683"/>
    <cellStyle name="표준 4 24" xfId="4684"/>
    <cellStyle name="표준 4 25" xfId="4685"/>
    <cellStyle name="표준 4 26" xfId="4686"/>
    <cellStyle name="표준 4 27" xfId="4687"/>
    <cellStyle name="표준 4 3" xfId="4688"/>
    <cellStyle name="표준 4 4" xfId="4689"/>
    <cellStyle name="표준 4 5" xfId="4690"/>
    <cellStyle name="표준 4 6" xfId="4691"/>
    <cellStyle name="표준 4 7" xfId="4692"/>
    <cellStyle name="표준 4 8" xfId="4693"/>
    <cellStyle name="표준 4 9" xfId="4694"/>
    <cellStyle name="표준 5" xfId="4695"/>
    <cellStyle name="표준 5 10" xfId="4696"/>
    <cellStyle name="표준 5 11" xfId="4697"/>
    <cellStyle name="표준 5 12" xfId="4698"/>
    <cellStyle name="표준 5 13" xfId="4699"/>
    <cellStyle name="표준 5 14" xfId="4700"/>
    <cellStyle name="표준 5 15" xfId="4701"/>
    <cellStyle name="표준 5 16" xfId="4702"/>
    <cellStyle name="표준 5 17" xfId="4703"/>
    <cellStyle name="표준 5 18" xfId="4704"/>
    <cellStyle name="표준 5 19" xfId="4705"/>
    <cellStyle name="표준 5 2" xfId="4706"/>
    <cellStyle name="표준 5 2 2" xfId="4707"/>
    <cellStyle name="표준 5 2 2 2" xfId="4708"/>
    <cellStyle name="표준 5 2 2 3" xfId="4709"/>
    <cellStyle name="표준 5 2 2 4" xfId="4710"/>
    <cellStyle name="표준 5 2 2 5" xfId="4711"/>
    <cellStyle name="표준 5 2 2 6" xfId="4712"/>
    <cellStyle name="표준 5 2 2 7" xfId="4713"/>
    <cellStyle name="표준 5 2 3" xfId="4714"/>
    <cellStyle name="표준 5 2 4" xfId="4715"/>
    <cellStyle name="표준 5 2 5" xfId="4716"/>
    <cellStyle name="표준 5 2 6" xfId="4717"/>
    <cellStyle name="표준 5 2 7" xfId="4718"/>
    <cellStyle name="표준 5 20" xfId="4719"/>
    <cellStyle name="표준 5 21" xfId="4720"/>
    <cellStyle name="표준 5 22" xfId="4721"/>
    <cellStyle name="표준 5 23" xfId="4722"/>
    <cellStyle name="표준 5 24" xfId="4723"/>
    <cellStyle name="표준 5 25" xfId="4724"/>
    <cellStyle name="표준 5 26" xfId="4725"/>
    <cellStyle name="표준 5 27" xfId="4726"/>
    <cellStyle name="표준 5 3" xfId="4727"/>
    <cellStyle name="표준 5 4" xfId="4728"/>
    <cellStyle name="표준 5 5" xfId="4729"/>
    <cellStyle name="표준 5 6" xfId="4730"/>
    <cellStyle name="표준 5 7" xfId="4731"/>
    <cellStyle name="표준 5 8" xfId="4732"/>
    <cellStyle name="표준 5 9" xfId="4733"/>
    <cellStyle name="표준 6" xfId="4734"/>
    <cellStyle name="표준 6 10" xfId="4735"/>
    <cellStyle name="표준 6 11" xfId="4736"/>
    <cellStyle name="표준 6 12" xfId="4737"/>
    <cellStyle name="표준 6 13" xfId="4738"/>
    <cellStyle name="표준 6 14" xfId="4739"/>
    <cellStyle name="표준 6 15" xfId="4740"/>
    <cellStyle name="표준 6 16" xfId="4741"/>
    <cellStyle name="표준 6 17" xfId="4742"/>
    <cellStyle name="표준 6 18" xfId="4743"/>
    <cellStyle name="표준 6 19" xfId="4744"/>
    <cellStyle name="표준 6 2" xfId="4745"/>
    <cellStyle name="표준 6 2 2" xfId="4746"/>
    <cellStyle name="표준 6 2 2 2" xfId="4747"/>
    <cellStyle name="표준 6 2 2 3" xfId="4748"/>
    <cellStyle name="표준 6 2 2 4" xfId="4749"/>
    <cellStyle name="표준 6 2 2 5" xfId="4750"/>
    <cellStyle name="표준 6 2 2 6" xfId="4751"/>
    <cellStyle name="표준 6 2 2 7" xfId="4752"/>
    <cellStyle name="표준 6 2 3" xfId="4753"/>
    <cellStyle name="표준 6 2 4" xfId="4754"/>
    <cellStyle name="표준 6 2 5" xfId="4755"/>
    <cellStyle name="표준 6 2 6" xfId="4756"/>
    <cellStyle name="표준 6 2 7" xfId="4757"/>
    <cellStyle name="표준 6 2 8" xfId="4758"/>
    <cellStyle name="표준 6 2 9" xfId="4759"/>
    <cellStyle name="표준 6 20" xfId="4760"/>
    <cellStyle name="표준 6 21" xfId="4761"/>
    <cellStyle name="표준 6 22" xfId="4762"/>
    <cellStyle name="표준 6 23" xfId="4763"/>
    <cellStyle name="표준 6 24" xfId="4764"/>
    <cellStyle name="표준 6 25" xfId="4765"/>
    <cellStyle name="표준 6 26" xfId="4766"/>
    <cellStyle name="표준 6 3" xfId="4767"/>
    <cellStyle name="표준 6 4" xfId="4768"/>
    <cellStyle name="표준 6 5" xfId="4769"/>
    <cellStyle name="표준 6 6" xfId="4770"/>
    <cellStyle name="표준 6 7" xfId="4771"/>
    <cellStyle name="표준 6 8" xfId="4772"/>
    <cellStyle name="표준 6 9" xfId="4773"/>
    <cellStyle name="표준 7" xfId="4774"/>
    <cellStyle name="표준 7 10" xfId="4775"/>
    <cellStyle name="표준 7 11" xfId="4776"/>
    <cellStyle name="표준 7 12" xfId="4777"/>
    <cellStyle name="표준 7 13" xfId="4778"/>
    <cellStyle name="표준 7 14" xfId="4779"/>
    <cellStyle name="표준 7 15" xfId="4780"/>
    <cellStyle name="표준 7 16" xfId="4781"/>
    <cellStyle name="표준 7 17" xfId="4782"/>
    <cellStyle name="표준 7 18" xfId="4783"/>
    <cellStyle name="표준 7 19" xfId="4784"/>
    <cellStyle name="표준 7 2" xfId="4785"/>
    <cellStyle name="표준 7 2 2" xfId="4786"/>
    <cellStyle name="표준 7 2 2 2" xfId="4787"/>
    <cellStyle name="표준 7 2 2 3" xfId="4788"/>
    <cellStyle name="표준 7 2 2 4" xfId="4789"/>
    <cellStyle name="표준 7 2 2 5" xfId="4790"/>
    <cellStyle name="표준 7 2 2 6" xfId="4791"/>
    <cellStyle name="표준 7 2 2 7" xfId="4792"/>
    <cellStyle name="표준 7 2 3" xfId="4793"/>
    <cellStyle name="표준 7 2 4" xfId="4794"/>
    <cellStyle name="표준 7 2 5" xfId="4795"/>
    <cellStyle name="표준 7 2 6" xfId="4796"/>
    <cellStyle name="표준 7 2 7" xfId="4797"/>
    <cellStyle name="표준 7 20" xfId="4798"/>
    <cellStyle name="표준 7 21" xfId="4799"/>
    <cellStyle name="표준 7 22" xfId="4800"/>
    <cellStyle name="표준 7 23" xfId="4801"/>
    <cellStyle name="표준 7 24" xfId="4802"/>
    <cellStyle name="표준 7 3" xfId="4803"/>
    <cellStyle name="표준 7 4" xfId="4804"/>
    <cellStyle name="표준 7 5" xfId="4805"/>
    <cellStyle name="표준 7 6" xfId="4806"/>
    <cellStyle name="표준 7 7" xfId="4807"/>
    <cellStyle name="표준 7 8" xfId="4808"/>
    <cellStyle name="표준 7 9" xfId="4809"/>
    <cellStyle name="표준 8" xfId="4810"/>
    <cellStyle name="표준 8 10" xfId="4811"/>
    <cellStyle name="표준 8 11" xfId="4812"/>
    <cellStyle name="표준 8 12" xfId="4813"/>
    <cellStyle name="표준 8 13" xfId="4814"/>
    <cellStyle name="표준 8 14" xfId="4815"/>
    <cellStyle name="표준 8 15" xfId="4816"/>
    <cellStyle name="표준 8 16" xfId="4817"/>
    <cellStyle name="표준 8 17" xfId="4818"/>
    <cellStyle name="표준 8 18" xfId="4819"/>
    <cellStyle name="표준 8 19" xfId="4820"/>
    <cellStyle name="표준 8 2" xfId="4821"/>
    <cellStyle name="표준 8 2 2" xfId="4822"/>
    <cellStyle name="표준 8 2 2 2" xfId="4823"/>
    <cellStyle name="표준 8 2 2 3" xfId="4824"/>
    <cellStyle name="표준 8 2 2 4" xfId="4825"/>
    <cellStyle name="표준 8 2 2 5" xfId="4826"/>
    <cellStyle name="표준 8 2 2 6" xfId="4827"/>
    <cellStyle name="표준 8 2 2 7" xfId="4828"/>
    <cellStyle name="표준 8 2 3" xfId="4829"/>
    <cellStyle name="표준 8 2 4" xfId="4830"/>
    <cellStyle name="표준 8 2 5" xfId="4831"/>
    <cellStyle name="표준 8 2 6" xfId="4832"/>
    <cellStyle name="표준 8 2 7" xfId="4833"/>
    <cellStyle name="표준 8 20" xfId="4834"/>
    <cellStyle name="표준 8 21" xfId="4835"/>
    <cellStyle name="표준 8 22" xfId="4836"/>
    <cellStyle name="표준 8 23" xfId="4837"/>
    <cellStyle name="표준 8 24" xfId="4838"/>
    <cellStyle name="표준 8 25" xfId="4839"/>
    <cellStyle name="표준 8 26" xfId="4840"/>
    <cellStyle name="표준 8 27" xfId="4841"/>
    <cellStyle name="표준 8 3" xfId="4842"/>
    <cellStyle name="표준 8 4" xfId="4843"/>
    <cellStyle name="표준 8 5" xfId="4844"/>
    <cellStyle name="표준 8 6" xfId="4845"/>
    <cellStyle name="표준 8 7" xfId="4846"/>
    <cellStyle name="표준 8 8" xfId="4847"/>
    <cellStyle name="표준 8 9" xfId="4848"/>
    <cellStyle name="표준 9" xfId="4849"/>
    <cellStyle name="표준 9 10" xfId="4850"/>
    <cellStyle name="표준 9 11" xfId="4851"/>
    <cellStyle name="표준 9 2" xfId="4852"/>
    <cellStyle name="표준 9 2 2" xfId="4853"/>
    <cellStyle name="표준 9 2 2 2" xfId="4854"/>
    <cellStyle name="표준 9 2 2 3" xfId="4855"/>
    <cellStyle name="표준 9 2 2 4" xfId="4856"/>
    <cellStyle name="표준 9 2 2 5" xfId="4857"/>
    <cellStyle name="표준 9 2 2 6" xfId="4858"/>
    <cellStyle name="표준 9 2 2 7" xfId="4859"/>
    <cellStyle name="표준 9 2 3" xfId="4860"/>
    <cellStyle name="표준 9 2 4" xfId="4861"/>
    <cellStyle name="표준 9 2 5" xfId="4862"/>
    <cellStyle name="표준 9 2 6" xfId="4863"/>
    <cellStyle name="표준 9 2 7" xfId="4864"/>
    <cellStyle name="표준 9 3" xfId="4865"/>
    <cellStyle name="표준 9 4" xfId="4866"/>
    <cellStyle name="표준 9 5" xfId="4867"/>
    <cellStyle name="표준 9 6" xfId="4868"/>
    <cellStyle name="표준 9 7" xfId="4869"/>
    <cellStyle name="표준 9 8" xfId="4870"/>
    <cellStyle name="표준 9 9" xfId="4871"/>
    <cellStyle name="標準_  ()2" xfId="4872"/>
    <cellStyle name="하이퍼링크 2" xfId="4873"/>
    <cellStyle name="하이퍼링크 3" xfId="4874"/>
    <cellStyle name="하이퍼링크 3 2" xfId="4875"/>
    <cellStyle name="하이퍼링크 3 3" xfId="4876"/>
    <cellStyle name="하이퍼링크 5" xfId="4877"/>
    <cellStyle name="합계" xfId="4878"/>
    <cellStyle name="합산" xfId="4879"/>
    <cellStyle name="항목" xfId="4882"/>
    <cellStyle name="桁区切り [0.00]_!!!GO" xfId="4880"/>
    <cellStyle name="桁区切り_!!!GO" xfId="4881"/>
    <cellStyle name="貨幣 [0]_00Q3902REV.1" xfId="4883"/>
    <cellStyle name="貨幣[0]_1997 Indicator " xfId="4884"/>
    <cellStyle name="貨幣_00Q3902REV.1" xfId="4885"/>
    <cellStyle name="화폐기호" xfId="4886"/>
    <cellStyle name="화폐기호0" xfId="4887"/>
    <cellStyle name=" [0.00]_ Att. 1- Cover" xfId="3086"/>
    <cellStyle name="_ Att. 1- Cover" xfId="3087"/>
    <cellStyle name="?_ Att. 1- Cover" xfId="3088"/>
    <cellStyle name="A¡§¡ⓒ¡E¡þ¡EO [0]_¡E¡þAAaAc￠R¨¡i¡§uc¡§oAAo" xfId="2349"/>
    <cellStyle name="A¡§¡ⓒ¡E¡þ¡EO_¡E¡þAAaAc￠R¨¡i¡§uc¡§oAAo" xfId="2350"/>
    <cellStyle name="A¨­￠￢￠O [0]_laroux" xfId="2351"/>
    <cellStyle name="A¨­￠￢￠O_laroux" xfId="2352"/>
    <cellStyle name="ac" xfId="2353"/>
    <cellStyle name="Accent1 2" xfId="2354"/>
    <cellStyle name="Accent1 3" xfId="2355"/>
    <cellStyle name="Accent1 4" xfId="2356"/>
    <cellStyle name="Accent2 2" xfId="2357"/>
    <cellStyle name="Accent2 3" xfId="2358"/>
    <cellStyle name="Accent2 4" xfId="2359"/>
    <cellStyle name="Accent3 2" xfId="2360"/>
    <cellStyle name="Accent3 3" xfId="2361"/>
    <cellStyle name="Accent3 4" xfId="2362"/>
    <cellStyle name="Accent4 2" xfId="2363"/>
    <cellStyle name="Accent4 3" xfId="2364"/>
    <cellStyle name="Accent4 4" xfId="2365"/>
    <cellStyle name="Accent5 2" xfId="2366"/>
    <cellStyle name="Accent5 3" xfId="2367"/>
    <cellStyle name="Accent5 4" xfId="2368"/>
    <cellStyle name="Accent6 2" xfId="2369"/>
    <cellStyle name="Accent6 3" xfId="2370"/>
    <cellStyle name="Accent6 4" xfId="2371"/>
    <cellStyle name="Accounting" xfId="2372"/>
    <cellStyle name="Aee­ " xfId="2373"/>
    <cellStyle name="AeE­ [0]_¨c9¿u´eA￥" xfId="2374"/>
    <cellStyle name="Aee­ _(주)이랜드레저비스" xfId="2375"/>
    <cellStyle name="AeE­_¨c9¿u´eA￥" xfId="2376"/>
    <cellStyle name="AeE¡ⓒ [0]_laroux" xfId="2377"/>
    <cellStyle name="AeE¡ⓒ_laroux" xfId="2378"/>
    <cellStyle name="AeE￠R¨I [0]_¡E¡þAAaAc￠R¨¡i¡§uc¡§oAAo" xfId="2379"/>
    <cellStyle name="AeE￠R¨I_¡E¡þAAaAc￠R¨¡i¡§uc¡§oAAo" xfId="2380"/>
    <cellStyle name="ALIGNMENT" xfId="2381"/>
    <cellStyle name="args.style" xfId="2382"/>
    <cellStyle name="Array" xfId="2383"/>
    <cellStyle name="Array Enter" xfId="2384"/>
    <cellStyle name="AÞ¸¶ [0]_(¿uAEP)" xfId="2385"/>
    <cellStyle name="AÞ¸¶_¨c9¿u´eA￥" xfId="2386"/>
    <cellStyle name="AutoFormat-Optionen" xfId="2387"/>
    <cellStyle name="B" xfId="2388"/>
    <cellStyle name="_x0001_b" xfId="2389"/>
    <cellStyle name="Background" xfId="2390"/>
    <cellStyle name="Bad 2" xfId="2391"/>
    <cellStyle name="Bad 3" xfId="2392"/>
    <cellStyle name="Bad 4" xfId="2393"/>
    <cellStyle name="blue" xfId="2394"/>
    <cellStyle name="Body - No Decimal Place" xfId="2395"/>
    <cellStyle name="BoldHdr" xfId="2396"/>
    <cellStyle name="Bolivars" xfId="2397"/>
    <cellStyle name="Bottom Row" xfId="2398"/>
    <cellStyle name="bottom-line" xfId="2399"/>
    <cellStyle name="BoxedTotal" xfId="2400"/>
    <cellStyle name="Buena" xfId="2401"/>
    <cellStyle name="BuiltOption_Content" xfId="2402"/>
    <cellStyle name="C?AØ_¿?¾÷CoE² " xfId="2403"/>
    <cellStyle name="C¡IA¨ª_￠?u￥iaA￠R" xfId="2404"/>
    <cellStyle name="C￠RIA¡§¨￡_¡E¡þAAaAc￠R¨¡i¡§uc¡§oAAo" xfId="2405"/>
    <cellStyle name="C￥AØ_&quot;98.2.20 - 2.26 " xfId="2406"/>
    <cellStyle name="Ç¥ÁØ_½ÇÇà¿¹»ê¼­ " xfId="2407"/>
    <cellStyle name="C￥AØ_laroux" xfId="2408"/>
    <cellStyle name="Calc Currency (0)" xfId="2409"/>
    <cellStyle name="Calc Currency (2)" xfId="2410"/>
    <cellStyle name="Calc Percent (0)" xfId="2411"/>
    <cellStyle name="Calc Percent (1)" xfId="2412"/>
    <cellStyle name="Calc Percent (2)" xfId="2413"/>
    <cellStyle name="Calc Percent (2) 2" xfId="2414"/>
    <cellStyle name="Calc Percent (2) 3" xfId="2415"/>
    <cellStyle name="Calc Percent (2)_Production schedule_SHINTSBVT_20100906" xfId="2416"/>
    <cellStyle name="Calc Units (0)" xfId="2417"/>
    <cellStyle name="Calc Units (1)" xfId="2418"/>
    <cellStyle name="Calc Units (2)" xfId="2419"/>
    <cellStyle name="Calculation 2" xfId="2420"/>
    <cellStyle name="Calculation 3" xfId="2421"/>
    <cellStyle name="Calculation 4" xfId="2422"/>
    <cellStyle name="Cálculo" xfId="2423"/>
    <cellStyle name="category" xfId="2424"/>
    <cellStyle name="Celda de comprobación" xfId="2425"/>
    <cellStyle name="Celda vinculada" xfId="2426"/>
    <cellStyle name="Check Cell 2" xfId="2427"/>
    <cellStyle name="Check Cell 3" xfId="2428"/>
    <cellStyle name="Check Cell 4" xfId="2429"/>
    <cellStyle name="Co毸ma_Return on Rev" xfId="2475"/>
    <cellStyle name="ColHdr" xfId="2430"/>
    <cellStyle name="colour" xfId="2431"/>
    <cellStyle name="Column Headings" xfId="2432"/>
    <cellStyle name="Column_Title" xfId="2433"/>
    <cellStyle name="CombinedVol_Data" xfId="2434"/>
    <cellStyle name="Comma" xfId="2435"/>
    <cellStyle name="Comma [0]" xfId="2436"/>
    <cellStyle name="Comma [0] -" xfId="2437"/>
    <cellStyle name="Comma [0] 2" xfId="2438"/>
    <cellStyle name="Comma [0] 2 2" xfId="2439"/>
    <cellStyle name="Comma [0] 3" xfId="2440"/>
    <cellStyle name="Comma [0] 4" xfId="2441"/>
    <cellStyle name="Comma [0] 5" xfId="2442"/>
    <cellStyle name="Comma [0] 6 3 6" xfId="2443"/>
    <cellStyle name="Comma [0] 6 3 6 8 2" xfId="2444"/>
    <cellStyle name="Comma [0] incl." xfId="2445"/>
    <cellStyle name="Comma [0] N/A" xfId="2446"/>
    <cellStyle name="Comma [0] TBD" xfId="2447"/>
    <cellStyle name="Comma [0] TBD-" xfId="2448"/>
    <cellStyle name="Comma [00]" xfId="2449"/>
    <cellStyle name="Comma 0" xfId="2450"/>
    <cellStyle name="Comma 0*" xfId="2451"/>
    <cellStyle name="Comma 2" xfId="2452"/>
    <cellStyle name="Comma 2 2" xfId="2453"/>
    <cellStyle name="Comma 3" xfId="2454"/>
    <cellStyle name="Comma 3 2" xfId="2455"/>
    <cellStyle name="Comma 4" xfId="2456"/>
    <cellStyle name="Comma 5" xfId="2457"/>
    <cellStyle name="Comma 5 2" xfId="2458"/>
    <cellStyle name="Comma 6" xfId="2459"/>
    <cellStyle name="comma zerodec" xfId="2460"/>
    <cellStyle name="comma zerodec 2" xfId="2461"/>
    <cellStyle name="comma zerodec 3" xfId="2462"/>
    <cellStyle name="comma zerodec_1996220 Volund 07" xfId="2463"/>
    <cellStyle name="Comma, 0" xfId="2464"/>
    <cellStyle name="Comma[2]" xfId="2465"/>
    <cellStyle name="Comma_ SG&amp;A Bridge " xfId="2466"/>
    <cellStyle name="Comma0" xfId="2467"/>
    <cellStyle name="Company Info" xfId="2468"/>
    <cellStyle name="Contents Heading 1" xfId="2469"/>
    <cellStyle name="Contents Heading 2" xfId="2470"/>
    <cellStyle name="Contents Heading 3" xfId="2471"/>
    <cellStyle name="Copied" xfId="2472"/>
    <cellStyle name="COST1" xfId="2473"/>
    <cellStyle name="CoverHeadline1" xfId="2474"/>
    <cellStyle name="Cur?ncy_laroux_2_12~3SO2_공문  " xfId="2476"/>
    <cellStyle name="Curr" xfId="2477"/>
    <cellStyle name="Curren?_x0012_퐀_x0017_?" xfId="2478"/>
    <cellStyle name="Currency" xfId="2479"/>
    <cellStyle name="Currency $" xfId="2480"/>
    <cellStyle name="Currency (0)" xfId="2481"/>
    <cellStyle name="Currency (0) -" xfId="2482"/>
    <cellStyle name="Currency (0) incl." xfId="2483"/>
    <cellStyle name="Currency (0) N/A" xfId="2484"/>
    <cellStyle name="Currency (0) TBD" xfId="2485"/>
    <cellStyle name="Currency (0) TBD-" xfId="2486"/>
    <cellStyle name="Currency [0]" xfId="2487"/>
    <cellStyle name="Currency [00]" xfId="2488"/>
    <cellStyle name="Currency 0" xfId="2489"/>
    <cellStyle name="Currency 2" xfId="2490"/>
    <cellStyle name="currency-$" xfId="2491"/>
    <cellStyle name="Currency[2]" xfId="2492"/>
    <cellStyle name="Currency_ SG&amp;A Bridge " xfId="2493"/>
    <cellStyle name="Currency0" xfId="2494"/>
    <cellStyle name="Currency1" xfId="2495"/>
    <cellStyle name="Currency1 2" xfId="2496"/>
    <cellStyle name="Currency1 3" xfId="2497"/>
    <cellStyle name="Currency1_Production schedule_SHINTSBVT_20100906" xfId="2498"/>
    <cellStyle name="custom" xfId="2499"/>
    <cellStyle name="darkgrey" xfId="2500"/>
    <cellStyle name="Data" xfId="2501"/>
    <cellStyle name="Date" xfId="2502"/>
    <cellStyle name="Date Aligned" xfId="2503"/>
    <cellStyle name="Date Short" xfId="2504"/>
    <cellStyle name="Date_01KeyData1" xfId="2505"/>
    <cellStyle name="Dấu phẩy_Nhat ky chung T11-2" xfId="2506"/>
    <cellStyle name="Đầu ra" xfId="2507"/>
    <cellStyle name="Đầu vào" xfId="2508"/>
    <cellStyle name="Đề mục 1" xfId="2509"/>
    <cellStyle name="Đề mục 2" xfId="2510"/>
    <cellStyle name="Đề mục 3" xfId="2511"/>
    <cellStyle name="Đề mục 4" xfId="2512"/>
    <cellStyle name="Decimal (0)" xfId="2513"/>
    <cellStyle name="Decimal (1)" xfId="2514"/>
    <cellStyle name="Decimal (2)" xfId="2515"/>
    <cellStyle name="Dezimal [0]_97MYBOX" xfId="2516"/>
    <cellStyle name="Dezimal_97MYBOX" xfId="2517"/>
    <cellStyle name="Display" xfId="2518"/>
    <cellStyle name="Display Price" xfId="2519"/>
    <cellStyle name="dlrs_no_decimal" xfId="2520"/>
    <cellStyle name="dolblue" xfId="2521"/>
    <cellStyle name="Dollar" xfId="2522"/>
    <cellStyle name="Dollar (zero dec)" xfId="2523"/>
    <cellStyle name="Dollar (zero dec) 2" xfId="2524"/>
    <cellStyle name="Dollar (zero dec) 3" xfId="2525"/>
    <cellStyle name="Dollar (zero dec)_1996220 Volund 07" xfId="2526"/>
    <cellStyle name="Dollar-Acctg" xfId="2527"/>
    <cellStyle name="Dollar-Actg" xfId="2528"/>
    <cellStyle name="Dollars" xfId="2529"/>
    <cellStyle name="Edited_Data" xfId="2530"/>
    <cellStyle name="Encabezado 4" xfId="2531"/>
    <cellStyle name="Énfasis1" xfId="2532"/>
    <cellStyle name="Énfasis2" xfId="2533"/>
    <cellStyle name="Énfasis3" xfId="2534"/>
    <cellStyle name="Énfasis4" xfId="2535"/>
    <cellStyle name="Énfasis5" xfId="2536"/>
    <cellStyle name="Énfasis6" xfId="2537"/>
    <cellStyle name="Enter Currency (0)" xfId="2538"/>
    <cellStyle name="Enter Currency (2)" xfId="2539"/>
    <cellStyle name="Enter Units (0)" xfId="2540"/>
    <cellStyle name="Enter Units (1)" xfId="2541"/>
    <cellStyle name="Enter Units (2)" xfId="2542"/>
    <cellStyle name="Entered" xfId="2543"/>
    <cellStyle name="Entrada" xfId="2544"/>
    <cellStyle name="Estimated_Data" xfId="2545"/>
    <cellStyle name="Euro" xfId="2546"/>
    <cellStyle name="Euro 2" xfId="2547"/>
    <cellStyle name="Euro 3" xfId="2548"/>
    <cellStyle name="Explanatory Text 2" xfId="2549"/>
    <cellStyle name="Explanatory Text 3" xfId="2550"/>
    <cellStyle name="Explanatory Text 4" xfId="2551"/>
    <cellStyle name="F2" xfId="2552"/>
    <cellStyle name="F3" xfId="2553"/>
    <cellStyle name="F4" xfId="2554"/>
    <cellStyle name="F5" xfId="2555"/>
    <cellStyle name="F6" xfId="2556"/>
    <cellStyle name="F7" xfId="2557"/>
    <cellStyle name="F8" xfId="2558"/>
    <cellStyle name="Fill" xfId="2559"/>
    <cellStyle name="FinePrint" xfId="2560"/>
    <cellStyle name="Fixed" xfId="2561"/>
    <cellStyle name="Footnote" xfId="2562"/>
    <cellStyle name="Forecast_Data" xfId="2563"/>
    <cellStyle name="ƒp[ƒZƒ“ƒg_!!!GO" xfId="2564"/>
    <cellStyle name="GB?" xfId="2565"/>
    <cellStyle name="GB?-Acctg" xfId="2566"/>
    <cellStyle name="GB£" xfId="2567"/>
    <cellStyle name="GB£-Acctg" xfId="2568"/>
    <cellStyle name="General" xfId="2569"/>
    <cellStyle name="Ghi chú" xfId="2570"/>
    <cellStyle name="Good 2" xfId="2571"/>
    <cellStyle name="Good 3" xfId="2572"/>
    <cellStyle name="Good 4" xfId="2573"/>
    <cellStyle name="Grand Total" xfId="2574"/>
    <cellStyle name="Grey" xfId="2575"/>
    <cellStyle name="H1" xfId="2576"/>
    <cellStyle name="H2" xfId="2577"/>
    <cellStyle name="Hard Percent" xfId="2578"/>
    <cellStyle name="HEADER" xfId="2579"/>
    <cellStyle name="Header1" xfId="2580"/>
    <cellStyle name="Header2" xfId="2581"/>
    <cellStyle name="HEAD'G - BOLD,FONT14,UNDERLINED" xfId="2582"/>
    <cellStyle name="Heading" xfId="2583"/>
    <cellStyle name="Heading 1" xfId="2584"/>
    <cellStyle name="Heading 1 2" xfId="2585"/>
    <cellStyle name="Heading 1 3" xfId="2586"/>
    <cellStyle name="Heading 1 4" xfId="2587"/>
    <cellStyle name="Heading 2" xfId="2588"/>
    <cellStyle name="Heading 2 2" xfId="2589"/>
    <cellStyle name="Heading 2 3" xfId="2590"/>
    <cellStyle name="Heading 2 4" xfId="2591"/>
    <cellStyle name="Heading 3" xfId="2592"/>
    <cellStyle name="Heading 3 2" xfId="2593"/>
    <cellStyle name="Heading 3 3" xfId="2594"/>
    <cellStyle name="Heading 3 4" xfId="2595"/>
    <cellStyle name="Heading 4 2" xfId="2596"/>
    <cellStyle name="Heading 4 3" xfId="2597"/>
    <cellStyle name="Heading 4 4" xfId="2598"/>
    <cellStyle name="Heading_■ 05년말 부동산,주식명세" xfId="2599"/>
    <cellStyle name="Heading1" xfId="2600"/>
    <cellStyle name="Heading2" xfId="2601"/>
    <cellStyle name="Heading2Divider" xfId="2602"/>
    <cellStyle name="HEADINGS" xfId="2603"/>
    <cellStyle name="HEADINGSTOP" xfId="2604"/>
    <cellStyle name="heet1" xfId="2605"/>
    <cellStyle name="Hyperlink 2" xfId="2606"/>
    <cellStyle name="iles|_x0005_h" xfId="2607"/>
    <cellStyle name="iles|_x0005_h 2" xfId="2608"/>
    <cellStyle name="iles|_x0005_h_09FW주간판매(1026)" xfId="2609"/>
    <cellStyle name="Incorrecto" xfId="2610"/>
    <cellStyle name="Input" xfId="2611"/>
    <cellStyle name="Input [yellow]" xfId="2612"/>
    <cellStyle name="Input 2" xfId="2613"/>
    <cellStyle name="Input 3" xfId="2614"/>
    <cellStyle name="Input 4" xfId="2615"/>
    <cellStyle name="Input Cells" xfId="2616"/>
    <cellStyle name="Input Price" xfId="2617"/>
    <cellStyle name="Input Quantity" xfId="2618"/>
    <cellStyle name="Input Single Cell" xfId="2619"/>
    <cellStyle name="Input0" xfId="2620"/>
    <cellStyle name="InputBodyCurr" xfId="2621"/>
    <cellStyle name="InputBodyDate" xfId="2622"/>
    <cellStyle name="InputBodyText" xfId="2623"/>
    <cellStyle name="InputColor" xfId="2624"/>
    <cellStyle name="InputPercent1" xfId="2625"/>
    <cellStyle name="Item" xfId="2626"/>
    <cellStyle name="Item Input" xfId="2627"/>
    <cellStyle name="Item_Current" xfId="2628"/>
    <cellStyle name="Kiểm tra Ô" xfId="2629"/>
    <cellStyle name="leftbottom-edge" xfId="2630"/>
    <cellStyle name="left-line" xfId="2631"/>
    <cellStyle name="leftrightbottom-edge" xfId="2632"/>
    <cellStyle name="leftright-line" xfId="2633"/>
    <cellStyle name="les" xfId="2634"/>
    <cellStyle name="les 2" xfId="2635"/>
    <cellStyle name="les_09FW주간판매(1026)" xfId="2636"/>
    <cellStyle name="lightgrey" xfId="2637"/>
    <cellStyle name="lightyellow" xfId="2638"/>
    <cellStyle name="Link Currency (0)" xfId="2639"/>
    <cellStyle name="Link Currency (2)" xfId="2640"/>
    <cellStyle name="Link Units (0)" xfId="2641"/>
    <cellStyle name="Link Units (1)" xfId="2642"/>
    <cellStyle name="Link Units (2)" xfId="2643"/>
    <cellStyle name="Linked Cell 2" xfId="2644"/>
    <cellStyle name="Linked Cell 3" xfId="2645"/>
    <cellStyle name="Linked Cell 4" xfId="2646"/>
    <cellStyle name="Linked Cells" xfId="2647"/>
    <cellStyle name="MacroCode" xfId="2648"/>
    <cellStyle name="Mike" xfId="2649"/>
    <cellStyle name="Millares [0]_BE91 WSale" xfId="2650"/>
    <cellStyle name="Millares_BE91 WSale" xfId="2651"/>
    <cellStyle name="Milliers [0]_!!!GO" xfId="2652"/>
    <cellStyle name="Milliers_!!!GO" xfId="2653"/>
    <cellStyle name="Model" xfId="2654"/>
    <cellStyle name="Moeda [0]_laroux" xfId="2655"/>
    <cellStyle name="Moeda_CW170_8" xfId="2656"/>
    <cellStyle name="Mon?aire [0]_!!!GO" xfId="2657"/>
    <cellStyle name="Mon?aire_!!!GO" xfId="2658"/>
    <cellStyle name="Mon騁aire [0]_!!!GO" xfId="2663"/>
    <cellStyle name="Mon騁aire_!!!GO" xfId="2664"/>
    <cellStyle name="Mon彋aire [0]_!!!GO" xfId="2665"/>
    <cellStyle name="Mon彋aire_!!!GO" xfId="2666"/>
    <cellStyle name="Moneda [0]_BE91 WSale" xfId="2659"/>
    <cellStyle name="Moneda_BE91 WSale" xfId="2660"/>
    <cellStyle name="Monétaire [0]_!!!GO" xfId="2661"/>
    <cellStyle name="Monétaire_!!!GO" xfId="2662"/>
    <cellStyle name="MR" xfId="2667"/>
    <cellStyle name="N" xfId="2668"/>
    <cellStyle name="n_IN0607-007" xfId="2669"/>
    <cellStyle name="Neutral 2" xfId="2670"/>
    <cellStyle name="Neutral 3" xfId="2671"/>
    <cellStyle name="Neutral 4" xfId="2672"/>
    <cellStyle name="Nhấn1" xfId="2673"/>
    <cellStyle name="Nhấn2" xfId="2674"/>
    <cellStyle name="Nhấn3" xfId="2675"/>
    <cellStyle name="Nhấn4" xfId="2676"/>
    <cellStyle name="Nhấn5" xfId="2677"/>
    <cellStyle name="Nhấn6" xfId="2678"/>
    <cellStyle name="no dec" xfId="2679"/>
    <cellStyle name="nohs" xfId="2680"/>
    <cellStyle name="noline" xfId="2681"/>
    <cellStyle name="Normal - 유형1" xfId="2690"/>
    <cellStyle name="Normal - Style1" xfId="2682"/>
    <cellStyle name="Normal - Style2" xfId="2683"/>
    <cellStyle name="Normal - Style3" xfId="2684"/>
    <cellStyle name="Normal - Style4" xfId="2685"/>
    <cellStyle name="Normal - Style5" xfId="2686"/>
    <cellStyle name="Normal - Style6" xfId="2687"/>
    <cellStyle name="Normal - Style7" xfId="2688"/>
    <cellStyle name="Normal - Style8" xfId="2689"/>
    <cellStyle name="Normal 101" xfId="2691"/>
    <cellStyle name="Normal 2" xfId="2692"/>
    <cellStyle name="Normal 2 2" xfId="2693"/>
    <cellStyle name="Normal 2 2 2" xfId="2694"/>
    <cellStyle name="Normal 2 2 2 2" xfId="2695"/>
    <cellStyle name="Normal 2 2 2 3" xfId="2696"/>
    <cellStyle name="Normal 2 2 2 4" xfId="2697"/>
    <cellStyle name="Normal 2 2 3" xfId="2698"/>
    <cellStyle name="Normal 2 2 4" xfId="2699"/>
    <cellStyle name="Normal 2 3" xfId="2700"/>
    <cellStyle name="Normal 2 3 12" xfId="2701"/>
    <cellStyle name="Normal 2 3 2" xfId="2702"/>
    <cellStyle name="Normal 2 4" xfId="2703"/>
    <cellStyle name="Normal 2 5" xfId="2704"/>
    <cellStyle name="Normal 3" xfId="2705"/>
    <cellStyle name="Normal 3 2" xfId="2706"/>
    <cellStyle name="Normal 4" xfId="2707"/>
    <cellStyle name="Normal 4 2" xfId="2708"/>
    <cellStyle name="Normal 4 3" xfId="2709"/>
    <cellStyle name="Normal 5" xfId="2710"/>
    <cellStyle name="Normal 6" xfId="2711"/>
    <cellStyle name="Normal Summary" xfId="2712"/>
    <cellStyle name="Normal_ SG&amp;A Bridge " xfId="2713"/>
    <cellStyle name="Normal1" xfId="2714"/>
    <cellStyle name="Normal2" xfId="2715"/>
    <cellStyle name="Normal3" xfId="2716"/>
    <cellStyle name="Normal4" xfId="2717"/>
    <cellStyle name="Notas" xfId="2718"/>
    <cellStyle name="Note 2" xfId="2719"/>
    <cellStyle name="Note 3" xfId="2720"/>
    <cellStyle name="Note 4" xfId="2721"/>
    <cellStyle name="Number" xfId="2722"/>
    <cellStyle name="Number-Acctg" xfId="2723"/>
    <cellStyle name="Number-Actg" xfId="2724"/>
    <cellStyle name="Ô Được nối kết" xfId="2725"/>
    <cellStyle name="Œ…‹æØ‚è [0.00]_!!!GO" xfId="2726"/>
    <cellStyle name="Œ…‹æØ‚è_!!!GO" xfId="2727"/>
    <cellStyle name="oft Excel]_x000d__x000a_Comment=open=/f ‚ðZw’è‚·‚é‚ÆAƒ†[ƒU[’è‹`ŠÖ”‚ðŠÖ”“\‚è•t‚¯‚Ìˆê——‚É“o˜^‚·‚é‚±‚Æ‚ª‚Å‚«‚Ü‚·B_x000d__x000a_Maximized" xfId="2728"/>
    <cellStyle name="oft Excel]_x000d__x000a_Comment=open=/f ‚ðŽw’è‚·‚é‚ÆAƒ†[ƒU[’è‹`ŠÖ”‚ðŠÖ”“\‚è•t‚¯‚Ìˆê——‚É“o˜^‚·‚é‚±‚Æ‚ª‚Å‚«‚Ü‚·B_x000d__x000a_Maximized" xfId="2729"/>
    <cellStyle name="omma [0]_Mktg Prog" xfId="2730"/>
    <cellStyle name="one" xfId="2731"/>
    <cellStyle name="Option_Contents" xfId="2732"/>
    <cellStyle name="ormal_Sheet1_1" xfId="2733"/>
    <cellStyle name="Output 2" xfId="2734"/>
    <cellStyle name="Output 3" xfId="2735"/>
    <cellStyle name="Output 4" xfId="2736"/>
    <cellStyle name="Output Amounts" xfId="2737"/>
    <cellStyle name="Output Column Headings" xfId="2738"/>
    <cellStyle name="Output Line Items" xfId="2739"/>
    <cellStyle name="Output Report Heading" xfId="2740"/>
    <cellStyle name="Output Report Title" xfId="2741"/>
    <cellStyle name="Output Single Cell" xfId="2742"/>
    <cellStyle name="Package Size" xfId="2743"/>
    <cellStyle name="Page Number" xfId="2744"/>
    <cellStyle name="Pct w/ Pts" xfId="2745"/>
    <cellStyle name="Pct w/o Pts" xfId="2746"/>
    <cellStyle name="per.style" xfId="2747"/>
    <cellStyle name="Percent" xfId="2748"/>
    <cellStyle name="Percent (0)" xfId="2749"/>
    <cellStyle name="Percent (0,0)" xfId="2750"/>
    <cellStyle name="Percent [0]" xfId="2751"/>
    <cellStyle name="Percent [0] 2" xfId="2752"/>
    <cellStyle name="Percent [0] 3" xfId="2753"/>
    <cellStyle name="Percent [00]" xfId="2754"/>
    <cellStyle name="Percent [00] 2" xfId="2755"/>
    <cellStyle name="Percent [00] 3" xfId="2756"/>
    <cellStyle name="Percent [2]" xfId="2757"/>
    <cellStyle name="Percent 2" xfId="2758"/>
    <cellStyle name="Percent 2 2" xfId="2759"/>
    <cellStyle name="Percent 2 3" xfId="2760"/>
    <cellStyle name="Percent 3" xfId="2761"/>
    <cellStyle name="Percent w/o%" xfId="2762"/>
    <cellStyle name="Percent%" xfId="2763"/>
    <cellStyle name="Percent[0]" xfId="2764"/>
    <cellStyle name="Percent[2]" xfId="2765"/>
    <cellStyle name="Percent_(주)이랜드레저비스" xfId="2766"/>
    <cellStyle name="Percent1" xfId="2767"/>
    <cellStyle name="percentage" xfId="2768"/>
    <cellStyle name="Percent-Minus" xfId="2769"/>
    <cellStyle name="performance report" xfId="2770"/>
    <cellStyle name="Pounds" xfId="2771"/>
    <cellStyle name="Preliminary_Data" xfId="2772"/>
    <cellStyle name="PrePop Currency (0)" xfId="2773"/>
    <cellStyle name="PrePop Currency (2)" xfId="2774"/>
    <cellStyle name="PrePop Units (0)" xfId="2775"/>
    <cellStyle name="PrePop Units (1)" xfId="2776"/>
    <cellStyle name="PrePop Units (2)" xfId="2777"/>
    <cellStyle name="Prices_Data" xfId="2778"/>
    <cellStyle name="pricing" xfId="2779"/>
    <cellStyle name="Print Heading" xfId="2780"/>
    <cellStyle name="PSChar" xfId="2781"/>
    <cellStyle name="PSDate" xfId="2782"/>
    <cellStyle name="PSDec" xfId="2783"/>
    <cellStyle name="PSHeading" xfId="2784"/>
    <cellStyle name="PSInt" xfId="2785"/>
    <cellStyle name="PSSpacer" xfId="2786"/>
    <cellStyle name="R?" xfId="2787"/>
    <cellStyle name="R? 2" xfId="2788"/>
    <cellStyle name="R?_09FW주간판매(1026)" xfId="2789"/>
    <cellStyle name="rec" xfId="2790"/>
    <cellStyle name="recbold" xfId="2791"/>
    <cellStyle name="Recipe" xfId="2792"/>
    <cellStyle name="Recipe Heading" xfId="2793"/>
    <cellStyle name="Recipe_(주)이랜드레저비스" xfId="2794"/>
    <cellStyle name="Red Text" xfId="2795"/>
    <cellStyle name="reg_no_decimal" xfId="2796"/>
    <cellStyle name="Revenue" xfId="2797"/>
    <cellStyle name="RevList" xfId="2798"/>
    <cellStyle name="rightbottom-edge" xfId="2799"/>
    <cellStyle name="right-line" xfId="2800"/>
    <cellStyle name="rpm" xfId="2801"/>
    <cellStyle name="RptTitle" xfId="2802"/>
    <cellStyle name="RQDcells" xfId="2803"/>
    <cellStyle name="RQDheading" xfId="2804"/>
    <cellStyle name="RQDserial" xfId="2805"/>
    <cellStyle name="RQDtop" xfId="2806"/>
    <cellStyle name="Salida" xfId="2807"/>
    <cellStyle name="SAPBEXaggData" xfId="2808"/>
    <cellStyle name="SAPBEXaggData 2" xfId="2809"/>
    <cellStyle name="SAPBEXaggData 2 2" xfId="2810"/>
    <cellStyle name="SAPBEXaggData 3" xfId="2811"/>
    <cellStyle name="SAPBEXaggData 3 2" xfId="2812"/>
    <cellStyle name="SAPBEXaggData 4" xfId="2813"/>
    <cellStyle name="SAPBEXaggData 4 2" xfId="2814"/>
    <cellStyle name="SAPBEXaggData 5" xfId="2815"/>
    <cellStyle name="SAPBEXaggDataEmph" xfId="2816"/>
    <cellStyle name="SAPBEXaggDataEmph 2" xfId="2817"/>
    <cellStyle name="SAPBEXaggDataEmph 3" xfId="2818"/>
    <cellStyle name="SAPBEXaggItem" xfId="2819"/>
    <cellStyle name="SAPBEXaggItem 2" xfId="2820"/>
    <cellStyle name="SAPBEXaggItem 2 2" xfId="2821"/>
    <cellStyle name="SAPBEXaggItem 3" xfId="2822"/>
    <cellStyle name="SAPBEXaggItem 3 2" xfId="2823"/>
    <cellStyle name="SAPBEXaggItem 4" xfId="2824"/>
    <cellStyle name="SAPBEXaggItem 4 2" xfId="2825"/>
    <cellStyle name="SAPBEXaggItem 5" xfId="2826"/>
    <cellStyle name="SAPBEXaggItem_0316-0322" xfId="2827"/>
    <cellStyle name="SAPBEXaggItemX" xfId="2828"/>
    <cellStyle name="SAPBEXaggItemX 2" xfId="2829"/>
    <cellStyle name="SAPBEXaggItemX 3" xfId="2830"/>
    <cellStyle name="SAPBEXchaText" xfId="2831"/>
    <cellStyle name="SAPBEXchaText 2" xfId="2832"/>
    <cellStyle name="SAPBEXchaText 2 2" xfId="2833"/>
    <cellStyle name="SAPBEXchaText 3" xfId="2834"/>
    <cellStyle name="SAPBEXchaText 3 2" xfId="2835"/>
    <cellStyle name="SAPBEXchaText 4" xfId="2836"/>
    <cellStyle name="SAPBEXchaText 4 2" xfId="2837"/>
    <cellStyle name="SAPBEXchaText 5" xfId="2838"/>
    <cellStyle name="SAPBEXexcBad7" xfId="2839"/>
    <cellStyle name="SAPBEXexcBad7 2" xfId="2840"/>
    <cellStyle name="SAPBEXexcBad7 3" xfId="2841"/>
    <cellStyle name="SAPBEXexcBad8" xfId="2842"/>
    <cellStyle name="SAPBEXexcBad8 2" xfId="2843"/>
    <cellStyle name="SAPBEXexcBad8 3" xfId="2844"/>
    <cellStyle name="SAPBEXexcBad9" xfId="2845"/>
    <cellStyle name="SAPBEXexcBad9 2" xfId="2846"/>
    <cellStyle name="SAPBEXexcBad9 3" xfId="2847"/>
    <cellStyle name="SAPBEXexcCritical4" xfId="2848"/>
    <cellStyle name="SAPBEXexcCritical4 2" xfId="2849"/>
    <cellStyle name="SAPBEXexcCritical4 3" xfId="2850"/>
    <cellStyle name="SAPBEXexcCritical5" xfId="2851"/>
    <cellStyle name="SAPBEXexcCritical5 2" xfId="2852"/>
    <cellStyle name="SAPBEXexcCritical5 3" xfId="2853"/>
    <cellStyle name="SAPBEXexcCritical6" xfId="2854"/>
    <cellStyle name="SAPBEXexcCritical6 2" xfId="2855"/>
    <cellStyle name="SAPBEXexcCritical6 3" xfId="2856"/>
    <cellStyle name="SAPBEXexcGood1" xfId="2857"/>
    <cellStyle name="SAPBEXexcGood1 2" xfId="2858"/>
    <cellStyle name="SAPBEXexcGood1 3" xfId="2859"/>
    <cellStyle name="SAPBEXexcGood2" xfId="2860"/>
    <cellStyle name="SAPBEXexcGood2 2" xfId="2861"/>
    <cellStyle name="SAPBEXexcGood2 3" xfId="2862"/>
    <cellStyle name="SAPBEXexcGood3" xfId="2863"/>
    <cellStyle name="SAPBEXexcGood3 2" xfId="2864"/>
    <cellStyle name="SAPBEXexcGood3 3" xfId="2865"/>
    <cellStyle name="SAPBEXfilterDrill" xfId="2866"/>
    <cellStyle name="SAPBEXfilterDrill 2" xfId="2867"/>
    <cellStyle name="SAPBEXfilterDrill 3" xfId="2868"/>
    <cellStyle name="SAPBEXfilterItem" xfId="2869"/>
    <cellStyle name="SAPBEXfilterItem 2" xfId="2870"/>
    <cellStyle name="SAPBEXfilterItem 3" xfId="2871"/>
    <cellStyle name="SAPBEXfilterText" xfId="2872"/>
    <cellStyle name="SAPBEXformats" xfId="2873"/>
    <cellStyle name="SAPBEXformats 2" xfId="2874"/>
    <cellStyle name="SAPBEXformats 3" xfId="2875"/>
    <cellStyle name="SAPBEXheaderItem" xfId="2876"/>
    <cellStyle name="SAPBEXheaderItem 2" xfId="2877"/>
    <cellStyle name="SAPBEXheaderItem 2 2" xfId="2878"/>
    <cellStyle name="SAPBEXheaderItem 3" xfId="2879"/>
    <cellStyle name="SAPBEXheaderItem 3 2" xfId="2880"/>
    <cellStyle name="SAPBEXheaderItem 4" xfId="2881"/>
    <cellStyle name="SAPBEXheaderItem 4 2" xfId="2882"/>
    <cellStyle name="SAPBEXheaderItem 5" xfId="2883"/>
    <cellStyle name="SAPBEXheaderText" xfId="2884"/>
    <cellStyle name="SAPBEXheaderText 2" xfId="2885"/>
    <cellStyle name="SAPBEXheaderText 2 2" xfId="2886"/>
    <cellStyle name="SAPBEXheaderText 3" xfId="2887"/>
    <cellStyle name="SAPBEXheaderText 3 2" xfId="2888"/>
    <cellStyle name="SAPBEXheaderText 4" xfId="2889"/>
    <cellStyle name="SAPBEXheaderText 4 2" xfId="2890"/>
    <cellStyle name="SAPBEXheaderText 5" xfId="2891"/>
    <cellStyle name="SAPBEXHLevel0" xfId="2892"/>
    <cellStyle name="SAPBEXHLevel0 2" xfId="2893"/>
    <cellStyle name="SAPBEXHLevel0 2 2" xfId="2894"/>
    <cellStyle name="SAPBEXHLevel0 3" xfId="2895"/>
    <cellStyle name="SAPBEXHLevel0 3 2" xfId="2896"/>
    <cellStyle name="SAPBEXHLevel0 4" xfId="2897"/>
    <cellStyle name="SAPBEXHLevel0 4 2" xfId="2898"/>
    <cellStyle name="SAPBEXHLevel0 5" xfId="2899"/>
    <cellStyle name="SAPBEXHLevel0X" xfId="2900"/>
    <cellStyle name="SAPBEXHLevel0X 2" xfId="2901"/>
    <cellStyle name="SAPBEXHLevel0X 2 2" xfId="2902"/>
    <cellStyle name="SAPBEXHLevel0X 3" xfId="2903"/>
    <cellStyle name="SAPBEXHLevel0X 3 2" xfId="2904"/>
    <cellStyle name="SAPBEXHLevel0X 4" xfId="2905"/>
    <cellStyle name="SAPBEXHLevel0X 4 2" xfId="2906"/>
    <cellStyle name="SAPBEXHLevel0X 5" xfId="2907"/>
    <cellStyle name="SAPBEXHLevel1" xfId="2908"/>
    <cellStyle name="SAPBEXHLevel1X" xfId="2909"/>
    <cellStyle name="SAPBEXHLevel1X 2" xfId="2910"/>
    <cellStyle name="SAPBEXHLevel1X 2 2" xfId="2911"/>
    <cellStyle name="SAPBEXHLevel1X 3" xfId="2912"/>
    <cellStyle name="SAPBEXHLevel1X 3 2" xfId="2913"/>
    <cellStyle name="SAPBEXHLevel1X 4" xfId="2914"/>
    <cellStyle name="SAPBEXHLevel1X 4 2" xfId="2915"/>
    <cellStyle name="SAPBEXHLevel1X 5" xfId="2916"/>
    <cellStyle name="SAPBEXHLevel2" xfId="2917"/>
    <cellStyle name="SAPBEXHLevel2X" xfId="2918"/>
    <cellStyle name="SAPBEXHLevel3" xfId="2919"/>
    <cellStyle name="SAPBEXHLevel3X" xfId="2920"/>
    <cellStyle name="SAPBEXresData" xfId="2921"/>
    <cellStyle name="SAPBEXresData 2" xfId="2922"/>
    <cellStyle name="SAPBEXresData 3" xfId="2923"/>
    <cellStyle name="SAPBEXresDataEmph" xfId="2924"/>
    <cellStyle name="SAPBEXresDataEmph 2" xfId="2925"/>
    <cellStyle name="SAPBEXresDataEmph 3" xfId="2926"/>
    <cellStyle name="SAPBEXresItem" xfId="2927"/>
    <cellStyle name="SAPBEXresItem 2" xfId="2928"/>
    <cellStyle name="SAPBEXresItem 3" xfId="2929"/>
    <cellStyle name="SAPBEXresItemX" xfId="2930"/>
    <cellStyle name="SAPBEXstdData" xfId="2931"/>
    <cellStyle name="SAPBEXstdData 2" xfId="2932"/>
    <cellStyle name="SAPBEXstdData 2 2" xfId="2933"/>
    <cellStyle name="SAPBEXstdData 3" xfId="2934"/>
    <cellStyle name="SAPBEXstdData 3 2" xfId="2935"/>
    <cellStyle name="SAPBEXstdData 4" xfId="2936"/>
    <cellStyle name="SAPBEXstdData 4 2" xfId="2937"/>
    <cellStyle name="SAPBEXstdData 5" xfId="2938"/>
    <cellStyle name="SAPBEXstdDataEmph" xfId="2939"/>
    <cellStyle name="SAPBEXstdDataEmph 2" xfId="2940"/>
    <cellStyle name="SAPBEXstdDataEmph 3" xfId="2941"/>
    <cellStyle name="SAPBEXstdItem" xfId="2942"/>
    <cellStyle name="SAPBEXstdItem 2" xfId="2943"/>
    <cellStyle name="SAPBEXstdItem 2 2" xfId="2944"/>
    <cellStyle name="SAPBEXstdItem 3" xfId="2945"/>
    <cellStyle name="SAPBEXstdItem 3 2" xfId="2946"/>
    <cellStyle name="SAPBEXstdItem 4" xfId="2947"/>
    <cellStyle name="SAPBEXstdItem 4 2" xfId="2948"/>
    <cellStyle name="SAPBEXstdItem 5" xfId="2949"/>
    <cellStyle name="SAPBEXstdItemX" xfId="2950"/>
    <cellStyle name="SAPBEXstdItemX 2" xfId="2951"/>
    <cellStyle name="SAPBEXstdItemX 2 2" xfId="2952"/>
    <cellStyle name="SAPBEXstdItemX 3" xfId="2953"/>
    <cellStyle name="SAPBEXstdItemX 3 2" xfId="2954"/>
    <cellStyle name="SAPBEXstdItemX 4" xfId="2955"/>
    <cellStyle name="SAPBEXstdItemX 4 2" xfId="2956"/>
    <cellStyle name="SAPBEXstdItemX 5" xfId="2957"/>
    <cellStyle name="SAPBEXtitle" xfId="2958"/>
    <cellStyle name="SAPBEXtitle 2" xfId="2959"/>
    <cellStyle name="SAPBEXtitle 2 2" xfId="2960"/>
    <cellStyle name="SAPBEXtitle 3" xfId="2961"/>
    <cellStyle name="SAPBEXtitle 3 2" xfId="2962"/>
    <cellStyle name="SAPBEXtitle 4" xfId="2963"/>
    <cellStyle name="SAPBEXtitle 4 2" xfId="2964"/>
    <cellStyle name="SAPBEXtitle 5" xfId="2965"/>
    <cellStyle name="SAPBEXundefined" xfId="2966"/>
    <cellStyle name="SAPBEXundefined 2" xfId="2967"/>
    <cellStyle name="SAPBEXundefined 3" xfId="2968"/>
    <cellStyle name="sche|_x0005_" xfId="2969"/>
    <cellStyle name="sche|_x0005_ 2" xfId="2970"/>
    <cellStyle name="sche|_x0005__09FW주간판매(1026)" xfId="2971"/>
    <cellStyle name="Separador de milhares [0]_laroux" xfId="2972"/>
    <cellStyle name="Separador de milhares_CW170_8" xfId="2973"/>
    <cellStyle name="STANDARD" xfId="2974"/>
    <cellStyle name="Style 1" xfId="2975"/>
    <cellStyle name="Style 70" xfId="2976"/>
    <cellStyle name="subhead" xfId="2977"/>
    <cellStyle name="SubHeading" xfId="2978"/>
    <cellStyle name="Subtotal" xfId="2979"/>
    <cellStyle name="Subtotal 1" xfId="2980"/>
    <cellStyle name="Suggested Quantity" xfId="2981"/>
    <cellStyle name="Table Head" xfId="2982"/>
    <cellStyle name="Table Head Aligned" xfId="2983"/>
    <cellStyle name="Table Title" xfId="2984"/>
    <cellStyle name="Table Units" xfId="2985"/>
    <cellStyle name="TB" xfId="2986"/>
    <cellStyle name="Text Indent A" xfId="2987"/>
    <cellStyle name="Text Indent B" xfId="2988"/>
    <cellStyle name="Text Indent B 2" xfId="2989"/>
    <cellStyle name="Text Indent B 3" xfId="2990"/>
    <cellStyle name="Text Indent B_Production schedule_SHINTSBVT_20100906" xfId="2991"/>
    <cellStyle name="Text Indent C" xfId="2992"/>
    <cellStyle name="Text Indent C 2" xfId="2993"/>
    <cellStyle name="Text Indent C 3" xfId="2994"/>
    <cellStyle name="Text Indent C_Production schedule_SHINTSBVT_20100906" xfId="2995"/>
    <cellStyle name="Texto de advertencia" xfId="2996"/>
    <cellStyle name="Texto explicativo" xfId="2997"/>
    <cellStyle name="þ_x001d_ð'&amp;Oy?Hy9_x0008__x000f__x0007_æ_x0007__x0007__x0001__x0001_" xfId="2998"/>
    <cellStyle name="þ_x001d_ð'&amp;Oy?Hy9_x0008__x000f__x0007_æ_x0007__x0007__x0001__x0001_ 2" xfId="2999"/>
    <cellStyle name="þ_x001d_ð'&amp;Oy?Hy9_x0008__x000f__x0007_æ_x0007__x0007__x0001__x0001__Sheet1" xfId="3000"/>
    <cellStyle name="þ_x001d_ðK_x000c_Fý_x001b__x000d_9ýU" xfId="3001"/>
    <cellStyle name="þ_x001d_ðK_x000c_Fý_x001b__x000d_9ýU_x0001_Ð_x0008_¦)_x0007__x0001__x0001_" xfId="3002"/>
    <cellStyle name="Tiêu đề" xfId="3003"/>
    <cellStyle name="Tính toán" xfId="3004"/>
    <cellStyle name="title [1]" xfId="3005"/>
    <cellStyle name="title [2]" xfId="3006"/>
    <cellStyle name="Title 2" xfId="3007"/>
    <cellStyle name="Title 3" xfId="3008"/>
    <cellStyle name="Title 4" xfId="3009"/>
    <cellStyle name="Título" xfId="3010"/>
    <cellStyle name="Título 1" xfId="3011"/>
    <cellStyle name="Título 2" xfId="3012"/>
    <cellStyle name="Título 3" xfId="3013"/>
    <cellStyle name="Tổng" xfId="3014"/>
    <cellStyle name="Top Row" xfId="3015"/>
    <cellStyle name="TopGrey" xfId="3016"/>
    <cellStyle name="torr" xfId="3017"/>
    <cellStyle name="Tốt" xfId="3018"/>
    <cellStyle name="Total" xfId="3019"/>
    <cellStyle name="Total 2" xfId="3020"/>
    <cellStyle name="Total 3" xfId="3021"/>
    <cellStyle name="Total 4" xfId="3022"/>
    <cellStyle name="TotalCurr" xfId="3023"/>
    <cellStyle name="TotalHdr" xfId="3024"/>
    <cellStyle name="Trung tính" xfId="3025"/>
    <cellStyle name="tttttt" xfId="3026"/>
    <cellStyle name="two" xfId="3027"/>
    <cellStyle name="Underline" xfId="3028"/>
    <cellStyle name="Văn bản Cảnh báo" xfId="3029"/>
    <cellStyle name="Văn bản Giải thích" xfId="3030"/>
    <cellStyle name="Vehicle_Benchmark" xfId="3031"/>
    <cellStyle name="vnhead1" xfId="3032"/>
    <cellStyle name="vnhead3" xfId="3033"/>
    <cellStyle name="vntxt1" xfId="3034"/>
    <cellStyle name="vntxt2" xfId="3035"/>
    <cellStyle name="Volumes_Data" xfId="3036"/>
    <cellStyle name="Währung [0]_97MYBOX" xfId="3037"/>
    <cellStyle name="Währung_97MYBOX" xfId="3038"/>
    <cellStyle name="Warning Text 2" xfId="3039"/>
    <cellStyle name="Warning Text 3" xfId="3040"/>
    <cellStyle name="Warning Text 4" xfId="3041"/>
    <cellStyle name="weekly" xfId="3042"/>
    <cellStyle name="Wingding" xfId="3043"/>
    <cellStyle name="WR" xfId="3044"/>
    <cellStyle name="Xấu" xfId="3045"/>
    <cellStyle name="XLS'|_x0005_t" xfId="3046"/>
    <cellStyle name="XLS'|_x0005_t 2" xfId="3047"/>
    <cellStyle name="XLS'|_x0005_t_09FW주간판매(1026)" xfId="3048"/>
    <cellStyle name="Yen" xfId="3049"/>
    <cellStyle name="Yen-Acctg" xfId="3050"/>
    <cellStyle name="Yen-Actg" xfId="3051"/>
    <cellStyle name="yenblue" xfId="3052"/>
    <cellStyle name="δSheet1" xfId="3053"/>
    <cellStyle name="δSource Var Margin" xfId="3054"/>
    <cellStyle name="δtate" xfId="3055"/>
    <cellStyle name="δVolume (5-12)" xfId="3056"/>
    <cellStyle name="δVolume Model" xfId="3057"/>
    <cellStyle name="ค@ฏ๋_R&amp;O (8+4)" xfId="3064"/>
    <cellStyle name="ฅ" xfId="3065"/>
    <cellStyle name="ฅ_98aust4" xfId="3066"/>
    <cellStyle name="ฅ_98austact" xfId="3067"/>
    <cellStyle name="ฅ_98ftc12" xfId="3068"/>
    <cellStyle name="ฅ_99aust" xfId="3069"/>
    <cellStyle name="ฅ_99ec" xfId="3070"/>
    <cellStyle name="ฅ_99pr623" xfId="3071"/>
    <cellStyle name="ฅ_99pr623c" xfId="3072"/>
    <cellStyle name="ฅ_99PRICE" xfId="3073"/>
    <cellStyle name="ฅ_99SUM" xfId="3074"/>
    <cellStyle name="ฅ_J97FT623" xfId="3075"/>
    <cellStyle name="ฅ_J97FTC_1" xfId="3076"/>
    <cellStyle name="ฅ_JANPRIC2" xfId="3077"/>
    <cellStyle name="ฅ_JANPRIC2_1" xfId="3078"/>
    <cellStyle name="ฅ_newadr2" xfId="3079"/>
    <cellStyle name="ฅ_PRICEADR" xfId="3080"/>
    <cellStyle name="ฅ_PRICEADR_1" xfId="3081"/>
    <cellStyle name="ฅ_PRICEEC" xfId="3082"/>
    <cellStyle name="ฅ_PRICEEC_1" xfId="3083"/>
    <cellStyle name="ฅ_task2" xfId="3084"/>
    <cellStyle name="ฅ_WDMO399" xfId="3085"/>
    <cellStyle name="ｳfｹ・[0]_Sheet1" xfId="3058"/>
    <cellStyle name="ｳfｹ0]_6_6 R&amp;O " xfId="3059"/>
    <cellStyle name="ｳfｹ6_6 R&amp;O " xfId="3060"/>
    <cellStyle name="ｼﾐｷﾇ_ECC" xfId="3061"/>
    <cellStyle name="ハイパー??ク" xfId="3062"/>
    <cellStyle name="ハイパーリンク" xfId="30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85"/>
  <sheetViews>
    <sheetView tabSelected="1" zoomScale="85" zoomScaleNormal="85" workbookViewId="0">
      <selection activeCell="I1" sqref="I1"/>
    </sheetView>
  </sheetViews>
  <sheetFormatPr defaultRowHeight="16.5"/>
  <cols>
    <col min="1" max="1" width="0.5" customWidth="1"/>
    <col min="2" max="3" width="7.375" customWidth="1"/>
    <col min="7" max="7" width="17" customWidth="1"/>
    <col min="10" max="11" width="10.375" customWidth="1"/>
    <col min="17" max="17" width="11.5" customWidth="1"/>
    <col min="18" max="18" width="13.375" customWidth="1"/>
  </cols>
  <sheetData>
    <row r="1" spans="1:39" ht="3.75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7.25">
      <c r="B2" s="427" t="s">
        <v>0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9"/>
      <c r="P2" s="436" t="s">
        <v>1</v>
      </c>
      <c r="Q2" s="437"/>
      <c r="R2" s="8" t="s">
        <v>2</v>
      </c>
      <c r="S2" s="9" t="s">
        <v>3</v>
      </c>
      <c r="T2" s="2"/>
      <c r="U2" s="2"/>
      <c r="V2" s="2"/>
      <c r="W2" s="2"/>
      <c r="X2" s="195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20.25">
      <c r="B3" s="430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2"/>
      <c r="P3" s="438"/>
      <c r="Q3" s="439"/>
      <c r="R3" s="10"/>
      <c r="S3" s="11"/>
      <c r="T3" s="2"/>
      <c r="U3" s="2"/>
      <c r="V3" s="2"/>
      <c r="W3" s="2"/>
      <c r="X3" s="195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8" thickBot="1">
      <c r="B4" s="433"/>
      <c r="C4" s="434"/>
      <c r="D4" s="434"/>
      <c r="E4" s="434"/>
      <c r="F4" s="434"/>
      <c r="G4" s="434"/>
      <c r="H4" s="434"/>
      <c r="I4" s="434"/>
      <c r="J4" s="434"/>
      <c r="K4" s="434"/>
      <c r="L4" s="434"/>
      <c r="M4" s="434"/>
      <c r="N4" s="434"/>
      <c r="O4" s="435"/>
      <c r="P4" s="440"/>
      <c r="Q4" s="441"/>
      <c r="R4" s="12"/>
      <c r="S4" s="13"/>
      <c r="T4" s="67"/>
      <c r="U4" s="67"/>
      <c r="V4" s="180"/>
      <c r="W4" s="180"/>
      <c r="X4" s="67"/>
      <c r="Y4" s="180"/>
      <c r="Z4" s="180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</row>
    <row r="5" spans="1:39" ht="3" customHeight="1" thickBot="1">
      <c r="B5" s="15"/>
      <c r="C5" s="15"/>
      <c r="D5" s="14"/>
      <c r="E5" s="14"/>
      <c r="F5" s="14"/>
      <c r="G5" s="14"/>
      <c r="H5" s="14"/>
      <c r="I5" s="14"/>
      <c r="J5" s="16"/>
      <c r="K5" s="16"/>
      <c r="L5" s="16"/>
      <c r="M5" s="14"/>
      <c r="N5" s="16"/>
      <c r="O5" s="16"/>
      <c r="P5" s="14"/>
      <c r="Q5" s="14"/>
      <c r="R5" s="14"/>
      <c r="S5" s="17"/>
      <c r="T5" s="67"/>
      <c r="U5" s="67"/>
      <c r="V5" s="180"/>
      <c r="W5" s="180"/>
      <c r="X5" s="67"/>
      <c r="Y5" s="180"/>
      <c r="Z5" s="180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</row>
    <row r="6" spans="1:39" ht="18" thickBot="1">
      <c r="B6" s="442" t="s">
        <v>4</v>
      </c>
      <c r="C6" s="443"/>
      <c r="D6" s="444"/>
      <c r="E6" s="445"/>
      <c r="F6" s="309" t="s">
        <v>5</v>
      </c>
      <c r="G6" s="310"/>
      <c r="H6" s="311" t="s">
        <v>6</v>
      </c>
      <c r="I6" s="424"/>
      <c r="J6" s="425"/>
      <c r="K6" s="426"/>
      <c r="L6" s="312" t="s">
        <v>7</v>
      </c>
      <c r="M6" s="422"/>
      <c r="N6" s="399"/>
      <c r="O6" s="399"/>
      <c r="P6" s="423"/>
      <c r="Q6" s="313" t="s">
        <v>8</v>
      </c>
      <c r="R6" s="399"/>
      <c r="S6" s="400"/>
      <c r="T6" s="181"/>
      <c r="U6" s="181"/>
      <c r="V6" s="182"/>
      <c r="W6" s="182"/>
      <c r="X6" s="181"/>
      <c r="Y6" s="182"/>
      <c r="Z6" s="182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</row>
    <row r="7" spans="1:39" ht="3" customHeight="1" thickBot="1">
      <c r="B7" s="91"/>
      <c r="C7" s="91"/>
      <c r="D7" s="18"/>
      <c r="E7" s="18"/>
      <c r="F7" s="18"/>
      <c r="G7" s="18"/>
      <c r="H7" s="18"/>
      <c r="I7" s="18"/>
      <c r="J7" s="19"/>
      <c r="K7" s="20"/>
      <c r="L7" s="20"/>
      <c r="M7" s="21"/>
      <c r="N7" s="22"/>
      <c r="O7" s="20"/>
      <c r="P7" s="20"/>
      <c r="Q7" s="20"/>
      <c r="R7" s="18"/>
      <c r="S7" s="18"/>
      <c r="T7" s="23"/>
      <c r="U7" s="23"/>
      <c r="V7" s="183"/>
      <c r="W7" s="183"/>
      <c r="X7" s="23"/>
      <c r="Y7" s="183"/>
      <c r="Z7" s="18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</row>
    <row r="8" spans="1:39" ht="20.25">
      <c r="B8" s="401" t="s">
        <v>9</v>
      </c>
      <c r="C8" s="403" t="s">
        <v>10</v>
      </c>
      <c r="D8" s="405" t="s">
        <v>65</v>
      </c>
      <c r="E8" s="406"/>
      <c r="F8" s="407"/>
      <c r="G8" s="411" t="s">
        <v>11</v>
      </c>
      <c r="H8" s="412"/>
      <c r="I8" s="412"/>
      <c r="J8" s="412"/>
      <c r="K8" s="413"/>
      <c r="L8" s="414" t="s">
        <v>12</v>
      </c>
      <c r="M8" s="415"/>
      <c r="N8" s="415"/>
      <c r="O8" s="415"/>
      <c r="P8" s="416" t="s">
        <v>13</v>
      </c>
      <c r="Q8" s="418" t="s">
        <v>70</v>
      </c>
      <c r="R8" s="419" t="s">
        <v>71</v>
      </c>
      <c r="S8" s="420" t="s">
        <v>14</v>
      </c>
      <c r="T8" s="24"/>
      <c r="U8" s="24"/>
      <c r="V8" s="184"/>
      <c r="W8" s="184"/>
      <c r="X8" s="24"/>
      <c r="Y8" s="184"/>
      <c r="Z8" s="18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ht="167.25" customHeight="1" thickBot="1">
      <c r="B9" s="402"/>
      <c r="C9" s="404"/>
      <c r="D9" s="408"/>
      <c r="E9" s="409"/>
      <c r="F9" s="410"/>
      <c r="G9" s="314" t="s">
        <v>66</v>
      </c>
      <c r="H9" s="315" t="s">
        <v>67</v>
      </c>
      <c r="I9" s="315" t="s">
        <v>68</v>
      </c>
      <c r="J9" s="321" t="s">
        <v>69</v>
      </c>
      <c r="K9" s="316" t="s">
        <v>15</v>
      </c>
      <c r="L9" s="317" t="s">
        <v>16</v>
      </c>
      <c r="M9" s="318" t="s">
        <v>17</v>
      </c>
      <c r="N9" s="319" t="s">
        <v>18</v>
      </c>
      <c r="O9" s="320" t="s">
        <v>19</v>
      </c>
      <c r="P9" s="417"/>
      <c r="Q9" s="402"/>
      <c r="R9" s="409"/>
      <c r="S9" s="421"/>
      <c r="T9" s="67"/>
      <c r="U9" s="67"/>
      <c r="V9" s="180"/>
      <c r="W9" s="180"/>
      <c r="X9" s="185"/>
      <c r="Y9" s="180"/>
      <c r="Z9" s="180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</row>
    <row r="10" spans="1:39" ht="20.25">
      <c r="B10" s="379" t="s">
        <v>20</v>
      </c>
      <c r="C10" s="387"/>
      <c r="D10" s="5"/>
      <c r="E10" s="139"/>
      <c r="F10" s="139"/>
      <c r="G10" s="157"/>
      <c r="H10" s="157"/>
      <c r="I10" s="159"/>
      <c r="J10" s="261"/>
      <c r="K10" s="287">
        <f>I10*J10</f>
        <v>0</v>
      </c>
      <c r="L10" s="262"/>
      <c r="M10" s="159"/>
      <c r="N10" s="261"/>
      <c r="O10" s="158">
        <v>0</v>
      </c>
      <c r="P10" s="248" t="e">
        <v>#DIV/0!</v>
      </c>
      <c r="Q10" s="196"/>
      <c r="R10" s="270"/>
      <c r="S10" s="394"/>
      <c r="T10" s="271"/>
      <c r="U10" s="247"/>
      <c r="V10" s="245"/>
      <c r="W10" s="246"/>
      <c r="X10" s="267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20.25">
      <c r="B11" s="380"/>
      <c r="C11" s="387"/>
      <c r="D11" s="232"/>
      <c r="E11" s="233"/>
      <c r="F11" s="233"/>
      <c r="G11" s="301"/>
      <c r="H11" s="301"/>
      <c r="I11" s="282"/>
      <c r="J11" s="283"/>
      <c r="K11" s="241">
        <f>I11*J11</f>
        <v>0</v>
      </c>
      <c r="L11" s="284"/>
      <c r="M11" s="282"/>
      <c r="N11" s="283"/>
      <c r="O11" s="285">
        <v>0</v>
      </c>
      <c r="P11" s="286" t="e">
        <v>#DIV/0!</v>
      </c>
      <c r="Q11" s="296"/>
      <c r="R11" s="272"/>
      <c r="S11" s="395"/>
      <c r="T11" s="2"/>
      <c r="U11" s="182"/>
      <c r="V11" s="245"/>
      <c r="W11" s="246"/>
      <c r="X11" s="26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20.25">
      <c r="B12" s="380"/>
      <c r="C12" s="387"/>
      <c r="D12" s="227"/>
      <c r="E12" s="162"/>
      <c r="F12" s="163"/>
      <c r="G12" s="228"/>
      <c r="H12" s="228"/>
      <c r="I12" s="226"/>
      <c r="J12" s="299"/>
      <c r="K12" s="241">
        <f>I12*J12</f>
        <v>0</v>
      </c>
      <c r="L12" s="300"/>
      <c r="M12" s="226"/>
      <c r="N12" s="299"/>
      <c r="O12" s="229">
        <v>0</v>
      </c>
      <c r="P12" s="297" t="e">
        <v>#DIV/0!</v>
      </c>
      <c r="Q12" s="198"/>
      <c r="R12" s="298"/>
      <c r="S12" s="395"/>
      <c r="T12" s="2"/>
      <c r="U12" s="182"/>
      <c r="V12" s="245"/>
      <c r="W12" s="246"/>
      <c r="X12" s="267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20.25">
      <c r="B13" s="380"/>
      <c r="C13" s="387"/>
      <c r="D13" s="227"/>
      <c r="E13" s="162"/>
      <c r="F13" s="163"/>
      <c r="G13" s="228"/>
      <c r="H13" s="228"/>
      <c r="I13" s="226"/>
      <c r="J13" s="299"/>
      <c r="K13" s="241">
        <f>I13*J13</f>
        <v>0</v>
      </c>
      <c r="L13" s="300"/>
      <c r="M13" s="226"/>
      <c r="N13" s="299"/>
      <c r="O13" s="229">
        <v>0</v>
      </c>
      <c r="P13" s="297" t="e">
        <v>#DIV/0!</v>
      </c>
      <c r="Q13" s="198"/>
      <c r="R13" s="298"/>
      <c r="S13" s="395"/>
      <c r="T13" s="2"/>
      <c r="U13" s="182"/>
      <c r="V13" s="245"/>
      <c r="W13" s="246"/>
      <c r="X13" s="26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20.25">
      <c r="B14" s="380"/>
      <c r="C14" s="387"/>
      <c r="D14" s="227"/>
      <c r="E14" s="162"/>
      <c r="F14" s="163"/>
      <c r="G14" s="228"/>
      <c r="H14" s="228"/>
      <c r="I14" s="226"/>
      <c r="J14" s="299"/>
      <c r="K14" s="241">
        <f t="shared" ref="K14:K77" si="0">I14*J14</f>
        <v>0</v>
      </c>
      <c r="L14" s="300"/>
      <c r="M14" s="226"/>
      <c r="N14" s="299"/>
      <c r="O14" s="229">
        <v>0</v>
      </c>
      <c r="P14" s="297" t="e">
        <v>#DIV/0!</v>
      </c>
      <c r="Q14" s="198"/>
      <c r="R14" s="281"/>
      <c r="S14" s="395"/>
      <c r="T14" s="2"/>
      <c r="U14" s="182"/>
      <c r="V14" s="245"/>
      <c r="W14" s="246"/>
      <c r="X14" s="26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20.25">
      <c r="B15" s="380"/>
      <c r="C15" s="387"/>
      <c r="D15" s="227"/>
      <c r="E15" s="162"/>
      <c r="F15" s="163"/>
      <c r="G15" s="228"/>
      <c r="H15" s="228"/>
      <c r="I15" s="226"/>
      <c r="J15" s="299"/>
      <c r="K15" s="241">
        <f t="shared" si="0"/>
        <v>0</v>
      </c>
      <c r="L15" s="300"/>
      <c r="M15" s="226"/>
      <c r="N15" s="299"/>
      <c r="O15" s="229">
        <v>0</v>
      </c>
      <c r="P15" s="297" t="e">
        <v>#DIV/0!</v>
      </c>
      <c r="Q15" s="198"/>
      <c r="R15" s="298"/>
      <c r="S15" s="395"/>
      <c r="T15" s="2"/>
      <c r="U15" s="182"/>
      <c r="V15" s="245"/>
      <c r="W15" s="246"/>
      <c r="X15" s="26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20.25">
      <c r="B16" s="380"/>
      <c r="C16" s="387"/>
      <c r="D16" s="232"/>
      <c r="E16" s="233"/>
      <c r="F16" s="233"/>
      <c r="G16" s="301"/>
      <c r="H16" s="301"/>
      <c r="I16" s="282"/>
      <c r="J16" s="283"/>
      <c r="K16" s="241">
        <f t="shared" si="0"/>
        <v>0</v>
      </c>
      <c r="L16" s="284"/>
      <c r="M16" s="282"/>
      <c r="N16" s="283"/>
      <c r="O16" s="285">
        <v>0</v>
      </c>
      <c r="P16" s="286" t="e">
        <v>#DIV/0!</v>
      </c>
      <c r="Q16" s="296"/>
      <c r="R16" s="272"/>
      <c r="S16" s="395"/>
      <c r="T16" s="2"/>
      <c r="U16" s="182"/>
      <c r="V16" s="245"/>
      <c r="W16" s="246"/>
      <c r="X16" s="267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2:24" ht="20.25">
      <c r="B17" s="380"/>
      <c r="C17" s="387"/>
      <c r="D17" s="227"/>
      <c r="E17" s="162"/>
      <c r="F17" s="163"/>
      <c r="G17" s="228"/>
      <c r="H17" s="228"/>
      <c r="I17" s="226"/>
      <c r="J17" s="299"/>
      <c r="K17" s="241">
        <f t="shared" si="0"/>
        <v>0</v>
      </c>
      <c r="L17" s="300"/>
      <c r="M17" s="226"/>
      <c r="N17" s="299"/>
      <c r="O17" s="229">
        <v>0</v>
      </c>
      <c r="P17" s="297" t="e">
        <v>#DIV/0!</v>
      </c>
      <c r="Q17" s="198"/>
      <c r="R17" s="298"/>
      <c r="S17" s="395"/>
      <c r="T17" s="2"/>
      <c r="U17" s="182"/>
      <c r="V17" s="245"/>
      <c r="W17" s="246"/>
      <c r="X17" s="267"/>
    </row>
    <row r="18" spans="2:24" ht="20.25">
      <c r="B18" s="380"/>
      <c r="C18" s="387"/>
      <c r="D18" s="227"/>
      <c r="E18" s="162"/>
      <c r="F18" s="163"/>
      <c r="G18" s="228"/>
      <c r="H18" s="228"/>
      <c r="I18" s="226"/>
      <c r="J18" s="299"/>
      <c r="K18" s="241">
        <f t="shared" si="0"/>
        <v>0</v>
      </c>
      <c r="L18" s="300"/>
      <c r="M18" s="226"/>
      <c r="N18" s="299"/>
      <c r="O18" s="229">
        <v>0</v>
      </c>
      <c r="P18" s="297" t="e">
        <v>#DIV/0!</v>
      </c>
      <c r="Q18" s="198"/>
      <c r="R18" s="298"/>
      <c r="S18" s="395"/>
      <c r="T18" s="2"/>
      <c r="U18" s="182"/>
      <c r="V18" s="245"/>
      <c r="W18" s="246"/>
      <c r="X18" s="267"/>
    </row>
    <row r="19" spans="2:24" ht="20.25">
      <c r="B19" s="380"/>
      <c r="C19" s="387"/>
      <c r="D19" s="227"/>
      <c r="E19" s="162"/>
      <c r="F19" s="163"/>
      <c r="G19" s="228"/>
      <c r="H19" s="228"/>
      <c r="I19" s="226"/>
      <c r="J19" s="299"/>
      <c r="K19" s="241">
        <f t="shared" si="0"/>
        <v>0</v>
      </c>
      <c r="L19" s="300"/>
      <c r="M19" s="226"/>
      <c r="N19" s="299"/>
      <c r="O19" s="229">
        <v>0</v>
      </c>
      <c r="P19" s="297" t="e">
        <v>#DIV/0!</v>
      </c>
      <c r="Q19" s="198"/>
      <c r="R19" s="281"/>
      <c r="S19" s="395"/>
      <c r="T19" s="2"/>
      <c r="U19" s="182"/>
      <c r="V19" s="245"/>
      <c r="W19" s="246"/>
      <c r="X19" s="267"/>
    </row>
    <row r="20" spans="2:24" ht="20.25">
      <c r="B20" s="380"/>
      <c r="C20" s="387"/>
      <c r="D20" s="227"/>
      <c r="E20" s="162"/>
      <c r="F20" s="163"/>
      <c r="G20" s="228"/>
      <c r="H20" s="228"/>
      <c r="I20" s="226"/>
      <c r="J20" s="299"/>
      <c r="K20" s="241">
        <f t="shared" si="0"/>
        <v>0</v>
      </c>
      <c r="L20" s="300"/>
      <c r="M20" s="226"/>
      <c r="N20" s="299"/>
      <c r="O20" s="229">
        <v>0</v>
      </c>
      <c r="P20" s="297" t="e">
        <v>#DIV/0!</v>
      </c>
      <c r="Q20" s="198"/>
      <c r="R20" s="298"/>
      <c r="S20" s="395"/>
      <c r="T20" s="2"/>
      <c r="U20" s="182"/>
      <c r="V20" s="245"/>
      <c r="W20" s="246"/>
      <c r="X20" s="267"/>
    </row>
    <row r="21" spans="2:24" ht="20.25">
      <c r="B21" s="380"/>
      <c r="C21" s="387"/>
      <c r="D21" s="232"/>
      <c r="E21" s="233"/>
      <c r="F21" s="233"/>
      <c r="G21" s="301"/>
      <c r="H21" s="301"/>
      <c r="I21" s="282"/>
      <c r="J21" s="283"/>
      <c r="K21" s="241">
        <f t="shared" si="0"/>
        <v>0</v>
      </c>
      <c r="L21" s="284"/>
      <c r="M21" s="282"/>
      <c r="N21" s="283"/>
      <c r="O21" s="285">
        <v>0</v>
      </c>
      <c r="P21" s="286" t="e">
        <v>#DIV/0!</v>
      </c>
      <c r="Q21" s="296"/>
      <c r="R21" s="272"/>
      <c r="S21" s="395"/>
      <c r="T21" s="2"/>
      <c r="U21" s="182"/>
      <c r="V21" s="245"/>
      <c r="W21" s="246"/>
      <c r="X21" s="267"/>
    </row>
    <row r="22" spans="2:24" ht="20.25">
      <c r="B22" s="380"/>
      <c r="C22" s="387"/>
      <c r="D22" s="227"/>
      <c r="E22" s="162"/>
      <c r="F22" s="163"/>
      <c r="G22" s="228"/>
      <c r="H22" s="228"/>
      <c r="I22" s="226"/>
      <c r="J22" s="299"/>
      <c r="K22" s="241">
        <f t="shared" si="0"/>
        <v>0</v>
      </c>
      <c r="L22" s="300"/>
      <c r="M22" s="226"/>
      <c r="N22" s="299"/>
      <c r="O22" s="229">
        <v>0</v>
      </c>
      <c r="P22" s="297" t="e">
        <v>#DIV/0!</v>
      </c>
      <c r="Q22" s="198"/>
      <c r="R22" s="298"/>
      <c r="S22" s="395"/>
      <c r="T22" s="2"/>
      <c r="U22" s="182"/>
      <c r="V22" s="245"/>
      <c r="W22" s="246"/>
      <c r="X22" s="267"/>
    </row>
    <row r="23" spans="2:24" ht="20.25">
      <c r="B23" s="380"/>
      <c r="C23" s="387"/>
      <c r="D23" s="227"/>
      <c r="E23" s="162"/>
      <c r="F23" s="163"/>
      <c r="G23" s="228"/>
      <c r="H23" s="228"/>
      <c r="I23" s="226"/>
      <c r="J23" s="299"/>
      <c r="K23" s="241">
        <f t="shared" si="0"/>
        <v>0</v>
      </c>
      <c r="L23" s="300"/>
      <c r="M23" s="226"/>
      <c r="N23" s="299"/>
      <c r="O23" s="229">
        <v>0</v>
      </c>
      <c r="P23" s="297" t="e">
        <v>#DIV/0!</v>
      </c>
      <c r="Q23" s="198"/>
      <c r="R23" s="298"/>
      <c r="S23" s="395"/>
      <c r="T23" s="2"/>
      <c r="U23" s="182"/>
      <c r="V23" s="245"/>
      <c r="W23" s="246"/>
      <c r="X23" s="267"/>
    </row>
    <row r="24" spans="2:24" ht="20.25">
      <c r="B24" s="380"/>
      <c r="C24" s="387"/>
      <c r="D24" s="227"/>
      <c r="E24" s="162"/>
      <c r="F24" s="163"/>
      <c r="G24" s="228"/>
      <c r="H24" s="228"/>
      <c r="I24" s="226"/>
      <c r="J24" s="299"/>
      <c r="K24" s="241">
        <f t="shared" si="0"/>
        <v>0</v>
      </c>
      <c r="L24" s="300"/>
      <c r="M24" s="226"/>
      <c r="N24" s="299"/>
      <c r="O24" s="229">
        <v>0</v>
      </c>
      <c r="P24" s="297" t="e">
        <v>#DIV/0!</v>
      </c>
      <c r="Q24" s="198"/>
      <c r="R24" s="281"/>
      <c r="S24" s="395"/>
      <c r="T24" s="2"/>
      <c r="U24" s="182"/>
      <c r="V24" s="245"/>
      <c r="W24" s="246"/>
      <c r="X24" s="267"/>
    </row>
    <row r="25" spans="2:24" ht="20.25">
      <c r="B25" s="380"/>
      <c r="C25" s="387"/>
      <c r="D25" s="227"/>
      <c r="E25" s="162"/>
      <c r="F25" s="163"/>
      <c r="G25" s="228"/>
      <c r="H25" s="228"/>
      <c r="I25" s="226"/>
      <c r="J25" s="299"/>
      <c r="K25" s="241">
        <f t="shared" si="0"/>
        <v>0</v>
      </c>
      <c r="L25" s="300"/>
      <c r="M25" s="226"/>
      <c r="N25" s="299"/>
      <c r="O25" s="229">
        <v>0</v>
      </c>
      <c r="P25" s="297" t="e">
        <v>#DIV/0!</v>
      </c>
      <c r="Q25" s="198"/>
      <c r="R25" s="298"/>
      <c r="S25" s="395"/>
      <c r="T25" s="2"/>
      <c r="U25" s="182"/>
      <c r="V25" s="245"/>
      <c r="W25" s="246"/>
      <c r="X25" s="267"/>
    </row>
    <row r="26" spans="2:24" ht="20.25">
      <c r="B26" s="380"/>
      <c r="C26" s="387"/>
      <c r="D26" s="232"/>
      <c r="E26" s="233"/>
      <c r="F26" s="233"/>
      <c r="G26" s="301"/>
      <c r="H26" s="301"/>
      <c r="I26" s="282"/>
      <c r="J26" s="283"/>
      <c r="K26" s="241">
        <f t="shared" si="0"/>
        <v>0</v>
      </c>
      <c r="L26" s="284"/>
      <c r="M26" s="282"/>
      <c r="N26" s="283"/>
      <c r="O26" s="285">
        <v>0</v>
      </c>
      <c r="P26" s="286" t="e">
        <v>#DIV/0!</v>
      </c>
      <c r="Q26" s="296"/>
      <c r="R26" s="272"/>
      <c r="S26" s="395"/>
      <c r="T26" s="2"/>
      <c r="U26" s="182"/>
      <c r="V26" s="245"/>
      <c r="W26" s="246"/>
      <c r="X26" s="267"/>
    </row>
    <row r="27" spans="2:24" ht="20.25">
      <c r="B27" s="380"/>
      <c r="C27" s="387"/>
      <c r="D27" s="227"/>
      <c r="E27" s="162"/>
      <c r="F27" s="163"/>
      <c r="G27" s="228"/>
      <c r="H27" s="228"/>
      <c r="I27" s="226"/>
      <c r="J27" s="299"/>
      <c r="K27" s="241">
        <f t="shared" si="0"/>
        <v>0</v>
      </c>
      <c r="L27" s="300"/>
      <c r="M27" s="226"/>
      <c r="N27" s="299"/>
      <c r="O27" s="229">
        <v>0</v>
      </c>
      <c r="P27" s="297" t="e">
        <v>#DIV/0!</v>
      </c>
      <c r="Q27" s="198"/>
      <c r="R27" s="298"/>
      <c r="S27" s="395"/>
      <c r="T27" s="2"/>
      <c r="U27" s="182"/>
      <c r="V27" s="245"/>
      <c r="W27" s="246"/>
      <c r="X27" s="267"/>
    </row>
    <row r="28" spans="2:24" ht="20.25">
      <c r="B28" s="380"/>
      <c r="C28" s="387"/>
      <c r="D28" s="227"/>
      <c r="E28" s="162"/>
      <c r="F28" s="163"/>
      <c r="G28" s="228"/>
      <c r="H28" s="228"/>
      <c r="I28" s="226"/>
      <c r="J28" s="299"/>
      <c r="K28" s="241">
        <f t="shared" si="0"/>
        <v>0</v>
      </c>
      <c r="L28" s="300"/>
      <c r="M28" s="226"/>
      <c r="N28" s="299"/>
      <c r="O28" s="229">
        <v>0</v>
      </c>
      <c r="P28" s="297" t="e">
        <v>#DIV/0!</v>
      </c>
      <c r="Q28" s="198"/>
      <c r="R28" s="298"/>
      <c r="S28" s="395"/>
      <c r="T28" s="2"/>
      <c r="U28" s="182"/>
      <c r="V28" s="245"/>
      <c r="W28" s="246"/>
      <c r="X28" s="267"/>
    </row>
    <row r="29" spans="2:24" ht="20.25">
      <c r="B29" s="380"/>
      <c r="C29" s="387"/>
      <c r="D29" s="227"/>
      <c r="E29" s="162"/>
      <c r="F29" s="163"/>
      <c r="G29" s="228"/>
      <c r="H29" s="228"/>
      <c r="I29" s="226"/>
      <c r="J29" s="299"/>
      <c r="K29" s="241">
        <f t="shared" si="0"/>
        <v>0</v>
      </c>
      <c r="L29" s="300"/>
      <c r="M29" s="226"/>
      <c r="N29" s="299"/>
      <c r="O29" s="229">
        <v>0</v>
      </c>
      <c r="P29" s="297" t="e">
        <v>#DIV/0!</v>
      </c>
      <c r="Q29" s="198"/>
      <c r="R29" s="281"/>
      <c r="S29" s="395"/>
      <c r="T29" s="2"/>
      <c r="U29" s="182"/>
      <c r="V29" s="245"/>
      <c r="W29" s="246"/>
      <c r="X29" s="267"/>
    </row>
    <row r="30" spans="2:24" ht="20.25">
      <c r="B30" s="380"/>
      <c r="C30" s="387"/>
      <c r="D30" s="227"/>
      <c r="E30" s="162"/>
      <c r="F30" s="163"/>
      <c r="G30" s="228"/>
      <c r="H30" s="228"/>
      <c r="I30" s="226"/>
      <c r="J30" s="299"/>
      <c r="K30" s="241">
        <f t="shared" si="0"/>
        <v>0</v>
      </c>
      <c r="L30" s="300"/>
      <c r="M30" s="226"/>
      <c r="N30" s="299"/>
      <c r="O30" s="229">
        <v>0</v>
      </c>
      <c r="P30" s="297" t="e">
        <v>#DIV/0!</v>
      </c>
      <c r="Q30" s="198"/>
      <c r="R30" s="298"/>
      <c r="S30" s="395"/>
      <c r="T30" s="2"/>
      <c r="U30" s="182"/>
      <c r="V30" s="245"/>
      <c r="W30" s="246"/>
      <c r="X30" s="267"/>
    </row>
    <row r="31" spans="2:24" ht="20.25">
      <c r="B31" s="380"/>
      <c r="C31" s="387"/>
      <c r="D31" s="232"/>
      <c r="E31" s="233"/>
      <c r="F31" s="233"/>
      <c r="G31" s="301"/>
      <c r="H31" s="301"/>
      <c r="I31" s="282"/>
      <c r="J31" s="283"/>
      <c r="K31" s="241">
        <f t="shared" si="0"/>
        <v>0</v>
      </c>
      <c r="L31" s="284"/>
      <c r="M31" s="282"/>
      <c r="N31" s="283"/>
      <c r="O31" s="285">
        <v>0</v>
      </c>
      <c r="P31" s="286" t="e">
        <v>#DIV/0!</v>
      </c>
      <c r="Q31" s="296"/>
      <c r="R31" s="272"/>
      <c r="S31" s="395"/>
      <c r="T31" s="2"/>
      <c r="U31" s="182"/>
      <c r="V31" s="245"/>
      <c r="W31" s="246"/>
      <c r="X31" s="267"/>
    </row>
    <row r="32" spans="2:24" ht="20.25">
      <c r="B32" s="380"/>
      <c r="C32" s="387"/>
      <c r="D32" s="227"/>
      <c r="E32" s="162"/>
      <c r="F32" s="163"/>
      <c r="G32" s="228"/>
      <c r="H32" s="228"/>
      <c r="I32" s="226"/>
      <c r="J32" s="299"/>
      <c r="K32" s="241">
        <f t="shared" si="0"/>
        <v>0</v>
      </c>
      <c r="L32" s="300"/>
      <c r="M32" s="226"/>
      <c r="N32" s="299"/>
      <c r="O32" s="229">
        <v>0</v>
      </c>
      <c r="P32" s="297" t="e">
        <v>#DIV/0!</v>
      </c>
      <c r="Q32" s="198"/>
      <c r="R32" s="298"/>
      <c r="S32" s="395"/>
      <c r="T32" s="2"/>
      <c r="U32" s="182"/>
      <c r="V32" s="245"/>
      <c r="W32" s="246"/>
      <c r="X32" s="267"/>
    </row>
    <row r="33" spans="2:24" ht="20.25">
      <c r="B33" s="380"/>
      <c r="C33" s="387"/>
      <c r="D33" s="227"/>
      <c r="E33" s="162"/>
      <c r="F33" s="163"/>
      <c r="G33" s="228"/>
      <c r="H33" s="228"/>
      <c r="I33" s="226"/>
      <c r="J33" s="299"/>
      <c r="K33" s="241">
        <f t="shared" si="0"/>
        <v>0</v>
      </c>
      <c r="L33" s="300"/>
      <c r="M33" s="226"/>
      <c r="N33" s="299"/>
      <c r="O33" s="229">
        <v>0</v>
      </c>
      <c r="P33" s="297" t="e">
        <v>#DIV/0!</v>
      </c>
      <c r="Q33" s="198"/>
      <c r="R33" s="298"/>
      <c r="S33" s="395"/>
      <c r="T33" s="2"/>
      <c r="U33" s="182"/>
      <c r="V33" s="245"/>
      <c r="W33" s="246"/>
      <c r="X33" s="267"/>
    </row>
    <row r="34" spans="2:24" ht="20.25">
      <c r="B34" s="380"/>
      <c r="C34" s="387"/>
      <c r="D34" s="227"/>
      <c r="E34" s="162"/>
      <c r="F34" s="163"/>
      <c r="G34" s="228"/>
      <c r="H34" s="228"/>
      <c r="I34" s="226"/>
      <c r="J34" s="299"/>
      <c r="K34" s="241">
        <f t="shared" si="0"/>
        <v>0</v>
      </c>
      <c r="L34" s="300"/>
      <c r="M34" s="226"/>
      <c r="N34" s="299"/>
      <c r="O34" s="229">
        <v>0</v>
      </c>
      <c r="P34" s="297" t="e">
        <v>#DIV/0!</v>
      </c>
      <c r="Q34" s="198"/>
      <c r="R34" s="281"/>
      <c r="S34" s="395"/>
      <c r="T34" s="2"/>
      <c r="U34" s="182"/>
      <c r="V34" s="245"/>
      <c r="W34" s="246"/>
      <c r="X34" s="267"/>
    </row>
    <row r="35" spans="2:24" ht="20.25">
      <c r="B35" s="380"/>
      <c r="C35" s="387"/>
      <c r="D35" s="227"/>
      <c r="E35" s="162"/>
      <c r="F35" s="163"/>
      <c r="G35" s="228"/>
      <c r="H35" s="228"/>
      <c r="I35" s="226"/>
      <c r="J35" s="299"/>
      <c r="K35" s="241">
        <f t="shared" si="0"/>
        <v>0</v>
      </c>
      <c r="L35" s="300"/>
      <c r="M35" s="226"/>
      <c r="N35" s="299"/>
      <c r="O35" s="229">
        <v>0</v>
      </c>
      <c r="P35" s="297" t="e">
        <v>#DIV/0!</v>
      </c>
      <c r="Q35" s="198"/>
      <c r="R35" s="298"/>
      <c r="S35" s="395"/>
      <c r="T35" s="2"/>
      <c r="U35" s="182"/>
      <c r="V35" s="245"/>
      <c r="W35" s="246"/>
      <c r="X35" s="267"/>
    </row>
    <row r="36" spans="2:24" ht="20.25">
      <c r="B36" s="380"/>
      <c r="C36" s="387"/>
      <c r="D36" s="232"/>
      <c r="E36" s="233"/>
      <c r="F36" s="233"/>
      <c r="G36" s="301"/>
      <c r="H36" s="301"/>
      <c r="I36" s="282"/>
      <c r="J36" s="283"/>
      <c r="K36" s="241">
        <f t="shared" si="0"/>
        <v>0</v>
      </c>
      <c r="L36" s="284"/>
      <c r="M36" s="282"/>
      <c r="N36" s="283"/>
      <c r="O36" s="285">
        <v>0</v>
      </c>
      <c r="P36" s="286" t="e">
        <v>#DIV/0!</v>
      </c>
      <c r="Q36" s="296"/>
      <c r="R36" s="272"/>
      <c r="S36" s="395"/>
      <c r="T36" s="2"/>
      <c r="U36" s="182"/>
      <c r="V36" s="245"/>
      <c r="W36" s="246"/>
      <c r="X36" s="267"/>
    </row>
    <row r="37" spans="2:24" ht="20.25">
      <c r="B37" s="380"/>
      <c r="C37" s="387"/>
      <c r="D37" s="227"/>
      <c r="E37" s="162"/>
      <c r="F37" s="163"/>
      <c r="G37" s="228"/>
      <c r="H37" s="228"/>
      <c r="I37" s="226"/>
      <c r="J37" s="299"/>
      <c r="K37" s="241">
        <f t="shared" si="0"/>
        <v>0</v>
      </c>
      <c r="L37" s="300"/>
      <c r="M37" s="226"/>
      <c r="N37" s="299"/>
      <c r="O37" s="229">
        <v>0</v>
      </c>
      <c r="P37" s="297" t="e">
        <v>#DIV/0!</v>
      </c>
      <c r="Q37" s="198"/>
      <c r="R37" s="298"/>
      <c r="S37" s="395"/>
      <c r="T37" s="2"/>
      <c r="U37" s="182"/>
      <c r="V37" s="245"/>
      <c r="W37" s="246"/>
      <c r="X37" s="267"/>
    </row>
    <row r="38" spans="2:24" ht="20.25">
      <c r="B38" s="380"/>
      <c r="C38" s="387"/>
      <c r="D38" s="227"/>
      <c r="E38" s="162"/>
      <c r="F38" s="163"/>
      <c r="G38" s="228"/>
      <c r="H38" s="228"/>
      <c r="I38" s="226"/>
      <c r="J38" s="299"/>
      <c r="K38" s="241">
        <f t="shared" si="0"/>
        <v>0</v>
      </c>
      <c r="L38" s="300"/>
      <c r="M38" s="226"/>
      <c r="N38" s="299"/>
      <c r="O38" s="229">
        <v>0</v>
      </c>
      <c r="P38" s="297" t="e">
        <v>#DIV/0!</v>
      </c>
      <c r="Q38" s="198"/>
      <c r="R38" s="298"/>
      <c r="S38" s="395"/>
      <c r="T38" s="2"/>
      <c r="U38" s="182"/>
      <c r="V38" s="245"/>
      <c r="W38" s="246"/>
      <c r="X38" s="267"/>
    </row>
    <row r="39" spans="2:24" ht="20.25">
      <c r="B39" s="380"/>
      <c r="C39" s="387"/>
      <c r="D39" s="227"/>
      <c r="E39" s="162"/>
      <c r="F39" s="163"/>
      <c r="G39" s="228"/>
      <c r="H39" s="228"/>
      <c r="I39" s="226"/>
      <c r="J39" s="299"/>
      <c r="K39" s="241">
        <f t="shared" si="0"/>
        <v>0</v>
      </c>
      <c r="L39" s="300"/>
      <c r="M39" s="226"/>
      <c r="N39" s="299"/>
      <c r="O39" s="229">
        <v>0</v>
      </c>
      <c r="P39" s="297" t="e">
        <v>#DIV/0!</v>
      </c>
      <c r="Q39" s="198"/>
      <c r="R39" s="281"/>
      <c r="S39" s="395"/>
      <c r="T39" s="2"/>
      <c r="U39" s="182"/>
      <c r="V39" s="245"/>
      <c r="W39" s="246"/>
      <c r="X39" s="267"/>
    </row>
    <row r="40" spans="2:24" ht="20.25">
      <c r="B40" s="380"/>
      <c r="C40" s="387"/>
      <c r="D40" s="227"/>
      <c r="E40" s="162"/>
      <c r="F40" s="163"/>
      <c r="G40" s="228"/>
      <c r="H40" s="228"/>
      <c r="I40" s="226"/>
      <c r="J40" s="299"/>
      <c r="K40" s="241">
        <f t="shared" si="0"/>
        <v>0</v>
      </c>
      <c r="L40" s="300"/>
      <c r="M40" s="226"/>
      <c r="N40" s="299"/>
      <c r="O40" s="229">
        <v>0</v>
      </c>
      <c r="P40" s="297" t="e">
        <v>#DIV/0!</v>
      </c>
      <c r="Q40" s="198"/>
      <c r="R40" s="298"/>
      <c r="S40" s="395"/>
      <c r="T40" s="2"/>
      <c r="U40" s="182"/>
      <c r="V40" s="245"/>
      <c r="W40" s="246"/>
      <c r="X40" s="267"/>
    </row>
    <row r="41" spans="2:24" ht="20.25">
      <c r="B41" s="380"/>
      <c r="C41" s="387"/>
      <c r="D41" s="232"/>
      <c r="E41" s="233"/>
      <c r="F41" s="233"/>
      <c r="G41" s="301"/>
      <c r="H41" s="301"/>
      <c r="I41" s="282"/>
      <c r="J41" s="283"/>
      <c r="K41" s="241">
        <f t="shared" si="0"/>
        <v>0</v>
      </c>
      <c r="L41" s="284"/>
      <c r="M41" s="282"/>
      <c r="N41" s="283"/>
      <c r="O41" s="285">
        <v>0</v>
      </c>
      <c r="P41" s="286" t="e">
        <v>#DIV/0!</v>
      </c>
      <c r="Q41" s="296"/>
      <c r="R41" s="272"/>
      <c r="S41" s="395"/>
      <c r="T41" s="2"/>
      <c r="U41" s="182"/>
      <c r="V41" s="245"/>
      <c r="W41" s="246"/>
      <c r="X41" s="267"/>
    </row>
    <row r="42" spans="2:24" ht="20.25">
      <c r="B42" s="380"/>
      <c r="C42" s="387"/>
      <c r="D42" s="227"/>
      <c r="E42" s="162"/>
      <c r="F42" s="163"/>
      <c r="G42" s="228"/>
      <c r="H42" s="228"/>
      <c r="I42" s="226"/>
      <c r="J42" s="299"/>
      <c r="K42" s="241">
        <f t="shared" si="0"/>
        <v>0</v>
      </c>
      <c r="L42" s="300"/>
      <c r="M42" s="226"/>
      <c r="N42" s="299"/>
      <c r="O42" s="229">
        <v>0</v>
      </c>
      <c r="P42" s="297" t="e">
        <v>#DIV/0!</v>
      </c>
      <c r="Q42" s="198"/>
      <c r="R42" s="298"/>
      <c r="S42" s="395"/>
      <c r="T42" s="2"/>
      <c r="U42" s="182"/>
      <c r="V42" s="245"/>
      <c r="W42" s="246"/>
      <c r="X42" s="267"/>
    </row>
    <row r="43" spans="2:24" ht="20.25">
      <c r="B43" s="380"/>
      <c r="C43" s="387"/>
      <c r="D43" s="227"/>
      <c r="E43" s="162"/>
      <c r="F43" s="163"/>
      <c r="G43" s="228"/>
      <c r="H43" s="228"/>
      <c r="I43" s="226"/>
      <c r="J43" s="299"/>
      <c r="K43" s="241">
        <f t="shared" si="0"/>
        <v>0</v>
      </c>
      <c r="L43" s="300"/>
      <c r="M43" s="226"/>
      <c r="N43" s="299"/>
      <c r="O43" s="229">
        <v>0</v>
      </c>
      <c r="P43" s="297" t="e">
        <v>#DIV/0!</v>
      </c>
      <c r="Q43" s="198"/>
      <c r="R43" s="298"/>
      <c r="S43" s="395"/>
      <c r="T43" s="2"/>
      <c r="U43" s="182"/>
      <c r="V43" s="245"/>
      <c r="W43" s="246"/>
      <c r="X43" s="267"/>
    </row>
    <row r="44" spans="2:24" ht="20.25">
      <c r="B44" s="380"/>
      <c r="C44" s="387"/>
      <c r="D44" s="227"/>
      <c r="E44" s="162"/>
      <c r="F44" s="163"/>
      <c r="G44" s="228"/>
      <c r="H44" s="228"/>
      <c r="I44" s="226"/>
      <c r="J44" s="299"/>
      <c r="K44" s="241">
        <f t="shared" si="0"/>
        <v>0</v>
      </c>
      <c r="L44" s="300"/>
      <c r="M44" s="226"/>
      <c r="N44" s="299"/>
      <c r="O44" s="229">
        <v>0</v>
      </c>
      <c r="P44" s="297" t="e">
        <v>#DIV/0!</v>
      </c>
      <c r="Q44" s="198"/>
      <c r="R44" s="281"/>
      <c r="S44" s="395"/>
      <c r="T44" s="2"/>
      <c r="U44" s="182"/>
      <c r="V44" s="245"/>
      <c r="W44" s="246"/>
      <c r="X44" s="267"/>
    </row>
    <row r="45" spans="2:24" ht="20.25">
      <c r="B45" s="380"/>
      <c r="C45" s="387"/>
      <c r="D45" s="227"/>
      <c r="E45" s="162"/>
      <c r="F45" s="163"/>
      <c r="G45" s="228"/>
      <c r="H45" s="228"/>
      <c r="I45" s="226"/>
      <c r="J45" s="299"/>
      <c r="K45" s="241">
        <f t="shared" si="0"/>
        <v>0</v>
      </c>
      <c r="L45" s="300"/>
      <c r="M45" s="226"/>
      <c r="N45" s="299"/>
      <c r="O45" s="229">
        <v>0</v>
      </c>
      <c r="P45" s="297" t="e">
        <v>#DIV/0!</v>
      </c>
      <c r="Q45" s="198"/>
      <c r="R45" s="298"/>
      <c r="S45" s="395"/>
      <c r="T45" s="2"/>
      <c r="U45" s="182"/>
      <c r="V45" s="245"/>
      <c r="W45" s="246"/>
      <c r="X45" s="267"/>
    </row>
    <row r="46" spans="2:24" ht="20.25">
      <c r="B46" s="380"/>
      <c r="C46" s="387"/>
      <c r="D46" s="232"/>
      <c r="E46" s="233"/>
      <c r="F46" s="233"/>
      <c r="G46" s="301"/>
      <c r="H46" s="301"/>
      <c r="I46" s="282"/>
      <c r="J46" s="283"/>
      <c r="K46" s="241">
        <f t="shared" si="0"/>
        <v>0</v>
      </c>
      <c r="L46" s="284"/>
      <c r="M46" s="282"/>
      <c r="N46" s="283"/>
      <c r="O46" s="285">
        <v>0</v>
      </c>
      <c r="P46" s="286" t="e">
        <v>#DIV/0!</v>
      </c>
      <c r="Q46" s="296"/>
      <c r="R46" s="272"/>
      <c r="S46" s="395"/>
      <c r="T46" s="2"/>
      <c r="U46" s="182"/>
      <c r="V46" s="245"/>
      <c r="W46" s="246"/>
      <c r="X46" s="267"/>
    </row>
    <row r="47" spans="2:24" ht="20.25">
      <c r="B47" s="380"/>
      <c r="C47" s="387"/>
      <c r="D47" s="227"/>
      <c r="E47" s="162"/>
      <c r="F47" s="163"/>
      <c r="G47" s="228"/>
      <c r="H47" s="228"/>
      <c r="I47" s="226"/>
      <c r="J47" s="299"/>
      <c r="K47" s="241">
        <f t="shared" si="0"/>
        <v>0</v>
      </c>
      <c r="L47" s="300"/>
      <c r="M47" s="226"/>
      <c r="N47" s="299"/>
      <c r="O47" s="229">
        <v>0</v>
      </c>
      <c r="P47" s="297" t="e">
        <v>#DIV/0!</v>
      </c>
      <c r="Q47" s="198"/>
      <c r="R47" s="298"/>
      <c r="S47" s="395"/>
      <c r="T47" s="2"/>
      <c r="U47" s="182"/>
      <c r="V47" s="245"/>
      <c r="W47" s="246"/>
      <c r="X47" s="267"/>
    </row>
    <row r="48" spans="2:24" ht="20.25">
      <c r="B48" s="380"/>
      <c r="C48" s="387"/>
      <c r="D48" s="227"/>
      <c r="E48" s="162"/>
      <c r="F48" s="163"/>
      <c r="G48" s="228"/>
      <c r="H48" s="228"/>
      <c r="I48" s="226"/>
      <c r="J48" s="299"/>
      <c r="K48" s="241">
        <f t="shared" si="0"/>
        <v>0</v>
      </c>
      <c r="L48" s="300"/>
      <c r="M48" s="226"/>
      <c r="N48" s="299"/>
      <c r="O48" s="229">
        <v>0</v>
      </c>
      <c r="P48" s="297" t="e">
        <v>#DIV/0!</v>
      </c>
      <c r="Q48" s="198"/>
      <c r="R48" s="298"/>
      <c r="S48" s="395"/>
      <c r="T48" s="2"/>
      <c r="U48" s="182"/>
      <c r="V48" s="245"/>
      <c r="W48" s="246"/>
      <c r="X48" s="267"/>
    </row>
    <row r="49" spans="2:24" ht="20.25">
      <c r="B49" s="380"/>
      <c r="C49" s="387"/>
      <c r="D49" s="227"/>
      <c r="E49" s="162"/>
      <c r="F49" s="163"/>
      <c r="G49" s="228"/>
      <c r="H49" s="228"/>
      <c r="I49" s="226"/>
      <c r="J49" s="299"/>
      <c r="K49" s="241">
        <f t="shared" si="0"/>
        <v>0</v>
      </c>
      <c r="L49" s="300"/>
      <c r="M49" s="226"/>
      <c r="N49" s="299"/>
      <c r="O49" s="229">
        <v>0</v>
      </c>
      <c r="P49" s="297" t="e">
        <v>#DIV/0!</v>
      </c>
      <c r="Q49" s="198"/>
      <c r="R49" s="281"/>
      <c r="S49" s="395"/>
      <c r="T49" s="2"/>
      <c r="U49" s="182"/>
      <c r="V49" s="245"/>
      <c r="W49" s="246"/>
      <c r="X49" s="267"/>
    </row>
    <row r="50" spans="2:24" ht="20.25">
      <c r="B50" s="380"/>
      <c r="C50" s="387"/>
      <c r="D50" s="232"/>
      <c r="E50" s="233"/>
      <c r="F50" s="233"/>
      <c r="G50" s="301"/>
      <c r="H50" s="301"/>
      <c r="I50" s="282"/>
      <c r="J50" s="283"/>
      <c r="K50" s="241">
        <f t="shared" si="0"/>
        <v>0</v>
      </c>
      <c r="L50" s="284"/>
      <c r="M50" s="282"/>
      <c r="N50" s="283"/>
      <c r="O50" s="285">
        <v>0</v>
      </c>
      <c r="P50" s="286" t="e">
        <v>#DIV/0!</v>
      </c>
      <c r="Q50" s="296"/>
      <c r="R50" s="272"/>
      <c r="S50" s="395"/>
      <c r="T50" s="2"/>
      <c r="U50" s="182"/>
      <c r="V50" s="245"/>
      <c r="W50" s="246"/>
      <c r="X50" s="267"/>
    </row>
    <row r="51" spans="2:24" ht="20.25">
      <c r="B51" s="380"/>
      <c r="C51" s="387"/>
      <c r="D51" s="227"/>
      <c r="E51" s="162"/>
      <c r="F51" s="163"/>
      <c r="G51" s="228"/>
      <c r="H51" s="228"/>
      <c r="I51" s="226"/>
      <c r="J51" s="299"/>
      <c r="K51" s="241">
        <f t="shared" si="0"/>
        <v>0</v>
      </c>
      <c r="L51" s="300"/>
      <c r="M51" s="226"/>
      <c r="N51" s="299"/>
      <c r="O51" s="229">
        <v>0</v>
      </c>
      <c r="P51" s="297" t="e">
        <v>#DIV/0!</v>
      </c>
      <c r="Q51" s="198"/>
      <c r="R51" s="298"/>
      <c r="S51" s="395"/>
      <c r="T51" s="2"/>
      <c r="U51" s="182"/>
      <c r="V51" s="245"/>
      <c r="W51" s="246"/>
      <c r="X51" s="267"/>
    </row>
    <row r="52" spans="2:24" ht="20.25">
      <c r="B52" s="380"/>
      <c r="C52" s="387"/>
      <c r="D52" s="227"/>
      <c r="E52" s="162"/>
      <c r="F52" s="163"/>
      <c r="G52" s="228"/>
      <c r="H52" s="228"/>
      <c r="I52" s="226"/>
      <c r="J52" s="299"/>
      <c r="K52" s="241">
        <f t="shared" si="0"/>
        <v>0</v>
      </c>
      <c r="L52" s="300"/>
      <c r="M52" s="226"/>
      <c r="N52" s="299"/>
      <c r="O52" s="229">
        <v>0</v>
      </c>
      <c r="P52" s="297" t="e">
        <v>#DIV/0!</v>
      </c>
      <c r="Q52" s="198"/>
      <c r="R52" s="298"/>
      <c r="S52" s="395"/>
      <c r="T52" s="2"/>
      <c r="U52" s="182"/>
      <c r="V52" s="245"/>
      <c r="W52" s="246"/>
      <c r="X52" s="267"/>
    </row>
    <row r="53" spans="2:24" ht="20.25">
      <c r="B53" s="380"/>
      <c r="C53" s="387"/>
      <c r="D53" s="227"/>
      <c r="E53" s="162"/>
      <c r="F53" s="163"/>
      <c r="G53" s="228"/>
      <c r="H53" s="228"/>
      <c r="I53" s="226"/>
      <c r="J53" s="299"/>
      <c r="K53" s="241">
        <f t="shared" si="0"/>
        <v>0</v>
      </c>
      <c r="L53" s="300"/>
      <c r="M53" s="226"/>
      <c r="N53" s="299"/>
      <c r="O53" s="229">
        <v>0</v>
      </c>
      <c r="P53" s="297" t="e">
        <v>#DIV/0!</v>
      </c>
      <c r="Q53" s="198"/>
      <c r="R53" s="281"/>
      <c r="S53" s="395"/>
      <c r="T53" s="2"/>
      <c r="U53" s="182"/>
      <c r="V53" s="245"/>
      <c r="W53" s="246"/>
      <c r="X53" s="267"/>
    </row>
    <row r="54" spans="2:24" ht="20.25">
      <c r="B54" s="380"/>
      <c r="C54" s="387"/>
      <c r="D54" s="227"/>
      <c r="E54" s="162"/>
      <c r="F54" s="163"/>
      <c r="G54" s="228"/>
      <c r="H54" s="228"/>
      <c r="I54" s="226"/>
      <c r="J54" s="299"/>
      <c r="K54" s="241">
        <f t="shared" si="0"/>
        <v>0</v>
      </c>
      <c r="L54" s="300"/>
      <c r="M54" s="226"/>
      <c r="N54" s="299"/>
      <c r="O54" s="229">
        <v>0</v>
      </c>
      <c r="P54" s="297" t="e">
        <v>#DIV/0!</v>
      </c>
      <c r="Q54" s="198"/>
      <c r="R54" s="298"/>
      <c r="S54" s="395"/>
      <c r="T54" s="2"/>
      <c r="U54" s="182"/>
      <c r="V54" s="245"/>
      <c r="W54" s="246"/>
      <c r="X54" s="267"/>
    </row>
    <row r="55" spans="2:24" ht="20.25">
      <c r="B55" s="380"/>
      <c r="C55" s="387"/>
      <c r="D55" s="232"/>
      <c r="E55" s="233"/>
      <c r="F55" s="233"/>
      <c r="G55" s="301"/>
      <c r="H55" s="301"/>
      <c r="I55" s="282"/>
      <c r="J55" s="283"/>
      <c r="K55" s="241">
        <f t="shared" si="0"/>
        <v>0</v>
      </c>
      <c r="L55" s="284"/>
      <c r="M55" s="282"/>
      <c r="N55" s="283"/>
      <c r="O55" s="285">
        <v>0</v>
      </c>
      <c r="P55" s="286" t="e">
        <v>#DIV/0!</v>
      </c>
      <c r="Q55" s="296"/>
      <c r="R55" s="272"/>
      <c r="S55" s="395"/>
      <c r="T55" s="2"/>
      <c r="U55" s="182"/>
      <c r="V55" s="245"/>
      <c r="W55" s="246"/>
      <c r="X55" s="267"/>
    </row>
    <row r="56" spans="2:24" ht="20.25">
      <c r="B56" s="380"/>
      <c r="C56" s="387"/>
      <c r="D56" s="227"/>
      <c r="E56" s="162"/>
      <c r="F56" s="163"/>
      <c r="G56" s="228"/>
      <c r="H56" s="228"/>
      <c r="I56" s="226"/>
      <c r="J56" s="299"/>
      <c r="K56" s="241">
        <f t="shared" si="0"/>
        <v>0</v>
      </c>
      <c r="L56" s="300"/>
      <c r="M56" s="226"/>
      <c r="N56" s="299"/>
      <c r="O56" s="229">
        <v>0</v>
      </c>
      <c r="P56" s="297" t="e">
        <v>#DIV/0!</v>
      </c>
      <c r="Q56" s="198"/>
      <c r="R56" s="298"/>
      <c r="S56" s="395"/>
      <c r="T56" s="2"/>
      <c r="U56" s="182"/>
      <c r="V56" s="245"/>
      <c r="W56" s="246"/>
      <c r="X56" s="267"/>
    </row>
    <row r="57" spans="2:24" ht="20.25">
      <c r="B57" s="380"/>
      <c r="C57" s="387"/>
      <c r="D57" s="227"/>
      <c r="E57" s="162"/>
      <c r="F57" s="163"/>
      <c r="G57" s="228"/>
      <c r="H57" s="228"/>
      <c r="I57" s="226"/>
      <c r="J57" s="299"/>
      <c r="K57" s="241">
        <f t="shared" si="0"/>
        <v>0</v>
      </c>
      <c r="L57" s="300"/>
      <c r="M57" s="226"/>
      <c r="N57" s="299"/>
      <c r="O57" s="229">
        <v>0</v>
      </c>
      <c r="P57" s="297" t="e">
        <v>#DIV/0!</v>
      </c>
      <c r="Q57" s="198"/>
      <c r="R57" s="298"/>
      <c r="S57" s="395"/>
      <c r="T57" s="2"/>
      <c r="U57" s="182"/>
      <c r="V57" s="245"/>
      <c r="W57" s="246"/>
      <c r="X57" s="267"/>
    </row>
    <row r="58" spans="2:24" ht="20.25">
      <c r="B58" s="380"/>
      <c r="C58" s="387"/>
      <c r="D58" s="227"/>
      <c r="E58" s="162"/>
      <c r="F58" s="163"/>
      <c r="G58" s="228"/>
      <c r="H58" s="228"/>
      <c r="I58" s="226"/>
      <c r="J58" s="299"/>
      <c r="K58" s="241">
        <f t="shared" si="0"/>
        <v>0</v>
      </c>
      <c r="L58" s="300"/>
      <c r="M58" s="226"/>
      <c r="N58" s="299"/>
      <c r="O58" s="229">
        <v>0</v>
      </c>
      <c r="P58" s="297" t="e">
        <v>#DIV/0!</v>
      </c>
      <c r="Q58" s="198"/>
      <c r="R58" s="281"/>
      <c r="S58" s="395"/>
      <c r="T58" s="2"/>
      <c r="U58" s="182"/>
      <c r="V58" s="245"/>
      <c r="W58" s="246"/>
      <c r="X58" s="267"/>
    </row>
    <row r="59" spans="2:24" ht="20.25">
      <c r="B59" s="380"/>
      <c r="C59" s="387"/>
      <c r="D59" s="227"/>
      <c r="E59" s="162"/>
      <c r="F59" s="163"/>
      <c r="G59" s="228"/>
      <c r="H59" s="228"/>
      <c r="I59" s="226"/>
      <c r="J59" s="299"/>
      <c r="K59" s="241">
        <f t="shared" si="0"/>
        <v>0</v>
      </c>
      <c r="L59" s="300"/>
      <c r="M59" s="226"/>
      <c r="N59" s="299"/>
      <c r="O59" s="229">
        <v>0</v>
      </c>
      <c r="P59" s="297" t="e">
        <v>#DIV/0!</v>
      </c>
      <c r="Q59" s="198"/>
      <c r="R59" s="298"/>
      <c r="S59" s="395"/>
      <c r="T59" s="2"/>
      <c r="U59" s="182"/>
      <c r="V59" s="245"/>
      <c r="W59" s="246"/>
      <c r="X59" s="267"/>
    </row>
    <row r="60" spans="2:24" ht="20.25">
      <c r="B60" s="380"/>
      <c r="C60" s="387"/>
      <c r="D60" s="232"/>
      <c r="E60" s="233"/>
      <c r="F60" s="233"/>
      <c r="G60" s="301"/>
      <c r="H60" s="301"/>
      <c r="I60" s="282"/>
      <c r="J60" s="283"/>
      <c r="K60" s="241">
        <f t="shared" si="0"/>
        <v>0</v>
      </c>
      <c r="L60" s="284"/>
      <c r="M60" s="282"/>
      <c r="N60" s="283"/>
      <c r="O60" s="285">
        <v>0</v>
      </c>
      <c r="P60" s="286" t="e">
        <v>#DIV/0!</v>
      </c>
      <c r="Q60" s="296"/>
      <c r="R60" s="272"/>
      <c r="S60" s="395"/>
      <c r="T60" s="2"/>
      <c r="U60" s="182"/>
      <c r="V60" s="245"/>
      <c r="W60" s="246"/>
      <c r="X60" s="267"/>
    </row>
    <row r="61" spans="2:24" ht="20.25">
      <c r="B61" s="380"/>
      <c r="C61" s="387"/>
      <c r="D61" s="227"/>
      <c r="E61" s="162"/>
      <c r="F61" s="163"/>
      <c r="G61" s="228"/>
      <c r="H61" s="228"/>
      <c r="I61" s="226"/>
      <c r="J61" s="299"/>
      <c r="K61" s="241">
        <f t="shared" si="0"/>
        <v>0</v>
      </c>
      <c r="L61" s="300"/>
      <c r="M61" s="226"/>
      <c r="N61" s="299"/>
      <c r="O61" s="229">
        <v>0</v>
      </c>
      <c r="P61" s="297" t="e">
        <v>#DIV/0!</v>
      </c>
      <c r="Q61" s="198"/>
      <c r="R61" s="298"/>
      <c r="S61" s="395"/>
      <c r="T61" s="2"/>
      <c r="U61" s="182"/>
      <c r="V61" s="245"/>
      <c r="W61" s="246"/>
      <c r="X61" s="267"/>
    </row>
    <row r="62" spans="2:24" ht="20.25">
      <c r="B62" s="380"/>
      <c r="C62" s="387"/>
      <c r="D62" s="227"/>
      <c r="E62" s="162"/>
      <c r="F62" s="163"/>
      <c r="G62" s="228"/>
      <c r="H62" s="228"/>
      <c r="I62" s="226"/>
      <c r="J62" s="299"/>
      <c r="K62" s="241">
        <f t="shared" si="0"/>
        <v>0</v>
      </c>
      <c r="L62" s="300"/>
      <c r="M62" s="226"/>
      <c r="N62" s="299"/>
      <c r="O62" s="229">
        <v>0</v>
      </c>
      <c r="P62" s="297" t="e">
        <v>#DIV/0!</v>
      </c>
      <c r="Q62" s="198"/>
      <c r="R62" s="298"/>
      <c r="S62" s="395"/>
      <c r="T62" s="2"/>
      <c r="U62" s="182"/>
      <c r="V62" s="245"/>
      <c r="W62" s="246"/>
      <c r="X62" s="267"/>
    </row>
    <row r="63" spans="2:24" ht="20.25">
      <c r="B63" s="380"/>
      <c r="C63" s="387"/>
      <c r="D63" s="227"/>
      <c r="E63" s="162"/>
      <c r="F63" s="163"/>
      <c r="G63" s="228"/>
      <c r="H63" s="228"/>
      <c r="I63" s="226"/>
      <c r="J63" s="299"/>
      <c r="K63" s="241">
        <f t="shared" si="0"/>
        <v>0</v>
      </c>
      <c r="L63" s="300"/>
      <c r="M63" s="226"/>
      <c r="N63" s="299"/>
      <c r="O63" s="229">
        <v>0</v>
      </c>
      <c r="P63" s="297" t="e">
        <v>#DIV/0!</v>
      </c>
      <c r="Q63" s="198"/>
      <c r="R63" s="281"/>
      <c r="S63" s="395"/>
      <c r="T63" s="2"/>
      <c r="U63" s="182"/>
      <c r="V63" s="245"/>
      <c r="W63" s="246"/>
      <c r="X63" s="267"/>
    </row>
    <row r="64" spans="2:24" ht="20.25">
      <c r="B64" s="380"/>
      <c r="C64" s="387"/>
      <c r="D64" s="227"/>
      <c r="E64" s="162"/>
      <c r="F64" s="163"/>
      <c r="G64" s="228"/>
      <c r="H64" s="228"/>
      <c r="I64" s="226"/>
      <c r="J64" s="299"/>
      <c r="K64" s="241">
        <f t="shared" si="0"/>
        <v>0</v>
      </c>
      <c r="L64" s="300"/>
      <c r="M64" s="226"/>
      <c r="N64" s="299"/>
      <c r="O64" s="229">
        <v>0</v>
      </c>
      <c r="P64" s="297" t="e">
        <v>#DIV/0!</v>
      </c>
      <c r="Q64" s="198"/>
      <c r="R64" s="298"/>
      <c r="S64" s="395"/>
      <c r="T64" s="2"/>
      <c r="U64" s="182"/>
      <c r="V64" s="245"/>
      <c r="W64" s="246"/>
      <c r="X64" s="267"/>
    </row>
    <row r="65" spans="2:24" ht="20.25">
      <c r="B65" s="380"/>
      <c r="C65" s="387"/>
      <c r="D65" s="232"/>
      <c r="E65" s="233"/>
      <c r="F65" s="233"/>
      <c r="G65" s="301"/>
      <c r="H65" s="301"/>
      <c r="I65" s="282"/>
      <c r="J65" s="283"/>
      <c r="K65" s="241">
        <f t="shared" si="0"/>
        <v>0</v>
      </c>
      <c r="L65" s="284"/>
      <c r="M65" s="282"/>
      <c r="N65" s="283"/>
      <c r="O65" s="285">
        <v>0</v>
      </c>
      <c r="P65" s="286" t="e">
        <v>#DIV/0!</v>
      </c>
      <c r="Q65" s="296"/>
      <c r="R65" s="272"/>
      <c r="S65" s="395"/>
      <c r="T65" s="2"/>
      <c r="U65" s="182"/>
      <c r="V65" s="245"/>
      <c r="W65" s="246"/>
      <c r="X65" s="267"/>
    </row>
    <row r="66" spans="2:24" ht="20.25">
      <c r="B66" s="380"/>
      <c r="C66" s="387"/>
      <c r="D66" s="227"/>
      <c r="E66" s="162"/>
      <c r="F66" s="163"/>
      <c r="G66" s="228"/>
      <c r="H66" s="228"/>
      <c r="I66" s="226"/>
      <c r="J66" s="299"/>
      <c r="K66" s="241">
        <f t="shared" si="0"/>
        <v>0</v>
      </c>
      <c r="L66" s="300"/>
      <c r="M66" s="226"/>
      <c r="N66" s="299"/>
      <c r="O66" s="229">
        <v>0</v>
      </c>
      <c r="P66" s="297" t="e">
        <v>#DIV/0!</v>
      </c>
      <c r="Q66" s="198"/>
      <c r="R66" s="298"/>
      <c r="S66" s="395"/>
      <c r="T66" s="2"/>
      <c r="U66" s="182"/>
      <c r="V66" s="245"/>
      <c r="W66" s="246"/>
      <c r="X66" s="267"/>
    </row>
    <row r="67" spans="2:24" ht="20.25">
      <c r="B67" s="380"/>
      <c r="C67" s="387"/>
      <c r="D67" s="227"/>
      <c r="E67" s="162"/>
      <c r="F67" s="163"/>
      <c r="G67" s="228"/>
      <c r="H67" s="228"/>
      <c r="I67" s="226"/>
      <c r="J67" s="299"/>
      <c r="K67" s="241">
        <f t="shared" si="0"/>
        <v>0</v>
      </c>
      <c r="L67" s="300"/>
      <c r="M67" s="226"/>
      <c r="N67" s="299"/>
      <c r="O67" s="229">
        <v>0</v>
      </c>
      <c r="P67" s="297" t="e">
        <v>#DIV/0!</v>
      </c>
      <c r="Q67" s="198"/>
      <c r="R67" s="298"/>
      <c r="S67" s="395"/>
      <c r="T67" s="2"/>
      <c r="U67" s="182"/>
      <c r="V67" s="245"/>
      <c r="W67" s="246"/>
      <c r="X67" s="267"/>
    </row>
    <row r="68" spans="2:24" ht="20.25">
      <c r="B68" s="380"/>
      <c r="C68" s="387"/>
      <c r="D68" s="227"/>
      <c r="E68" s="162"/>
      <c r="F68" s="163"/>
      <c r="G68" s="228"/>
      <c r="H68" s="228"/>
      <c r="I68" s="226"/>
      <c r="J68" s="299"/>
      <c r="K68" s="241">
        <f t="shared" si="0"/>
        <v>0</v>
      </c>
      <c r="L68" s="300"/>
      <c r="M68" s="226"/>
      <c r="N68" s="299"/>
      <c r="O68" s="229">
        <v>0</v>
      </c>
      <c r="P68" s="297" t="e">
        <v>#DIV/0!</v>
      </c>
      <c r="Q68" s="198"/>
      <c r="R68" s="281"/>
      <c r="S68" s="395"/>
      <c r="T68" s="2"/>
      <c r="U68" s="182"/>
      <c r="V68" s="245"/>
      <c r="W68" s="246"/>
      <c r="X68" s="267"/>
    </row>
    <row r="69" spans="2:24" ht="20.25">
      <c r="B69" s="380"/>
      <c r="C69" s="387"/>
      <c r="D69" s="227"/>
      <c r="E69" s="162"/>
      <c r="F69" s="163"/>
      <c r="G69" s="228"/>
      <c r="H69" s="228"/>
      <c r="I69" s="226"/>
      <c r="J69" s="299"/>
      <c r="K69" s="241">
        <f t="shared" si="0"/>
        <v>0</v>
      </c>
      <c r="L69" s="300"/>
      <c r="M69" s="226"/>
      <c r="N69" s="299"/>
      <c r="O69" s="229">
        <v>0</v>
      </c>
      <c r="P69" s="297" t="e">
        <v>#DIV/0!</v>
      </c>
      <c r="Q69" s="198"/>
      <c r="R69" s="298"/>
      <c r="S69" s="395"/>
      <c r="T69" s="2"/>
      <c r="U69" s="182"/>
      <c r="V69" s="245"/>
      <c r="W69" s="246"/>
      <c r="X69" s="267"/>
    </row>
    <row r="70" spans="2:24" ht="20.25">
      <c r="B70" s="380"/>
      <c r="C70" s="387"/>
      <c r="D70" s="232"/>
      <c r="E70" s="233"/>
      <c r="F70" s="233"/>
      <c r="G70" s="301"/>
      <c r="H70" s="301"/>
      <c r="I70" s="282"/>
      <c r="J70" s="283"/>
      <c r="K70" s="241">
        <f t="shared" si="0"/>
        <v>0</v>
      </c>
      <c r="L70" s="284"/>
      <c r="M70" s="282"/>
      <c r="N70" s="283"/>
      <c r="O70" s="285">
        <v>0</v>
      </c>
      <c r="P70" s="286" t="e">
        <v>#DIV/0!</v>
      </c>
      <c r="Q70" s="296"/>
      <c r="R70" s="272"/>
      <c r="S70" s="395"/>
      <c r="T70" s="2"/>
      <c r="U70" s="182"/>
      <c r="V70" s="245"/>
      <c r="W70" s="246"/>
      <c r="X70" s="267"/>
    </row>
    <row r="71" spans="2:24" ht="20.25">
      <c r="B71" s="380"/>
      <c r="C71" s="387"/>
      <c r="D71" s="227"/>
      <c r="E71" s="162"/>
      <c r="F71" s="163"/>
      <c r="G71" s="228"/>
      <c r="H71" s="228"/>
      <c r="I71" s="226"/>
      <c r="J71" s="299"/>
      <c r="K71" s="241">
        <f t="shared" si="0"/>
        <v>0</v>
      </c>
      <c r="L71" s="300"/>
      <c r="M71" s="226"/>
      <c r="N71" s="299"/>
      <c r="O71" s="229">
        <v>0</v>
      </c>
      <c r="P71" s="297" t="e">
        <v>#DIV/0!</v>
      </c>
      <c r="Q71" s="198"/>
      <c r="R71" s="298"/>
      <c r="S71" s="395"/>
      <c r="T71" s="2"/>
      <c r="U71" s="182"/>
      <c r="V71" s="245"/>
      <c r="W71" s="246"/>
      <c r="X71" s="267"/>
    </row>
    <row r="72" spans="2:24" ht="20.25">
      <c r="B72" s="380"/>
      <c r="C72" s="387"/>
      <c r="D72" s="227"/>
      <c r="E72" s="162"/>
      <c r="F72" s="163"/>
      <c r="G72" s="228"/>
      <c r="H72" s="228"/>
      <c r="I72" s="226"/>
      <c r="J72" s="299"/>
      <c r="K72" s="241">
        <f t="shared" si="0"/>
        <v>0</v>
      </c>
      <c r="L72" s="300"/>
      <c r="M72" s="226"/>
      <c r="N72" s="299"/>
      <c r="O72" s="229">
        <v>0</v>
      </c>
      <c r="P72" s="297" t="e">
        <v>#DIV/0!</v>
      </c>
      <c r="Q72" s="198"/>
      <c r="R72" s="298"/>
      <c r="S72" s="395"/>
      <c r="T72" s="2"/>
      <c r="U72" s="182"/>
      <c r="V72" s="245"/>
      <c r="W72" s="246"/>
      <c r="X72" s="267"/>
    </row>
    <row r="73" spans="2:24" ht="20.25">
      <c r="B73" s="380"/>
      <c r="C73" s="387"/>
      <c r="D73" s="227"/>
      <c r="E73" s="162"/>
      <c r="F73" s="163"/>
      <c r="G73" s="228"/>
      <c r="H73" s="228"/>
      <c r="I73" s="226"/>
      <c r="J73" s="299"/>
      <c r="K73" s="241">
        <f t="shared" si="0"/>
        <v>0</v>
      </c>
      <c r="L73" s="300"/>
      <c r="M73" s="226"/>
      <c r="N73" s="299"/>
      <c r="O73" s="229">
        <v>0</v>
      </c>
      <c r="P73" s="297" t="e">
        <v>#DIV/0!</v>
      </c>
      <c r="Q73" s="198"/>
      <c r="R73" s="281"/>
      <c r="S73" s="395"/>
      <c r="T73" s="2"/>
      <c r="U73" s="182"/>
      <c r="V73" s="245"/>
      <c r="W73" s="246"/>
      <c r="X73" s="267"/>
    </row>
    <row r="74" spans="2:24" ht="20.25">
      <c r="B74" s="380"/>
      <c r="C74" s="387"/>
      <c r="D74" s="227"/>
      <c r="E74" s="162"/>
      <c r="F74" s="163"/>
      <c r="G74" s="228"/>
      <c r="H74" s="228"/>
      <c r="I74" s="226"/>
      <c r="J74" s="299"/>
      <c r="K74" s="241">
        <f t="shared" si="0"/>
        <v>0</v>
      </c>
      <c r="L74" s="300"/>
      <c r="M74" s="226"/>
      <c r="N74" s="299"/>
      <c r="O74" s="229">
        <v>0</v>
      </c>
      <c r="P74" s="297" t="e">
        <v>#DIV/0!</v>
      </c>
      <c r="Q74" s="198"/>
      <c r="R74" s="298"/>
      <c r="S74" s="395"/>
      <c r="T74" s="2"/>
      <c r="U74" s="182"/>
      <c r="V74" s="245"/>
      <c r="W74" s="246"/>
      <c r="X74" s="267"/>
    </row>
    <row r="75" spans="2:24" ht="20.25">
      <c r="B75" s="380"/>
      <c r="C75" s="387"/>
      <c r="D75" s="232"/>
      <c r="E75" s="233"/>
      <c r="F75" s="233"/>
      <c r="G75" s="301"/>
      <c r="H75" s="301"/>
      <c r="I75" s="282"/>
      <c r="J75" s="283"/>
      <c r="K75" s="241">
        <f t="shared" si="0"/>
        <v>0</v>
      </c>
      <c r="L75" s="284"/>
      <c r="M75" s="282"/>
      <c r="N75" s="283"/>
      <c r="O75" s="285">
        <v>0</v>
      </c>
      <c r="P75" s="286" t="e">
        <v>#DIV/0!</v>
      </c>
      <c r="Q75" s="296"/>
      <c r="R75" s="272"/>
      <c r="S75" s="395"/>
      <c r="T75" s="2"/>
      <c r="U75" s="182"/>
      <c r="V75" s="245"/>
      <c r="W75" s="246"/>
      <c r="X75" s="267"/>
    </row>
    <row r="76" spans="2:24" ht="20.25">
      <c r="B76" s="380"/>
      <c r="C76" s="387"/>
      <c r="D76" s="227"/>
      <c r="E76" s="162"/>
      <c r="F76" s="163"/>
      <c r="G76" s="228"/>
      <c r="H76" s="228"/>
      <c r="I76" s="226"/>
      <c r="J76" s="299"/>
      <c r="K76" s="241">
        <f t="shared" si="0"/>
        <v>0</v>
      </c>
      <c r="L76" s="300"/>
      <c r="M76" s="226"/>
      <c r="N76" s="299"/>
      <c r="O76" s="229">
        <v>0</v>
      </c>
      <c r="P76" s="297" t="e">
        <v>#DIV/0!</v>
      </c>
      <c r="Q76" s="198"/>
      <c r="R76" s="298"/>
      <c r="S76" s="395"/>
      <c r="T76" s="2"/>
      <c r="U76" s="182"/>
      <c r="V76" s="245"/>
      <c r="W76" s="246"/>
      <c r="X76" s="267"/>
    </row>
    <row r="77" spans="2:24" ht="20.25">
      <c r="B77" s="380"/>
      <c r="C77" s="387"/>
      <c r="D77" s="227"/>
      <c r="E77" s="162"/>
      <c r="F77" s="163"/>
      <c r="G77" s="228"/>
      <c r="H77" s="228"/>
      <c r="I77" s="226"/>
      <c r="J77" s="299"/>
      <c r="K77" s="241">
        <f t="shared" si="0"/>
        <v>0</v>
      </c>
      <c r="L77" s="300"/>
      <c r="M77" s="226"/>
      <c r="N77" s="299"/>
      <c r="O77" s="229">
        <v>0</v>
      </c>
      <c r="P77" s="297" t="e">
        <v>#DIV/0!</v>
      </c>
      <c r="Q77" s="198"/>
      <c r="R77" s="298"/>
      <c r="S77" s="395"/>
      <c r="T77" s="2"/>
      <c r="U77" s="182"/>
      <c r="V77" s="245"/>
      <c r="W77" s="246"/>
      <c r="X77" s="267"/>
    </row>
    <row r="78" spans="2:24" ht="20.25">
      <c r="B78" s="380"/>
      <c r="C78" s="387"/>
      <c r="D78" s="227"/>
      <c r="E78" s="162"/>
      <c r="F78" s="163"/>
      <c r="G78" s="228"/>
      <c r="H78" s="228"/>
      <c r="I78" s="226"/>
      <c r="J78" s="299"/>
      <c r="K78" s="241">
        <f t="shared" ref="K78:K141" si="1">I78*J78</f>
        <v>0</v>
      </c>
      <c r="L78" s="300"/>
      <c r="M78" s="226"/>
      <c r="N78" s="299"/>
      <c r="O78" s="229">
        <v>0</v>
      </c>
      <c r="P78" s="297" t="e">
        <v>#DIV/0!</v>
      </c>
      <c r="Q78" s="198"/>
      <c r="R78" s="281"/>
      <c r="S78" s="395"/>
      <c r="T78" s="2"/>
      <c r="U78" s="182"/>
      <c r="V78" s="245"/>
      <c r="W78" s="246"/>
      <c r="X78" s="267"/>
    </row>
    <row r="79" spans="2:24" ht="20.25">
      <c r="B79" s="380"/>
      <c r="C79" s="387"/>
      <c r="D79" s="227"/>
      <c r="E79" s="162"/>
      <c r="F79" s="163"/>
      <c r="G79" s="228"/>
      <c r="H79" s="228"/>
      <c r="I79" s="226"/>
      <c r="J79" s="299"/>
      <c r="K79" s="241">
        <f t="shared" si="1"/>
        <v>0</v>
      </c>
      <c r="L79" s="300"/>
      <c r="M79" s="226"/>
      <c r="N79" s="299"/>
      <c r="O79" s="229">
        <v>0</v>
      </c>
      <c r="P79" s="297" t="e">
        <v>#DIV/0!</v>
      </c>
      <c r="Q79" s="198"/>
      <c r="R79" s="298"/>
      <c r="S79" s="395"/>
      <c r="T79" s="2"/>
      <c r="U79" s="182"/>
      <c r="V79" s="245"/>
      <c r="W79" s="246"/>
      <c r="X79" s="267"/>
    </row>
    <row r="80" spans="2:24" ht="20.25">
      <c r="B80" s="380"/>
      <c r="C80" s="387"/>
      <c r="D80" s="232"/>
      <c r="E80" s="233"/>
      <c r="F80" s="233"/>
      <c r="G80" s="301"/>
      <c r="H80" s="301"/>
      <c r="I80" s="282"/>
      <c r="J80" s="283"/>
      <c r="K80" s="241">
        <f t="shared" si="1"/>
        <v>0</v>
      </c>
      <c r="L80" s="284"/>
      <c r="M80" s="282"/>
      <c r="N80" s="283"/>
      <c r="O80" s="285">
        <v>0</v>
      </c>
      <c r="P80" s="286" t="e">
        <v>#DIV/0!</v>
      </c>
      <c r="Q80" s="296"/>
      <c r="R80" s="272"/>
      <c r="S80" s="395"/>
      <c r="T80" s="2"/>
      <c r="U80" s="182"/>
      <c r="V80" s="245"/>
      <c r="W80" s="246"/>
      <c r="X80" s="267"/>
    </row>
    <row r="81" spans="2:24" ht="20.25">
      <c r="B81" s="380"/>
      <c r="C81" s="387"/>
      <c r="D81" s="227"/>
      <c r="E81" s="162"/>
      <c r="F81" s="163"/>
      <c r="G81" s="228"/>
      <c r="H81" s="228"/>
      <c r="I81" s="226"/>
      <c r="J81" s="299"/>
      <c r="K81" s="241">
        <f t="shared" si="1"/>
        <v>0</v>
      </c>
      <c r="L81" s="300"/>
      <c r="M81" s="226"/>
      <c r="N81" s="299"/>
      <c r="O81" s="229">
        <v>0</v>
      </c>
      <c r="P81" s="297" t="e">
        <v>#DIV/0!</v>
      </c>
      <c r="Q81" s="198"/>
      <c r="R81" s="298"/>
      <c r="S81" s="395"/>
      <c r="T81" s="2"/>
      <c r="U81" s="182"/>
      <c r="V81" s="245"/>
      <c r="W81" s="246"/>
      <c r="X81" s="267"/>
    </row>
    <row r="82" spans="2:24" ht="20.25">
      <c r="B82" s="380"/>
      <c r="C82" s="387"/>
      <c r="D82" s="227"/>
      <c r="E82" s="162"/>
      <c r="F82" s="163"/>
      <c r="G82" s="228"/>
      <c r="H82" s="228"/>
      <c r="I82" s="226"/>
      <c r="J82" s="299"/>
      <c r="K82" s="241">
        <f t="shared" si="1"/>
        <v>0</v>
      </c>
      <c r="L82" s="300"/>
      <c r="M82" s="226"/>
      <c r="N82" s="299"/>
      <c r="O82" s="229">
        <v>0</v>
      </c>
      <c r="P82" s="297" t="e">
        <v>#DIV/0!</v>
      </c>
      <c r="Q82" s="198"/>
      <c r="R82" s="298"/>
      <c r="S82" s="395"/>
      <c r="T82" s="2"/>
      <c r="U82" s="182"/>
      <c r="V82" s="245"/>
      <c r="W82" s="246"/>
      <c r="X82" s="267"/>
    </row>
    <row r="83" spans="2:24" ht="20.25">
      <c r="B83" s="380"/>
      <c r="C83" s="387"/>
      <c r="D83" s="227"/>
      <c r="E83" s="162"/>
      <c r="F83" s="163"/>
      <c r="G83" s="228"/>
      <c r="H83" s="228"/>
      <c r="I83" s="226"/>
      <c r="J83" s="299"/>
      <c r="K83" s="241">
        <f t="shared" si="1"/>
        <v>0</v>
      </c>
      <c r="L83" s="300"/>
      <c r="M83" s="226"/>
      <c r="N83" s="299"/>
      <c r="O83" s="229">
        <v>0</v>
      </c>
      <c r="P83" s="297" t="e">
        <v>#DIV/0!</v>
      </c>
      <c r="Q83" s="198"/>
      <c r="R83" s="281"/>
      <c r="S83" s="395"/>
      <c r="T83" s="2"/>
      <c r="U83" s="182"/>
      <c r="V83" s="245"/>
      <c r="W83" s="246"/>
      <c r="X83" s="267"/>
    </row>
    <row r="84" spans="2:24" ht="20.25">
      <c r="B84" s="380"/>
      <c r="C84" s="387"/>
      <c r="D84" s="227"/>
      <c r="E84" s="162"/>
      <c r="F84" s="163"/>
      <c r="G84" s="228"/>
      <c r="H84" s="228"/>
      <c r="I84" s="226"/>
      <c r="J84" s="299"/>
      <c r="K84" s="241">
        <f t="shared" si="1"/>
        <v>0</v>
      </c>
      <c r="L84" s="300"/>
      <c r="M84" s="226"/>
      <c r="N84" s="299"/>
      <c r="O84" s="229">
        <v>0</v>
      </c>
      <c r="P84" s="297" t="e">
        <v>#DIV/0!</v>
      </c>
      <c r="Q84" s="198"/>
      <c r="R84" s="298"/>
      <c r="S84" s="395"/>
      <c r="T84" s="2"/>
      <c r="U84" s="182"/>
      <c r="V84" s="245"/>
      <c r="W84" s="246"/>
      <c r="X84" s="267"/>
    </row>
    <row r="85" spans="2:24" ht="20.25">
      <c r="B85" s="380"/>
      <c r="C85" s="387"/>
      <c r="D85" s="232"/>
      <c r="E85" s="233"/>
      <c r="F85" s="233"/>
      <c r="G85" s="301"/>
      <c r="H85" s="301"/>
      <c r="I85" s="282"/>
      <c r="J85" s="283"/>
      <c r="K85" s="241">
        <f t="shared" si="1"/>
        <v>0</v>
      </c>
      <c r="L85" s="284"/>
      <c r="M85" s="282"/>
      <c r="N85" s="283"/>
      <c r="O85" s="285">
        <v>0</v>
      </c>
      <c r="P85" s="286" t="e">
        <v>#DIV/0!</v>
      </c>
      <c r="Q85" s="296"/>
      <c r="R85" s="272"/>
      <c r="S85" s="395"/>
      <c r="T85" s="2"/>
      <c r="U85" s="182"/>
      <c r="V85" s="245"/>
      <c r="W85" s="246"/>
      <c r="X85" s="267"/>
    </row>
    <row r="86" spans="2:24" ht="20.25">
      <c r="B86" s="380"/>
      <c r="C86" s="387"/>
      <c r="D86" s="227"/>
      <c r="E86" s="162"/>
      <c r="F86" s="163"/>
      <c r="G86" s="228"/>
      <c r="H86" s="228"/>
      <c r="I86" s="226"/>
      <c r="J86" s="299"/>
      <c r="K86" s="241">
        <f t="shared" si="1"/>
        <v>0</v>
      </c>
      <c r="L86" s="300"/>
      <c r="M86" s="226"/>
      <c r="N86" s="299"/>
      <c r="O86" s="229">
        <v>0</v>
      </c>
      <c r="P86" s="297" t="e">
        <v>#DIV/0!</v>
      </c>
      <c r="Q86" s="198"/>
      <c r="R86" s="298"/>
      <c r="S86" s="395"/>
      <c r="T86" s="2"/>
      <c r="U86" s="182"/>
      <c r="V86" s="245"/>
      <c r="W86" s="246"/>
      <c r="X86" s="267"/>
    </row>
    <row r="87" spans="2:24" ht="20.25">
      <c r="B87" s="380"/>
      <c r="C87" s="387"/>
      <c r="D87" s="227"/>
      <c r="E87" s="162"/>
      <c r="F87" s="163"/>
      <c r="G87" s="228"/>
      <c r="H87" s="228"/>
      <c r="I87" s="226"/>
      <c r="J87" s="299"/>
      <c r="K87" s="241">
        <f t="shared" si="1"/>
        <v>0</v>
      </c>
      <c r="L87" s="300"/>
      <c r="M87" s="226"/>
      <c r="N87" s="299"/>
      <c r="O87" s="229">
        <v>0</v>
      </c>
      <c r="P87" s="297" t="e">
        <v>#DIV/0!</v>
      </c>
      <c r="Q87" s="198"/>
      <c r="R87" s="298"/>
      <c r="S87" s="395"/>
      <c r="T87" s="2"/>
      <c r="U87" s="182"/>
      <c r="V87" s="245"/>
      <c r="W87" s="246"/>
      <c r="X87" s="267"/>
    </row>
    <row r="88" spans="2:24" ht="20.25">
      <c r="B88" s="380"/>
      <c r="C88" s="387"/>
      <c r="D88" s="227"/>
      <c r="E88" s="162"/>
      <c r="F88" s="163"/>
      <c r="G88" s="228"/>
      <c r="H88" s="228"/>
      <c r="I88" s="226"/>
      <c r="J88" s="299"/>
      <c r="K88" s="241">
        <f t="shared" si="1"/>
        <v>0</v>
      </c>
      <c r="L88" s="300"/>
      <c r="M88" s="226"/>
      <c r="N88" s="299"/>
      <c r="O88" s="229">
        <v>0</v>
      </c>
      <c r="P88" s="297" t="e">
        <v>#DIV/0!</v>
      </c>
      <c r="Q88" s="198"/>
      <c r="R88" s="281"/>
      <c r="S88" s="395"/>
      <c r="T88" s="2"/>
      <c r="U88" s="182"/>
      <c r="V88" s="245"/>
      <c r="W88" s="246"/>
      <c r="X88" s="267"/>
    </row>
    <row r="89" spans="2:24" ht="20.25">
      <c r="B89" s="380"/>
      <c r="C89" s="387"/>
      <c r="D89" s="232"/>
      <c r="E89" s="233"/>
      <c r="F89" s="233"/>
      <c r="G89" s="301"/>
      <c r="H89" s="301"/>
      <c r="I89" s="282"/>
      <c r="J89" s="283"/>
      <c r="K89" s="241">
        <f t="shared" si="1"/>
        <v>0</v>
      </c>
      <c r="L89" s="284"/>
      <c r="M89" s="282"/>
      <c r="N89" s="283"/>
      <c r="O89" s="285">
        <v>0</v>
      </c>
      <c r="P89" s="286" t="e">
        <v>#DIV/0!</v>
      </c>
      <c r="Q89" s="296"/>
      <c r="R89" s="272"/>
      <c r="S89" s="395"/>
      <c r="T89" s="2"/>
      <c r="U89" s="182"/>
      <c r="V89" s="245"/>
      <c r="W89" s="246"/>
      <c r="X89" s="267"/>
    </row>
    <row r="90" spans="2:24" ht="20.25">
      <c r="B90" s="380"/>
      <c r="C90" s="387"/>
      <c r="D90" s="227"/>
      <c r="E90" s="162"/>
      <c r="F90" s="163"/>
      <c r="G90" s="228"/>
      <c r="H90" s="228"/>
      <c r="I90" s="226"/>
      <c r="J90" s="299"/>
      <c r="K90" s="241">
        <f t="shared" si="1"/>
        <v>0</v>
      </c>
      <c r="L90" s="300"/>
      <c r="M90" s="226"/>
      <c r="N90" s="299"/>
      <c r="O90" s="229">
        <v>0</v>
      </c>
      <c r="P90" s="297" t="e">
        <v>#DIV/0!</v>
      </c>
      <c r="Q90" s="198"/>
      <c r="R90" s="298"/>
      <c r="S90" s="395"/>
      <c r="T90" s="2"/>
      <c r="U90" s="182"/>
      <c r="V90" s="245"/>
      <c r="W90" s="246"/>
      <c r="X90" s="267"/>
    </row>
    <row r="91" spans="2:24" ht="20.25">
      <c r="B91" s="380"/>
      <c r="C91" s="387"/>
      <c r="D91" s="227"/>
      <c r="E91" s="162"/>
      <c r="F91" s="163"/>
      <c r="G91" s="228"/>
      <c r="H91" s="228"/>
      <c r="I91" s="226"/>
      <c r="J91" s="299"/>
      <c r="K91" s="241">
        <f t="shared" si="1"/>
        <v>0</v>
      </c>
      <c r="L91" s="300"/>
      <c r="M91" s="226"/>
      <c r="N91" s="299"/>
      <c r="O91" s="229">
        <v>0</v>
      </c>
      <c r="P91" s="297" t="e">
        <v>#DIV/0!</v>
      </c>
      <c r="Q91" s="198"/>
      <c r="R91" s="298"/>
      <c r="S91" s="395"/>
      <c r="T91" s="2"/>
      <c r="U91" s="182"/>
      <c r="V91" s="245"/>
      <c r="W91" s="246"/>
      <c r="X91" s="267"/>
    </row>
    <row r="92" spans="2:24" ht="20.25">
      <c r="B92" s="380"/>
      <c r="C92" s="387"/>
      <c r="D92" s="227"/>
      <c r="E92" s="162"/>
      <c r="F92" s="163"/>
      <c r="G92" s="228"/>
      <c r="H92" s="228"/>
      <c r="I92" s="226"/>
      <c r="J92" s="299"/>
      <c r="K92" s="241">
        <f t="shared" si="1"/>
        <v>0</v>
      </c>
      <c r="L92" s="300"/>
      <c r="M92" s="226"/>
      <c r="N92" s="299"/>
      <c r="O92" s="229">
        <v>0</v>
      </c>
      <c r="P92" s="297" t="e">
        <v>#DIV/0!</v>
      </c>
      <c r="Q92" s="198"/>
      <c r="R92" s="281"/>
      <c r="S92" s="395"/>
      <c r="T92" s="2"/>
      <c r="U92" s="182"/>
      <c r="V92" s="245"/>
      <c r="W92" s="246"/>
      <c r="X92" s="267"/>
    </row>
    <row r="93" spans="2:24" ht="20.25">
      <c r="B93" s="380"/>
      <c r="C93" s="387"/>
      <c r="D93" s="227"/>
      <c r="E93" s="162"/>
      <c r="F93" s="163"/>
      <c r="G93" s="228"/>
      <c r="H93" s="228"/>
      <c r="I93" s="226"/>
      <c r="J93" s="299"/>
      <c r="K93" s="241">
        <f t="shared" si="1"/>
        <v>0</v>
      </c>
      <c r="L93" s="300"/>
      <c r="M93" s="226"/>
      <c r="N93" s="299"/>
      <c r="O93" s="229">
        <v>0</v>
      </c>
      <c r="P93" s="297" t="e">
        <v>#DIV/0!</v>
      </c>
      <c r="Q93" s="198"/>
      <c r="R93" s="298"/>
      <c r="S93" s="395"/>
      <c r="T93" s="2"/>
      <c r="U93" s="182"/>
      <c r="V93" s="245"/>
      <c r="W93" s="246"/>
      <c r="X93" s="267"/>
    </row>
    <row r="94" spans="2:24" ht="20.25">
      <c r="B94" s="380"/>
      <c r="C94" s="387"/>
      <c r="D94" s="232"/>
      <c r="E94" s="233"/>
      <c r="F94" s="233"/>
      <c r="G94" s="301"/>
      <c r="H94" s="301"/>
      <c r="I94" s="282"/>
      <c r="J94" s="283"/>
      <c r="K94" s="241">
        <f t="shared" si="1"/>
        <v>0</v>
      </c>
      <c r="L94" s="284"/>
      <c r="M94" s="282"/>
      <c r="N94" s="283"/>
      <c r="O94" s="285">
        <v>0</v>
      </c>
      <c r="P94" s="286" t="e">
        <v>#DIV/0!</v>
      </c>
      <c r="Q94" s="296"/>
      <c r="R94" s="272"/>
      <c r="S94" s="395"/>
      <c r="T94" s="2"/>
      <c r="U94" s="182"/>
      <c r="V94" s="245"/>
      <c r="W94" s="246"/>
      <c r="X94" s="267"/>
    </row>
    <row r="95" spans="2:24" ht="20.25">
      <c r="B95" s="380"/>
      <c r="C95" s="387"/>
      <c r="D95" s="227"/>
      <c r="E95" s="162"/>
      <c r="F95" s="163"/>
      <c r="G95" s="228"/>
      <c r="H95" s="228"/>
      <c r="I95" s="226"/>
      <c r="J95" s="299"/>
      <c r="K95" s="241">
        <f t="shared" si="1"/>
        <v>0</v>
      </c>
      <c r="L95" s="300"/>
      <c r="M95" s="226"/>
      <c r="N95" s="299"/>
      <c r="O95" s="229">
        <v>0</v>
      </c>
      <c r="P95" s="297" t="e">
        <v>#DIV/0!</v>
      </c>
      <c r="Q95" s="198"/>
      <c r="R95" s="298"/>
      <c r="S95" s="395"/>
      <c r="T95" s="2"/>
      <c r="U95" s="182"/>
      <c r="V95" s="245"/>
      <c r="W95" s="246"/>
      <c r="X95" s="267"/>
    </row>
    <row r="96" spans="2:24" ht="20.25">
      <c r="B96" s="380"/>
      <c r="C96" s="387"/>
      <c r="D96" s="227"/>
      <c r="E96" s="162"/>
      <c r="F96" s="163"/>
      <c r="G96" s="228"/>
      <c r="H96" s="228"/>
      <c r="I96" s="226"/>
      <c r="J96" s="299"/>
      <c r="K96" s="241">
        <f t="shared" si="1"/>
        <v>0</v>
      </c>
      <c r="L96" s="300"/>
      <c r="M96" s="226"/>
      <c r="N96" s="299"/>
      <c r="O96" s="229">
        <v>0</v>
      </c>
      <c r="P96" s="297" t="e">
        <v>#DIV/0!</v>
      </c>
      <c r="Q96" s="198"/>
      <c r="R96" s="298"/>
      <c r="S96" s="395"/>
      <c r="T96" s="2"/>
      <c r="U96" s="182"/>
      <c r="V96" s="245"/>
      <c r="W96" s="246"/>
      <c r="X96" s="267"/>
    </row>
    <row r="97" spans="2:24" ht="20.25">
      <c r="B97" s="380"/>
      <c r="C97" s="387"/>
      <c r="D97" s="227"/>
      <c r="E97" s="162"/>
      <c r="F97" s="163"/>
      <c r="G97" s="228"/>
      <c r="H97" s="228"/>
      <c r="I97" s="226"/>
      <c r="J97" s="299"/>
      <c r="K97" s="241">
        <f t="shared" si="1"/>
        <v>0</v>
      </c>
      <c r="L97" s="300"/>
      <c r="M97" s="226"/>
      <c r="N97" s="299"/>
      <c r="O97" s="229">
        <v>0</v>
      </c>
      <c r="P97" s="297" t="e">
        <v>#DIV/0!</v>
      </c>
      <c r="Q97" s="198"/>
      <c r="R97" s="281"/>
      <c r="S97" s="395"/>
      <c r="T97" s="2"/>
      <c r="U97" s="182"/>
      <c r="V97" s="245"/>
      <c r="W97" s="246"/>
      <c r="X97" s="267"/>
    </row>
    <row r="98" spans="2:24" ht="20.25">
      <c r="B98" s="380"/>
      <c r="C98" s="387"/>
      <c r="D98" s="227"/>
      <c r="E98" s="162"/>
      <c r="F98" s="163"/>
      <c r="G98" s="228"/>
      <c r="H98" s="228"/>
      <c r="I98" s="226"/>
      <c r="J98" s="299"/>
      <c r="K98" s="241">
        <f t="shared" si="1"/>
        <v>0</v>
      </c>
      <c r="L98" s="300"/>
      <c r="M98" s="226"/>
      <c r="N98" s="299"/>
      <c r="O98" s="229">
        <v>0</v>
      </c>
      <c r="P98" s="297" t="e">
        <v>#DIV/0!</v>
      </c>
      <c r="Q98" s="198"/>
      <c r="R98" s="298"/>
      <c r="S98" s="395"/>
      <c r="T98" s="2"/>
      <c r="U98" s="182"/>
      <c r="V98" s="245"/>
      <c r="W98" s="246"/>
      <c r="X98" s="267"/>
    </row>
    <row r="99" spans="2:24" ht="20.25">
      <c r="B99" s="380"/>
      <c r="C99" s="387"/>
      <c r="D99" s="232"/>
      <c r="E99" s="233"/>
      <c r="F99" s="233"/>
      <c r="G99" s="301"/>
      <c r="H99" s="301"/>
      <c r="I99" s="282"/>
      <c r="J99" s="283"/>
      <c r="K99" s="241">
        <f t="shared" si="1"/>
        <v>0</v>
      </c>
      <c r="L99" s="284"/>
      <c r="M99" s="282"/>
      <c r="N99" s="283"/>
      <c r="O99" s="285">
        <v>0</v>
      </c>
      <c r="P99" s="286" t="e">
        <v>#DIV/0!</v>
      </c>
      <c r="Q99" s="296"/>
      <c r="R99" s="272"/>
      <c r="S99" s="395"/>
      <c r="T99" s="2"/>
      <c r="U99" s="182"/>
      <c r="V99" s="245"/>
      <c r="W99" s="246"/>
      <c r="X99" s="267"/>
    </row>
    <row r="100" spans="2:24" ht="20.25">
      <c r="B100" s="380"/>
      <c r="C100" s="387"/>
      <c r="D100" s="227"/>
      <c r="E100" s="162"/>
      <c r="F100" s="163"/>
      <c r="G100" s="228"/>
      <c r="H100" s="228"/>
      <c r="I100" s="226"/>
      <c r="J100" s="299"/>
      <c r="K100" s="241">
        <f t="shared" si="1"/>
        <v>0</v>
      </c>
      <c r="L100" s="300"/>
      <c r="M100" s="226"/>
      <c r="N100" s="299"/>
      <c r="O100" s="229">
        <v>0</v>
      </c>
      <c r="P100" s="297" t="e">
        <v>#DIV/0!</v>
      </c>
      <c r="Q100" s="198"/>
      <c r="R100" s="298"/>
      <c r="S100" s="395"/>
      <c r="T100" s="2"/>
      <c r="U100" s="182"/>
      <c r="V100" s="245"/>
      <c r="W100" s="246"/>
      <c r="X100" s="267"/>
    </row>
    <row r="101" spans="2:24" ht="20.25">
      <c r="B101" s="380"/>
      <c r="C101" s="387"/>
      <c r="D101" s="227"/>
      <c r="E101" s="162"/>
      <c r="F101" s="163"/>
      <c r="G101" s="228"/>
      <c r="H101" s="228"/>
      <c r="I101" s="226"/>
      <c r="J101" s="299"/>
      <c r="K101" s="241">
        <f t="shared" si="1"/>
        <v>0</v>
      </c>
      <c r="L101" s="300"/>
      <c r="M101" s="226"/>
      <c r="N101" s="299"/>
      <c r="O101" s="229">
        <v>0</v>
      </c>
      <c r="P101" s="297" t="e">
        <v>#DIV/0!</v>
      </c>
      <c r="Q101" s="198"/>
      <c r="R101" s="298"/>
      <c r="S101" s="395"/>
      <c r="T101" s="2"/>
      <c r="U101" s="182"/>
      <c r="V101" s="245"/>
      <c r="W101" s="246"/>
      <c r="X101" s="267"/>
    </row>
    <row r="102" spans="2:24" ht="20.25">
      <c r="B102" s="380"/>
      <c r="C102" s="387"/>
      <c r="D102" s="227"/>
      <c r="E102" s="162"/>
      <c r="F102" s="163"/>
      <c r="G102" s="228"/>
      <c r="H102" s="228"/>
      <c r="I102" s="226"/>
      <c r="J102" s="299"/>
      <c r="K102" s="241">
        <f t="shared" si="1"/>
        <v>0</v>
      </c>
      <c r="L102" s="300"/>
      <c r="M102" s="226"/>
      <c r="N102" s="299"/>
      <c r="O102" s="229">
        <v>0</v>
      </c>
      <c r="P102" s="297" t="e">
        <v>#DIV/0!</v>
      </c>
      <c r="Q102" s="198"/>
      <c r="R102" s="281"/>
      <c r="S102" s="395"/>
      <c r="T102" s="2"/>
      <c r="U102" s="182"/>
      <c r="V102" s="245"/>
      <c r="W102" s="246"/>
      <c r="X102" s="267"/>
    </row>
    <row r="103" spans="2:24" ht="20.25">
      <c r="B103" s="380"/>
      <c r="C103" s="387"/>
      <c r="D103" s="227"/>
      <c r="E103" s="162"/>
      <c r="F103" s="163"/>
      <c r="G103" s="228"/>
      <c r="H103" s="228"/>
      <c r="I103" s="226"/>
      <c r="J103" s="299"/>
      <c r="K103" s="241">
        <f t="shared" si="1"/>
        <v>0</v>
      </c>
      <c r="L103" s="300"/>
      <c r="M103" s="226"/>
      <c r="N103" s="299"/>
      <c r="O103" s="229">
        <v>0</v>
      </c>
      <c r="P103" s="297" t="e">
        <v>#DIV/0!</v>
      </c>
      <c r="Q103" s="198"/>
      <c r="R103" s="298"/>
      <c r="S103" s="395"/>
      <c r="T103" s="2"/>
      <c r="U103" s="182"/>
      <c r="V103" s="245"/>
      <c r="W103" s="246"/>
      <c r="X103" s="267"/>
    </row>
    <row r="104" spans="2:24" ht="20.25">
      <c r="B104" s="380"/>
      <c r="C104" s="387"/>
      <c r="D104" s="232"/>
      <c r="E104" s="233"/>
      <c r="F104" s="233"/>
      <c r="G104" s="301"/>
      <c r="H104" s="301"/>
      <c r="I104" s="282"/>
      <c r="J104" s="283"/>
      <c r="K104" s="241">
        <f t="shared" si="1"/>
        <v>0</v>
      </c>
      <c r="L104" s="284"/>
      <c r="M104" s="282"/>
      <c r="N104" s="283"/>
      <c r="O104" s="285">
        <v>0</v>
      </c>
      <c r="P104" s="286" t="e">
        <v>#DIV/0!</v>
      </c>
      <c r="Q104" s="296"/>
      <c r="R104" s="272"/>
      <c r="S104" s="395"/>
      <c r="T104" s="2"/>
      <c r="U104" s="182"/>
      <c r="V104" s="245"/>
      <c r="W104" s="246"/>
      <c r="X104" s="267"/>
    </row>
    <row r="105" spans="2:24" ht="20.25">
      <c r="B105" s="380"/>
      <c r="C105" s="387"/>
      <c r="D105" s="227"/>
      <c r="E105" s="162"/>
      <c r="F105" s="163"/>
      <c r="G105" s="228"/>
      <c r="H105" s="228"/>
      <c r="I105" s="226"/>
      <c r="J105" s="299"/>
      <c r="K105" s="241">
        <f t="shared" si="1"/>
        <v>0</v>
      </c>
      <c r="L105" s="300"/>
      <c r="M105" s="226"/>
      <c r="N105" s="299"/>
      <c r="O105" s="229">
        <v>0</v>
      </c>
      <c r="P105" s="297" t="e">
        <v>#DIV/0!</v>
      </c>
      <c r="Q105" s="198"/>
      <c r="R105" s="298"/>
      <c r="S105" s="395"/>
      <c r="T105" s="2"/>
      <c r="U105" s="182"/>
      <c r="V105" s="245"/>
      <c r="W105" s="246"/>
      <c r="X105" s="267"/>
    </row>
    <row r="106" spans="2:24" ht="20.25">
      <c r="B106" s="380"/>
      <c r="C106" s="387"/>
      <c r="D106" s="227"/>
      <c r="E106" s="162"/>
      <c r="F106" s="163"/>
      <c r="G106" s="228"/>
      <c r="H106" s="228"/>
      <c r="I106" s="226"/>
      <c r="J106" s="299"/>
      <c r="K106" s="241">
        <f t="shared" si="1"/>
        <v>0</v>
      </c>
      <c r="L106" s="300"/>
      <c r="M106" s="226"/>
      <c r="N106" s="299"/>
      <c r="O106" s="229">
        <v>0</v>
      </c>
      <c r="P106" s="297" t="e">
        <v>#DIV/0!</v>
      </c>
      <c r="Q106" s="198"/>
      <c r="R106" s="298"/>
      <c r="S106" s="395"/>
      <c r="T106" s="2"/>
      <c r="U106" s="182"/>
      <c r="V106" s="245"/>
      <c r="W106" s="246"/>
      <c r="X106" s="267"/>
    </row>
    <row r="107" spans="2:24" ht="20.25">
      <c r="B107" s="380"/>
      <c r="C107" s="387"/>
      <c r="D107" s="227"/>
      <c r="E107" s="162"/>
      <c r="F107" s="163"/>
      <c r="G107" s="228"/>
      <c r="H107" s="228"/>
      <c r="I107" s="226"/>
      <c r="J107" s="299"/>
      <c r="K107" s="241">
        <f t="shared" si="1"/>
        <v>0</v>
      </c>
      <c r="L107" s="300"/>
      <c r="M107" s="226"/>
      <c r="N107" s="299"/>
      <c r="O107" s="229">
        <v>0</v>
      </c>
      <c r="P107" s="297" t="e">
        <v>#DIV/0!</v>
      </c>
      <c r="Q107" s="198"/>
      <c r="R107" s="281"/>
      <c r="S107" s="395"/>
      <c r="T107" s="2"/>
      <c r="U107" s="182"/>
      <c r="V107" s="245"/>
      <c r="W107" s="246"/>
      <c r="X107" s="267"/>
    </row>
    <row r="108" spans="2:24" ht="20.25">
      <c r="B108" s="380"/>
      <c r="C108" s="387"/>
      <c r="D108" s="227"/>
      <c r="E108" s="162"/>
      <c r="F108" s="163"/>
      <c r="G108" s="228"/>
      <c r="H108" s="228"/>
      <c r="I108" s="226"/>
      <c r="J108" s="299"/>
      <c r="K108" s="241">
        <f t="shared" si="1"/>
        <v>0</v>
      </c>
      <c r="L108" s="300"/>
      <c r="M108" s="226"/>
      <c r="N108" s="299"/>
      <c r="O108" s="229">
        <v>0</v>
      </c>
      <c r="P108" s="297" t="e">
        <v>#DIV/0!</v>
      </c>
      <c r="Q108" s="198"/>
      <c r="R108" s="298"/>
      <c r="S108" s="395"/>
      <c r="T108" s="2"/>
      <c r="U108" s="182"/>
      <c r="V108" s="245"/>
      <c r="W108" s="246"/>
      <c r="X108" s="267"/>
    </row>
    <row r="109" spans="2:24" ht="20.25">
      <c r="B109" s="380"/>
      <c r="C109" s="387"/>
      <c r="D109" s="232"/>
      <c r="E109" s="233"/>
      <c r="F109" s="233"/>
      <c r="G109" s="301"/>
      <c r="H109" s="301"/>
      <c r="I109" s="282"/>
      <c r="J109" s="283"/>
      <c r="K109" s="241">
        <f t="shared" si="1"/>
        <v>0</v>
      </c>
      <c r="L109" s="284"/>
      <c r="M109" s="282"/>
      <c r="N109" s="283"/>
      <c r="O109" s="285">
        <v>0</v>
      </c>
      <c r="P109" s="286" t="e">
        <v>#DIV/0!</v>
      </c>
      <c r="Q109" s="296"/>
      <c r="R109" s="272"/>
      <c r="S109" s="395"/>
      <c r="T109" s="2"/>
      <c r="U109" s="182"/>
      <c r="V109" s="245"/>
      <c r="W109" s="246"/>
      <c r="X109" s="267"/>
    </row>
    <row r="110" spans="2:24" ht="20.25">
      <c r="B110" s="380"/>
      <c r="C110" s="387"/>
      <c r="D110" s="227"/>
      <c r="E110" s="162"/>
      <c r="F110" s="163"/>
      <c r="G110" s="228"/>
      <c r="H110" s="228"/>
      <c r="I110" s="226"/>
      <c r="J110" s="299"/>
      <c r="K110" s="241">
        <f t="shared" si="1"/>
        <v>0</v>
      </c>
      <c r="L110" s="300"/>
      <c r="M110" s="226"/>
      <c r="N110" s="299"/>
      <c r="O110" s="229">
        <v>0</v>
      </c>
      <c r="P110" s="297" t="e">
        <v>#DIV/0!</v>
      </c>
      <c r="Q110" s="198"/>
      <c r="R110" s="298"/>
      <c r="S110" s="395"/>
      <c r="T110" s="2"/>
      <c r="U110" s="182"/>
      <c r="V110" s="245"/>
      <c r="W110" s="246"/>
      <c r="X110" s="267"/>
    </row>
    <row r="111" spans="2:24" ht="20.25">
      <c r="B111" s="380"/>
      <c r="C111" s="387"/>
      <c r="D111" s="227"/>
      <c r="E111" s="162"/>
      <c r="F111" s="163"/>
      <c r="G111" s="228"/>
      <c r="H111" s="228"/>
      <c r="I111" s="226"/>
      <c r="J111" s="299"/>
      <c r="K111" s="241">
        <f t="shared" si="1"/>
        <v>0</v>
      </c>
      <c r="L111" s="300"/>
      <c r="M111" s="226"/>
      <c r="N111" s="299"/>
      <c r="O111" s="229">
        <v>0</v>
      </c>
      <c r="P111" s="297" t="e">
        <v>#DIV/0!</v>
      </c>
      <c r="Q111" s="198"/>
      <c r="R111" s="298"/>
      <c r="S111" s="395"/>
      <c r="T111" s="2"/>
      <c r="U111" s="182"/>
      <c r="V111" s="245"/>
      <c r="W111" s="246"/>
      <c r="X111" s="267"/>
    </row>
    <row r="112" spans="2:24" ht="20.25">
      <c r="B112" s="380"/>
      <c r="C112" s="387"/>
      <c r="D112" s="227"/>
      <c r="E112" s="162"/>
      <c r="F112" s="163"/>
      <c r="G112" s="228"/>
      <c r="H112" s="228"/>
      <c r="I112" s="226"/>
      <c r="J112" s="299"/>
      <c r="K112" s="241">
        <f t="shared" si="1"/>
        <v>0</v>
      </c>
      <c r="L112" s="300"/>
      <c r="M112" s="226"/>
      <c r="N112" s="299"/>
      <c r="O112" s="229">
        <v>0</v>
      </c>
      <c r="P112" s="297" t="e">
        <v>#DIV/0!</v>
      </c>
      <c r="Q112" s="198"/>
      <c r="R112" s="281"/>
      <c r="S112" s="395"/>
      <c r="T112" s="2"/>
      <c r="U112" s="182"/>
      <c r="V112" s="245"/>
      <c r="W112" s="246"/>
      <c r="X112" s="267"/>
    </row>
    <row r="113" spans="2:24" ht="20.25">
      <c r="B113" s="380"/>
      <c r="C113" s="387"/>
      <c r="D113" s="227"/>
      <c r="E113" s="162"/>
      <c r="F113" s="163"/>
      <c r="G113" s="228"/>
      <c r="H113" s="228"/>
      <c r="I113" s="226"/>
      <c r="J113" s="299"/>
      <c r="K113" s="241">
        <f t="shared" si="1"/>
        <v>0</v>
      </c>
      <c r="L113" s="300"/>
      <c r="M113" s="226"/>
      <c r="N113" s="299"/>
      <c r="O113" s="229">
        <v>0</v>
      </c>
      <c r="P113" s="297" t="e">
        <v>#DIV/0!</v>
      </c>
      <c r="Q113" s="198"/>
      <c r="R113" s="298"/>
      <c r="S113" s="395"/>
      <c r="T113" s="2"/>
      <c r="U113" s="182"/>
      <c r="V113" s="245"/>
      <c r="W113" s="246"/>
      <c r="X113" s="267"/>
    </row>
    <row r="114" spans="2:24" ht="20.25">
      <c r="B114" s="380"/>
      <c r="C114" s="387"/>
      <c r="D114" s="232"/>
      <c r="E114" s="233"/>
      <c r="F114" s="233"/>
      <c r="G114" s="301"/>
      <c r="H114" s="301"/>
      <c r="I114" s="282"/>
      <c r="J114" s="283"/>
      <c r="K114" s="241">
        <f t="shared" si="1"/>
        <v>0</v>
      </c>
      <c r="L114" s="284"/>
      <c r="M114" s="282"/>
      <c r="N114" s="283"/>
      <c r="O114" s="285">
        <v>0</v>
      </c>
      <c r="P114" s="286" t="e">
        <v>#DIV/0!</v>
      </c>
      <c r="Q114" s="296"/>
      <c r="R114" s="272"/>
      <c r="S114" s="395"/>
      <c r="T114" s="2"/>
      <c r="U114" s="182"/>
      <c r="V114" s="245"/>
      <c r="W114" s="246"/>
      <c r="X114" s="267"/>
    </row>
    <row r="115" spans="2:24" ht="20.25">
      <c r="B115" s="380"/>
      <c r="C115" s="387"/>
      <c r="D115" s="227"/>
      <c r="E115" s="162"/>
      <c r="F115" s="163"/>
      <c r="G115" s="228"/>
      <c r="H115" s="228"/>
      <c r="I115" s="226"/>
      <c r="J115" s="299"/>
      <c r="K115" s="241">
        <f t="shared" si="1"/>
        <v>0</v>
      </c>
      <c r="L115" s="300"/>
      <c r="M115" s="226"/>
      <c r="N115" s="299"/>
      <c r="O115" s="229">
        <v>0</v>
      </c>
      <c r="P115" s="297" t="e">
        <v>#DIV/0!</v>
      </c>
      <c r="Q115" s="198"/>
      <c r="R115" s="298"/>
      <c r="S115" s="395"/>
      <c r="T115" s="2"/>
      <c r="U115" s="182"/>
      <c r="V115" s="245"/>
      <c r="W115" s="246"/>
      <c r="X115" s="267"/>
    </row>
    <row r="116" spans="2:24" ht="20.25">
      <c r="B116" s="380"/>
      <c r="C116" s="387"/>
      <c r="D116" s="227"/>
      <c r="E116" s="162"/>
      <c r="F116" s="163"/>
      <c r="G116" s="228"/>
      <c r="H116" s="228"/>
      <c r="I116" s="226"/>
      <c r="J116" s="299"/>
      <c r="K116" s="241">
        <f t="shared" si="1"/>
        <v>0</v>
      </c>
      <c r="L116" s="300"/>
      <c r="M116" s="226"/>
      <c r="N116" s="299"/>
      <c r="O116" s="229">
        <v>0</v>
      </c>
      <c r="P116" s="297" t="e">
        <v>#DIV/0!</v>
      </c>
      <c r="Q116" s="198"/>
      <c r="R116" s="298"/>
      <c r="S116" s="395"/>
      <c r="T116" s="2"/>
      <c r="U116" s="182"/>
      <c r="V116" s="245"/>
      <c r="W116" s="246"/>
      <c r="X116" s="267"/>
    </row>
    <row r="117" spans="2:24" ht="20.25">
      <c r="B117" s="380"/>
      <c r="C117" s="387"/>
      <c r="D117" s="227"/>
      <c r="E117" s="162"/>
      <c r="F117" s="163"/>
      <c r="G117" s="228"/>
      <c r="H117" s="228"/>
      <c r="I117" s="226"/>
      <c r="J117" s="299"/>
      <c r="K117" s="241">
        <f t="shared" si="1"/>
        <v>0</v>
      </c>
      <c r="L117" s="300"/>
      <c r="M117" s="226"/>
      <c r="N117" s="299"/>
      <c r="O117" s="229">
        <v>0</v>
      </c>
      <c r="P117" s="297" t="e">
        <v>#DIV/0!</v>
      </c>
      <c r="Q117" s="198"/>
      <c r="R117" s="281"/>
      <c r="S117" s="395"/>
      <c r="T117" s="2"/>
      <c r="U117" s="182"/>
      <c r="V117" s="245"/>
      <c r="W117" s="246"/>
      <c r="X117" s="267"/>
    </row>
    <row r="118" spans="2:24" ht="20.25">
      <c r="B118" s="380"/>
      <c r="C118" s="387"/>
      <c r="D118" s="227"/>
      <c r="E118" s="162"/>
      <c r="F118" s="163"/>
      <c r="G118" s="228"/>
      <c r="H118" s="228"/>
      <c r="I118" s="226"/>
      <c r="J118" s="299"/>
      <c r="K118" s="241">
        <f t="shared" si="1"/>
        <v>0</v>
      </c>
      <c r="L118" s="300"/>
      <c r="M118" s="226"/>
      <c r="N118" s="299"/>
      <c r="O118" s="229">
        <v>0</v>
      </c>
      <c r="P118" s="297" t="e">
        <v>#DIV/0!</v>
      </c>
      <c r="Q118" s="198"/>
      <c r="R118" s="298"/>
      <c r="S118" s="395"/>
      <c r="T118" s="2"/>
      <c r="U118" s="182"/>
      <c r="V118" s="245"/>
      <c r="W118" s="246"/>
      <c r="X118" s="267"/>
    </row>
    <row r="119" spans="2:24" ht="20.25">
      <c r="B119" s="380"/>
      <c r="C119" s="387"/>
      <c r="D119" s="232"/>
      <c r="E119" s="233"/>
      <c r="F119" s="233"/>
      <c r="G119" s="301"/>
      <c r="H119" s="301"/>
      <c r="I119" s="282"/>
      <c r="J119" s="283"/>
      <c r="K119" s="241">
        <f t="shared" si="1"/>
        <v>0</v>
      </c>
      <c r="L119" s="284"/>
      <c r="M119" s="282"/>
      <c r="N119" s="283"/>
      <c r="O119" s="285">
        <v>0</v>
      </c>
      <c r="P119" s="286" t="e">
        <v>#DIV/0!</v>
      </c>
      <c r="Q119" s="296"/>
      <c r="R119" s="272"/>
      <c r="S119" s="395"/>
      <c r="T119" s="2"/>
      <c r="U119" s="182"/>
      <c r="V119" s="245"/>
      <c r="W119" s="246"/>
      <c r="X119" s="267"/>
    </row>
    <row r="120" spans="2:24" ht="20.25">
      <c r="B120" s="380"/>
      <c r="C120" s="387"/>
      <c r="D120" s="227"/>
      <c r="E120" s="162"/>
      <c r="F120" s="163"/>
      <c r="G120" s="228"/>
      <c r="H120" s="228"/>
      <c r="I120" s="226"/>
      <c r="J120" s="299"/>
      <c r="K120" s="241">
        <f t="shared" si="1"/>
        <v>0</v>
      </c>
      <c r="L120" s="300"/>
      <c r="M120" s="226"/>
      <c r="N120" s="299"/>
      <c r="O120" s="229">
        <v>0</v>
      </c>
      <c r="P120" s="297" t="e">
        <v>#DIV/0!</v>
      </c>
      <c r="Q120" s="198"/>
      <c r="R120" s="298"/>
      <c r="S120" s="395"/>
      <c r="T120" s="2"/>
      <c r="U120" s="182"/>
      <c r="V120" s="245"/>
      <c r="W120" s="246"/>
      <c r="X120" s="267"/>
    </row>
    <row r="121" spans="2:24" ht="20.25">
      <c r="B121" s="380"/>
      <c r="C121" s="387"/>
      <c r="D121" s="227"/>
      <c r="E121" s="162"/>
      <c r="F121" s="163"/>
      <c r="G121" s="228"/>
      <c r="H121" s="228"/>
      <c r="I121" s="226"/>
      <c r="J121" s="299"/>
      <c r="K121" s="241">
        <f t="shared" si="1"/>
        <v>0</v>
      </c>
      <c r="L121" s="300"/>
      <c r="M121" s="226"/>
      <c r="N121" s="299"/>
      <c r="O121" s="229">
        <v>0</v>
      </c>
      <c r="P121" s="297" t="e">
        <v>#DIV/0!</v>
      </c>
      <c r="Q121" s="198"/>
      <c r="R121" s="298"/>
      <c r="S121" s="395"/>
      <c r="T121" s="2"/>
      <c r="U121" s="182"/>
      <c r="V121" s="245"/>
      <c r="W121" s="246"/>
      <c r="X121" s="267"/>
    </row>
    <row r="122" spans="2:24" ht="20.25">
      <c r="B122" s="380"/>
      <c r="C122" s="387"/>
      <c r="D122" s="227"/>
      <c r="E122" s="162"/>
      <c r="F122" s="163"/>
      <c r="G122" s="228"/>
      <c r="H122" s="228"/>
      <c r="I122" s="226"/>
      <c r="J122" s="299"/>
      <c r="K122" s="241">
        <f t="shared" si="1"/>
        <v>0</v>
      </c>
      <c r="L122" s="300"/>
      <c r="M122" s="226"/>
      <c r="N122" s="299"/>
      <c r="O122" s="229">
        <v>0</v>
      </c>
      <c r="P122" s="297" t="e">
        <v>#DIV/0!</v>
      </c>
      <c r="Q122" s="198"/>
      <c r="R122" s="281"/>
      <c r="S122" s="395"/>
      <c r="T122" s="2"/>
      <c r="U122" s="182"/>
      <c r="V122" s="245"/>
      <c r="W122" s="246"/>
      <c r="X122" s="267"/>
    </row>
    <row r="123" spans="2:24" ht="20.25">
      <c r="B123" s="380"/>
      <c r="C123" s="387"/>
      <c r="D123" s="227"/>
      <c r="E123" s="162"/>
      <c r="F123" s="163"/>
      <c r="G123" s="228"/>
      <c r="H123" s="228"/>
      <c r="I123" s="226"/>
      <c r="J123" s="299"/>
      <c r="K123" s="241">
        <f t="shared" si="1"/>
        <v>0</v>
      </c>
      <c r="L123" s="300"/>
      <c r="M123" s="226"/>
      <c r="N123" s="299"/>
      <c r="O123" s="229">
        <v>0</v>
      </c>
      <c r="P123" s="297" t="e">
        <v>#DIV/0!</v>
      </c>
      <c r="Q123" s="198"/>
      <c r="R123" s="298"/>
      <c r="S123" s="395"/>
      <c r="T123" s="2"/>
      <c r="U123" s="182"/>
      <c r="V123" s="245"/>
      <c r="W123" s="246"/>
      <c r="X123" s="267"/>
    </row>
    <row r="124" spans="2:24" ht="20.25">
      <c r="B124" s="380"/>
      <c r="C124" s="387"/>
      <c r="D124" s="232"/>
      <c r="E124" s="233"/>
      <c r="F124" s="233"/>
      <c r="G124" s="301"/>
      <c r="H124" s="301"/>
      <c r="I124" s="282"/>
      <c r="J124" s="283"/>
      <c r="K124" s="241">
        <f t="shared" si="1"/>
        <v>0</v>
      </c>
      <c r="L124" s="284"/>
      <c r="M124" s="282"/>
      <c r="N124" s="283"/>
      <c r="O124" s="285">
        <v>0</v>
      </c>
      <c r="P124" s="286" t="e">
        <v>#DIV/0!</v>
      </c>
      <c r="Q124" s="296"/>
      <c r="R124" s="272"/>
      <c r="S124" s="395"/>
      <c r="T124" s="2"/>
      <c r="U124" s="182"/>
      <c r="V124" s="245"/>
      <c r="W124" s="246"/>
      <c r="X124" s="267"/>
    </row>
    <row r="125" spans="2:24" ht="20.25">
      <c r="B125" s="380"/>
      <c r="C125" s="387"/>
      <c r="D125" s="227"/>
      <c r="E125" s="162"/>
      <c r="F125" s="163"/>
      <c r="G125" s="228"/>
      <c r="H125" s="228"/>
      <c r="I125" s="226"/>
      <c r="J125" s="299"/>
      <c r="K125" s="241">
        <f t="shared" si="1"/>
        <v>0</v>
      </c>
      <c r="L125" s="300"/>
      <c r="M125" s="226"/>
      <c r="N125" s="299"/>
      <c r="O125" s="229">
        <v>0</v>
      </c>
      <c r="P125" s="297" t="e">
        <v>#DIV/0!</v>
      </c>
      <c r="Q125" s="198"/>
      <c r="R125" s="298"/>
      <c r="S125" s="395"/>
      <c r="T125" s="2"/>
      <c r="U125" s="182"/>
      <c r="V125" s="245"/>
      <c r="W125" s="246"/>
      <c r="X125" s="267"/>
    </row>
    <row r="126" spans="2:24" ht="20.25">
      <c r="B126" s="380"/>
      <c r="C126" s="387"/>
      <c r="D126" s="227"/>
      <c r="E126" s="162"/>
      <c r="F126" s="163"/>
      <c r="G126" s="228"/>
      <c r="H126" s="228"/>
      <c r="I126" s="226"/>
      <c r="J126" s="299"/>
      <c r="K126" s="241">
        <f t="shared" si="1"/>
        <v>0</v>
      </c>
      <c r="L126" s="300"/>
      <c r="M126" s="226"/>
      <c r="N126" s="299"/>
      <c r="O126" s="229">
        <v>0</v>
      </c>
      <c r="P126" s="297" t="e">
        <v>#DIV/0!</v>
      </c>
      <c r="Q126" s="198"/>
      <c r="R126" s="298"/>
      <c r="S126" s="395"/>
      <c r="T126" s="2"/>
      <c r="U126" s="182"/>
      <c r="V126" s="245"/>
      <c r="W126" s="246"/>
      <c r="X126" s="267"/>
    </row>
    <row r="127" spans="2:24" ht="20.25">
      <c r="B127" s="380"/>
      <c r="C127" s="387"/>
      <c r="D127" s="227"/>
      <c r="E127" s="162"/>
      <c r="F127" s="163"/>
      <c r="G127" s="228"/>
      <c r="H127" s="228"/>
      <c r="I127" s="226"/>
      <c r="J127" s="299"/>
      <c r="K127" s="241">
        <f t="shared" si="1"/>
        <v>0</v>
      </c>
      <c r="L127" s="300"/>
      <c r="M127" s="226"/>
      <c r="N127" s="299"/>
      <c r="O127" s="229">
        <v>0</v>
      </c>
      <c r="P127" s="297" t="e">
        <v>#DIV/0!</v>
      </c>
      <c r="Q127" s="198"/>
      <c r="R127" s="281"/>
      <c r="S127" s="395"/>
      <c r="T127" s="2"/>
      <c r="U127" s="182"/>
      <c r="V127" s="245"/>
      <c r="W127" s="246"/>
      <c r="X127" s="267"/>
    </row>
    <row r="128" spans="2:24" ht="20.25">
      <c r="B128" s="380"/>
      <c r="C128" s="387"/>
      <c r="D128" s="232"/>
      <c r="E128" s="233"/>
      <c r="F128" s="233"/>
      <c r="G128" s="301"/>
      <c r="H128" s="301"/>
      <c r="I128" s="282"/>
      <c r="J128" s="283"/>
      <c r="K128" s="241">
        <f t="shared" si="1"/>
        <v>0</v>
      </c>
      <c r="L128" s="284"/>
      <c r="M128" s="282"/>
      <c r="N128" s="283"/>
      <c r="O128" s="285">
        <v>0</v>
      </c>
      <c r="P128" s="286" t="e">
        <v>#DIV/0!</v>
      </c>
      <c r="Q128" s="296"/>
      <c r="R128" s="272"/>
      <c r="S128" s="395"/>
      <c r="T128" s="2"/>
      <c r="U128" s="182"/>
      <c r="V128" s="245"/>
      <c r="W128" s="246"/>
      <c r="X128" s="267"/>
    </row>
    <row r="129" spans="2:24" ht="20.25">
      <c r="B129" s="380"/>
      <c r="C129" s="387"/>
      <c r="D129" s="227"/>
      <c r="E129" s="162"/>
      <c r="F129" s="163"/>
      <c r="G129" s="228"/>
      <c r="H129" s="228"/>
      <c r="I129" s="226"/>
      <c r="J129" s="299"/>
      <c r="K129" s="241">
        <f t="shared" si="1"/>
        <v>0</v>
      </c>
      <c r="L129" s="300"/>
      <c r="M129" s="226"/>
      <c r="N129" s="299"/>
      <c r="O129" s="229">
        <v>0</v>
      </c>
      <c r="P129" s="297" t="e">
        <v>#DIV/0!</v>
      </c>
      <c r="Q129" s="198"/>
      <c r="R129" s="298"/>
      <c r="S129" s="395"/>
      <c r="T129" s="2"/>
      <c r="U129" s="182"/>
      <c r="V129" s="245"/>
      <c r="W129" s="246"/>
      <c r="X129" s="267"/>
    </row>
    <row r="130" spans="2:24" ht="20.25">
      <c r="B130" s="380"/>
      <c r="C130" s="387"/>
      <c r="D130" s="227"/>
      <c r="E130" s="162"/>
      <c r="F130" s="163"/>
      <c r="G130" s="228"/>
      <c r="H130" s="228"/>
      <c r="I130" s="226"/>
      <c r="J130" s="299"/>
      <c r="K130" s="241">
        <f t="shared" si="1"/>
        <v>0</v>
      </c>
      <c r="L130" s="300"/>
      <c r="M130" s="226"/>
      <c r="N130" s="299"/>
      <c r="O130" s="229">
        <v>0</v>
      </c>
      <c r="P130" s="297" t="e">
        <v>#DIV/0!</v>
      </c>
      <c r="Q130" s="198"/>
      <c r="R130" s="298"/>
      <c r="S130" s="395"/>
      <c r="T130" s="2"/>
      <c r="U130" s="182"/>
      <c r="V130" s="245"/>
      <c r="W130" s="246"/>
      <c r="X130" s="267"/>
    </row>
    <row r="131" spans="2:24" ht="20.25">
      <c r="B131" s="380"/>
      <c r="C131" s="387"/>
      <c r="D131" s="227"/>
      <c r="E131" s="162"/>
      <c r="F131" s="163"/>
      <c r="G131" s="228"/>
      <c r="H131" s="228"/>
      <c r="I131" s="226"/>
      <c r="J131" s="299"/>
      <c r="K131" s="241">
        <f t="shared" si="1"/>
        <v>0</v>
      </c>
      <c r="L131" s="300"/>
      <c r="M131" s="226"/>
      <c r="N131" s="299"/>
      <c r="O131" s="229">
        <v>0</v>
      </c>
      <c r="P131" s="297" t="e">
        <v>#DIV/0!</v>
      </c>
      <c r="Q131" s="198"/>
      <c r="R131" s="281"/>
      <c r="S131" s="395"/>
      <c r="T131" s="2"/>
      <c r="U131" s="182"/>
      <c r="V131" s="245"/>
      <c r="W131" s="246"/>
      <c r="X131" s="267"/>
    </row>
    <row r="132" spans="2:24" ht="20.25">
      <c r="B132" s="380"/>
      <c r="C132" s="387"/>
      <c r="D132" s="227"/>
      <c r="E132" s="162"/>
      <c r="F132" s="163"/>
      <c r="G132" s="228"/>
      <c r="H132" s="228"/>
      <c r="I132" s="226"/>
      <c r="J132" s="299"/>
      <c r="K132" s="241">
        <f t="shared" si="1"/>
        <v>0</v>
      </c>
      <c r="L132" s="300"/>
      <c r="M132" s="226"/>
      <c r="N132" s="299"/>
      <c r="O132" s="229">
        <v>0</v>
      </c>
      <c r="P132" s="297" t="e">
        <v>#DIV/0!</v>
      </c>
      <c r="Q132" s="198"/>
      <c r="R132" s="298"/>
      <c r="S132" s="395"/>
      <c r="T132" s="2"/>
      <c r="U132" s="182"/>
      <c r="V132" s="245"/>
      <c r="W132" s="246"/>
      <c r="X132" s="267"/>
    </row>
    <row r="133" spans="2:24" ht="20.25">
      <c r="B133" s="380"/>
      <c r="C133" s="387"/>
      <c r="D133" s="232"/>
      <c r="E133" s="233"/>
      <c r="F133" s="233"/>
      <c r="G133" s="301"/>
      <c r="H133" s="301"/>
      <c r="I133" s="282"/>
      <c r="J133" s="283"/>
      <c r="K133" s="241">
        <f t="shared" si="1"/>
        <v>0</v>
      </c>
      <c r="L133" s="284"/>
      <c r="M133" s="282"/>
      <c r="N133" s="283"/>
      <c r="O133" s="285">
        <v>0</v>
      </c>
      <c r="P133" s="286" t="e">
        <v>#DIV/0!</v>
      </c>
      <c r="Q133" s="296"/>
      <c r="R133" s="272"/>
      <c r="S133" s="395"/>
      <c r="T133" s="2"/>
      <c r="U133" s="182"/>
      <c r="V133" s="245"/>
      <c r="W133" s="246"/>
      <c r="X133" s="267"/>
    </row>
    <row r="134" spans="2:24" ht="20.25">
      <c r="B134" s="380"/>
      <c r="C134" s="387"/>
      <c r="D134" s="227"/>
      <c r="E134" s="162"/>
      <c r="F134" s="163"/>
      <c r="G134" s="228"/>
      <c r="H134" s="228"/>
      <c r="I134" s="226"/>
      <c r="J134" s="299"/>
      <c r="K134" s="241">
        <f t="shared" si="1"/>
        <v>0</v>
      </c>
      <c r="L134" s="300"/>
      <c r="M134" s="226"/>
      <c r="N134" s="299"/>
      <c r="O134" s="229">
        <v>0</v>
      </c>
      <c r="P134" s="297" t="e">
        <v>#DIV/0!</v>
      </c>
      <c r="Q134" s="198"/>
      <c r="R134" s="298"/>
      <c r="S134" s="395"/>
      <c r="T134" s="2"/>
      <c r="U134" s="182"/>
      <c r="V134" s="245"/>
      <c r="W134" s="246"/>
      <c r="X134" s="267"/>
    </row>
    <row r="135" spans="2:24" ht="20.25">
      <c r="B135" s="380"/>
      <c r="C135" s="387"/>
      <c r="D135" s="227"/>
      <c r="E135" s="162"/>
      <c r="F135" s="163"/>
      <c r="G135" s="228"/>
      <c r="H135" s="228"/>
      <c r="I135" s="226"/>
      <c r="J135" s="299"/>
      <c r="K135" s="241">
        <f t="shared" si="1"/>
        <v>0</v>
      </c>
      <c r="L135" s="300"/>
      <c r="M135" s="226"/>
      <c r="N135" s="299"/>
      <c r="O135" s="229">
        <v>0</v>
      </c>
      <c r="P135" s="297" t="e">
        <v>#DIV/0!</v>
      </c>
      <c r="Q135" s="198"/>
      <c r="R135" s="298"/>
      <c r="S135" s="395"/>
      <c r="T135" s="2"/>
      <c r="U135" s="182"/>
      <c r="V135" s="245"/>
      <c r="W135" s="246"/>
      <c r="X135" s="267"/>
    </row>
    <row r="136" spans="2:24" ht="20.25">
      <c r="B136" s="380"/>
      <c r="C136" s="387"/>
      <c r="D136" s="227"/>
      <c r="E136" s="162"/>
      <c r="F136" s="163"/>
      <c r="G136" s="228"/>
      <c r="H136" s="228"/>
      <c r="I136" s="226"/>
      <c r="J136" s="299"/>
      <c r="K136" s="241">
        <f t="shared" si="1"/>
        <v>0</v>
      </c>
      <c r="L136" s="300"/>
      <c r="M136" s="226"/>
      <c r="N136" s="299"/>
      <c r="O136" s="229">
        <v>0</v>
      </c>
      <c r="P136" s="297" t="e">
        <v>#DIV/0!</v>
      </c>
      <c r="Q136" s="198"/>
      <c r="R136" s="281"/>
      <c r="S136" s="395"/>
      <c r="T136" s="2"/>
      <c r="U136" s="182"/>
      <c r="V136" s="245"/>
      <c r="W136" s="246"/>
      <c r="X136" s="267"/>
    </row>
    <row r="137" spans="2:24" ht="20.25">
      <c r="B137" s="380"/>
      <c r="C137" s="387"/>
      <c r="D137" s="227"/>
      <c r="E137" s="162"/>
      <c r="F137" s="163"/>
      <c r="G137" s="228"/>
      <c r="H137" s="228"/>
      <c r="I137" s="226"/>
      <c r="J137" s="299"/>
      <c r="K137" s="241">
        <f t="shared" si="1"/>
        <v>0</v>
      </c>
      <c r="L137" s="300"/>
      <c r="M137" s="226"/>
      <c r="N137" s="299"/>
      <c r="O137" s="229">
        <v>0</v>
      </c>
      <c r="P137" s="297" t="e">
        <v>#DIV/0!</v>
      </c>
      <c r="Q137" s="198"/>
      <c r="R137" s="298"/>
      <c r="S137" s="395"/>
      <c r="T137" s="2"/>
      <c r="U137" s="182"/>
      <c r="V137" s="245"/>
      <c r="W137" s="246"/>
      <c r="X137" s="267"/>
    </row>
    <row r="138" spans="2:24" ht="20.25">
      <c r="B138" s="380"/>
      <c r="C138" s="387"/>
      <c r="D138" s="232"/>
      <c r="E138" s="233"/>
      <c r="F138" s="233"/>
      <c r="G138" s="301"/>
      <c r="H138" s="301"/>
      <c r="I138" s="282"/>
      <c r="J138" s="283"/>
      <c r="K138" s="241">
        <f t="shared" si="1"/>
        <v>0</v>
      </c>
      <c r="L138" s="284"/>
      <c r="M138" s="282"/>
      <c r="N138" s="283"/>
      <c r="O138" s="285">
        <v>0</v>
      </c>
      <c r="P138" s="286" t="e">
        <v>#DIV/0!</v>
      </c>
      <c r="Q138" s="296"/>
      <c r="R138" s="272"/>
      <c r="S138" s="395"/>
      <c r="T138" s="2"/>
      <c r="U138" s="182"/>
      <c r="V138" s="245"/>
      <c r="W138" s="246"/>
      <c r="X138" s="267"/>
    </row>
    <row r="139" spans="2:24" ht="20.25">
      <c r="B139" s="380"/>
      <c r="C139" s="387"/>
      <c r="D139" s="227"/>
      <c r="E139" s="162"/>
      <c r="F139" s="163"/>
      <c r="G139" s="228"/>
      <c r="H139" s="228"/>
      <c r="I139" s="226"/>
      <c r="J139" s="299"/>
      <c r="K139" s="241">
        <f t="shared" si="1"/>
        <v>0</v>
      </c>
      <c r="L139" s="300"/>
      <c r="M139" s="226"/>
      <c r="N139" s="299"/>
      <c r="O139" s="229">
        <v>0</v>
      </c>
      <c r="P139" s="297" t="e">
        <v>#DIV/0!</v>
      </c>
      <c r="Q139" s="198"/>
      <c r="R139" s="298"/>
      <c r="S139" s="395"/>
      <c r="T139" s="2"/>
      <c r="U139" s="182"/>
      <c r="V139" s="245"/>
      <c r="W139" s="246"/>
      <c r="X139" s="267"/>
    </row>
    <row r="140" spans="2:24" ht="20.25">
      <c r="B140" s="380"/>
      <c r="C140" s="387"/>
      <c r="D140" s="227"/>
      <c r="E140" s="162"/>
      <c r="F140" s="163"/>
      <c r="G140" s="228"/>
      <c r="H140" s="228"/>
      <c r="I140" s="226"/>
      <c r="J140" s="299"/>
      <c r="K140" s="241">
        <f t="shared" si="1"/>
        <v>0</v>
      </c>
      <c r="L140" s="300"/>
      <c r="M140" s="226"/>
      <c r="N140" s="299"/>
      <c r="O140" s="229">
        <v>0</v>
      </c>
      <c r="P140" s="297" t="e">
        <v>#DIV/0!</v>
      </c>
      <c r="Q140" s="198"/>
      <c r="R140" s="298"/>
      <c r="S140" s="395"/>
      <c r="T140" s="2"/>
      <c r="U140" s="182"/>
      <c r="V140" s="245"/>
      <c r="W140" s="246"/>
      <c r="X140" s="267"/>
    </row>
    <row r="141" spans="2:24" ht="20.25">
      <c r="B141" s="380"/>
      <c r="C141" s="387"/>
      <c r="D141" s="227"/>
      <c r="E141" s="162"/>
      <c r="F141" s="163"/>
      <c r="G141" s="228"/>
      <c r="H141" s="228"/>
      <c r="I141" s="226"/>
      <c r="J141" s="299"/>
      <c r="K141" s="241">
        <f t="shared" si="1"/>
        <v>0</v>
      </c>
      <c r="L141" s="300"/>
      <c r="M141" s="226"/>
      <c r="N141" s="299"/>
      <c r="O141" s="229">
        <v>0</v>
      </c>
      <c r="P141" s="297" t="e">
        <v>#DIV/0!</v>
      </c>
      <c r="Q141" s="198"/>
      <c r="R141" s="281"/>
      <c r="S141" s="395"/>
      <c r="T141" s="2"/>
      <c r="U141" s="182"/>
      <c r="V141" s="245"/>
      <c r="W141" s="246"/>
      <c r="X141" s="267"/>
    </row>
    <row r="142" spans="2:24" ht="20.25">
      <c r="B142" s="380"/>
      <c r="C142" s="387"/>
      <c r="D142" s="227"/>
      <c r="E142" s="162"/>
      <c r="F142" s="163"/>
      <c r="G142" s="228"/>
      <c r="H142" s="228"/>
      <c r="I142" s="226"/>
      <c r="J142" s="299"/>
      <c r="K142" s="241">
        <f t="shared" ref="K142:K168" si="2">I142*J142</f>
        <v>0</v>
      </c>
      <c r="L142" s="300"/>
      <c r="M142" s="226"/>
      <c r="N142" s="299"/>
      <c r="O142" s="229">
        <v>0</v>
      </c>
      <c r="P142" s="297" t="e">
        <v>#DIV/0!</v>
      </c>
      <c r="Q142" s="198"/>
      <c r="R142" s="298"/>
      <c r="S142" s="395"/>
      <c r="T142" s="2"/>
      <c r="U142" s="182"/>
      <c r="V142" s="245"/>
      <c r="W142" s="246"/>
      <c r="X142" s="267"/>
    </row>
    <row r="143" spans="2:24" ht="20.25">
      <c r="B143" s="380"/>
      <c r="C143" s="387"/>
      <c r="D143" s="232"/>
      <c r="E143" s="233"/>
      <c r="F143" s="233"/>
      <c r="G143" s="301"/>
      <c r="H143" s="301"/>
      <c r="I143" s="282"/>
      <c r="J143" s="283"/>
      <c r="K143" s="241">
        <f t="shared" si="2"/>
        <v>0</v>
      </c>
      <c r="L143" s="284"/>
      <c r="M143" s="282"/>
      <c r="N143" s="283"/>
      <c r="O143" s="285">
        <v>0</v>
      </c>
      <c r="P143" s="286" t="e">
        <v>#DIV/0!</v>
      </c>
      <c r="Q143" s="296"/>
      <c r="R143" s="272"/>
      <c r="S143" s="395"/>
      <c r="T143" s="2"/>
      <c r="U143" s="182"/>
      <c r="V143" s="245"/>
      <c r="W143" s="246"/>
      <c r="X143" s="267"/>
    </row>
    <row r="144" spans="2:24" ht="20.25">
      <c r="B144" s="380"/>
      <c r="C144" s="387"/>
      <c r="D144" s="227"/>
      <c r="E144" s="162"/>
      <c r="F144" s="163"/>
      <c r="G144" s="228"/>
      <c r="H144" s="228"/>
      <c r="I144" s="226"/>
      <c r="J144" s="299"/>
      <c r="K144" s="241">
        <f t="shared" si="2"/>
        <v>0</v>
      </c>
      <c r="L144" s="300"/>
      <c r="M144" s="226"/>
      <c r="N144" s="299"/>
      <c r="O144" s="229">
        <v>0</v>
      </c>
      <c r="P144" s="297" t="e">
        <v>#DIV/0!</v>
      </c>
      <c r="Q144" s="198"/>
      <c r="R144" s="298"/>
      <c r="S144" s="395"/>
      <c r="T144" s="2"/>
      <c r="U144" s="182"/>
      <c r="V144" s="245"/>
      <c r="W144" s="246"/>
      <c r="X144" s="267"/>
    </row>
    <row r="145" spans="2:24" ht="20.25">
      <c r="B145" s="380"/>
      <c r="C145" s="387"/>
      <c r="D145" s="227"/>
      <c r="E145" s="162"/>
      <c r="F145" s="163"/>
      <c r="G145" s="228"/>
      <c r="H145" s="228"/>
      <c r="I145" s="226"/>
      <c r="J145" s="299"/>
      <c r="K145" s="241">
        <f t="shared" si="2"/>
        <v>0</v>
      </c>
      <c r="L145" s="300"/>
      <c r="M145" s="226"/>
      <c r="N145" s="299"/>
      <c r="O145" s="229">
        <v>0</v>
      </c>
      <c r="P145" s="297" t="e">
        <v>#DIV/0!</v>
      </c>
      <c r="Q145" s="198"/>
      <c r="R145" s="298"/>
      <c r="S145" s="395"/>
      <c r="T145" s="2"/>
      <c r="U145" s="182"/>
      <c r="V145" s="245"/>
      <c r="W145" s="246"/>
      <c r="X145" s="267"/>
    </row>
    <row r="146" spans="2:24" ht="20.25">
      <c r="B146" s="380"/>
      <c r="C146" s="387"/>
      <c r="D146" s="227"/>
      <c r="E146" s="162"/>
      <c r="F146" s="163"/>
      <c r="G146" s="228"/>
      <c r="H146" s="228"/>
      <c r="I146" s="226"/>
      <c r="J146" s="299"/>
      <c r="K146" s="241">
        <f t="shared" si="2"/>
        <v>0</v>
      </c>
      <c r="L146" s="300"/>
      <c r="M146" s="226"/>
      <c r="N146" s="299"/>
      <c r="O146" s="229">
        <v>0</v>
      </c>
      <c r="P146" s="297" t="e">
        <v>#DIV/0!</v>
      </c>
      <c r="Q146" s="198"/>
      <c r="R146" s="281"/>
      <c r="S146" s="395"/>
      <c r="T146" s="2"/>
      <c r="U146" s="182"/>
      <c r="V146" s="245"/>
      <c r="W146" s="246"/>
      <c r="X146" s="267"/>
    </row>
    <row r="147" spans="2:24" ht="20.25">
      <c r="B147" s="380"/>
      <c r="C147" s="387"/>
      <c r="D147" s="227"/>
      <c r="E147" s="162"/>
      <c r="F147" s="163"/>
      <c r="G147" s="228"/>
      <c r="H147" s="228"/>
      <c r="I147" s="226"/>
      <c r="J147" s="299"/>
      <c r="K147" s="241">
        <f t="shared" si="2"/>
        <v>0</v>
      </c>
      <c r="L147" s="300"/>
      <c r="M147" s="226"/>
      <c r="N147" s="299"/>
      <c r="O147" s="229">
        <v>0</v>
      </c>
      <c r="P147" s="297" t="e">
        <v>#DIV/0!</v>
      </c>
      <c r="Q147" s="198"/>
      <c r="R147" s="298"/>
      <c r="S147" s="395"/>
      <c r="T147" s="2"/>
      <c r="U147" s="182"/>
      <c r="V147" s="245"/>
      <c r="W147" s="246"/>
      <c r="X147" s="267"/>
    </row>
    <row r="148" spans="2:24" ht="20.25">
      <c r="B148" s="380"/>
      <c r="C148" s="387"/>
      <c r="D148" s="232"/>
      <c r="E148" s="233"/>
      <c r="F148" s="233"/>
      <c r="G148" s="301"/>
      <c r="H148" s="301"/>
      <c r="I148" s="282"/>
      <c r="J148" s="283"/>
      <c r="K148" s="241">
        <f t="shared" si="2"/>
        <v>0</v>
      </c>
      <c r="L148" s="284"/>
      <c r="M148" s="282"/>
      <c r="N148" s="283"/>
      <c r="O148" s="285">
        <v>0</v>
      </c>
      <c r="P148" s="286" t="e">
        <v>#DIV/0!</v>
      </c>
      <c r="Q148" s="296"/>
      <c r="R148" s="272"/>
      <c r="S148" s="395"/>
      <c r="T148" s="2"/>
      <c r="U148" s="182"/>
      <c r="V148" s="245"/>
      <c r="W148" s="246"/>
      <c r="X148" s="267"/>
    </row>
    <row r="149" spans="2:24" ht="20.25">
      <c r="B149" s="380"/>
      <c r="C149" s="387"/>
      <c r="D149" s="227"/>
      <c r="E149" s="162"/>
      <c r="F149" s="163"/>
      <c r="G149" s="228"/>
      <c r="H149" s="228"/>
      <c r="I149" s="226"/>
      <c r="J149" s="299"/>
      <c r="K149" s="241">
        <f t="shared" si="2"/>
        <v>0</v>
      </c>
      <c r="L149" s="300"/>
      <c r="M149" s="226"/>
      <c r="N149" s="299"/>
      <c r="O149" s="229">
        <v>0</v>
      </c>
      <c r="P149" s="297" t="e">
        <v>#DIV/0!</v>
      </c>
      <c r="Q149" s="198"/>
      <c r="R149" s="298"/>
      <c r="S149" s="395"/>
      <c r="T149" s="2"/>
      <c r="U149" s="182"/>
      <c r="V149" s="245"/>
      <c r="W149" s="246"/>
      <c r="X149" s="267"/>
    </row>
    <row r="150" spans="2:24" ht="20.25">
      <c r="B150" s="380"/>
      <c r="C150" s="387"/>
      <c r="D150" s="227"/>
      <c r="E150" s="162"/>
      <c r="F150" s="163"/>
      <c r="G150" s="228"/>
      <c r="H150" s="228"/>
      <c r="I150" s="226"/>
      <c r="J150" s="299"/>
      <c r="K150" s="241">
        <f t="shared" si="2"/>
        <v>0</v>
      </c>
      <c r="L150" s="300"/>
      <c r="M150" s="226"/>
      <c r="N150" s="299"/>
      <c r="O150" s="229">
        <v>0</v>
      </c>
      <c r="P150" s="297" t="e">
        <v>#DIV/0!</v>
      </c>
      <c r="Q150" s="198"/>
      <c r="R150" s="298"/>
      <c r="S150" s="395"/>
      <c r="T150" s="2"/>
      <c r="U150" s="182"/>
      <c r="V150" s="245"/>
      <c r="W150" s="246"/>
      <c r="X150" s="267"/>
    </row>
    <row r="151" spans="2:24" ht="20.25">
      <c r="B151" s="380"/>
      <c r="C151" s="387"/>
      <c r="D151" s="227"/>
      <c r="E151" s="162"/>
      <c r="F151" s="163"/>
      <c r="G151" s="228"/>
      <c r="H151" s="228"/>
      <c r="I151" s="226"/>
      <c r="J151" s="299"/>
      <c r="K151" s="241">
        <f t="shared" si="2"/>
        <v>0</v>
      </c>
      <c r="L151" s="300"/>
      <c r="M151" s="226"/>
      <c r="N151" s="299"/>
      <c r="O151" s="229">
        <v>0</v>
      </c>
      <c r="P151" s="297" t="e">
        <v>#DIV/0!</v>
      </c>
      <c r="Q151" s="198"/>
      <c r="R151" s="281"/>
      <c r="S151" s="395"/>
      <c r="T151" s="2"/>
      <c r="U151" s="182"/>
      <c r="V151" s="245"/>
      <c r="W151" s="246"/>
      <c r="X151" s="267"/>
    </row>
    <row r="152" spans="2:24" ht="20.25">
      <c r="B152" s="380"/>
      <c r="C152" s="387"/>
      <c r="D152" s="227"/>
      <c r="E152" s="162"/>
      <c r="F152" s="163"/>
      <c r="G152" s="228"/>
      <c r="H152" s="228"/>
      <c r="I152" s="226"/>
      <c r="J152" s="299"/>
      <c r="K152" s="241">
        <f t="shared" si="2"/>
        <v>0</v>
      </c>
      <c r="L152" s="300"/>
      <c r="M152" s="226"/>
      <c r="N152" s="299"/>
      <c r="O152" s="229">
        <v>0</v>
      </c>
      <c r="P152" s="297" t="e">
        <v>#DIV/0!</v>
      </c>
      <c r="Q152" s="198"/>
      <c r="R152" s="298"/>
      <c r="S152" s="395"/>
      <c r="T152" s="2"/>
      <c r="U152" s="182"/>
      <c r="V152" s="245"/>
      <c r="W152" s="246"/>
      <c r="X152" s="267"/>
    </row>
    <row r="153" spans="2:24" ht="20.25">
      <c r="B153" s="380"/>
      <c r="C153" s="387"/>
      <c r="D153" s="232"/>
      <c r="E153" s="233"/>
      <c r="F153" s="233"/>
      <c r="G153" s="301"/>
      <c r="H153" s="301"/>
      <c r="I153" s="282"/>
      <c r="J153" s="283"/>
      <c r="K153" s="241">
        <f t="shared" si="2"/>
        <v>0</v>
      </c>
      <c r="L153" s="284"/>
      <c r="M153" s="282"/>
      <c r="N153" s="283"/>
      <c r="O153" s="285">
        <v>0</v>
      </c>
      <c r="P153" s="286" t="e">
        <v>#DIV/0!</v>
      </c>
      <c r="Q153" s="296"/>
      <c r="R153" s="272"/>
      <c r="S153" s="395"/>
      <c r="T153" s="2"/>
      <c r="U153" s="182"/>
      <c r="V153" s="245"/>
      <c r="W153" s="246"/>
      <c r="X153" s="267"/>
    </row>
    <row r="154" spans="2:24" ht="20.25">
      <c r="B154" s="380"/>
      <c r="C154" s="387"/>
      <c r="D154" s="227"/>
      <c r="E154" s="162"/>
      <c r="F154" s="163"/>
      <c r="G154" s="228"/>
      <c r="H154" s="228"/>
      <c r="I154" s="226"/>
      <c r="J154" s="299"/>
      <c r="K154" s="241">
        <f t="shared" si="2"/>
        <v>0</v>
      </c>
      <c r="L154" s="300"/>
      <c r="M154" s="226"/>
      <c r="N154" s="299"/>
      <c r="O154" s="229">
        <v>0</v>
      </c>
      <c r="P154" s="297" t="e">
        <v>#DIV/0!</v>
      </c>
      <c r="Q154" s="198"/>
      <c r="R154" s="298"/>
      <c r="S154" s="395"/>
      <c r="T154" s="2"/>
      <c r="U154" s="182"/>
      <c r="V154" s="245"/>
      <c r="W154" s="246"/>
      <c r="X154" s="267"/>
    </row>
    <row r="155" spans="2:24" ht="20.25">
      <c r="B155" s="380"/>
      <c r="C155" s="387"/>
      <c r="D155" s="227"/>
      <c r="E155" s="162"/>
      <c r="F155" s="163"/>
      <c r="G155" s="228"/>
      <c r="H155" s="228"/>
      <c r="I155" s="226"/>
      <c r="J155" s="299"/>
      <c r="K155" s="241">
        <f t="shared" si="2"/>
        <v>0</v>
      </c>
      <c r="L155" s="300"/>
      <c r="M155" s="226"/>
      <c r="N155" s="299"/>
      <c r="O155" s="229">
        <v>0</v>
      </c>
      <c r="P155" s="297" t="e">
        <v>#DIV/0!</v>
      </c>
      <c r="Q155" s="198"/>
      <c r="R155" s="298"/>
      <c r="S155" s="395"/>
      <c r="T155" s="2"/>
      <c r="U155" s="182"/>
      <c r="V155" s="245"/>
      <c r="W155" s="246"/>
      <c r="X155" s="267"/>
    </row>
    <row r="156" spans="2:24" ht="20.25">
      <c r="B156" s="380"/>
      <c r="C156" s="387"/>
      <c r="D156" s="227"/>
      <c r="E156" s="162"/>
      <c r="F156" s="163"/>
      <c r="G156" s="228"/>
      <c r="H156" s="228"/>
      <c r="I156" s="226"/>
      <c r="J156" s="299"/>
      <c r="K156" s="241">
        <f t="shared" si="2"/>
        <v>0</v>
      </c>
      <c r="L156" s="300"/>
      <c r="M156" s="226"/>
      <c r="N156" s="299"/>
      <c r="O156" s="229">
        <v>0</v>
      </c>
      <c r="P156" s="297" t="e">
        <v>#DIV/0!</v>
      </c>
      <c r="Q156" s="198"/>
      <c r="R156" s="281"/>
      <c r="S156" s="395"/>
      <c r="T156" s="2"/>
      <c r="U156" s="182"/>
      <c r="V156" s="245"/>
      <c r="W156" s="246"/>
      <c r="X156" s="267"/>
    </row>
    <row r="157" spans="2:24" ht="20.25">
      <c r="B157" s="380"/>
      <c r="C157" s="387"/>
      <c r="D157" s="227"/>
      <c r="E157" s="162"/>
      <c r="F157" s="163"/>
      <c r="G157" s="228"/>
      <c r="H157" s="228"/>
      <c r="I157" s="226"/>
      <c r="J157" s="299"/>
      <c r="K157" s="241">
        <f t="shared" si="2"/>
        <v>0</v>
      </c>
      <c r="L157" s="300"/>
      <c r="M157" s="226"/>
      <c r="N157" s="299"/>
      <c r="O157" s="229">
        <v>0</v>
      </c>
      <c r="P157" s="297" t="e">
        <v>#DIV/0!</v>
      </c>
      <c r="Q157" s="198"/>
      <c r="R157" s="298"/>
      <c r="S157" s="395"/>
      <c r="T157" s="2"/>
      <c r="U157" s="182"/>
      <c r="V157" s="245"/>
      <c r="W157" s="246"/>
      <c r="X157" s="267"/>
    </row>
    <row r="158" spans="2:24" ht="20.25">
      <c r="B158" s="380"/>
      <c r="C158" s="387"/>
      <c r="D158" s="232"/>
      <c r="E158" s="233"/>
      <c r="F158" s="233"/>
      <c r="G158" s="301"/>
      <c r="H158" s="301"/>
      <c r="I158" s="282"/>
      <c r="J158" s="283"/>
      <c r="K158" s="241">
        <f t="shared" si="2"/>
        <v>0</v>
      </c>
      <c r="L158" s="284"/>
      <c r="M158" s="282"/>
      <c r="N158" s="283"/>
      <c r="O158" s="285">
        <v>0</v>
      </c>
      <c r="P158" s="286" t="e">
        <v>#DIV/0!</v>
      </c>
      <c r="Q158" s="296"/>
      <c r="R158" s="272"/>
      <c r="S158" s="395"/>
      <c r="T158" s="2"/>
      <c r="U158" s="182"/>
      <c r="V158" s="245"/>
      <c r="W158" s="246"/>
      <c r="X158" s="267"/>
    </row>
    <row r="159" spans="2:24" ht="20.25">
      <c r="B159" s="380"/>
      <c r="C159" s="387"/>
      <c r="D159" s="227"/>
      <c r="E159" s="162"/>
      <c r="F159" s="163"/>
      <c r="G159" s="228"/>
      <c r="H159" s="228"/>
      <c r="I159" s="226"/>
      <c r="J159" s="299"/>
      <c r="K159" s="241">
        <f t="shared" si="2"/>
        <v>0</v>
      </c>
      <c r="L159" s="300"/>
      <c r="M159" s="226"/>
      <c r="N159" s="299"/>
      <c r="O159" s="229">
        <v>0</v>
      </c>
      <c r="P159" s="297" t="e">
        <v>#DIV/0!</v>
      </c>
      <c r="Q159" s="198"/>
      <c r="R159" s="298"/>
      <c r="S159" s="395"/>
      <c r="T159" s="2"/>
      <c r="U159" s="182"/>
      <c r="V159" s="245"/>
      <c r="W159" s="246"/>
      <c r="X159" s="267"/>
    </row>
    <row r="160" spans="2:24" ht="20.25">
      <c r="B160" s="380"/>
      <c r="C160" s="387"/>
      <c r="D160" s="227"/>
      <c r="E160" s="162"/>
      <c r="F160" s="163"/>
      <c r="G160" s="228"/>
      <c r="H160" s="228"/>
      <c r="I160" s="226"/>
      <c r="J160" s="299"/>
      <c r="K160" s="241">
        <f t="shared" si="2"/>
        <v>0</v>
      </c>
      <c r="L160" s="300"/>
      <c r="M160" s="226"/>
      <c r="N160" s="299"/>
      <c r="O160" s="229">
        <v>0</v>
      </c>
      <c r="P160" s="297" t="e">
        <v>#DIV/0!</v>
      </c>
      <c r="Q160" s="198"/>
      <c r="R160" s="298"/>
      <c r="S160" s="395"/>
      <c r="T160" s="2"/>
      <c r="U160" s="182"/>
      <c r="V160" s="245"/>
      <c r="W160" s="246"/>
      <c r="X160" s="267"/>
    </row>
    <row r="161" spans="2:39" ht="20.25">
      <c r="B161" s="380"/>
      <c r="C161" s="387"/>
      <c r="D161" s="227"/>
      <c r="E161" s="162"/>
      <c r="F161" s="163"/>
      <c r="G161" s="228"/>
      <c r="H161" s="228"/>
      <c r="I161" s="226"/>
      <c r="J161" s="299"/>
      <c r="K161" s="241">
        <f t="shared" si="2"/>
        <v>0</v>
      </c>
      <c r="L161" s="300"/>
      <c r="M161" s="226"/>
      <c r="N161" s="299"/>
      <c r="O161" s="229">
        <v>0</v>
      </c>
      <c r="P161" s="297" t="e">
        <v>#DIV/0!</v>
      </c>
      <c r="Q161" s="198"/>
      <c r="R161" s="281"/>
      <c r="S161" s="395"/>
      <c r="T161" s="2"/>
      <c r="U161" s="182"/>
      <c r="V161" s="245"/>
      <c r="W161" s="246"/>
      <c r="X161" s="267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2:39" ht="20.25">
      <c r="B162" s="380"/>
      <c r="C162" s="387"/>
      <c r="D162" s="227"/>
      <c r="E162" s="162"/>
      <c r="F162" s="163"/>
      <c r="G162" s="228"/>
      <c r="H162" s="228"/>
      <c r="I162" s="226"/>
      <c r="J162" s="299"/>
      <c r="K162" s="241">
        <f t="shared" si="2"/>
        <v>0</v>
      </c>
      <c r="L162" s="300"/>
      <c r="M162" s="226"/>
      <c r="N162" s="299"/>
      <c r="O162" s="229">
        <v>0</v>
      </c>
      <c r="P162" s="297" t="e">
        <v>#DIV/0!</v>
      </c>
      <c r="Q162" s="198"/>
      <c r="R162" s="298"/>
      <c r="S162" s="395"/>
      <c r="T162" s="2"/>
      <c r="U162" s="182"/>
      <c r="V162" s="245"/>
      <c r="W162" s="246"/>
      <c r="X162" s="267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2:39" ht="20.25">
      <c r="B163" s="380"/>
      <c r="C163" s="387"/>
      <c r="D163" s="232"/>
      <c r="E163" s="233"/>
      <c r="F163" s="233"/>
      <c r="G163" s="301"/>
      <c r="H163" s="301"/>
      <c r="I163" s="282"/>
      <c r="J163" s="283"/>
      <c r="K163" s="241">
        <f t="shared" si="2"/>
        <v>0</v>
      </c>
      <c r="L163" s="284"/>
      <c r="M163" s="282"/>
      <c r="N163" s="283"/>
      <c r="O163" s="285">
        <v>0</v>
      </c>
      <c r="P163" s="286" t="e">
        <v>#DIV/0!</v>
      </c>
      <c r="Q163" s="296"/>
      <c r="R163" s="272"/>
      <c r="S163" s="395"/>
      <c r="T163" s="2"/>
      <c r="U163" s="182"/>
      <c r="V163" s="245"/>
      <c r="W163" s="246"/>
      <c r="X163" s="267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2:39" ht="20.25">
      <c r="B164" s="380"/>
      <c r="C164" s="387"/>
      <c r="D164" s="227"/>
      <c r="E164" s="162"/>
      <c r="F164" s="163"/>
      <c r="G164" s="228"/>
      <c r="H164" s="228"/>
      <c r="I164" s="226"/>
      <c r="J164" s="299"/>
      <c r="K164" s="241">
        <f t="shared" si="2"/>
        <v>0</v>
      </c>
      <c r="L164" s="300"/>
      <c r="M164" s="226"/>
      <c r="N164" s="299"/>
      <c r="O164" s="229">
        <v>0</v>
      </c>
      <c r="P164" s="297" t="e">
        <v>#DIV/0!</v>
      </c>
      <c r="Q164" s="198"/>
      <c r="R164" s="298"/>
      <c r="S164" s="395"/>
      <c r="T164" s="2"/>
      <c r="U164" s="182"/>
      <c r="V164" s="245"/>
      <c r="W164" s="246"/>
      <c r="X164" s="267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2:39" ht="20.25">
      <c r="B165" s="380"/>
      <c r="C165" s="387"/>
      <c r="D165" s="227"/>
      <c r="E165" s="162"/>
      <c r="F165" s="163"/>
      <c r="G165" s="228"/>
      <c r="H165" s="228"/>
      <c r="I165" s="226"/>
      <c r="J165" s="299"/>
      <c r="K165" s="241">
        <f t="shared" si="2"/>
        <v>0</v>
      </c>
      <c r="L165" s="300"/>
      <c r="M165" s="226"/>
      <c r="N165" s="299"/>
      <c r="O165" s="229">
        <v>0</v>
      </c>
      <c r="P165" s="297" t="e">
        <v>#DIV/0!</v>
      </c>
      <c r="Q165" s="198"/>
      <c r="R165" s="298"/>
      <c r="S165" s="395"/>
      <c r="T165" s="2"/>
      <c r="U165" s="182"/>
      <c r="V165" s="245"/>
      <c r="W165" s="246"/>
      <c r="X165" s="267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2:39" ht="20.25">
      <c r="B166" s="380"/>
      <c r="C166" s="387"/>
      <c r="D166" s="227"/>
      <c r="E166" s="162"/>
      <c r="F166" s="163"/>
      <c r="G166" s="228"/>
      <c r="H166" s="228"/>
      <c r="I166" s="226"/>
      <c r="J166" s="299"/>
      <c r="K166" s="241">
        <f t="shared" si="2"/>
        <v>0</v>
      </c>
      <c r="L166" s="300"/>
      <c r="M166" s="226"/>
      <c r="N166" s="299"/>
      <c r="O166" s="229">
        <v>0</v>
      </c>
      <c r="P166" s="297" t="e">
        <v>#DIV/0!</v>
      </c>
      <c r="Q166" s="198"/>
      <c r="R166" s="281"/>
      <c r="S166" s="395"/>
      <c r="T166" s="2"/>
      <c r="U166" s="182"/>
      <c r="V166" s="245"/>
      <c r="W166" s="246"/>
      <c r="X166" s="267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2:39" ht="20.25">
      <c r="B167" s="380"/>
      <c r="C167" s="387"/>
      <c r="D167" s="227"/>
      <c r="E167" s="162"/>
      <c r="F167" s="163"/>
      <c r="G167" s="228"/>
      <c r="H167" s="228"/>
      <c r="I167" s="226"/>
      <c r="J167" s="299"/>
      <c r="K167" s="241">
        <f t="shared" si="2"/>
        <v>0</v>
      </c>
      <c r="L167" s="300"/>
      <c r="M167" s="226"/>
      <c r="N167" s="299"/>
      <c r="O167" s="229">
        <v>0</v>
      </c>
      <c r="P167" s="297" t="e">
        <v>#DIV/0!</v>
      </c>
      <c r="Q167" s="198"/>
      <c r="R167" s="298"/>
      <c r="S167" s="395"/>
      <c r="T167" s="2"/>
      <c r="U167" s="182"/>
      <c r="V167" s="245"/>
      <c r="W167" s="246"/>
      <c r="X167" s="267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2:39" ht="20.25">
      <c r="B168" s="391"/>
      <c r="C168" s="393"/>
      <c r="D168" s="140"/>
      <c r="E168" s="141"/>
      <c r="F168" s="156"/>
      <c r="G168" s="234"/>
      <c r="H168" s="234"/>
      <c r="I168" s="235"/>
      <c r="J168" s="266"/>
      <c r="K168" s="241">
        <f t="shared" si="2"/>
        <v>0</v>
      </c>
      <c r="L168" s="265"/>
      <c r="M168" s="235"/>
      <c r="N168" s="266"/>
      <c r="O168" s="236">
        <v>0</v>
      </c>
      <c r="P168" s="249" t="e">
        <v>#DIV/0!</v>
      </c>
      <c r="Q168" s="237"/>
      <c r="R168" s="270"/>
      <c r="S168" s="396"/>
      <c r="T168" s="271"/>
      <c r="U168" s="247"/>
      <c r="V168" s="245"/>
      <c r="W168" s="246"/>
      <c r="X168" s="267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2:39" ht="27" thickBot="1">
      <c r="B169" s="392"/>
      <c r="C169" s="364" t="s">
        <v>21</v>
      </c>
      <c r="D169" s="365"/>
      <c r="E169" s="365"/>
      <c r="F169" s="366"/>
      <c r="G169" s="25"/>
      <c r="H169" s="25"/>
      <c r="I169" s="29"/>
      <c r="J169" s="30"/>
      <c r="K169" s="31">
        <f>SUM(K10:K168)</f>
        <v>0</v>
      </c>
      <c r="L169" s="25"/>
      <c r="M169" s="29"/>
      <c r="N169" s="30"/>
      <c r="O169" s="31">
        <v>0</v>
      </c>
      <c r="P169" s="250" t="e">
        <v>#DIV/0!</v>
      </c>
      <c r="Q169" s="60"/>
      <c r="R169" s="397"/>
      <c r="S169" s="398"/>
      <c r="T169" s="67"/>
      <c r="U169" s="67"/>
      <c r="V169" s="182"/>
      <c r="W169" s="182"/>
      <c r="X169" s="33"/>
      <c r="Y169" s="182"/>
      <c r="Z169" s="18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</row>
    <row r="170" spans="2:39" ht="20.25">
      <c r="B170" s="379" t="s">
        <v>22</v>
      </c>
      <c r="C170" s="381"/>
      <c r="D170" s="186"/>
      <c r="E170" s="187"/>
      <c r="F170" s="188"/>
      <c r="G170" s="189"/>
      <c r="H170" s="189"/>
      <c r="I170" s="4"/>
      <c r="J170" s="146"/>
      <c r="K170" s="190">
        <f>I170*J170</f>
        <v>0</v>
      </c>
      <c r="L170" s="263"/>
      <c r="M170" s="4"/>
      <c r="N170" s="146"/>
      <c r="O170" s="190">
        <v>0</v>
      </c>
      <c r="P170" s="251" t="e">
        <v>#DIV/0!</v>
      </c>
      <c r="Q170" s="197"/>
      <c r="R170" s="34"/>
      <c r="S170" s="383"/>
      <c r="T170" s="2"/>
      <c r="U170" s="2"/>
      <c r="V170" s="194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2:39" ht="20.25">
      <c r="B171" s="380"/>
      <c r="C171" s="382"/>
      <c r="D171" s="179"/>
      <c r="E171" s="162"/>
      <c r="F171" s="163"/>
      <c r="G171" s="191"/>
      <c r="H171" s="191"/>
      <c r="I171" s="192"/>
      <c r="J171" s="164"/>
      <c r="K171" s="165">
        <f>I171*J171</f>
        <v>0</v>
      </c>
      <c r="L171" s="268"/>
      <c r="M171" s="192"/>
      <c r="N171" s="164"/>
      <c r="O171" s="165">
        <v>0</v>
      </c>
      <c r="P171" s="252" t="e">
        <v>#DIV/0!</v>
      </c>
      <c r="Q171" s="198"/>
      <c r="R171" s="193"/>
      <c r="S171" s="384"/>
      <c r="T171" s="2"/>
      <c r="U171" s="2"/>
      <c r="V171" s="194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2:39" ht="20.25">
      <c r="B172" s="380"/>
      <c r="C172" s="382"/>
      <c r="D172" s="179"/>
      <c r="E172" s="162"/>
      <c r="F172" s="163"/>
      <c r="G172" s="191"/>
      <c r="H172" s="191"/>
      <c r="I172" s="192"/>
      <c r="J172" s="164"/>
      <c r="K172" s="165">
        <f t="shared" ref="K172:K235" si="3">I172*J172</f>
        <v>0</v>
      </c>
      <c r="L172" s="268"/>
      <c r="M172" s="192"/>
      <c r="N172" s="164"/>
      <c r="O172" s="165">
        <v>0</v>
      </c>
      <c r="P172" s="252" t="e">
        <v>#DIV/0!</v>
      </c>
      <c r="Q172" s="198"/>
      <c r="R172" s="230"/>
      <c r="S172" s="384"/>
      <c r="T172" s="2"/>
      <c r="U172" s="2"/>
      <c r="V172" s="194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2:39" ht="20.25">
      <c r="B173" s="380"/>
      <c r="C173" s="382"/>
      <c r="D173" s="179"/>
      <c r="E173" s="162"/>
      <c r="F173" s="163"/>
      <c r="G173" s="191"/>
      <c r="H173" s="191"/>
      <c r="I173" s="192"/>
      <c r="J173" s="164"/>
      <c r="K173" s="165">
        <f t="shared" si="3"/>
        <v>0</v>
      </c>
      <c r="L173" s="268"/>
      <c r="M173" s="192"/>
      <c r="N173" s="164"/>
      <c r="O173" s="165">
        <v>0</v>
      </c>
      <c r="P173" s="252" t="e">
        <v>#DIV/0!</v>
      </c>
      <c r="Q173" s="198"/>
      <c r="R173" s="230"/>
      <c r="S173" s="384"/>
      <c r="T173" s="2"/>
      <c r="U173" s="2"/>
      <c r="V173" s="194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2:39" ht="20.25">
      <c r="B174" s="380"/>
      <c r="C174" s="382"/>
      <c r="D174" s="179"/>
      <c r="E174" s="162"/>
      <c r="F174" s="163"/>
      <c r="G174" s="191"/>
      <c r="H174" s="191"/>
      <c r="I174" s="192"/>
      <c r="J174" s="164"/>
      <c r="K174" s="165">
        <f t="shared" si="3"/>
        <v>0</v>
      </c>
      <c r="L174" s="268"/>
      <c r="M174" s="192"/>
      <c r="N174" s="164"/>
      <c r="O174" s="165">
        <v>0</v>
      </c>
      <c r="P174" s="252" t="e">
        <v>#DIV/0!</v>
      </c>
      <c r="Q174" s="198"/>
      <c r="R174" s="230"/>
      <c r="S174" s="384"/>
      <c r="T174" s="2"/>
      <c r="U174" s="2"/>
      <c r="V174" s="194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2:39" ht="20.25">
      <c r="B175" s="380"/>
      <c r="C175" s="382"/>
      <c r="D175" s="179"/>
      <c r="E175" s="162"/>
      <c r="F175" s="163"/>
      <c r="G175" s="191"/>
      <c r="H175" s="191"/>
      <c r="I175" s="192"/>
      <c r="J175" s="164"/>
      <c r="K175" s="165">
        <f t="shared" si="3"/>
        <v>0</v>
      </c>
      <c r="L175" s="268"/>
      <c r="M175" s="192"/>
      <c r="N175" s="164"/>
      <c r="O175" s="165">
        <v>0</v>
      </c>
      <c r="P175" s="252" t="e">
        <v>#DIV/0!</v>
      </c>
      <c r="Q175" s="198"/>
      <c r="R175" s="230"/>
      <c r="S175" s="384"/>
      <c r="T175" s="2"/>
      <c r="U175" s="2"/>
      <c r="V175" s="194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2:39" ht="20.25">
      <c r="B176" s="380"/>
      <c r="C176" s="382"/>
      <c r="D176" s="179"/>
      <c r="E176" s="162"/>
      <c r="F176" s="163"/>
      <c r="G176" s="191"/>
      <c r="H176" s="191"/>
      <c r="I176" s="192"/>
      <c r="J176" s="164"/>
      <c r="K176" s="165">
        <f t="shared" si="3"/>
        <v>0</v>
      </c>
      <c r="L176" s="268"/>
      <c r="M176" s="192"/>
      <c r="N176" s="164"/>
      <c r="O176" s="165">
        <v>0</v>
      </c>
      <c r="P176" s="252" t="e">
        <v>#DIV/0!</v>
      </c>
      <c r="Q176" s="198"/>
      <c r="R176" s="230"/>
      <c r="S176" s="384"/>
      <c r="T176" s="67"/>
      <c r="U176" s="67"/>
      <c r="V176" s="194"/>
      <c r="W176" s="180"/>
      <c r="X176" s="2"/>
      <c r="Y176" s="180"/>
      <c r="Z176" s="180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</row>
    <row r="177" spans="2:24" ht="20.25">
      <c r="B177" s="380"/>
      <c r="C177" s="382"/>
      <c r="D177" s="179"/>
      <c r="E177" s="162"/>
      <c r="F177" s="163"/>
      <c r="G177" s="191"/>
      <c r="H177" s="191"/>
      <c r="I177" s="192"/>
      <c r="J177" s="164"/>
      <c r="K177" s="165">
        <f t="shared" si="3"/>
        <v>0</v>
      </c>
      <c r="L177" s="268"/>
      <c r="M177" s="192"/>
      <c r="N177" s="164"/>
      <c r="O177" s="165">
        <v>0</v>
      </c>
      <c r="P177" s="253" t="e">
        <v>#DIV/0!</v>
      </c>
      <c r="Q177" s="199"/>
      <c r="R177" s="161"/>
      <c r="S177" s="384"/>
      <c r="T177" s="67"/>
      <c r="U177" s="67"/>
      <c r="V177" s="194"/>
      <c r="W177" s="67"/>
      <c r="X177" s="2"/>
    </row>
    <row r="178" spans="2:24" ht="20.25">
      <c r="B178" s="380"/>
      <c r="C178" s="382"/>
      <c r="D178" s="179"/>
      <c r="E178" s="162"/>
      <c r="F178" s="163"/>
      <c r="G178" s="191"/>
      <c r="H178" s="191"/>
      <c r="I178" s="192"/>
      <c r="J178" s="164"/>
      <c r="K178" s="165">
        <f t="shared" si="3"/>
        <v>0</v>
      </c>
      <c r="L178" s="268"/>
      <c r="M178" s="192"/>
      <c r="N178" s="164"/>
      <c r="O178" s="165">
        <v>0</v>
      </c>
      <c r="P178" s="252" t="e">
        <v>#DIV/0!</v>
      </c>
      <c r="Q178" s="200"/>
      <c r="R178" s="35"/>
      <c r="S178" s="384"/>
      <c r="T178" s="67"/>
      <c r="U178" s="67"/>
      <c r="V178" s="194"/>
      <c r="W178" s="67"/>
      <c r="X178" s="2"/>
    </row>
    <row r="179" spans="2:24" ht="20.25">
      <c r="B179" s="380"/>
      <c r="C179" s="382"/>
      <c r="D179" s="179"/>
      <c r="E179" s="162"/>
      <c r="F179" s="163"/>
      <c r="G179" s="191"/>
      <c r="H179" s="191"/>
      <c r="I179" s="192"/>
      <c r="J179" s="164"/>
      <c r="K179" s="165">
        <f t="shared" si="3"/>
        <v>0</v>
      </c>
      <c r="L179" s="268"/>
      <c r="M179" s="192"/>
      <c r="N179" s="164"/>
      <c r="O179" s="165">
        <v>0</v>
      </c>
      <c r="P179" s="252" t="e">
        <v>#DIV/0!</v>
      </c>
      <c r="Q179" s="200"/>
      <c r="R179" s="175"/>
      <c r="S179" s="384"/>
      <c r="T179" s="67"/>
      <c r="U179" s="67"/>
      <c r="V179" s="194"/>
      <c r="W179" s="67"/>
      <c r="X179" s="2"/>
    </row>
    <row r="180" spans="2:24" ht="20.25">
      <c r="B180" s="380"/>
      <c r="C180" s="382"/>
      <c r="D180" s="179"/>
      <c r="E180" s="162"/>
      <c r="F180" s="163"/>
      <c r="G180" s="191"/>
      <c r="H180" s="191"/>
      <c r="I180" s="192"/>
      <c r="J180" s="164"/>
      <c r="K180" s="165">
        <f t="shared" si="3"/>
        <v>0</v>
      </c>
      <c r="L180" s="268"/>
      <c r="M180" s="192"/>
      <c r="N180" s="164"/>
      <c r="O180" s="165">
        <v>0</v>
      </c>
      <c r="P180" s="252" t="e">
        <v>#DIV/0!</v>
      </c>
      <c r="Q180" s="200"/>
      <c r="R180" s="175"/>
      <c r="S180" s="384"/>
      <c r="T180" s="67"/>
      <c r="U180" s="67"/>
      <c r="V180" s="194"/>
      <c r="W180" s="67"/>
      <c r="X180" s="2"/>
    </row>
    <row r="181" spans="2:24" ht="20.25">
      <c r="B181" s="380"/>
      <c r="C181" s="382"/>
      <c r="D181" s="179"/>
      <c r="E181" s="162"/>
      <c r="F181" s="163"/>
      <c r="G181" s="191"/>
      <c r="H181" s="191"/>
      <c r="I181" s="192"/>
      <c r="J181" s="164"/>
      <c r="K181" s="165">
        <f t="shared" si="3"/>
        <v>0</v>
      </c>
      <c r="L181" s="268"/>
      <c r="M181" s="192"/>
      <c r="N181" s="164"/>
      <c r="O181" s="165">
        <v>0</v>
      </c>
      <c r="P181" s="252" t="e">
        <v>#DIV/0!</v>
      </c>
      <c r="Q181" s="200"/>
      <c r="R181" s="175"/>
      <c r="S181" s="384"/>
      <c r="T181" s="67"/>
      <c r="U181" s="67"/>
      <c r="V181" s="194"/>
      <c r="W181" s="67"/>
      <c r="X181" s="2"/>
    </row>
    <row r="182" spans="2:24" ht="20.25">
      <c r="B182" s="380"/>
      <c r="C182" s="382"/>
      <c r="D182" s="179"/>
      <c r="E182" s="162"/>
      <c r="F182" s="163"/>
      <c r="G182" s="191"/>
      <c r="H182" s="191"/>
      <c r="I182" s="192"/>
      <c r="J182" s="164"/>
      <c r="K182" s="165">
        <f t="shared" si="3"/>
        <v>0</v>
      </c>
      <c r="L182" s="268"/>
      <c r="M182" s="192"/>
      <c r="N182" s="164"/>
      <c r="O182" s="165">
        <v>0</v>
      </c>
      <c r="P182" s="252" t="e">
        <v>#DIV/0!</v>
      </c>
      <c r="Q182" s="200"/>
      <c r="R182" s="175"/>
      <c r="S182" s="384"/>
      <c r="T182" s="67"/>
      <c r="U182" s="67"/>
      <c r="V182" s="194"/>
      <c r="W182" s="67"/>
      <c r="X182" s="2"/>
    </row>
    <row r="183" spans="2:24" ht="20.25">
      <c r="B183" s="380"/>
      <c r="C183" s="382"/>
      <c r="D183" s="179"/>
      <c r="E183" s="162"/>
      <c r="F183" s="163"/>
      <c r="G183" s="191"/>
      <c r="H183" s="191"/>
      <c r="I183" s="192"/>
      <c r="J183" s="164"/>
      <c r="K183" s="165">
        <f t="shared" si="3"/>
        <v>0</v>
      </c>
      <c r="L183" s="268"/>
      <c r="M183" s="192"/>
      <c r="N183" s="164"/>
      <c r="O183" s="165">
        <v>0</v>
      </c>
      <c r="P183" s="252" t="e">
        <v>#DIV/0!</v>
      </c>
      <c r="Q183" s="200"/>
      <c r="R183" s="175"/>
      <c r="S183" s="384"/>
      <c r="T183" s="67"/>
      <c r="U183" s="67"/>
      <c r="V183" s="194"/>
      <c r="W183" s="67"/>
      <c r="X183" s="2"/>
    </row>
    <row r="184" spans="2:24" ht="20.25">
      <c r="B184" s="380"/>
      <c r="C184" s="382"/>
      <c r="D184" s="179"/>
      <c r="E184" s="162"/>
      <c r="F184" s="163"/>
      <c r="G184" s="191"/>
      <c r="H184" s="191"/>
      <c r="I184" s="192"/>
      <c r="J184" s="164"/>
      <c r="K184" s="165">
        <f t="shared" si="3"/>
        <v>0</v>
      </c>
      <c r="L184" s="268"/>
      <c r="M184" s="192"/>
      <c r="N184" s="164"/>
      <c r="O184" s="165">
        <v>0</v>
      </c>
      <c r="P184" s="252" t="e">
        <v>#DIV/0!</v>
      </c>
      <c r="Q184" s="200"/>
      <c r="R184" s="175"/>
      <c r="S184" s="384"/>
      <c r="T184" s="67"/>
      <c r="U184" s="67"/>
      <c r="V184" s="194"/>
      <c r="W184" s="67"/>
      <c r="X184" s="2"/>
    </row>
    <row r="185" spans="2:24" ht="20.25">
      <c r="B185" s="380"/>
      <c r="C185" s="382"/>
      <c r="D185" s="179"/>
      <c r="E185" s="162"/>
      <c r="F185" s="163"/>
      <c r="G185" s="191"/>
      <c r="H185" s="191"/>
      <c r="I185" s="192"/>
      <c r="J185" s="164"/>
      <c r="K185" s="165">
        <f t="shared" si="3"/>
        <v>0</v>
      </c>
      <c r="L185" s="268"/>
      <c r="M185" s="192"/>
      <c r="N185" s="164"/>
      <c r="O185" s="165">
        <v>0</v>
      </c>
      <c r="P185" s="252" t="e">
        <v>#DIV/0!</v>
      </c>
      <c r="Q185" s="200"/>
      <c r="R185" s="175"/>
      <c r="S185" s="384"/>
      <c r="T185" s="67"/>
      <c r="U185" s="67"/>
      <c r="V185" s="194"/>
      <c r="W185" s="67"/>
      <c r="X185" s="2"/>
    </row>
    <row r="186" spans="2:24" ht="20.25">
      <c r="B186" s="380"/>
      <c r="C186" s="382"/>
      <c r="D186" s="179"/>
      <c r="E186" s="162"/>
      <c r="F186" s="163"/>
      <c r="G186" s="191"/>
      <c r="H186" s="191"/>
      <c r="I186" s="192"/>
      <c r="J186" s="164"/>
      <c r="K186" s="165">
        <f t="shared" si="3"/>
        <v>0</v>
      </c>
      <c r="L186" s="268"/>
      <c r="M186" s="192"/>
      <c r="N186" s="164"/>
      <c r="O186" s="165">
        <v>0</v>
      </c>
      <c r="P186" s="252" t="e">
        <v>#DIV/0!</v>
      </c>
      <c r="Q186" s="200"/>
      <c r="R186" s="273"/>
      <c r="S186" s="384"/>
      <c r="T186" s="67"/>
      <c r="U186" s="67"/>
      <c r="V186" s="194"/>
      <c r="W186" s="67"/>
      <c r="X186" s="2"/>
    </row>
    <row r="187" spans="2:24" ht="20.25">
      <c r="B187" s="380"/>
      <c r="C187" s="382"/>
      <c r="D187" s="179"/>
      <c r="E187" s="162"/>
      <c r="F187" s="163"/>
      <c r="G187" s="191"/>
      <c r="H187" s="191"/>
      <c r="I187" s="192"/>
      <c r="J187" s="164"/>
      <c r="K187" s="165">
        <f t="shared" si="3"/>
        <v>0</v>
      </c>
      <c r="L187" s="268"/>
      <c r="M187" s="192"/>
      <c r="N187" s="164"/>
      <c r="O187" s="165">
        <v>0</v>
      </c>
      <c r="P187" s="252" t="e">
        <v>#DIV/0!</v>
      </c>
      <c r="Q187" s="200"/>
      <c r="R187" s="175"/>
      <c r="S187" s="384"/>
      <c r="T187" s="67"/>
      <c r="U187" s="67"/>
      <c r="V187" s="194"/>
      <c r="W187" s="67"/>
      <c r="X187" s="2"/>
    </row>
    <row r="188" spans="2:24" ht="20.25">
      <c r="B188" s="380"/>
      <c r="C188" s="382"/>
      <c r="D188" s="179"/>
      <c r="E188" s="162"/>
      <c r="F188" s="163"/>
      <c r="G188" s="191"/>
      <c r="H188" s="191"/>
      <c r="I188" s="192"/>
      <c r="J188" s="164"/>
      <c r="K188" s="165">
        <f t="shared" si="3"/>
        <v>0</v>
      </c>
      <c r="L188" s="268"/>
      <c r="M188" s="192"/>
      <c r="N188" s="164"/>
      <c r="O188" s="165">
        <v>0</v>
      </c>
      <c r="P188" s="252" t="e">
        <v>#DIV/0!</v>
      </c>
      <c r="Q188" s="200"/>
      <c r="R188" s="175"/>
      <c r="S188" s="384"/>
      <c r="T188" s="67"/>
      <c r="U188" s="67"/>
      <c r="V188" s="194"/>
      <c r="W188" s="67"/>
      <c r="X188" s="2"/>
    </row>
    <row r="189" spans="2:24" ht="20.25">
      <c r="B189" s="380"/>
      <c r="C189" s="382"/>
      <c r="D189" s="179"/>
      <c r="E189" s="162"/>
      <c r="F189" s="163"/>
      <c r="G189" s="191"/>
      <c r="H189" s="191"/>
      <c r="I189" s="192"/>
      <c r="J189" s="164"/>
      <c r="K189" s="165">
        <f t="shared" si="3"/>
        <v>0</v>
      </c>
      <c r="L189" s="268"/>
      <c r="M189" s="192"/>
      <c r="N189" s="164"/>
      <c r="O189" s="165">
        <v>0</v>
      </c>
      <c r="P189" s="252" t="e">
        <v>#DIV/0!</v>
      </c>
      <c r="Q189" s="200"/>
      <c r="R189" s="175"/>
      <c r="S189" s="384"/>
      <c r="T189" s="67"/>
      <c r="U189" s="67"/>
      <c r="V189" s="194"/>
      <c r="W189" s="67"/>
      <c r="X189" s="2"/>
    </row>
    <row r="190" spans="2:24" ht="20.25">
      <c r="B190" s="380"/>
      <c r="C190" s="382"/>
      <c r="D190" s="179"/>
      <c r="E190" s="162"/>
      <c r="F190" s="163"/>
      <c r="G190" s="191"/>
      <c r="H190" s="191"/>
      <c r="I190" s="192"/>
      <c r="J190" s="164"/>
      <c r="K190" s="165">
        <f t="shared" si="3"/>
        <v>0</v>
      </c>
      <c r="L190" s="268"/>
      <c r="M190" s="192"/>
      <c r="N190" s="164"/>
      <c r="O190" s="165">
        <v>0</v>
      </c>
      <c r="P190" s="252" t="e">
        <v>#DIV/0!</v>
      </c>
      <c r="Q190" s="200"/>
      <c r="R190" s="175"/>
      <c r="S190" s="384"/>
      <c r="T190" s="67"/>
      <c r="U190" s="67"/>
      <c r="V190" s="194"/>
      <c r="W190" s="67"/>
      <c r="X190" s="2"/>
    </row>
    <row r="191" spans="2:24" ht="20.25">
      <c r="B191" s="380"/>
      <c r="C191" s="382"/>
      <c r="D191" s="179"/>
      <c r="E191" s="162"/>
      <c r="F191" s="163"/>
      <c r="G191" s="191"/>
      <c r="H191" s="191"/>
      <c r="I191" s="192"/>
      <c r="J191" s="164"/>
      <c r="K191" s="165">
        <f t="shared" si="3"/>
        <v>0</v>
      </c>
      <c r="L191" s="268"/>
      <c r="M191" s="192"/>
      <c r="N191" s="164"/>
      <c r="O191" s="165">
        <v>0</v>
      </c>
      <c r="P191" s="252" t="e">
        <v>#DIV/0!</v>
      </c>
      <c r="Q191" s="200"/>
      <c r="R191" s="175"/>
      <c r="S191" s="384"/>
      <c r="T191" s="67"/>
      <c r="U191" s="67"/>
      <c r="V191" s="194"/>
      <c r="W191" s="67"/>
      <c r="X191" s="2"/>
    </row>
    <row r="192" spans="2:24" ht="20.25">
      <c r="B192" s="380"/>
      <c r="C192" s="382"/>
      <c r="D192" s="179"/>
      <c r="E192" s="162"/>
      <c r="F192" s="163"/>
      <c r="G192" s="191"/>
      <c r="H192" s="191"/>
      <c r="I192" s="192"/>
      <c r="J192" s="164"/>
      <c r="K192" s="165">
        <f t="shared" si="3"/>
        <v>0</v>
      </c>
      <c r="L192" s="268"/>
      <c r="M192" s="192"/>
      <c r="N192" s="164"/>
      <c r="O192" s="165">
        <v>0</v>
      </c>
      <c r="P192" s="252" t="e">
        <v>#DIV/0!</v>
      </c>
      <c r="Q192" s="200"/>
      <c r="R192" s="175"/>
      <c r="S192" s="384"/>
      <c r="T192" s="67"/>
      <c r="U192" s="67"/>
      <c r="V192" s="194"/>
      <c r="W192" s="67"/>
      <c r="X192" s="2"/>
    </row>
    <row r="193" spans="2:26" ht="20.25">
      <c r="B193" s="380"/>
      <c r="C193" s="382"/>
      <c r="D193" s="179"/>
      <c r="E193" s="162"/>
      <c r="F193" s="163"/>
      <c r="G193" s="191"/>
      <c r="H193" s="191"/>
      <c r="I193" s="192"/>
      <c r="J193" s="164"/>
      <c r="K193" s="165">
        <f t="shared" si="3"/>
        <v>0</v>
      </c>
      <c r="L193" s="268"/>
      <c r="M193" s="192"/>
      <c r="N193" s="164"/>
      <c r="O193" s="165">
        <v>0</v>
      </c>
      <c r="P193" s="252" t="e">
        <v>#DIV/0!</v>
      </c>
      <c r="Q193" s="200"/>
      <c r="R193" s="175"/>
      <c r="S193" s="384"/>
      <c r="T193" s="67"/>
      <c r="U193" s="67"/>
      <c r="V193" s="194"/>
      <c r="W193" s="67"/>
      <c r="X193" s="2"/>
      <c r="Y193" s="67"/>
      <c r="Z193" s="67"/>
    </row>
    <row r="194" spans="2:26" ht="20.25">
      <c r="B194" s="380"/>
      <c r="C194" s="382"/>
      <c r="D194" s="179"/>
      <c r="E194" s="162"/>
      <c r="F194" s="163"/>
      <c r="G194" s="191"/>
      <c r="H194" s="191"/>
      <c r="I194" s="192"/>
      <c r="J194" s="164"/>
      <c r="K194" s="165">
        <f t="shared" si="3"/>
        <v>0</v>
      </c>
      <c r="L194" s="268"/>
      <c r="M194" s="192"/>
      <c r="N194" s="164"/>
      <c r="O194" s="165">
        <v>0</v>
      </c>
      <c r="P194" s="252" t="e">
        <v>#DIV/0!</v>
      </c>
      <c r="Q194" s="200"/>
      <c r="R194" s="175"/>
      <c r="S194" s="384"/>
      <c r="T194" s="67"/>
      <c r="U194" s="67"/>
      <c r="V194" s="194"/>
      <c r="W194" s="67"/>
      <c r="X194" s="2"/>
      <c r="Y194" s="67"/>
      <c r="Z194" s="67"/>
    </row>
    <row r="195" spans="2:26" ht="20.25">
      <c r="B195" s="380"/>
      <c r="C195" s="382"/>
      <c r="D195" s="179"/>
      <c r="E195" s="162"/>
      <c r="F195" s="163"/>
      <c r="G195" s="191"/>
      <c r="H195" s="191"/>
      <c r="I195" s="192"/>
      <c r="J195" s="164"/>
      <c r="K195" s="165">
        <f t="shared" si="3"/>
        <v>0</v>
      </c>
      <c r="L195" s="268"/>
      <c r="M195" s="192"/>
      <c r="N195" s="164"/>
      <c r="O195" s="165">
        <v>0</v>
      </c>
      <c r="P195" s="254" t="e">
        <v>#DIV/0!</v>
      </c>
      <c r="Q195" s="222"/>
      <c r="R195" s="161"/>
      <c r="S195" s="384"/>
      <c r="T195" s="67"/>
      <c r="U195" s="67"/>
      <c r="V195" s="180"/>
      <c r="W195" s="180"/>
      <c r="X195" s="2"/>
      <c r="Y195" s="180"/>
      <c r="Z195" s="180"/>
    </row>
    <row r="196" spans="2:26" ht="20.25">
      <c r="B196" s="380"/>
      <c r="C196" s="382"/>
      <c r="D196" s="179"/>
      <c r="E196" s="162"/>
      <c r="F196" s="163"/>
      <c r="G196" s="191"/>
      <c r="H196" s="191"/>
      <c r="I196" s="192"/>
      <c r="J196" s="164"/>
      <c r="K196" s="165">
        <f t="shared" si="3"/>
        <v>0</v>
      </c>
      <c r="L196" s="268"/>
      <c r="M196" s="192"/>
      <c r="N196" s="164"/>
      <c r="O196" s="165">
        <v>0</v>
      </c>
      <c r="P196" s="254" t="e">
        <v>#DIV/0!</v>
      </c>
      <c r="Q196" s="223"/>
      <c r="R196" s="35"/>
      <c r="S196" s="384"/>
      <c r="T196" s="67"/>
      <c r="U196" s="67"/>
      <c r="V196" s="180"/>
      <c r="W196" s="180"/>
      <c r="X196" s="2"/>
      <c r="Y196" s="180"/>
      <c r="Z196" s="180"/>
    </row>
    <row r="197" spans="2:26" ht="20.25">
      <c r="B197" s="380"/>
      <c r="C197" s="382"/>
      <c r="D197" s="179"/>
      <c r="E197" s="162"/>
      <c r="F197" s="163"/>
      <c r="G197" s="191"/>
      <c r="H197" s="191"/>
      <c r="I197" s="192"/>
      <c r="J197" s="164"/>
      <c r="K197" s="165">
        <f t="shared" si="3"/>
        <v>0</v>
      </c>
      <c r="L197" s="268"/>
      <c r="M197" s="192"/>
      <c r="N197" s="164"/>
      <c r="O197" s="165">
        <v>0</v>
      </c>
      <c r="P197" s="252" t="e">
        <v>#DIV/0!</v>
      </c>
      <c r="Q197" s="219"/>
      <c r="R197" s="35"/>
      <c r="S197" s="384"/>
      <c r="T197" s="67"/>
      <c r="U197" s="67"/>
      <c r="V197" s="180"/>
      <c r="W197" s="180"/>
      <c r="X197" s="2"/>
      <c r="Y197" s="180"/>
      <c r="Z197" s="180"/>
    </row>
    <row r="198" spans="2:26" ht="20.25">
      <c r="B198" s="380"/>
      <c r="C198" s="382"/>
      <c r="D198" s="179"/>
      <c r="E198" s="162"/>
      <c r="F198" s="163"/>
      <c r="G198" s="191"/>
      <c r="H198" s="191"/>
      <c r="I198" s="192"/>
      <c r="J198" s="164"/>
      <c r="K198" s="165">
        <f t="shared" si="3"/>
        <v>0</v>
      </c>
      <c r="L198" s="268"/>
      <c r="M198" s="192"/>
      <c r="N198" s="164"/>
      <c r="O198" s="165">
        <v>0</v>
      </c>
      <c r="P198" s="252" t="e">
        <v>#DIV/0!</v>
      </c>
      <c r="Q198" s="219"/>
      <c r="R198" s="35"/>
      <c r="S198" s="384"/>
      <c r="T198" s="67"/>
      <c r="U198" s="67"/>
      <c r="V198" s="180"/>
      <c r="W198" s="180"/>
      <c r="X198" s="2"/>
      <c r="Y198" s="180"/>
      <c r="Z198" s="180"/>
    </row>
    <row r="199" spans="2:26" ht="20.25">
      <c r="B199" s="380"/>
      <c r="C199" s="382"/>
      <c r="D199" s="179"/>
      <c r="E199" s="162"/>
      <c r="F199" s="163"/>
      <c r="G199" s="191"/>
      <c r="H199" s="191"/>
      <c r="I199" s="192"/>
      <c r="J199" s="164"/>
      <c r="K199" s="165">
        <f t="shared" si="3"/>
        <v>0</v>
      </c>
      <c r="L199" s="268"/>
      <c r="M199" s="192"/>
      <c r="N199" s="164"/>
      <c r="O199" s="165">
        <v>0</v>
      </c>
      <c r="P199" s="252" t="e">
        <v>#DIV/0!</v>
      </c>
      <c r="Q199" s="219"/>
      <c r="R199" s="35"/>
      <c r="S199" s="384"/>
      <c r="T199" s="67"/>
      <c r="U199" s="67"/>
      <c r="V199" s="180"/>
      <c r="W199" s="180"/>
      <c r="X199" s="2"/>
      <c r="Y199" s="180"/>
      <c r="Z199" s="180"/>
    </row>
    <row r="200" spans="2:26" ht="20.25">
      <c r="B200" s="380"/>
      <c r="C200" s="382"/>
      <c r="D200" s="179"/>
      <c r="E200" s="162"/>
      <c r="F200" s="163"/>
      <c r="G200" s="191"/>
      <c r="H200" s="191"/>
      <c r="I200" s="192"/>
      <c r="J200" s="164"/>
      <c r="K200" s="165">
        <f t="shared" si="3"/>
        <v>0</v>
      </c>
      <c r="L200" s="268"/>
      <c r="M200" s="192"/>
      <c r="N200" s="164"/>
      <c r="O200" s="165">
        <v>0</v>
      </c>
      <c r="P200" s="254" t="e">
        <v>#DIV/0!</v>
      </c>
      <c r="Q200" s="220"/>
      <c r="R200" s="221"/>
      <c r="S200" s="384"/>
      <c r="T200" s="67"/>
      <c r="U200" s="67"/>
      <c r="V200" s="180"/>
      <c r="W200" s="180"/>
      <c r="X200" s="2"/>
      <c r="Y200" s="180"/>
      <c r="Z200" s="180"/>
    </row>
    <row r="201" spans="2:26" ht="20.25">
      <c r="B201" s="380"/>
      <c r="C201" s="382"/>
      <c r="D201" s="179"/>
      <c r="E201" s="162"/>
      <c r="F201" s="163"/>
      <c r="G201" s="191"/>
      <c r="H201" s="191"/>
      <c r="I201" s="192"/>
      <c r="J201" s="164"/>
      <c r="K201" s="165">
        <f t="shared" si="3"/>
        <v>0</v>
      </c>
      <c r="L201" s="268"/>
      <c r="M201" s="192"/>
      <c r="N201" s="164"/>
      <c r="O201" s="165">
        <v>0</v>
      </c>
      <c r="P201" s="253" t="e">
        <v>#DIV/0!</v>
      </c>
      <c r="Q201" s="224"/>
      <c r="R201" s="218"/>
      <c r="S201" s="384"/>
      <c r="T201" s="67"/>
      <c r="U201" s="67"/>
      <c r="V201" s="180"/>
      <c r="W201" s="180"/>
      <c r="X201" s="2"/>
      <c r="Y201" s="180"/>
      <c r="Z201" s="180"/>
    </row>
    <row r="202" spans="2:26" ht="20.25">
      <c r="B202" s="380"/>
      <c r="C202" s="382"/>
      <c r="D202" s="179"/>
      <c r="E202" s="162"/>
      <c r="F202" s="163"/>
      <c r="G202" s="191"/>
      <c r="H202" s="191"/>
      <c r="I202" s="192"/>
      <c r="J202" s="164"/>
      <c r="K202" s="165">
        <f t="shared" si="3"/>
        <v>0</v>
      </c>
      <c r="L202" s="268"/>
      <c r="M202" s="192"/>
      <c r="N202" s="164"/>
      <c r="O202" s="165">
        <v>0</v>
      </c>
      <c r="P202" s="254" t="e">
        <v>#DIV/0!</v>
      </c>
      <c r="Q202" s="225"/>
      <c r="R202" s="231"/>
      <c r="S202" s="384"/>
      <c r="T202" s="67"/>
      <c r="U202" s="67"/>
      <c r="V202" s="180"/>
      <c r="W202" s="180"/>
      <c r="X202" s="2"/>
      <c r="Y202" s="180"/>
      <c r="Z202" s="180"/>
    </row>
    <row r="203" spans="2:26" ht="20.25">
      <c r="B203" s="380"/>
      <c r="C203" s="382"/>
      <c r="D203" s="179"/>
      <c r="E203" s="162"/>
      <c r="F203" s="163"/>
      <c r="G203" s="191"/>
      <c r="H203" s="191"/>
      <c r="I203" s="192"/>
      <c r="J203" s="164"/>
      <c r="K203" s="165">
        <f t="shared" si="3"/>
        <v>0</v>
      </c>
      <c r="L203" s="268"/>
      <c r="M203" s="192"/>
      <c r="N203" s="164"/>
      <c r="O203" s="165">
        <v>0</v>
      </c>
      <c r="P203" s="254" t="e">
        <v>#DIV/0!</v>
      </c>
      <c r="Q203" s="225"/>
      <c r="R203" s="231"/>
      <c r="S203" s="384"/>
      <c r="T203" s="67"/>
      <c r="U203" s="67"/>
      <c r="V203" s="180"/>
      <c r="W203" s="180"/>
      <c r="X203" s="2"/>
      <c r="Y203" s="180"/>
      <c r="Z203" s="180"/>
    </row>
    <row r="204" spans="2:26" ht="20.25">
      <c r="B204" s="380"/>
      <c r="C204" s="382"/>
      <c r="D204" s="179"/>
      <c r="E204" s="162"/>
      <c r="F204" s="163"/>
      <c r="G204" s="191"/>
      <c r="H204" s="191"/>
      <c r="I204" s="192"/>
      <c r="J204" s="164"/>
      <c r="K204" s="165">
        <f t="shared" si="3"/>
        <v>0</v>
      </c>
      <c r="L204" s="268"/>
      <c r="M204" s="192"/>
      <c r="N204" s="164"/>
      <c r="O204" s="165">
        <v>0</v>
      </c>
      <c r="P204" s="254" t="e">
        <v>#DIV/0!</v>
      </c>
      <c r="Q204" s="225"/>
      <c r="R204" s="37"/>
      <c r="S204" s="384"/>
      <c r="T204" s="67"/>
      <c r="U204" s="67"/>
      <c r="V204" s="180"/>
      <c r="W204" s="180"/>
      <c r="X204" s="2"/>
      <c r="Y204" s="180"/>
      <c r="Z204" s="180"/>
    </row>
    <row r="205" spans="2:26" ht="20.25">
      <c r="B205" s="380"/>
      <c r="C205" s="382"/>
      <c r="D205" s="179"/>
      <c r="E205" s="162"/>
      <c r="F205" s="163"/>
      <c r="G205" s="191"/>
      <c r="H205" s="191"/>
      <c r="I205" s="192"/>
      <c r="J205" s="164"/>
      <c r="K205" s="165">
        <f t="shared" si="3"/>
        <v>0</v>
      </c>
      <c r="L205" s="268"/>
      <c r="M205" s="192"/>
      <c r="N205" s="164"/>
      <c r="O205" s="165">
        <v>0</v>
      </c>
      <c r="P205" s="254" t="e">
        <v>#DIV/0!</v>
      </c>
      <c r="Q205" s="225"/>
      <c r="R205" s="37"/>
      <c r="S205" s="384"/>
      <c r="T205" s="67"/>
      <c r="U205" s="67"/>
      <c r="V205" s="180"/>
      <c r="W205" s="180"/>
      <c r="X205" s="2"/>
      <c r="Y205" s="180"/>
      <c r="Z205" s="180"/>
    </row>
    <row r="206" spans="2:26" ht="20.25">
      <c r="B206" s="380"/>
      <c r="C206" s="382"/>
      <c r="D206" s="179"/>
      <c r="E206" s="162"/>
      <c r="F206" s="163"/>
      <c r="G206" s="191"/>
      <c r="H206" s="191"/>
      <c r="I206" s="192"/>
      <c r="J206" s="164"/>
      <c r="K206" s="165">
        <f t="shared" si="3"/>
        <v>0</v>
      </c>
      <c r="L206" s="268"/>
      <c r="M206" s="192"/>
      <c r="N206" s="164"/>
      <c r="O206" s="165">
        <v>0</v>
      </c>
      <c r="P206" s="254" t="e">
        <v>#DIV/0!</v>
      </c>
      <c r="Q206" s="225"/>
      <c r="R206" s="37"/>
      <c r="S206" s="384"/>
      <c r="T206" s="67"/>
      <c r="U206" s="67"/>
      <c r="V206" s="180"/>
      <c r="W206" s="180"/>
      <c r="X206" s="2"/>
      <c r="Y206" s="180"/>
      <c r="Z206" s="180"/>
    </row>
    <row r="207" spans="2:26" ht="20.25">
      <c r="B207" s="380"/>
      <c r="C207" s="382"/>
      <c r="D207" s="179"/>
      <c r="E207" s="162"/>
      <c r="F207" s="163"/>
      <c r="G207" s="191"/>
      <c r="H207" s="191"/>
      <c r="I207" s="192"/>
      <c r="J207" s="164"/>
      <c r="K207" s="165">
        <f t="shared" si="3"/>
        <v>0</v>
      </c>
      <c r="L207" s="268"/>
      <c r="M207" s="192"/>
      <c r="N207" s="164"/>
      <c r="O207" s="165">
        <v>0</v>
      </c>
      <c r="P207" s="254" t="e">
        <v>#DIV/0!</v>
      </c>
      <c r="Q207" s="225"/>
      <c r="R207" s="37"/>
      <c r="S207" s="384"/>
      <c r="T207" s="67"/>
      <c r="U207" s="67"/>
      <c r="V207" s="180"/>
      <c r="W207" s="180"/>
      <c r="X207" s="2"/>
      <c r="Y207" s="180"/>
      <c r="Z207" s="180"/>
    </row>
    <row r="208" spans="2:26" ht="20.25">
      <c r="B208" s="380"/>
      <c r="C208" s="382"/>
      <c r="D208" s="179"/>
      <c r="E208" s="162"/>
      <c r="F208" s="163"/>
      <c r="G208" s="191"/>
      <c r="H208" s="191"/>
      <c r="I208" s="192"/>
      <c r="J208" s="164"/>
      <c r="K208" s="165">
        <f t="shared" si="3"/>
        <v>0</v>
      </c>
      <c r="L208" s="268"/>
      <c r="M208" s="192"/>
      <c r="N208" s="164"/>
      <c r="O208" s="165">
        <v>0</v>
      </c>
      <c r="P208" s="254" t="e">
        <v>#DIV/0!</v>
      </c>
      <c r="Q208" s="225"/>
      <c r="R208" s="37"/>
      <c r="S208" s="384"/>
      <c r="T208" s="67"/>
      <c r="U208" s="67"/>
      <c r="V208" s="180"/>
      <c r="W208" s="180"/>
      <c r="X208" s="2"/>
      <c r="Y208" s="180"/>
      <c r="Z208" s="180"/>
    </row>
    <row r="209" spans="2:39" ht="20.25">
      <c r="B209" s="380"/>
      <c r="C209" s="382"/>
      <c r="D209" s="179"/>
      <c r="E209" s="162"/>
      <c r="F209" s="163"/>
      <c r="G209" s="191"/>
      <c r="H209" s="191"/>
      <c r="I209" s="192"/>
      <c r="J209" s="164"/>
      <c r="K209" s="165">
        <f t="shared" si="3"/>
        <v>0</v>
      </c>
      <c r="L209" s="268"/>
      <c r="M209" s="192"/>
      <c r="N209" s="164"/>
      <c r="O209" s="165">
        <v>0</v>
      </c>
      <c r="P209" s="254" t="e">
        <v>#DIV/0!</v>
      </c>
      <c r="Q209" s="225"/>
      <c r="R209" s="37"/>
      <c r="S209" s="384"/>
      <c r="T209" s="67"/>
      <c r="U209" s="67"/>
      <c r="V209" s="180"/>
      <c r="W209" s="180"/>
      <c r="X209" s="2"/>
      <c r="Y209" s="180"/>
      <c r="Z209" s="180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</row>
    <row r="210" spans="2:39" ht="20.25">
      <c r="B210" s="380"/>
      <c r="C210" s="382"/>
      <c r="D210" s="179"/>
      <c r="E210" s="162"/>
      <c r="F210" s="163"/>
      <c r="G210" s="191"/>
      <c r="H210" s="191"/>
      <c r="I210" s="192"/>
      <c r="J210" s="164"/>
      <c r="K210" s="165">
        <f t="shared" si="3"/>
        <v>0</v>
      </c>
      <c r="L210" s="268"/>
      <c r="M210" s="192"/>
      <c r="N210" s="164"/>
      <c r="O210" s="165">
        <v>0</v>
      </c>
      <c r="P210" s="254" t="e">
        <v>#DIV/0!</v>
      </c>
      <c r="Q210" s="225"/>
      <c r="R210" s="37"/>
      <c r="S210" s="384"/>
      <c r="T210" s="67"/>
      <c r="U210" s="67"/>
      <c r="V210" s="180"/>
      <c r="W210" s="180"/>
      <c r="X210" s="2"/>
      <c r="Y210" s="180"/>
      <c r="Z210" s="180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</row>
    <row r="211" spans="2:39" ht="20.25">
      <c r="B211" s="380"/>
      <c r="C211" s="382"/>
      <c r="D211" s="179"/>
      <c r="E211" s="162"/>
      <c r="F211" s="163"/>
      <c r="G211" s="191"/>
      <c r="H211" s="191"/>
      <c r="I211" s="192"/>
      <c r="J211" s="164"/>
      <c r="K211" s="165">
        <f t="shared" si="3"/>
        <v>0</v>
      </c>
      <c r="L211" s="268"/>
      <c r="M211" s="192"/>
      <c r="N211" s="164"/>
      <c r="O211" s="165">
        <v>0</v>
      </c>
      <c r="P211" s="254" t="e">
        <v>#DIV/0!</v>
      </c>
      <c r="Q211" s="225"/>
      <c r="R211" s="38"/>
      <c r="S211" s="384"/>
      <c r="T211" s="67"/>
      <c r="U211" s="67"/>
      <c r="V211" s="180"/>
      <c r="W211" s="180"/>
      <c r="X211" s="2"/>
      <c r="Y211" s="180"/>
      <c r="Z211" s="180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</row>
    <row r="212" spans="2:39" ht="20.25">
      <c r="B212" s="380"/>
      <c r="C212" s="382"/>
      <c r="D212" s="179"/>
      <c r="E212" s="162"/>
      <c r="F212" s="163"/>
      <c r="G212" s="191"/>
      <c r="H212" s="191"/>
      <c r="I212" s="192"/>
      <c r="J212" s="164"/>
      <c r="K212" s="165">
        <f t="shared" si="3"/>
        <v>0</v>
      </c>
      <c r="L212" s="268"/>
      <c r="M212" s="192"/>
      <c r="N212" s="164"/>
      <c r="O212" s="165">
        <v>0</v>
      </c>
      <c r="P212" s="254" t="e">
        <v>#DIV/0!</v>
      </c>
      <c r="Q212" s="225"/>
      <c r="R212" s="38"/>
      <c r="S212" s="384"/>
      <c r="T212" s="67"/>
      <c r="U212" s="67"/>
      <c r="V212" s="180"/>
      <c r="W212" s="180"/>
      <c r="X212" s="2"/>
      <c r="Y212" s="180"/>
      <c r="Z212" s="180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</row>
    <row r="213" spans="2:39" ht="20.25">
      <c r="B213" s="380"/>
      <c r="C213" s="382"/>
      <c r="D213" s="179"/>
      <c r="E213" s="162"/>
      <c r="F213" s="163"/>
      <c r="G213" s="191"/>
      <c r="H213" s="191"/>
      <c r="I213" s="192"/>
      <c r="J213" s="164"/>
      <c r="K213" s="165">
        <f t="shared" si="3"/>
        <v>0</v>
      </c>
      <c r="L213" s="268"/>
      <c r="M213" s="192"/>
      <c r="N213" s="164"/>
      <c r="O213" s="165">
        <v>0</v>
      </c>
      <c r="P213" s="252" t="e">
        <v>#DIV/0!</v>
      </c>
      <c r="Q213" s="294"/>
      <c r="R213" s="295"/>
      <c r="S213" s="384"/>
      <c r="T213" s="67"/>
      <c r="U213" s="67"/>
      <c r="V213" s="180"/>
      <c r="W213" s="180"/>
      <c r="X213" s="2"/>
      <c r="Y213" s="180"/>
      <c r="Z213" s="180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</row>
    <row r="214" spans="2:39" ht="20.25">
      <c r="B214" s="380"/>
      <c r="C214" s="382"/>
      <c r="D214" s="179"/>
      <c r="E214" s="162"/>
      <c r="F214" s="163"/>
      <c r="G214" s="191"/>
      <c r="H214" s="191"/>
      <c r="I214" s="192"/>
      <c r="J214" s="164"/>
      <c r="K214" s="165">
        <f t="shared" si="3"/>
        <v>0</v>
      </c>
      <c r="L214" s="268"/>
      <c r="M214" s="192"/>
      <c r="N214" s="164"/>
      <c r="O214" s="165">
        <v>0</v>
      </c>
      <c r="P214" s="252" t="e">
        <v>#DIV/0!</v>
      </c>
      <c r="Q214" s="294"/>
      <c r="R214" s="307"/>
      <c r="S214" s="384"/>
      <c r="T214" s="67"/>
      <c r="U214" s="67"/>
      <c r="V214" s="180"/>
      <c r="W214" s="180"/>
      <c r="X214" s="2"/>
      <c r="Y214" s="180"/>
      <c r="Z214" s="180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</row>
    <row r="215" spans="2:39" ht="20.25">
      <c r="B215" s="380"/>
      <c r="C215" s="382"/>
      <c r="D215" s="179"/>
      <c r="E215" s="162"/>
      <c r="F215" s="163"/>
      <c r="G215" s="191"/>
      <c r="H215" s="191"/>
      <c r="I215" s="192"/>
      <c r="J215" s="164"/>
      <c r="K215" s="165">
        <f t="shared" si="3"/>
        <v>0</v>
      </c>
      <c r="L215" s="268"/>
      <c r="M215" s="192"/>
      <c r="N215" s="164"/>
      <c r="O215" s="165">
        <v>0</v>
      </c>
      <c r="P215" s="252" t="e">
        <v>#DIV/0!</v>
      </c>
      <c r="Q215" s="294"/>
      <c r="R215" s="307"/>
      <c r="S215" s="384"/>
      <c r="T215" s="67"/>
      <c r="U215" s="67"/>
      <c r="V215" s="180"/>
      <c r="W215" s="180"/>
      <c r="X215" s="2"/>
      <c r="Y215" s="180"/>
      <c r="Z215" s="180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</row>
    <row r="216" spans="2:39" ht="20.25">
      <c r="B216" s="380"/>
      <c r="C216" s="382"/>
      <c r="D216" s="179"/>
      <c r="E216" s="162"/>
      <c r="F216" s="163"/>
      <c r="G216" s="191"/>
      <c r="H216" s="191"/>
      <c r="I216" s="192"/>
      <c r="J216" s="164"/>
      <c r="K216" s="165">
        <f t="shared" si="3"/>
        <v>0</v>
      </c>
      <c r="L216" s="268"/>
      <c r="M216" s="192"/>
      <c r="N216" s="164"/>
      <c r="O216" s="165">
        <v>0</v>
      </c>
      <c r="P216" s="252" t="e">
        <v>#DIV/0!</v>
      </c>
      <c r="Q216" s="198"/>
      <c r="R216" s="193"/>
      <c r="S216" s="384"/>
      <c r="T216" s="2"/>
      <c r="U216" s="2"/>
      <c r="V216" s="194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2:39" ht="20.25">
      <c r="B217" s="380"/>
      <c r="C217" s="382"/>
      <c r="D217" s="179"/>
      <c r="E217" s="162"/>
      <c r="F217" s="163"/>
      <c r="G217" s="191"/>
      <c r="H217" s="191"/>
      <c r="I217" s="192"/>
      <c r="J217" s="164"/>
      <c r="K217" s="165">
        <f t="shared" si="3"/>
        <v>0</v>
      </c>
      <c r="L217" s="268"/>
      <c r="M217" s="192"/>
      <c r="N217" s="164"/>
      <c r="O217" s="165">
        <v>0</v>
      </c>
      <c r="P217" s="252" t="e">
        <v>#DIV/0!</v>
      </c>
      <c r="Q217" s="198"/>
      <c r="R217" s="230"/>
      <c r="S217" s="384"/>
      <c r="T217" s="2"/>
      <c r="U217" s="2"/>
      <c r="V217" s="194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2:39" ht="20.25">
      <c r="B218" s="380"/>
      <c r="C218" s="382"/>
      <c r="D218" s="179"/>
      <c r="E218" s="162"/>
      <c r="F218" s="163"/>
      <c r="G218" s="191"/>
      <c r="H218" s="191"/>
      <c r="I218" s="192"/>
      <c r="J218" s="164"/>
      <c r="K218" s="165">
        <f t="shared" si="3"/>
        <v>0</v>
      </c>
      <c r="L218" s="268"/>
      <c r="M218" s="192"/>
      <c r="N218" s="164"/>
      <c r="O218" s="165">
        <v>0</v>
      </c>
      <c r="P218" s="252" t="e">
        <v>#DIV/0!</v>
      </c>
      <c r="Q218" s="198"/>
      <c r="R218" s="230"/>
      <c r="S218" s="384"/>
      <c r="T218" s="2"/>
      <c r="U218" s="2"/>
      <c r="V218" s="194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2:39" ht="20.25">
      <c r="B219" s="380"/>
      <c r="C219" s="382"/>
      <c r="D219" s="179"/>
      <c r="E219" s="162"/>
      <c r="F219" s="163"/>
      <c r="G219" s="191"/>
      <c r="H219" s="191"/>
      <c r="I219" s="192"/>
      <c r="J219" s="164"/>
      <c r="K219" s="165">
        <f t="shared" si="3"/>
        <v>0</v>
      </c>
      <c r="L219" s="268"/>
      <c r="M219" s="192"/>
      <c r="N219" s="164"/>
      <c r="O219" s="165">
        <v>0</v>
      </c>
      <c r="P219" s="252" t="e">
        <v>#DIV/0!</v>
      </c>
      <c r="Q219" s="198"/>
      <c r="R219" s="230"/>
      <c r="S219" s="384"/>
      <c r="T219" s="2"/>
      <c r="U219" s="2"/>
      <c r="V219" s="194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2:39" ht="20.25">
      <c r="B220" s="380"/>
      <c r="C220" s="382"/>
      <c r="D220" s="179"/>
      <c r="E220" s="162"/>
      <c r="F220" s="163"/>
      <c r="G220" s="191"/>
      <c r="H220" s="191"/>
      <c r="I220" s="192"/>
      <c r="J220" s="164"/>
      <c r="K220" s="165">
        <f t="shared" si="3"/>
        <v>0</v>
      </c>
      <c r="L220" s="268"/>
      <c r="M220" s="192"/>
      <c r="N220" s="164"/>
      <c r="O220" s="165">
        <v>0</v>
      </c>
      <c r="P220" s="252" t="e">
        <v>#DIV/0!</v>
      </c>
      <c r="Q220" s="198"/>
      <c r="R220" s="230"/>
      <c r="S220" s="384"/>
      <c r="T220" s="2"/>
      <c r="U220" s="2"/>
      <c r="V220" s="194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2:39" ht="20.25">
      <c r="B221" s="380"/>
      <c r="C221" s="382"/>
      <c r="D221" s="179"/>
      <c r="E221" s="162"/>
      <c r="F221" s="163"/>
      <c r="G221" s="191"/>
      <c r="H221" s="191"/>
      <c r="I221" s="192"/>
      <c r="J221" s="164"/>
      <c r="K221" s="165">
        <f t="shared" si="3"/>
        <v>0</v>
      </c>
      <c r="L221" s="268"/>
      <c r="M221" s="192"/>
      <c r="N221" s="164"/>
      <c r="O221" s="165">
        <v>0</v>
      </c>
      <c r="P221" s="252" t="e">
        <v>#DIV/0!</v>
      </c>
      <c r="Q221" s="198"/>
      <c r="R221" s="230"/>
      <c r="S221" s="384"/>
      <c r="T221" s="67"/>
      <c r="U221" s="67"/>
      <c r="V221" s="194"/>
      <c r="W221" s="180"/>
      <c r="X221" s="2"/>
      <c r="Y221" s="180"/>
      <c r="Z221" s="180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</row>
    <row r="222" spans="2:39" ht="20.25">
      <c r="B222" s="380"/>
      <c r="C222" s="382"/>
      <c r="D222" s="179"/>
      <c r="E222" s="162"/>
      <c r="F222" s="163"/>
      <c r="G222" s="191"/>
      <c r="H222" s="191"/>
      <c r="I222" s="192"/>
      <c r="J222" s="164"/>
      <c r="K222" s="165">
        <f t="shared" si="3"/>
        <v>0</v>
      </c>
      <c r="L222" s="268"/>
      <c r="M222" s="192"/>
      <c r="N222" s="164"/>
      <c r="O222" s="165">
        <v>0</v>
      </c>
      <c r="P222" s="253" t="e">
        <v>#DIV/0!</v>
      </c>
      <c r="Q222" s="199"/>
      <c r="R222" s="161"/>
      <c r="S222" s="384"/>
      <c r="T222" s="67"/>
      <c r="U222" s="67"/>
      <c r="V222" s="194"/>
      <c r="W222" s="67"/>
      <c r="X222" s="2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</row>
    <row r="223" spans="2:39" ht="20.25">
      <c r="B223" s="380"/>
      <c r="C223" s="382"/>
      <c r="D223" s="179"/>
      <c r="E223" s="162"/>
      <c r="F223" s="163"/>
      <c r="G223" s="191"/>
      <c r="H223" s="191"/>
      <c r="I223" s="192"/>
      <c r="J223" s="164"/>
      <c r="K223" s="165">
        <f t="shared" si="3"/>
        <v>0</v>
      </c>
      <c r="L223" s="268"/>
      <c r="M223" s="192"/>
      <c r="N223" s="164"/>
      <c r="O223" s="165">
        <v>0</v>
      </c>
      <c r="P223" s="252" t="e">
        <v>#DIV/0!</v>
      </c>
      <c r="Q223" s="200"/>
      <c r="R223" s="35"/>
      <c r="S223" s="384"/>
      <c r="T223" s="67"/>
      <c r="U223" s="67"/>
      <c r="V223" s="194"/>
      <c r="W223" s="67"/>
      <c r="X223" s="2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</row>
    <row r="224" spans="2:39" ht="20.25">
      <c r="B224" s="380"/>
      <c r="C224" s="382"/>
      <c r="D224" s="179"/>
      <c r="E224" s="162"/>
      <c r="F224" s="163"/>
      <c r="G224" s="191"/>
      <c r="H224" s="191"/>
      <c r="I224" s="192"/>
      <c r="J224" s="164"/>
      <c r="K224" s="165">
        <f t="shared" si="3"/>
        <v>0</v>
      </c>
      <c r="L224" s="268"/>
      <c r="M224" s="192"/>
      <c r="N224" s="164"/>
      <c r="O224" s="165">
        <v>0</v>
      </c>
      <c r="P224" s="252" t="e">
        <v>#DIV/0!</v>
      </c>
      <c r="Q224" s="200"/>
      <c r="R224" s="175"/>
      <c r="S224" s="384"/>
      <c r="T224" s="67"/>
      <c r="U224" s="67"/>
      <c r="V224" s="194"/>
      <c r="W224" s="67"/>
      <c r="X224" s="2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</row>
    <row r="225" spans="2:26" ht="20.25">
      <c r="B225" s="380"/>
      <c r="C225" s="382"/>
      <c r="D225" s="179"/>
      <c r="E225" s="162"/>
      <c r="F225" s="163"/>
      <c r="G225" s="191"/>
      <c r="H225" s="191"/>
      <c r="I225" s="192"/>
      <c r="J225" s="164"/>
      <c r="K225" s="165">
        <f t="shared" si="3"/>
        <v>0</v>
      </c>
      <c r="L225" s="268"/>
      <c r="M225" s="192"/>
      <c r="N225" s="164"/>
      <c r="O225" s="165">
        <v>0</v>
      </c>
      <c r="P225" s="252" t="e">
        <v>#DIV/0!</v>
      </c>
      <c r="Q225" s="200"/>
      <c r="R225" s="175"/>
      <c r="S225" s="384"/>
      <c r="T225" s="67"/>
      <c r="U225" s="67"/>
      <c r="V225" s="194"/>
      <c r="W225" s="67"/>
      <c r="X225" s="2"/>
      <c r="Y225" s="67"/>
      <c r="Z225" s="67"/>
    </row>
    <row r="226" spans="2:26" ht="20.25">
      <c r="B226" s="380"/>
      <c r="C226" s="382"/>
      <c r="D226" s="179"/>
      <c r="E226" s="162"/>
      <c r="F226" s="163"/>
      <c r="G226" s="191"/>
      <c r="H226" s="191"/>
      <c r="I226" s="192"/>
      <c r="J226" s="164"/>
      <c r="K226" s="165">
        <f t="shared" si="3"/>
        <v>0</v>
      </c>
      <c r="L226" s="268"/>
      <c r="M226" s="192"/>
      <c r="N226" s="164"/>
      <c r="O226" s="165">
        <v>0</v>
      </c>
      <c r="P226" s="252" t="e">
        <v>#DIV/0!</v>
      </c>
      <c r="Q226" s="200"/>
      <c r="R226" s="175"/>
      <c r="S226" s="384"/>
      <c r="T226" s="67"/>
      <c r="U226" s="67"/>
      <c r="V226" s="194"/>
      <c r="W226" s="67"/>
      <c r="X226" s="2"/>
      <c r="Y226" s="67"/>
      <c r="Z226" s="67"/>
    </row>
    <row r="227" spans="2:26" ht="20.25">
      <c r="B227" s="380"/>
      <c r="C227" s="382"/>
      <c r="D227" s="179"/>
      <c r="E227" s="162"/>
      <c r="F227" s="163"/>
      <c r="G227" s="191"/>
      <c r="H227" s="191"/>
      <c r="I227" s="192"/>
      <c r="J227" s="164"/>
      <c r="K227" s="165">
        <f t="shared" si="3"/>
        <v>0</v>
      </c>
      <c r="L227" s="268"/>
      <c r="M227" s="192"/>
      <c r="N227" s="164"/>
      <c r="O227" s="165">
        <v>0</v>
      </c>
      <c r="P227" s="252" t="e">
        <v>#DIV/0!</v>
      </c>
      <c r="Q227" s="200"/>
      <c r="R227" s="175"/>
      <c r="S227" s="384"/>
      <c r="T227" s="67"/>
      <c r="U227" s="67"/>
      <c r="V227" s="194"/>
      <c r="W227" s="67"/>
      <c r="X227" s="2"/>
      <c r="Y227" s="67"/>
      <c r="Z227" s="67"/>
    </row>
    <row r="228" spans="2:26" ht="20.25">
      <c r="B228" s="380"/>
      <c r="C228" s="382"/>
      <c r="D228" s="179"/>
      <c r="E228" s="162"/>
      <c r="F228" s="163"/>
      <c r="G228" s="191"/>
      <c r="H228" s="191"/>
      <c r="I228" s="192"/>
      <c r="J228" s="164"/>
      <c r="K228" s="165">
        <f t="shared" si="3"/>
        <v>0</v>
      </c>
      <c r="L228" s="268"/>
      <c r="M228" s="192"/>
      <c r="N228" s="164"/>
      <c r="O228" s="165">
        <v>0</v>
      </c>
      <c r="P228" s="252" t="e">
        <v>#DIV/0!</v>
      </c>
      <c r="Q228" s="200"/>
      <c r="R228" s="175"/>
      <c r="S228" s="384"/>
      <c r="T228" s="67"/>
      <c r="U228" s="67"/>
      <c r="V228" s="194"/>
      <c r="W228" s="67"/>
      <c r="X228" s="2"/>
      <c r="Y228" s="67"/>
      <c r="Z228" s="67"/>
    </row>
    <row r="229" spans="2:26" ht="20.25">
      <c r="B229" s="380"/>
      <c r="C229" s="382"/>
      <c r="D229" s="179"/>
      <c r="E229" s="162"/>
      <c r="F229" s="163"/>
      <c r="G229" s="191"/>
      <c r="H229" s="191"/>
      <c r="I229" s="192"/>
      <c r="J229" s="164"/>
      <c r="K229" s="165">
        <f t="shared" si="3"/>
        <v>0</v>
      </c>
      <c r="L229" s="268"/>
      <c r="M229" s="192"/>
      <c r="N229" s="164"/>
      <c r="O229" s="165">
        <v>0</v>
      </c>
      <c r="P229" s="252" t="e">
        <v>#DIV/0!</v>
      </c>
      <c r="Q229" s="200"/>
      <c r="R229" s="175"/>
      <c r="S229" s="384"/>
      <c r="T229" s="67"/>
      <c r="U229" s="67"/>
      <c r="V229" s="194"/>
      <c r="W229" s="67"/>
      <c r="X229" s="2"/>
      <c r="Y229" s="67"/>
      <c r="Z229" s="67"/>
    </row>
    <row r="230" spans="2:26" ht="20.25">
      <c r="B230" s="380"/>
      <c r="C230" s="382"/>
      <c r="D230" s="179"/>
      <c r="E230" s="162"/>
      <c r="F230" s="163"/>
      <c r="G230" s="191"/>
      <c r="H230" s="191"/>
      <c r="I230" s="192"/>
      <c r="J230" s="164"/>
      <c r="K230" s="165">
        <f t="shared" si="3"/>
        <v>0</v>
      </c>
      <c r="L230" s="268"/>
      <c r="M230" s="192"/>
      <c r="N230" s="164"/>
      <c r="O230" s="165">
        <v>0</v>
      </c>
      <c r="P230" s="252" t="e">
        <v>#DIV/0!</v>
      </c>
      <c r="Q230" s="200"/>
      <c r="R230" s="175"/>
      <c r="S230" s="384"/>
      <c r="T230" s="67"/>
      <c r="U230" s="67"/>
      <c r="V230" s="194"/>
      <c r="W230" s="67"/>
      <c r="X230" s="2"/>
      <c r="Y230" s="67"/>
      <c r="Z230" s="67"/>
    </row>
    <row r="231" spans="2:26" ht="20.25">
      <c r="B231" s="380"/>
      <c r="C231" s="382"/>
      <c r="D231" s="179"/>
      <c r="E231" s="162"/>
      <c r="F231" s="163"/>
      <c r="G231" s="191"/>
      <c r="H231" s="191"/>
      <c r="I231" s="192"/>
      <c r="J231" s="164"/>
      <c r="K231" s="165">
        <f t="shared" si="3"/>
        <v>0</v>
      </c>
      <c r="L231" s="268"/>
      <c r="M231" s="192"/>
      <c r="N231" s="164"/>
      <c r="O231" s="165">
        <v>0</v>
      </c>
      <c r="P231" s="252" t="e">
        <v>#DIV/0!</v>
      </c>
      <c r="Q231" s="200"/>
      <c r="R231" s="273"/>
      <c r="S231" s="384"/>
      <c r="T231" s="67"/>
      <c r="U231" s="67"/>
      <c r="V231" s="194"/>
      <c r="W231" s="67"/>
      <c r="X231" s="2"/>
      <c r="Y231" s="67"/>
      <c r="Z231" s="67"/>
    </row>
    <row r="232" spans="2:26" ht="20.25">
      <c r="B232" s="380"/>
      <c r="C232" s="382"/>
      <c r="D232" s="179"/>
      <c r="E232" s="162"/>
      <c r="F232" s="163"/>
      <c r="G232" s="191"/>
      <c r="H232" s="191"/>
      <c r="I232" s="192"/>
      <c r="J232" s="164"/>
      <c r="K232" s="165">
        <f t="shared" si="3"/>
        <v>0</v>
      </c>
      <c r="L232" s="268"/>
      <c r="M232" s="192"/>
      <c r="N232" s="164"/>
      <c r="O232" s="165">
        <v>0</v>
      </c>
      <c r="P232" s="252" t="e">
        <v>#DIV/0!</v>
      </c>
      <c r="Q232" s="200"/>
      <c r="R232" s="175"/>
      <c r="S232" s="384"/>
      <c r="T232" s="67"/>
      <c r="U232" s="67"/>
      <c r="V232" s="194"/>
      <c r="W232" s="67"/>
      <c r="X232" s="2"/>
      <c r="Y232" s="67"/>
      <c r="Z232" s="67"/>
    </row>
    <row r="233" spans="2:26" ht="20.25">
      <c r="B233" s="380"/>
      <c r="C233" s="382"/>
      <c r="D233" s="179"/>
      <c r="E233" s="162"/>
      <c r="F233" s="163"/>
      <c r="G233" s="191"/>
      <c r="H233" s="191"/>
      <c r="I233" s="192"/>
      <c r="J233" s="164"/>
      <c r="K233" s="165">
        <f t="shared" si="3"/>
        <v>0</v>
      </c>
      <c r="L233" s="268"/>
      <c r="M233" s="192"/>
      <c r="N233" s="164"/>
      <c r="O233" s="165">
        <v>0</v>
      </c>
      <c r="P233" s="252" t="e">
        <v>#DIV/0!</v>
      </c>
      <c r="Q233" s="200"/>
      <c r="R233" s="175"/>
      <c r="S233" s="384"/>
      <c r="T233" s="67"/>
      <c r="U233" s="67"/>
      <c r="V233" s="194"/>
      <c r="W233" s="67"/>
      <c r="X233" s="2"/>
      <c r="Y233" s="67"/>
      <c r="Z233" s="67"/>
    </row>
    <row r="234" spans="2:26" ht="20.25">
      <c r="B234" s="380"/>
      <c r="C234" s="382"/>
      <c r="D234" s="179"/>
      <c r="E234" s="162"/>
      <c r="F234" s="163"/>
      <c r="G234" s="191"/>
      <c r="H234" s="191"/>
      <c r="I234" s="192"/>
      <c r="J234" s="164"/>
      <c r="K234" s="165">
        <f t="shared" si="3"/>
        <v>0</v>
      </c>
      <c r="L234" s="268"/>
      <c r="M234" s="192"/>
      <c r="N234" s="164"/>
      <c r="O234" s="165">
        <v>0</v>
      </c>
      <c r="P234" s="252" t="e">
        <v>#DIV/0!</v>
      </c>
      <c r="Q234" s="200"/>
      <c r="R234" s="175"/>
      <c r="S234" s="384"/>
      <c r="T234" s="67"/>
      <c r="U234" s="67"/>
      <c r="V234" s="194"/>
      <c r="W234" s="67"/>
      <c r="X234" s="2"/>
      <c r="Y234" s="67"/>
      <c r="Z234" s="67"/>
    </row>
    <row r="235" spans="2:26" ht="20.25">
      <c r="B235" s="380"/>
      <c r="C235" s="382"/>
      <c r="D235" s="179"/>
      <c r="E235" s="162"/>
      <c r="F235" s="163"/>
      <c r="G235" s="191"/>
      <c r="H235" s="191"/>
      <c r="I235" s="192"/>
      <c r="J235" s="164"/>
      <c r="K235" s="165">
        <f t="shared" si="3"/>
        <v>0</v>
      </c>
      <c r="L235" s="268"/>
      <c r="M235" s="192"/>
      <c r="N235" s="164"/>
      <c r="O235" s="165">
        <v>0</v>
      </c>
      <c r="P235" s="252" t="e">
        <v>#DIV/0!</v>
      </c>
      <c r="Q235" s="200"/>
      <c r="R235" s="175"/>
      <c r="S235" s="384"/>
      <c r="T235" s="67"/>
      <c r="U235" s="67"/>
      <c r="V235" s="194"/>
      <c r="W235" s="67"/>
      <c r="X235" s="2"/>
      <c r="Y235" s="67"/>
      <c r="Z235" s="67"/>
    </row>
    <row r="236" spans="2:26" ht="20.25">
      <c r="B236" s="380"/>
      <c r="C236" s="382"/>
      <c r="D236" s="179"/>
      <c r="E236" s="162"/>
      <c r="F236" s="163"/>
      <c r="G236" s="191"/>
      <c r="H236" s="191"/>
      <c r="I236" s="192"/>
      <c r="J236" s="164"/>
      <c r="K236" s="165">
        <f t="shared" ref="K236:K299" si="4">I236*J236</f>
        <v>0</v>
      </c>
      <c r="L236" s="268"/>
      <c r="M236" s="192"/>
      <c r="N236" s="164"/>
      <c r="O236" s="165">
        <v>0</v>
      </c>
      <c r="P236" s="252" t="e">
        <v>#DIV/0!</v>
      </c>
      <c r="Q236" s="200"/>
      <c r="R236" s="175"/>
      <c r="S236" s="384"/>
      <c r="T236" s="67"/>
      <c r="U236" s="67"/>
      <c r="V236" s="194"/>
      <c r="W236" s="67"/>
      <c r="X236" s="2"/>
      <c r="Y236" s="67"/>
      <c r="Z236" s="67"/>
    </row>
    <row r="237" spans="2:26" ht="20.25">
      <c r="B237" s="380"/>
      <c r="C237" s="382"/>
      <c r="D237" s="179"/>
      <c r="E237" s="162"/>
      <c r="F237" s="163"/>
      <c r="G237" s="191"/>
      <c r="H237" s="191"/>
      <c r="I237" s="192"/>
      <c r="J237" s="164"/>
      <c r="K237" s="165">
        <f t="shared" si="4"/>
        <v>0</v>
      </c>
      <c r="L237" s="268"/>
      <c r="M237" s="192"/>
      <c r="N237" s="164"/>
      <c r="O237" s="165">
        <v>0</v>
      </c>
      <c r="P237" s="252" t="e">
        <v>#DIV/0!</v>
      </c>
      <c r="Q237" s="200"/>
      <c r="R237" s="175"/>
      <c r="S237" s="384"/>
      <c r="T237" s="67"/>
      <c r="U237" s="67"/>
      <c r="V237" s="194"/>
      <c r="W237" s="67"/>
      <c r="X237" s="2"/>
      <c r="Y237" s="67"/>
      <c r="Z237" s="67"/>
    </row>
    <row r="238" spans="2:26" ht="20.25">
      <c r="B238" s="380"/>
      <c r="C238" s="382"/>
      <c r="D238" s="179"/>
      <c r="E238" s="162"/>
      <c r="F238" s="163"/>
      <c r="G238" s="191"/>
      <c r="H238" s="191"/>
      <c r="I238" s="192"/>
      <c r="J238" s="164"/>
      <c r="K238" s="165">
        <f t="shared" si="4"/>
        <v>0</v>
      </c>
      <c r="L238" s="268"/>
      <c r="M238" s="192"/>
      <c r="N238" s="164"/>
      <c r="O238" s="165">
        <v>0</v>
      </c>
      <c r="P238" s="252" t="e">
        <v>#DIV/0!</v>
      </c>
      <c r="Q238" s="200"/>
      <c r="R238" s="175"/>
      <c r="S238" s="384"/>
      <c r="T238" s="67"/>
      <c r="U238" s="67"/>
      <c r="V238" s="194"/>
      <c r="W238" s="67"/>
      <c r="X238" s="2"/>
      <c r="Y238" s="67"/>
      <c r="Z238" s="67"/>
    </row>
    <row r="239" spans="2:26" ht="20.25">
      <c r="B239" s="380"/>
      <c r="C239" s="382"/>
      <c r="D239" s="179"/>
      <c r="E239" s="162"/>
      <c r="F239" s="163"/>
      <c r="G239" s="191"/>
      <c r="H239" s="191"/>
      <c r="I239" s="192"/>
      <c r="J239" s="164"/>
      <c r="K239" s="165">
        <f t="shared" si="4"/>
        <v>0</v>
      </c>
      <c r="L239" s="268"/>
      <c r="M239" s="192"/>
      <c r="N239" s="164"/>
      <c r="O239" s="165">
        <v>0</v>
      </c>
      <c r="P239" s="252" t="e">
        <v>#DIV/0!</v>
      </c>
      <c r="Q239" s="200"/>
      <c r="R239" s="175"/>
      <c r="S239" s="384"/>
      <c r="T239" s="67"/>
      <c r="U239" s="67"/>
      <c r="V239" s="194"/>
      <c r="W239" s="67"/>
      <c r="X239" s="2"/>
      <c r="Y239" s="67"/>
      <c r="Z239" s="67"/>
    </row>
    <row r="240" spans="2:26" ht="20.25">
      <c r="B240" s="380"/>
      <c r="C240" s="382"/>
      <c r="D240" s="179"/>
      <c r="E240" s="162"/>
      <c r="F240" s="163"/>
      <c r="G240" s="191"/>
      <c r="H240" s="191"/>
      <c r="I240" s="192"/>
      <c r="J240" s="164"/>
      <c r="K240" s="165">
        <f t="shared" si="4"/>
        <v>0</v>
      </c>
      <c r="L240" s="268"/>
      <c r="M240" s="192"/>
      <c r="N240" s="164"/>
      <c r="O240" s="165">
        <v>0</v>
      </c>
      <c r="P240" s="254" t="e">
        <v>#DIV/0!</v>
      </c>
      <c r="Q240" s="222"/>
      <c r="R240" s="161"/>
      <c r="S240" s="384"/>
      <c r="T240" s="67"/>
      <c r="U240" s="67"/>
      <c r="V240" s="180"/>
      <c r="W240" s="180"/>
      <c r="X240" s="2"/>
      <c r="Y240" s="180"/>
      <c r="Z240" s="180"/>
    </row>
    <row r="241" spans="2:26" ht="20.25">
      <c r="B241" s="380"/>
      <c r="C241" s="382"/>
      <c r="D241" s="179"/>
      <c r="E241" s="162"/>
      <c r="F241" s="163"/>
      <c r="G241" s="191"/>
      <c r="H241" s="191"/>
      <c r="I241" s="192"/>
      <c r="J241" s="164"/>
      <c r="K241" s="165">
        <f t="shared" si="4"/>
        <v>0</v>
      </c>
      <c r="L241" s="268"/>
      <c r="M241" s="192"/>
      <c r="N241" s="164"/>
      <c r="O241" s="165">
        <v>0</v>
      </c>
      <c r="P241" s="254" t="e">
        <v>#DIV/0!</v>
      </c>
      <c r="Q241" s="223"/>
      <c r="R241" s="35"/>
      <c r="S241" s="384"/>
      <c r="T241" s="67"/>
      <c r="U241" s="67"/>
      <c r="V241" s="180"/>
      <c r="W241" s="180"/>
      <c r="X241" s="2"/>
      <c r="Y241" s="180"/>
      <c r="Z241" s="180"/>
    </row>
    <row r="242" spans="2:26" ht="20.25">
      <c r="B242" s="380"/>
      <c r="C242" s="382"/>
      <c r="D242" s="179"/>
      <c r="E242" s="162"/>
      <c r="F242" s="163"/>
      <c r="G242" s="191"/>
      <c r="H242" s="191"/>
      <c r="I242" s="192"/>
      <c r="J242" s="164"/>
      <c r="K242" s="165">
        <f t="shared" si="4"/>
        <v>0</v>
      </c>
      <c r="L242" s="268"/>
      <c r="M242" s="192"/>
      <c r="N242" s="164"/>
      <c r="O242" s="165">
        <v>0</v>
      </c>
      <c r="P242" s="252" t="e">
        <v>#DIV/0!</v>
      </c>
      <c r="Q242" s="219"/>
      <c r="R242" s="35"/>
      <c r="S242" s="384"/>
      <c r="T242" s="67"/>
      <c r="U242" s="67"/>
      <c r="V242" s="180"/>
      <c r="W242" s="180"/>
      <c r="X242" s="2"/>
      <c r="Y242" s="180"/>
      <c r="Z242" s="180"/>
    </row>
    <row r="243" spans="2:26" ht="20.25">
      <c r="B243" s="380"/>
      <c r="C243" s="382"/>
      <c r="D243" s="179"/>
      <c r="E243" s="162"/>
      <c r="F243" s="163"/>
      <c r="G243" s="191"/>
      <c r="H243" s="191"/>
      <c r="I243" s="192"/>
      <c r="J243" s="164"/>
      <c r="K243" s="165">
        <f t="shared" si="4"/>
        <v>0</v>
      </c>
      <c r="L243" s="268"/>
      <c r="M243" s="192"/>
      <c r="N243" s="164"/>
      <c r="O243" s="165">
        <v>0</v>
      </c>
      <c r="P243" s="252" t="e">
        <v>#DIV/0!</v>
      </c>
      <c r="Q243" s="219"/>
      <c r="R243" s="35"/>
      <c r="S243" s="384"/>
      <c r="T243" s="67"/>
      <c r="U243" s="67"/>
      <c r="V243" s="180"/>
      <c r="W243" s="180"/>
      <c r="X243" s="2"/>
      <c r="Y243" s="180"/>
      <c r="Z243" s="180"/>
    </row>
    <row r="244" spans="2:26" ht="20.25">
      <c r="B244" s="380"/>
      <c r="C244" s="382"/>
      <c r="D244" s="179"/>
      <c r="E244" s="162"/>
      <c r="F244" s="163"/>
      <c r="G244" s="191"/>
      <c r="H244" s="191"/>
      <c r="I244" s="192"/>
      <c r="J244" s="164"/>
      <c r="K244" s="165">
        <f t="shared" si="4"/>
        <v>0</v>
      </c>
      <c r="L244" s="268"/>
      <c r="M244" s="192"/>
      <c r="N244" s="164"/>
      <c r="O244" s="165">
        <v>0</v>
      </c>
      <c r="P244" s="252" t="e">
        <v>#DIV/0!</v>
      </c>
      <c r="Q244" s="219"/>
      <c r="R244" s="35"/>
      <c r="S244" s="384"/>
      <c r="T244" s="67"/>
      <c r="U244" s="67"/>
      <c r="V244" s="180"/>
      <c r="W244" s="180"/>
      <c r="X244" s="2"/>
      <c r="Y244" s="180"/>
      <c r="Z244" s="180"/>
    </row>
    <row r="245" spans="2:26" ht="20.25">
      <c r="B245" s="380"/>
      <c r="C245" s="382"/>
      <c r="D245" s="179"/>
      <c r="E245" s="162"/>
      <c r="F245" s="163"/>
      <c r="G245" s="191"/>
      <c r="H245" s="191"/>
      <c r="I245" s="192"/>
      <c r="J245" s="164"/>
      <c r="K245" s="165">
        <f t="shared" si="4"/>
        <v>0</v>
      </c>
      <c r="L245" s="268"/>
      <c r="M245" s="192"/>
      <c r="N245" s="164"/>
      <c r="O245" s="165">
        <v>0</v>
      </c>
      <c r="P245" s="254" t="e">
        <v>#DIV/0!</v>
      </c>
      <c r="Q245" s="220"/>
      <c r="R245" s="221"/>
      <c r="S245" s="384"/>
      <c r="T245" s="67"/>
      <c r="U245" s="67"/>
      <c r="V245" s="180"/>
      <c r="W245" s="180"/>
      <c r="X245" s="2"/>
      <c r="Y245" s="180"/>
      <c r="Z245" s="180"/>
    </row>
    <row r="246" spans="2:26" ht="20.25">
      <c r="B246" s="380"/>
      <c r="C246" s="382"/>
      <c r="D246" s="179"/>
      <c r="E246" s="162"/>
      <c r="F246" s="163"/>
      <c r="G246" s="191"/>
      <c r="H246" s="191"/>
      <c r="I246" s="192"/>
      <c r="J246" s="164"/>
      <c r="K246" s="165">
        <f t="shared" si="4"/>
        <v>0</v>
      </c>
      <c r="L246" s="268"/>
      <c r="M246" s="192"/>
      <c r="N246" s="164"/>
      <c r="O246" s="165">
        <v>0</v>
      </c>
      <c r="P246" s="253" t="e">
        <v>#DIV/0!</v>
      </c>
      <c r="Q246" s="224"/>
      <c r="R246" s="218"/>
      <c r="S246" s="384"/>
      <c r="T246" s="67"/>
      <c r="U246" s="67"/>
      <c r="V246" s="180"/>
      <c r="W246" s="180"/>
      <c r="X246" s="2"/>
      <c r="Y246" s="180"/>
      <c r="Z246" s="180"/>
    </row>
    <row r="247" spans="2:26" ht="20.25">
      <c r="B247" s="380"/>
      <c r="C247" s="382"/>
      <c r="D247" s="179"/>
      <c r="E247" s="162"/>
      <c r="F247" s="163"/>
      <c r="G247" s="191"/>
      <c r="H247" s="191"/>
      <c r="I247" s="192"/>
      <c r="J247" s="164"/>
      <c r="K247" s="165">
        <f t="shared" si="4"/>
        <v>0</v>
      </c>
      <c r="L247" s="268"/>
      <c r="M247" s="192"/>
      <c r="N247" s="164"/>
      <c r="O247" s="165">
        <v>0</v>
      </c>
      <c r="P247" s="254" t="e">
        <v>#DIV/0!</v>
      </c>
      <c r="Q247" s="225"/>
      <c r="R247" s="231"/>
      <c r="S247" s="384"/>
      <c r="T247" s="67"/>
      <c r="U247" s="67"/>
      <c r="V247" s="180"/>
      <c r="W247" s="180"/>
      <c r="X247" s="2"/>
      <c r="Y247" s="180"/>
      <c r="Z247" s="180"/>
    </row>
    <row r="248" spans="2:26" ht="20.25">
      <c r="B248" s="380"/>
      <c r="C248" s="382"/>
      <c r="D248" s="179"/>
      <c r="E248" s="162"/>
      <c r="F248" s="163"/>
      <c r="G248" s="191"/>
      <c r="H248" s="191"/>
      <c r="I248" s="192"/>
      <c r="J248" s="164"/>
      <c r="K248" s="165">
        <f t="shared" si="4"/>
        <v>0</v>
      </c>
      <c r="L248" s="268"/>
      <c r="M248" s="192"/>
      <c r="N248" s="164"/>
      <c r="O248" s="165">
        <v>0</v>
      </c>
      <c r="P248" s="254" t="e">
        <v>#DIV/0!</v>
      </c>
      <c r="Q248" s="225"/>
      <c r="R248" s="231"/>
      <c r="S248" s="384"/>
      <c r="T248" s="67"/>
      <c r="U248" s="67"/>
      <c r="V248" s="180"/>
      <c r="W248" s="180"/>
      <c r="X248" s="2"/>
      <c r="Y248" s="180"/>
      <c r="Z248" s="180"/>
    </row>
    <row r="249" spans="2:26" ht="20.25">
      <c r="B249" s="380"/>
      <c r="C249" s="382"/>
      <c r="D249" s="179"/>
      <c r="E249" s="162"/>
      <c r="F249" s="163"/>
      <c r="G249" s="191"/>
      <c r="H249" s="191"/>
      <c r="I249" s="192"/>
      <c r="J249" s="164"/>
      <c r="K249" s="165">
        <f t="shared" si="4"/>
        <v>0</v>
      </c>
      <c r="L249" s="268"/>
      <c r="M249" s="192"/>
      <c r="N249" s="164"/>
      <c r="O249" s="165">
        <v>0</v>
      </c>
      <c r="P249" s="254" t="e">
        <v>#DIV/0!</v>
      </c>
      <c r="Q249" s="225"/>
      <c r="R249" s="37"/>
      <c r="S249" s="384"/>
      <c r="T249" s="67"/>
      <c r="U249" s="67"/>
      <c r="V249" s="180"/>
      <c r="W249" s="180"/>
      <c r="X249" s="2"/>
      <c r="Y249" s="180"/>
      <c r="Z249" s="180"/>
    </row>
    <row r="250" spans="2:26" ht="20.25">
      <c r="B250" s="380"/>
      <c r="C250" s="382"/>
      <c r="D250" s="179"/>
      <c r="E250" s="162"/>
      <c r="F250" s="163"/>
      <c r="G250" s="191"/>
      <c r="H250" s="191"/>
      <c r="I250" s="192"/>
      <c r="J250" s="164"/>
      <c r="K250" s="165">
        <f t="shared" si="4"/>
        <v>0</v>
      </c>
      <c r="L250" s="268"/>
      <c r="M250" s="192"/>
      <c r="N250" s="164"/>
      <c r="O250" s="165">
        <v>0</v>
      </c>
      <c r="P250" s="254" t="e">
        <v>#DIV/0!</v>
      </c>
      <c r="Q250" s="225"/>
      <c r="R250" s="37"/>
      <c r="S250" s="384"/>
      <c r="T250" s="67"/>
      <c r="U250" s="67"/>
      <c r="V250" s="180"/>
      <c r="W250" s="180"/>
      <c r="X250" s="2"/>
      <c r="Y250" s="180"/>
      <c r="Z250" s="180"/>
    </row>
    <row r="251" spans="2:26" ht="20.25">
      <c r="B251" s="380"/>
      <c r="C251" s="382"/>
      <c r="D251" s="179"/>
      <c r="E251" s="162"/>
      <c r="F251" s="163"/>
      <c r="G251" s="191"/>
      <c r="H251" s="191"/>
      <c r="I251" s="192"/>
      <c r="J251" s="164"/>
      <c r="K251" s="165">
        <f t="shared" si="4"/>
        <v>0</v>
      </c>
      <c r="L251" s="268"/>
      <c r="M251" s="192"/>
      <c r="N251" s="164"/>
      <c r="O251" s="165">
        <v>0</v>
      </c>
      <c r="P251" s="254" t="e">
        <v>#DIV/0!</v>
      </c>
      <c r="Q251" s="225"/>
      <c r="R251" s="37"/>
      <c r="S251" s="384"/>
      <c r="T251" s="67"/>
      <c r="U251" s="67"/>
      <c r="V251" s="180"/>
      <c r="W251" s="180"/>
      <c r="X251" s="2"/>
      <c r="Y251" s="180"/>
      <c r="Z251" s="180"/>
    </row>
    <row r="252" spans="2:26" ht="20.25">
      <c r="B252" s="380"/>
      <c r="C252" s="382"/>
      <c r="D252" s="179"/>
      <c r="E252" s="162"/>
      <c r="F252" s="163"/>
      <c r="G252" s="191"/>
      <c r="H252" s="191"/>
      <c r="I252" s="192"/>
      <c r="J252" s="164"/>
      <c r="K252" s="165">
        <f t="shared" si="4"/>
        <v>0</v>
      </c>
      <c r="L252" s="268"/>
      <c r="M252" s="192"/>
      <c r="N252" s="164"/>
      <c r="O252" s="165">
        <v>0</v>
      </c>
      <c r="P252" s="254" t="e">
        <v>#DIV/0!</v>
      </c>
      <c r="Q252" s="225"/>
      <c r="R252" s="37"/>
      <c r="S252" s="384"/>
      <c r="T252" s="67"/>
      <c r="U252" s="67"/>
      <c r="V252" s="180"/>
      <c r="W252" s="180"/>
      <c r="X252" s="2"/>
      <c r="Y252" s="180"/>
      <c r="Z252" s="180"/>
    </row>
    <row r="253" spans="2:26" ht="20.25">
      <c r="B253" s="380"/>
      <c r="C253" s="382"/>
      <c r="D253" s="179"/>
      <c r="E253" s="162"/>
      <c r="F253" s="163"/>
      <c r="G253" s="191"/>
      <c r="H253" s="191"/>
      <c r="I253" s="192"/>
      <c r="J253" s="164"/>
      <c r="K253" s="165">
        <f t="shared" si="4"/>
        <v>0</v>
      </c>
      <c r="L253" s="268"/>
      <c r="M253" s="192"/>
      <c r="N253" s="164"/>
      <c r="O253" s="165">
        <v>0</v>
      </c>
      <c r="P253" s="254" t="e">
        <v>#DIV/0!</v>
      </c>
      <c r="Q253" s="225"/>
      <c r="R253" s="37"/>
      <c r="S253" s="384"/>
      <c r="T253" s="67"/>
      <c r="U253" s="67"/>
      <c r="V253" s="180"/>
      <c r="W253" s="180"/>
      <c r="X253" s="2"/>
      <c r="Y253" s="180"/>
      <c r="Z253" s="180"/>
    </row>
    <row r="254" spans="2:26" ht="20.25">
      <c r="B254" s="380"/>
      <c r="C254" s="382"/>
      <c r="D254" s="153"/>
      <c r="E254" s="154"/>
      <c r="F254" s="155"/>
      <c r="G254" s="143"/>
      <c r="H254" s="143"/>
      <c r="I254" s="3"/>
      <c r="J254" s="215"/>
      <c r="K254" s="165">
        <f t="shared" si="4"/>
        <v>0</v>
      </c>
      <c r="L254" s="264"/>
      <c r="M254" s="3"/>
      <c r="N254" s="215"/>
      <c r="O254" s="145">
        <v>0</v>
      </c>
      <c r="P254" s="254" t="e">
        <v>#DIV/0!</v>
      </c>
      <c r="Q254" s="225"/>
      <c r="R254" s="37"/>
      <c r="S254" s="384"/>
      <c r="T254" s="67"/>
      <c r="U254" s="67"/>
      <c r="V254" s="180"/>
      <c r="W254" s="180"/>
      <c r="X254" s="2"/>
      <c r="Y254" s="180"/>
      <c r="Z254" s="180"/>
    </row>
    <row r="255" spans="2:26" ht="20.25">
      <c r="B255" s="380"/>
      <c r="C255" s="382"/>
      <c r="D255" s="179"/>
      <c r="E255" s="162"/>
      <c r="F255" s="163"/>
      <c r="G255" s="191"/>
      <c r="H255" s="191"/>
      <c r="I255" s="192"/>
      <c r="J255" s="164"/>
      <c r="K255" s="165">
        <f t="shared" si="4"/>
        <v>0</v>
      </c>
      <c r="L255" s="268"/>
      <c r="M255" s="192"/>
      <c r="N255" s="164"/>
      <c r="O255" s="165">
        <v>0</v>
      </c>
      <c r="P255" s="254" t="e">
        <v>#DIV/0!</v>
      </c>
      <c r="Q255" s="225"/>
      <c r="R255" s="37"/>
      <c r="S255" s="384"/>
      <c r="T255" s="67"/>
      <c r="U255" s="67"/>
      <c r="V255" s="180"/>
      <c r="W255" s="180"/>
      <c r="X255" s="2"/>
      <c r="Y255" s="180"/>
      <c r="Z255" s="180"/>
    </row>
    <row r="256" spans="2:26" ht="20.25">
      <c r="B256" s="380"/>
      <c r="C256" s="382"/>
      <c r="D256" s="179"/>
      <c r="E256" s="162"/>
      <c r="F256" s="163"/>
      <c r="G256" s="191"/>
      <c r="H256" s="191"/>
      <c r="I256" s="192"/>
      <c r="J256" s="164"/>
      <c r="K256" s="165">
        <f t="shared" si="4"/>
        <v>0</v>
      </c>
      <c r="L256" s="268"/>
      <c r="M256" s="192"/>
      <c r="N256" s="164"/>
      <c r="O256" s="165">
        <v>0</v>
      </c>
      <c r="P256" s="254" t="e">
        <v>#DIV/0!</v>
      </c>
      <c r="Q256" s="225"/>
      <c r="R256" s="38"/>
      <c r="S256" s="384"/>
      <c r="T256" s="67"/>
      <c r="U256" s="67"/>
      <c r="V256" s="180"/>
      <c r="W256" s="180"/>
      <c r="X256" s="2"/>
      <c r="Y256" s="180"/>
      <c r="Z256" s="180"/>
    </row>
    <row r="257" spans="2:39" ht="20.25">
      <c r="B257" s="380"/>
      <c r="C257" s="382"/>
      <c r="D257" s="179"/>
      <c r="E257" s="162"/>
      <c r="F257" s="163"/>
      <c r="G257" s="191"/>
      <c r="H257" s="191"/>
      <c r="I257" s="192"/>
      <c r="J257" s="164"/>
      <c r="K257" s="165">
        <f t="shared" si="4"/>
        <v>0</v>
      </c>
      <c r="L257" s="268"/>
      <c r="M257" s="192"/>
      <c r="N257" s="164"/>
      <c r="O257" s="165">
        <v>0</v>
      </c>
      <c r="P257" s="254" t="e">
        <v>#DIV/0!</v>
      </c>
      <c r="Q257" s="225"/>
      <c r="R257" s="38"/>
      <c r="S257" s="384"/>
      <c r="T257" s="67"/>
      <c r="U257" s="67"/>
      <c r="V257" s="180"/>
      <c r="W257" s="180"/>
      <c r="X257" s="2"/>
      <c r="Y257" s="180"/>
      <c r="Z257" s="180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</row>
    <row r="258" spans="2:39" ht="20.25">
      <c r="B258" s="380"/>
      <c r="C258" s="382"/>
      <c r="D258" s="179"/>
      <c r="E258" s="162"/>
      <c r="F258" s="163"/>
      <c r="G258" s="191"/>
      <c r="H258" s="191"/>
      <c r="I258" s="192"/>
      <c r="J258" s="164"/>
      <c r="K258" s="165">
        <f t="shared" si="4"/>
        <v>0</v>
      </c>
      <c r="L258" s="268"/>
      <c r="M258" s="192"/>
      <c r="N258" s="164"/>
      <c r="O258" s="165">
        <v>0</v>
      </c>
      <c r="P258" s="252" t="e">
        <v>#DIV/0!</v>
      </c>
      <c r="Q258" s="294"/>
      <c r="R258" s="295"/>
      <c r="S258" s="384"/>
      <c r="T258" s="67"/>
      <c r="U258" s="67"/>
      <c r="V258" s="180"/>
      <c r="W258" s="180"/>
      <c r="X258" s="2"/>
      <c r="Y258" s="180"/>
      <c r="Z258" s="180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</row>
    <row r="259" spans="2:39" ht="20.25">
      <c r="B259" s="380"/>
      <c r="C259" s="382"/>
      <c r="D259" s="179"/>
      <c r="E259" s="162"/>
      <c r="F259" s="163"/>
      <c r="G259" s="191"/>
      <c r="H259" s="191"/>
      <c r="I259" s="192"/>
      <c r="J259" s="164"/>
      <c r="K259" s="165">
        <f t="shared" si="4"/>
        <v>0</v>
      </c>
      <c r="L259" s="268"/>
      <c r="M259" s="192"/>
      <c r="N259" s="164"/>
      <c r="O259" s="165">
        <v>0</v>
      </c>
      <c r="P259" s="252" t="e">
        <v>#DIV/0!</v>
      </c>
      <c r="Q259" s="294"/>
      <c r="R259" s="307"/>
      <c r="S259" s="384"/>
      <c r="T259" s="67"/>
      <c r="U259" s="67"/>
      <c r="V259" s="180"/>
      <c r="W259" s="180"/>
      <c r="X259" s="2"/>
      <c r="Y259" s="180"/>
      <c r="Z259" s="180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</row>
    <row r="260" spans="2:39" ht="20.25">
      <c r="B260" s="380"/>
      <c r="C260" s="382"/>
      <c r="D260" s="179"/>
      <c r="E260" s="162"/>
      <c r="F260" s="163"/>
      <c r="G260" s="191"/>
      <c r="H260" s="191"/>
      <c r="I260" s="192"/>
      <c r="J260" s="164"/>
      <c r="K260" s="165">
        <f t="shared" si="4"/>
        <v>0</v>
      </c>
      <c r="L260" s="268"/>
      <c r="M260" s="192"/>
      <c r="N260" s="164"/>
      <c r="O260" s="165">
        <v>0</v>
      </c>
      <c r="P260" s="252" t="e">
        <v>#DIV/0!</v>
      </c>
      <c r="Q260" s="294"/>
      <c r="R260" s="307"/>
      <c r="S260" s="384"/>
      <c r="T260" s="67"/>
      <c r="U260" s="67"/>
      <c r="V260" s="180"/>
      <c r="W260" s="180"/>
      <c r="X260" s="2"/>
      <c r="Y260" s="180"/>
      <c r="Z260" s="180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</row>
    <row r="261" spans="2:39" ht="20.25">
      <c r="B261" s="380"/>
      <c r="C261" s="382"/>
      <c r="D261" s="179"/>
      <c r="E261" s="162"/>
      <c r="F261" s="163"/>
      <c r="G261" s="191"/>
      <c r="H261" s="191"/>
      <c r="I261" s="192"/>
      <c r="J261" s="164"/>
      <c r="K261" s="165">
        <f t="shared" si="4"/>
        <v>0</v>
      </c>
      <c r="L261" s="268"/>
      <c r="M261" s="192"/>
      <c r="N261" s="164"/>
      <c r="O261" s="165">
        <v>0</v>
      </c>
      <c r="P261" s="252" t="e">
        <v>#DIV/0!</v>
      </c>
      <c r="Q261" s="198"/>
      <c r="R261" s="193"/>
      <c r="S261" s="384"/>
      <c r="T261" s="2"/>
      <c r="U261" s="2"/>
      <c r="V261" s="194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2:39" ht="20.25">
      <c r="B262" s="380"/>
      <c r="C262" s="382"/>
      <c r="D262" s="179"/>
      <c r="E262" s="162"/>
      <c r="F262" s="163"/>
      <c r="G262" s="191"/>
      <c r="H262" s="191"/>
      <c r="I262" s="192"/>
      <c r="J262" s="164"/>
      <c r="K262" s="165">
        <f t="shared" si="4"/>
        <v>0</v>
      </c>
      <c r="L262" s="268"/>
      <c r="M262" s="192"/>
      <c r="N262" s="164"/>
      <c r="O262" s="165">
        <v>0</v>
      </c>
      <c r="P262" s="252" t="e">
        <v>#DIV/0!</v>
      </c>
      <c r="Q262" s="198"/>
      <c r="R262" s="230"/>
      <c r="S262" s="384"/>
      <c r="T262" s="2"/>
      <c r="U262" s="2"/>
      <c r="V262" s="194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2:39" ht="20.25">
      <c r="B263" s="380"/>
      <c r="C263" s="382"/>
      <c r="D263" s="179"/>
      <c r="E263" s="162"/>
      <c r="F263" s="163"/>
      <c r="G263" s="191"/>
      <c r="H263" s="191"/>
      <c r="I263" s="192"/>
      <c r="J263" s="164"/>
      <c r="K263" s="165">
        <f t="shared" si="4"/>
        <v>0</v>
      </c>
      <c r="L263" s="268"/>
      <c r="M263" s="192"/>
      <c r="N263" s="164"/>
      <c r="O263" s="165">
        <v>0</v>
      </c>
      <c r="P263" s="252" t="e">
        <v>#DIV/0!</v>
      </c>
      <c r="Q263" s="198"/>
      <c r="R263" s="230"/>
      <c r="S263" s="384"/>
      <c r="T263" s="2"/>
      <c r="U263" s="2"/>
      <c r="V263" s="194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2:39" ht="20.25">
      <c r="B264" s="380"/>
      <c r="C264" s="382"/>
      <c r="D264" s="179"/>
      <c r="E264" s="162"/>
      <c r="F264" s="163"/>
      <c r="G264" s="191"/>
      <c r="H264" s="191"/>
      <c r="I264" s="192"/>
      <c r="J264" s="164"/>
      <c r="K264" s="165">
        <f t="shared" si="4"/>
        <v>0</v>
      </c>
      <c r="L264" s="268"/>
      <c r="M264" s="192"/>
      <c r="N264" s="164"/>
      <c r="O264" s="165">
        <v>0</v>
      </c>
      <c r="P264" s="252" t="e">
        <v>#DIV/0!</v>
      </c>
      <c r="Q264" s="198"/>
      <c r="R264" s="230"/>
      <c r="S264" s="384"/>
      <c r="T264" s="2"/>
      <c r="U264" s="2"/>
      <c r="V264" s="194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2:39" ht="20.25">
      <c r="B265" s="380"/>
      <c r="C265" s="382"/>
      <c r="D265" s="179"/>
      <c r="E265" s="162"/>
      <c r="F265" s="163"/>
      <c r="G265" s="191"/>
      <c r="H265" s="191"/>
      <c r="I265" s="192"/>
      <c r="J265" s="164"/>
      <c r="K265" s="165">
        <f t="shared" si="4"/>
        <v>0</v>
      </c>
      <c r="L265" s="268"/>
      <c r="M265" s="192"/>
      <c r="N265" s="164"/>
      <c r="O265" s="165">
        <v>0</v>
      </c>
      <c r="P265" s="252" t="e">
        <v>#DIV/0!</v>
      </c>
      <c r="Q265" s="198"/>
      <c r="R265" s="230"/>
      <c r="S265" s="384"/>
      <c r="T265" s="2"/>
      <c r="U265" s="2"/>
      <c r="V265" s="194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2:39" ht="20.25">
      <c r="B266" s="380"/>
      <c r="C266" s="382"/>
      <c r="D266" s="179"/>
      <c r="E266" s="162"/>
      <c r="F266" s="163"/>
      <c r="G266" s="191"/>
      <c r="H266" s="191"/>
      <c r="I266" s="192"/>
      <c r="J266" s="164"/>
      <c r="K266" s="165">
        <f t="shared" si="4"/>
        <v>0</v>
      </c>
      <c r="L266" s="268"/>
      <c r="M266" s="192"/>
      <c r="N266" s="164"/>
      <c r="O266" s="165">
        <v>0</v>
      </c>
      <c r="P266" s="252" t="e">
        <v>#DIV/0!</v>
      </c>
      <c r="Q266" s="198"/>
      <c r="R266" s="230"/>
      <c r="S266" s="384"/>
      <c r="T266" s="67"/>
      <c r="U266" s="67"/>
      <c r="V266" s="194"/>
      <c r="W266" s="180"/>
      <c r="X266" s="2"/>
      <c r="Y266" s="180"/>
      <c r="Z266" s="180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</row>
    <row r="267" spans="2:39" ht="20.25">
      <c r="B267" s="380"/>
      <c r="C267" s="382"/>
      <c r="D267" s="179"/>
      <c r="E267" s="162"/>
      <c r="F267" s="163"/>
      <c r="G267" s="191"/>
      <c r="H267" s="191"/>
      <c r="I267" s="192"/>
      <c r="J267" s="164"/>
      <c r="K267" s="165">
        <f t="shared" si="4"/>
        <v>0</v>
      </c>
      <c r="L267" s="268"/>
      <c r="M267" s="192"/>
      <c r="N267" s="164"/>
      <c r="O267" s="165">
        <v>0</v>
      </c>
      <c r="P267" s="253" t="e">
        <v>#DIV/0!</v>
      </c>
      <c r="Q267" s="199"/>
      <c r="R267" s="161"/>
      <c r="S267" s="384"/>
      <c r="T267" s="67"/>
      <c r="U267" s="67"/>
      <c r="V267" s="194"/>
      <c r="W267" s="67"/>
      <c r="X267" s="2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</row>
    <row r="268" spans="2:39" ht="20.25">
      <c r="B268" s="380"/>
      <c r="C268" s="382"/>
      <c r="D268" s="179"/>
      <c r="E268" s="162"/>
      <c r="F268" s="163"/>
      <c r="G268" s="191"/>
      <c r="H268" s="191"/>
      <c r="I268" s="192"/>
      <c r="J268" s="164"/>
      <c r="K268" s="165">
        <f t="shared" si="4"/>
        <v>0</v>
      </c>
      <c r="L268" s="268"/>
      <c r="M268" s="192"/>
      <c r="N268" s="164"/>
      <c r="O268" s="165">
        <v>0</v>
      </c>
      <c r="P268" s="252" t="e">
        <v>#DIV/0!</v>
      </c>
      <c r="Q268" s="200"/>
      <c r="R268" s="35"/>
      <c r="S268" s="384"/>
      <c r="T268" s="67"/>
      <c r="U268" s="67"/>
      <c r="V268" s="194"/>
      <c r="W268" s="67"/>
      <c r="X268" s="2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</row>
    <row r="269" spans="2:39" ht="20.25">
      <c r="B269" s="380"/>
      <c r="C269" s="382"/>
      <c r="D269" s="179"/>
      <c r="E269" s="162"/>
      <c r="F269" s="163"/>
      <c r="G269" s="191"/>
      <c r="H269" s="191"/>
      <c r="I269" s="192"/>
      <c r="J269" s="164"/>
      <c r="K269" s="165">
        <f t="shared" si="4"/>
        <v>0</v>
      </c>
      <c r="L269" s="268"/>
      <c r="M269" s="192"/>
      <c r="N269" s="164"/>
      <c r="O269" s="165">
        <v>0</v>
      </c>
      <c r="P269" s="252" t="e">
        <v>#DIV/0!</v>
      </c>
      <c r="Q269" s="200"/>
      <c r="R269" s="175"/>
      <c r="S269" s="384"/>
      <c r="T269" s="67"/>
      <c r="U269" s="67"/>
      <c r="V269" s="194"/>
      <c r="W269" s="67"/>
      <c r="X269" s="2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</row>
    <row r="270" spans="2:39" ht="20.25">
      <c r="B270" s="380"/>
      <c r="C270" s="382"/>
      <c r="D270" s="179"/>
      <c r="E270" s="162"/>
      <c r="F270" s="163"/>
      <c r="G270" s="191"/>
      <c r="H270" s="191"/>
      <c r="I270" s="192"/>
      <c r="J270" s="164"/>
      <c r="K270" s="165">
        <f t="shared" si="4"/>
        <v>0</v>
      </c>
      <c r="L270" s="268"/>
      <c r="M270" s="192"/>
      <c r="N270" s="164"/>
      <c r="O270" s="165">
        <v>0</v>
      </c>
      <c r="P270" s="252" t="e">
        <v>#DIV/0!</v>
      </c>
      <c r="Q270" s="200"/>
      <c r="R270" s="175"/>
      <c r="S270" s="384"/>
      <c r="T270" s="67"/>
      <c r="U270" s="67"/>
      <c r="V270" s="194"/>
      <c r="W270" s="67"/>
      <c r="X270" s="2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</row>
    <row r="271" spans="2:39" ht="20.25">
      <c r="B271" s="380"/>
      <c r="C271" s="382"/>
      <c r="D271" s="179"/>
      <c r="E271" s="162"/>
      <c r="F271" s="163"/>
      <c r="G271" s="191"/>
      <c r="H271" s="191"/>
      <c r="I271" s="192"/>
      <c r="J271" s="164"/>
      <c r="K271" s="165">
        <f t="shared" si="4"/>
        <v>0</v>
      </c>
      <c r="L271" s="268"/>
      <c r="M271" s="192"/>
      <c r="N271" s="164"/>
      <c r="O271" s="165">
        <v>0</v>
      </c>
      <c r="P271" s="252" t="e">
        <v>#DIV/0!</v>
      </c>
      <c r="Q271" s="200"/>
      <c r="R271" s="175"/>
      <c r="S271" s="384"/>
      <c r="T271" s="67"/>
      <c r="U271" s="67"/>
      <c r="V271" s="194"/>
      <c r="W271" s="67"/>
      <c r="X271" s="2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</row>
    <row r="272" spans="2:39" ht="20.25">
      <c r="B272" s="380"/>
      <c r="C272" s="382"/>
      <c r="D272" s="179"/>
      <c r="E272" s="162"/>
      <c r="F272" s="163"/>
      <c r="G272" s="191"/>
      <c r="H272" s="191"/>
      <c r="I272" s="192"/>
      <c r="J272" s="164"/>
      <c r="K272" s="165">
        <f t="shared" si="4"/>
        <v>0</v>
      </c>
      <c r="L272" s="268"/>
      <c r="M272" s="192"/>
      <c r="N272" s="164"/>
      <c r="O272" s="165">
        <v>0</v>
      </c>
      <c r="P272" s="252" t="e">
        <v>#DIV/0!</v>
      </c>
      <c r="Q272" s="200"/>
      <c r="R272" s="175"/>
      <c r="S272" s="384"/>
      <c r="T272" s="67"/>
      <c r="U272" s="67"/>
      <c r="V272" s="194"/>
      <c r="W272" s="67"/>
      <c r="X272" s="2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</row>
    <row r="273" spans="2:26" ht="20.25">
      <c r="B273" s="380"/>
      <c r="C273" s="382"/>
      <c r="D273" s="179"/>
      <c r="E273" s="162"/>
      <c r="F273" s="163"/>
      <c r="G273" s="191"/>
      <c r="H273" s="191"/>
      <c r="I273" s="192"/>
      <c r="J273" s="164"/>
      <c r="K273" s="165">
        <f t="shared" si="4"/>
        <v>0</v>
      </c>
      <c r="L273" s="268"/>
      <c r="M273" s="192"/>
      <c r="N273" s="164"/>
      <c r="O273" s="165">
        <v>0</v>
      </c>
      <c r="P273" s="252" t="e">
        <v>#DIV/0!</v>
      </c>
      <c r="Q273" s="200"/>
      <c r="R273" s="175"/>
      <c r="S273" s="384"/>
      <c r="T273" s="67"/>
      <c r="U273" s="67"/>
      <c r="V273" s="194"/>
      <c r="W273" s="67"/>
      <c r="X273" s="2"/>
      <c r="Y273" s="67"/>
      <c r="Z273" s="67"/>
    </row>
    <row r="274" spans="2:26" ht="20.25">
      <c r="B274" s="380"/>
      <c r="C274" s="382"/>
      <c r="D274" s="179"/>
      <c r="E274" s="162"/>
      <c r="F274" s="163"/>
      <c r="G274" s="191"/>
      <c r="H274" s="191"/>
      <c r="I274" s="192"/>
      <c r="J274" s="164"/>
      <c r="K274" s="165">
        <f t="shared" si="4"/>
        <v>0</v>
      </c>
      <c r="L274" s="268"/>
      <c r="M274" s="192"/>
      <c r="N274" s="164"/>
      <c r="O274" s="165">
        <v>0</v>
      </c>
      <c r="P274" s="252" t="e">
        <v>#DIV/0!</v>
      </c>
      <c r="Q274" s="200"/>
      <c r="R274" s="175"/>
      <c r="S274" s="384"/>
      <c r="T274" s="67"/>
      <c r="U274" s="67"/>
      <c r="V274" s="194"/>
      <c r="W274" s="67"/>
      <c r="X274" s="2"/>
      <c r="Y274" s="67"/>
      <c r="Z274" s="67"/>
    </row>
    <row r="275" spans="2:26" ht="20.25">
      <c r="B275" s="380"/>
      <c r="C275" s="382"/>
      <c r="D275" s="179"/>
      <c r="E275" s="162"/>
      <c r="F275" s="163"/>
      <c r="G275" s="191"/>
      <c r="H275" s="191"/>
      <c r="I275" s="192"/>
      <c r="J275" s="164"/>
      <c r="K275" s="165">
        <f t="shared" si="4"/>
        <v>0</v>
      </c>
      <c r="L275" s="268"/>
      <c r="M275" s="192"/>
      <c r="N275" s="164"/>
      <c r="O275" s="165">
        <v>0</v>
      </c>
      <c r="P275" s="252" t="e">
        <v>#DIV/0!</v>
      </c>
      <c r="Q275" s="200"/>
      <c r="R275" s="175"/>
      <c r="S275" s="384"/>
      <c r="T275" s="67"/>
      <c r="U275" s="67"/>
      <c r="V275" s="194"/>
      <c r="W275" s="67"/>
      <c r="X275" s="2"/>
      <c r="Y275" s="67"/>
      <c r="Z275" s="67"/>
    </row>
    <row r="276" spans="2:26" ht="20.25">
      <c r="B276" s="380"/>
      <c r="C276" s="382"/>
      <c r="D276" s="179"/>
      <c r="E276" s="162"/>
      <c r="F276" s="163"/>
      <c r="G276" s="191"/>
      <c r="H276" s="191"/>
      <c r="I276" s="192"/>
      <c r="J276" s="164"/>
      <c r="K276" s="165">
        <f t="shared" si="4"/>
        <v>0</v>
      </c>
      <c r="L276" s="268"/>
      <c r="M276" s="192"/>
      <c r="N276" s="164"/>
      <c r="O276" s="165">
        <v>0</v>
      </c>
      <c r="P276" s="252" t="e">
        <v>#DIV/0!</v>
      </c>
      <c r="Q276" s="200"/>
      <c r="R276" s="273"/>
      <c r="S276" s="384"/>
      <c r="T276" s="67"/>
      <c r="U276" s="67"/>
      <c r="V276" s="194"/>
      <c r="W276" s="67"/>
      <c r="X276" s="2"/>
      <c r="Y276" s="67"/>
      <c r="Z276" s="67"/>
    </row>
    <row r="277" spans="2:26" ht="20.25">
      <c r="B277" s="380"/>
      <c r="C277" s="382"/>
      <c r="D277" s="179"/>
      <c r="E277" s="162"/>
      <c r="F277" s="163"/>
      <c r="G277" s="191"/>
      <c r="H277" s="191"/>
      <c r="I277" s="192"/>
      <c r="J277" s="164"/>
      <c r="K277" s="165">
        <f t="shared" si="4"/>
        <v>0</v>
      </c>
      <c r="L277" s="268"/>
      <c r="M277" s="192"/>
      <c r="N277" s="164"/>
      <c r="O277" s="165">
        <v>0</v>
      </c>
      <c r="P277" s="252" t="e">
        <v>#DIV/0!</v>
      </c>
      <c r="Q277" s="200"/>
      <c r="R277" s="175"/>
      <c r="S277" s="384"/>
      <c r="T277" s="67"/>
      <c r="U277" s="67"/>
      <c r="V277" s="194"/>
      <c r="W277" s="67"/>
      <c r="X277" s="2"/>
      <c r="Y277" s="67"/>
      <c r="Z277" s="67"/>
    </row>
    <row r="278" spans="2:26" ht="20.25">
      <c r="B278" s="380"/>
      <c r="C278" s="382"/>
      <c r="D278" s="179"/>
      <c r="E278" s="162"/>
      <c r="F278" s="163"/>
      <c r="G278" s="191"/>
      <c r="H278" s="191"/>
      <c r="I278" s="192"/>
      <c r="J278" s="164"/>
      <c r="K278" s="165">
        <f t="shared" si="4"/>
        <v>0</v>
      </c>
      <c r="L278" s="268"/>
      <c r="M278" s="192"/>
      <c r="N278" s="164"/>
      <c r="O278" s="165">
        <v>0</v>
      </c>
      <c r="P278" s="252" t="e">
        <v>#DIV/0!</v>
      </c>
      <c r="Q278" s="200"/>
      <c r="R278" s="175"/>
      <c r="S278" s="384"/>
      <c r="T278" s="67"/>
      <c r="U278" s="67"/>
      <c r="V278" s="194"/>
      <c r="W278" s="67"/>
      <c r="X278" s="2"/>
      <c r="Y278" s="67"/>
      <c r="Z278" s="67"/>
    </row>
    <row r="279" spans="2:26" ht="20.25">
      <c r="B279" s="380"/>
      <c r="C279" s="382"/>
      <c r="D279" s="179"/>
      <c r="E279" s="162"/>
      <c r="F279" s="163"/>
      <c r="G279" s="191"/>
      <c r="H279" s="191"/>
      <c r="I279" s="192"/>
      <c r="J279" s="164"/>
      <c r="K279" s="165">
        <f t="shared" si="4"/>
        <v>0</v>
      </c>
      <c r="L279" s="268"/>
      <c r="M279" s="192"/>
      <c r="N279" s="164"/>
      <c r="O279" s="165">
        <v>0</v>
      </c>
      <c r="P279" s="252" t="e">
        <v>#DIV/0!</v>
      </c>
      <c r="Q279" s="200"/>
      <c r="R279" s="175"/>
      <c r="S279" s="384"/>
      <c r="T279" s="67"/>
      <c r="U279" s="67"/>
      <c r="V279" s="194"/>
      <c r="W279" s="67"/>
      <c r="X279" s="2"/>
      <c r="Y279" s="67"/>
      <c r="Z279" s="67"/>
    </row>
    <row r="280" spans="2:26" ht="20.25">
      <c r="B280" s="380"/>
      <c r="C280" s="382"/>
      <c r="D280" s="179"/>
      <c r="E280" s="162"/>
      <c r="F280" s="163"/>
      <c r="G280" s="191"/>
      <c r="H280" s="191"/>
      <c r="I280" s="192"/>
      <c r="J280" s="164"/>
      <c r="K280" s="165">
        <f t="shared" si="4"/>
        <v>0</v>
      </c>
      <c r="L280" s="268"/>
      <c r="M280" s="192"/>
      <c r="N280" s="164"/>
      <c r="O280" s="165">
        <v>0</v>
      </c>
      <c r="P280" s="252" t="e">
        <v>#DIV/0!</v>
      </c>
      <c r="Q280" s="200"/>
      <c r="R280" s="175"/>
      <c r="S280" s="384"/>
      <c r="T280" s="67"/>
      <c r="U280" s="67"/>
      <c r="V280" s="194"/>
      <c r="W280" s="67"/>
      <c r="X280" s="2"/>
      <c r="Y280" s="67"/>
      <c r="Z280" s="67"/>
    </row>
    <row r="281" spans="2:26" ht="20.25">
      <c r="B281" s="380"/>
      <c r="C281" s="382"/>
      <c r="D281" s="179"/>
      <c r="E281" s="162"/>
      <c r="F281" s="163"/>
      <c r="G281" s="191"/>
      <c r="H281" s="191"/>
      <c r="I281" s="192"/>
      <c r="J281" s="164"/>
      <c r="K281" s="165">
        <f t="shared" si="4"/>
        <v>0</v>
      </c>
      <c r="L281" s="268"/>
      <c r="M281" s="192"/>
      <c r="N281" s="164"/>
      <c r="O281" s="165">
        <v>0</v>
      </c>
      <c r="P281" s="252" t="e">
        <v>#DIV/0!</v>
      </c>
      <c r="Q281" s="200"/>
      <c r="R281" s="175"/>
      <c r="S281" s="384"/>
      <c r="T281" s="67"/>
      <c r="U281" s="67"/>
      <c r="V281" s="194"/>
      <c r="W281" s="67"/>
      <c r="X281" s="2"/>
      <c r="Y281" s="67"/>
      <c r="Z281" s="67"/>
    </row>
    <row r="282" spans="2:26" ht="20.25">
      <c r="B282" s="380"/>
      <c r="C282" s="382"/>
      <c r="D282" s="179"/>
      <c r="E282" s="162"/>
      <c r="F282" s="163"/>
      <c r="G282" s="191"/>
      <c r="H282" s="191"/>
      <c r="I282" s="192"/>
      <c r="J282" s="164"/>
      <c r="K282" s="165">
        <f t="shared" si="4"/>
        <v>0</v>
      </c>
      <c r="L282" s="268"/>
      <c r="M282" s="192"/>
      <c r="N282" s="164"/>
      <c r="O282" s="165">
        <v>0</v>
      </c>
      <c r="P282" s="252" t="e">
        <v>#DIV/0!</v>
      </c>
      <c r="Q282" s="200"/>
      <c r="R282" s="175"/>
      <c r="S282" s="384"/>
      <c r="T282" s="67"/>
      <c r="U282" s="67"/>
      <c r="V282" s="194"/>
      <c r="W282" s="67"/>
      <c r="X282" s="2"/>
      <c r="Y282" s="67"/>
      <c r="Z282" s="67"/>
    </row>
    <row r="283" spans="2:26" ht="20.25">
      <c r="B283" s="380"/>
      <c r="C283" s="382"/>
      <c r="D283" s="179"/>
      <c r="E283" s="162"/>
      <c r="F283" s="163"/>
      <c r="G283" s="191"/>
      <c r="H283" s="191"/>
      <c r="I283" s="192"/>
      <c r="J283" s="164"/>
      <c r="K283" s="165">
        <f t="shared" si="4"/>
        <v>0</v>
      </c>
      <c r="L283" s="268"/>
      <c r="M283" s="192"/>
      <c r="N283" s="164"/>
      <c r="O283" s="165">
        <v>0</v>
      </c>
      <c r="P283" s="252" t="e">
        <v>#DIV/0!</v>
      </c>
      <c r="Q283" s="200"/>
      <c r="R283" s="175"/>
      <c r="S283" s="384"/>
      <c r="T283" s="67"/>
      <c r="U283" s="67"/>
      <c r="V283" s="194"/>
      <c r="W283" s="67"/>
      <c r="X283" s="2"/>
      <c r="Y283" s="67"/>
      <c r="Z283" s="67"/>
    </row>
    <row r="284" spans="2:26" ht="20.25">
      <c r="B284" s="380"/>
      <c r="C284" s="382"/>
      <c r="D284" s="179"/>
      <c r="E284" s="162"/>
      <c r="F284" s="163"/>
      <c r="G284" s="191"/>
      <c r="H284" s="191"/>
      <c r="I284" s="192"/>
      <c r="J284" s="164"/>
      <c r="K284" s="165">
        <f t="shared" si="4"/>
        <v>0</v>
      </c>
      <c r="L284" s="268"/>
      <c r="M284" s="192"/>
      <c r="N284" s="164"/>
      <c r="O284" s="165">
        <v>0</v>
      </c>
      <c r="P284" s="252" t="e">
        <v>#DIV/0!</v>
      </c>
      <c r="Q284" s="200"/>
      <c r="R284" s="175"/>
      <c r="S284" s="384"/>
      <c r="T284" s="67"/>
      <c r="U284" s="67"/>
      <c r="V284" s="194"/>
      <c r="W284" s="67"/>
      <c r="X284" s="2"/>
      <c r="Y284" s="67"/>
      <c r="Z284" s="67"/>
    </row>
    <row r="285" spans="2:26" ht="20.25">
      <c r="B285" s="380"/>
      <c r="C285" s="382"/>
      <c r="D285" s="179"/>
      <c r="E285" s="162"/>
      <c r="F285" s="163"/>
      <c r="G285" s="191"/>
      <c r="H285" s="191"/>
      <c r="I285" s="192"/>
      <c r="J285" s="164"/>
      <c r="K285" s="165">
        <f t="shared" si="4"/>
        <v>0</v>
      </c>
      <c r="L285" s="268"/>
      <c r="M285" s="192"/>
      <c r="N285" s="164"/>
      <c r="O285" s="165">
        <v>0</v>
      </c>
      <c r="P285" s="254" t="e">
        <v>#DIV/0!</v>
      </c>
      <c r="Q285" s="222"/>
      <c r="R285" s="161"/>
      <c r="S285" s="384"/>
      <c r="T285" s="67"/>
      <c r="U285" s="67"/>
      <c r="V285" s="180"/>
      <c r="W285" s="180"/>
      <c r="X285" s="2"/>
      <c r="Y285" s="180"/>
      <c r="Z285" s="180"/>
    </row>
    <row r="286" spans="2:26" ht="20.25">
      <c r="B286" s="380"/>
      <c r="C286" s="382"/>
      <c r="D286" s="179"/>
      <c r="E286" s="162"/>
      <c r="F286" s="163"/>
      <c r="G286" s="191"/>
      <c r="H286" s="191"/>
      <c r="I286" s="192"/>
      <c r="J286" s="164"/>
      <c r="K286" s="165">
        <f t="shared" si="4"/>
        <v>0</v>
      </c>
      <c r="L286" s="268"/>
      <c r="M286" s="192"/>
      <c r="N286" s="164"/>
      <c r="O286" s="165">
        <v>0</v>
      </c>
      <c r="P286" s="254" t="e">
        <v>#DIV/0!</v>
      </c>
      <c r="Q286" s="223"/>
      <c r="R286" s="35"/>
      <c r="S286" s="384"/>
      <c r="T286" s="67"/>
      <c r="U286" s="67"/>
      <c r="V286" s="180"/>
      <c r="W286" s="180"/>
      <c r="X286" s="2"/>
      <c r="Y286" s="180"/>
      <c r="Z286" s="180"/>
    </row>
    <row r="287" spans="2:26" ht="20.25">
      <c r="B287" s="380"/>
      <c r="C287" s="382"/>
      <c r="D287" s="179"/>
      <c r="E287" s="162"/>
      <c r="F287" s="163"/>
      <c r="G287" s="191"/>
      <c r="H287" s="191"/>
      <c r="I287" s="192"/>
      <c r="J287" s="164"/>
      <c r="K287" s="165">
        <f t="shared" si="4"/>
        <v>0</v>
      </c>
      <c r="L287" s="268"/>
      <c r="M287" s="192"/>
      <c r="N287" s="164"/>
      <c r="O287" s="165">
        <v>0</v>
      </c>
      <c r="P287" s="252" t="e">
        <v>#DIV/0!</v>
      </c>
      <c r="Q287" s="219"/>
      <c r="R287" s="35"/>
      <c r="S287" s="384"/>
      <c r="T287" s="67"/>
      <c r="U287" s="67"/>
      <c r="V287" s="180"/>
      <c r="W287" s="180"/>
      <c r="X287" s="2"/>
      <c r="Y287" s="180"/>
      <c r="Z287" s="180"/>
    </row>
    <row r="288" spans="2:26" ht="20.25">
      <c r="B288" s="380"/>
      <c r="C288" s="382"/>
      <c r="D288" s="179"/>
      <c r="E288" s="162"/>
      <c r="F288" s="163"/>
      <c r="G288" s="191"/>
      <c r="H288" s="191"/>
      <c r="I288" s="192"/>
      <c r="J288" s="164"/>
      <c r="K288" s="165">
        <f t="shared" si="4"/>
        <v>0</v>
      </c>
      <c r="L288" s="268"/>
      <c r="M288" s="192"/>
      <c r="N288" s="164"/>
      <c r="O288" s="165">
        <v>0</v>
      </c>
      <c r="P288" s="252" t="e">
        <v>#DIV/0!</v>
      </c>
      <c r="Q288" s="219"/>
      <c r="R288" s="35"/>
      <c r="S288" s="384"/>
      <c r="T288" s="67"/>
      <c r="U288" s="67"/>
      <c r="V288" s="180"/>
      <c r="W288" s="180"/>
      <c r="X288" s="2"/>
      <c r="Y288" s="180"/>
      <c r="Z288" s="180"/>
    </row>
    <row r="289" spans="2:26" ht="20.25">
      <c r="B289" s="380"/>
      <c r="C289" s="382"/>
      <c r="D289" s="179"/>
      <c r="E289" s="162"/>
      <c r="F289" s="163"/>
      <c r="G289" s="191"/>
      <c r="H289" s="191"/>
      <c r="I289" s="192"/>
      <c r="J289" s="164"/>
      <c r="K289" s="165">
        <f t="shared" si="4"/>
        <v>0</v>
      </c>
      <c r="L289" s="268"/>
      <c r="M289" s="192"/>
      <c r="N289" s="164"/>
      <c r="O289" s="165">
        <v>0</v>
      </c>
      <c r="P289" s="252" t="e">
        <v>#DIV/0!</v>
      </c>
      <c r="Q289" s="219"/>
      <c r="R289" s="35"/>
      <c r="S289" s="384"/>
      <c r="T289" s="67"/>
      <c r="U289" s="67"/>
      <c r="V289" s="180"/>
      <c r="W289" s="180"/>
      <c r="X289" s="2"/>
      <c r="Y289" s="180"/>
      <c r="Z289" s="180"/>
    </row>
    <row r="290" spans="2:26" ht="20.25">
      <c r="B290" s="380"/>
      <c r="C290" s="382"/>
      <c r="D290" s="179"/>
      <c r="E290" s="162"/>
      <c r="F290" s="163"/>
      <c r="G290" s="191"/>
      <c r="H290" s="191"/>
      <c r="I290" s="192"/>
      <c r="J290" s="164"/>
      <c r="K290" s="165">
        <f t="shared" si="4"/>
        <v>0</v>
      </c>
      <c r="L290" s="268"/>
      <c r="M290" s="192"/>
      <c r="N290" s="164"/>
      <c r="O290" s="165">
        <v>0</v>
      </c>
      <c r="P290" s="254" t="e">
        <v>#DIV/0!</v>
      </c>
      <c r="Q290" s="220"/>
      <c r="R290" s="221"/>
      <c r="S290" s="384"/>
      <c r="T290" s="67"/>
      <c r="U290" s="67"/>
      <c r="V290" s="180"/>
      <c r="W290" s="180"/>
      <c r="X290" s="2"/>
      <c r="Y290" s="180"/>
      <c r="Z290" s="180"/>
    </row>
    <row r="291" spans="2:26" ht="20.25">
      <c r="B291" s="380"/>
      <c r="C291" s="382"/>
      <c r="D291" s="179"/>
      <c r="E291" s="162"/>
      <c r="F291" s="163"/>
      <c r="G291" s="191"/>
      <c r="H291" s="191"/>
      <c r="I291" s="192"/>
      <c r="J291" s="164"/>
      <c r="K291" s="165">
        <f t="shared" si="4"/>
        <v>0</v>
      </c>
      <c r="L291" s="268"/>
      <c r="M291" s="192"/>
      <c r="N291" s="164"/>
      <c r="O291" s="165">
        <v>0</v>
      </c>
      <c r="P291" s="253" t="e">
        <v>#DIV/0!</v>
      </c>
      <c r="Q291" s="224"/>
      <c r="R291" s="218"/>
      <c r="S291" s="384"/>
      <c r="T291" s="67"/>
      <c r="U291" s="67"/>
      <c r="V291" s="180"/>
      <c r="W291" s="180"/>
      <c r="X291" s="2"/>
      <c r="Y291" s="180"/>
      <c r="Z291" s="180"/>
    </row>
    <row r="292" spans="2:26" ht="20.25">
      <c r="B292" s="380"/>
      <c r="C292" s="382"/>
      <c r="D292" s="179"/>
      <c r="E292" s="162"/>
      <c r="F292" s="163"/>
      <c r="G292" s="191"/>
      <c r="H292" s="191"/>
      <c r="I292" s="192"/>
      <c r="J292" s="164"/>
      <c r="K292" s="165">
        <f t="shared" si="4"/>
        <v>0</v>
      </c>
      <c r="L292" s="268"/>
      <c r="M292" s="192"/>
      <c r="N292" s="164"/>
      <c r="O292" s="165">
        <v>0</v>
      </c>
      <c r="P292" s="254" t="e">
        <v>#DIV/0!</v>
      </c>
      <c r="Q292" s="225"/>
      <c r="R292" s="231"/>
      <c r="S292" s="384"/>
      <c r="T292" s="67"/>
      <c r="U292" s="67"/>
      <c r="V292" s="180"/>
      <c r="W292" s="180"/>
      <c r="X292" s="2"/>
      <c r="Y292" s="180"/>
      <c r="Z292" s="180"/>
    </row>
    <row r="293" spans="2:26" ht="20.25">
      <c r="B293" s="380"/>
      <c r="C293" s="382"/>
      <c r="D293" s="179"/>
      <c r="E293" s="162"/>
      <c r="F293" s="163"/>
      <c r="G293" s="191"/>
      <c r="H293" s="191"/>
      <c r="I293" s="192"/>
      <c r="J293" s="164"/>
      <c r="K293" s="165">
        <f t="shared" si="4"/>
        <v>0</v>
      </c>
      <c r="L293" s="268"/>
      <c r="M293" s="192"/>
      <c r="N293" s="164"/>
      <c r="O293" s="165">
        <v>0</v>
      </c>
      <c r="P293" s="254" t="e">
        <v>#DIV/0!</v>
      </c>
      <c r="Q293" s="225"/>
      <c r="R293" s="231"/>
      <c r="S293" s="384"/>
      <c r="T293" s="67"/>
      <c r="U293" s="67"/>
      <c r="V293" s="180"/>
      <c r="W293" s="180"/>
      <c r="X293" s="2"/>
      <c r="Y293" s="180"/>
      <c r="Z293" s="180"/>
    </row>
    <row r="294" spans="2:26" ht="20.25">
      <c r="B294" s="380"/>
      <c r="C294" s="382"/>
      <c r="D294" s="179"/>
      <c r="E294" s="162"/>
      <c r="F294" s="163"/>
      <c r="G294" s="191"/>
      <c r="H294" s="191"/>
      <c r="I294" s="192"/>
      <c r="J294" s="164"/>
      <c r="K294" s="165">
        <f t="shared" si="4"/>
        <v>0</v>
      </c>
      <c r="L294" s="268"/>
      <c r="M294" s="192"/>
      <c r="N294" s="164"/>
      <c r="O294" s="165">
        <v>0</v>
      </c>
      <c r="P294" s="254" t="e">
        <v>#DIV/0!</v>
      </c>
      <c r="Q294" s="225"/>
      <c r="R294" s="37"/>
      <c r="S294" s="384"/>
      <c r="T294" s="67"/>
      <c r="U294" s="67"/>
      <c r="V294" s="180"/>
      <c r="W294" s="180"/>
      <c r="X294" s="2"/>
      <c r="Y294" s="180"/>
      <c r="Z294" s="180"/>
    </row>
    <row r="295" spans="2:26" ht="20.25">
      <c r="B295" s="380"/>
      <c r="C295" s="382"/>
      <c r="D295" s="179"/>
      <c r="E295" s="162"/>
      <c r="F295" s="163"/>
      <c r="G295" s="191"/>
      <c r="H295" s="191"/>
      <c r="I295" s="192"/>
      <c r="J295" s="164"/>
      <c r="K295" s="165">
        <f t="shared" si="4"/>
        <v>0</v>
      </c>
      <c r="L295" s="268"/>
      <c r="M295" s="192"/>
      <c r="N295" s="164"/>
      <c r="O295" s="165">
        <v>0</v>
      </c>
      <c r="P295" s="254" t="e">
        <v>#DIV/0!</v>
      </c>
      <c r="Q295" s="225"/>
      <c r="R295" s="37"/>
      <c r="S295" s="384"/>
      <c r="T295" s="67"/>
      <c r="U295" s="67"/>
      <c r="V295" s="180"/>
      <c r="W295" s="180"/>
      <c r="X295" s="2"/>
      <c r="Y295" s="180"/>
      <c r="Z295" s="180"/>
    </row>
    <row r="296" spans="2:26" ht="20.25">
      <c r="B296" s="380"/>
      <c r="C296" s="382"/>
      <c r="D296" s="179"/>
      <c r="E296" s="162"/>
      <c r="F296" s="163"/>
      <c r="G296" s="191"/>
      <c r="H296" s="191"/>
      <c r="I296" s="192"/>
      <c r="J296" s="164"/>
      <c r="K296" s="165">
        <f t="shared" si="4"/>
        <v>0</v>
      </c>
      <c r="L296" s="268"/>
      <c r="M296" s="192"/>
      <c r="N296" s="164"/>
      <c r="O296" s="165">
        <v>0</v>
      </c>
      <c r="P296" s="254" t="e">
        <v>#DIV/0!</v>
      </c>
      <c r="Q296" s="225"/>
      <c r="R296" s="37"/>
      <c r="S296" s="384"/>
      <c r="T296" s="67"/>
      <c r="U296" s="67"/>
      <c r="V296" s="180"/>
      <c r="W296" s="180"/>
      <c r="X296" s="2"/>
      <c r="Y296" s="180"/>
      <c r="Z296" s="180"/>
    </row>
    <row r="297" spans="2:26" ht="20.25">
      <c r="B297" s="380"/>
      <c r="C297" s="382"/>
      <c r="D297" s="179"/>
      <c r="E297" s="162"/>
      <c r="F297" s="163"/>
      <c r="G297" s="191"/>
      <c r="H297" s="191"/>
      <c r="I297" s="192"/>
      <c r="J297" s="164"/>
      <c r="K297" s="165">
        <f t="shared" si="4"/>
        <v>0</v>
      </c>
      <c r="L297" s="268"/>
      <c r="M297" s="192"/>
      <c r="N297" s="164"/>
      <c r="O297" s="165">
        <v>0</v>
      </c>
      <c r="P297" s="254" t="e">
        <v>#DIV/0!</v>
      </c>
      <c r="Q297" s="225"/>
      <c r="R297" s="37"/>
      <c r="S297" s="384"/>
      <c r="T297" s="67"/>
      <c r="U297" s="67"/>
      <c r="V297" s="180"/>
      <c r="W297" s="180"/>
      <c r="X297" s="2"/>
      <c r="Y297" s="180"/>
      <c r="Z297" s="180"/>
    </row>
    <row r="298" spans="2:26" ht="20.25">
      <c r="B298" s="380"/>
      <c r="C298" s="382"/>
      <c r="D298" s="179"/>
      <c r="E298" s="162"/>
      <c r="F298" s="163"/>
      <c r="G298" s="191"/>
      <c r="H298" s="191"/>
      <c r="I298" s="192"/>
      <c r="J298" s="164"/>
      <c r="K298" s="165">
        <f t="shared" si="4"/>
        <v>0</v>
      </c>
      <c r="L298" s="268"/>
      <c r="M298" s="192"/>
      <c r="N298" s="164"/>
      <c r="O298" s="165">
        <v>0</v>
      </c>
      <c r="P298" s="254" t="e">
        <v>#DIV/0!</v>
      </c>
      <c r="Q298" s="225"/>
      <c r="R298" s="37"/>
      <c r="S298" s="384"/>
      <c r="T298" s="67"/>
      <c r="U298" s="67"/>
      <c r="V298" s="180"/>
      <c r="W298" s="180"/>
      <c r="X298" s="2"/>
      <c r="Y298" s="180"/>
      <c r="Z298" s="180"/>
    </row>
    <row r="299" spans="2:26" ht="20.25">
      <c r="B299" s="380"/>
      <c r="C299" s="382"/>
      <c r="D299" s="179"/>
      <c r="E299" s="162"/>
      <c r="F299" s="163"/>
      <c r="G299" s="191"/>
      <c r="H299" s="191"/>
      <c r="I299" s="192"/>
      <c r="J299" s="164"/>
      <c r="K299" s="165">
        <f t="shared" si="4"/>
        <v>0</v>
      </c>
      <c r="L299" s="268"/>
      <c r="M299" s="192"/>
      <c r="N299" s="164"/>
      <c r="O299" s="165">
        <v>0</v>
      </c>
      <c r="P299" s="254" t="e">
        <v>#DIV/0!</v>
      </c>
      <c r="Q299" s="225"/>
      <c r="R299" s="37"/>
      <c r="S299" s="384"/>
      <c r="T299" s="67"/>
      <c r="U299" s="67"/>
      <c r="V299" s="180"/>
      <c r="W299" s="180"/>
      <c r="X299" s="2"/>
      <c r="Y299" s="180"/>
      <c r="Z299" s="180"/>
    </row>
    <row r="300" spans="2:26" ht="20.25">
      <c r="B300" s="380"/>
      <c r="C300" s="382"/>
      <c r="D300" s="179"/>
      <c r="E300" s="162"/>
      <c r="F300" s="163"/>
      <c r="G300" s="191"/>
      <c r="H300" s="191"/>
      <c r="I300" s="192"/>
      <c r="J300" s="164"/>
      <c r="K300" s="165">
        <f t="shared" ref="K300:K351" si="5">I300*J300</f>
        <v>0</v>
      </c>
      <c r="L300" s="268"/>
      <c r="M300" s="192"/>
      <c r="N300" s="164"/>
      <c r="O300" s="165">
        <v>0</v>
      </c>
      <c r="P300" s="254" t="e">
        <v>#DIV/0!</v>
      </c>
      <c r="Q300" s="225"/>
      <c r="R300" s="37"/>
      <c r="S300" s="384"/>
      <c r="T300" s="67"/>
      <c r="U300" s="67"/>
      <c r="V300" s="180"/>
      <c r="W300" s="180"/>
      <c r="X300" s="2"/>
      <c r="Y300" s="180"/>
      <c r="Z300" s="180"/>
    </row>
    <row r="301" spans="2:26" ht="20.25">
      <c r="B301" s="380"/>
      <c r="C301" s="382"/>
      <c r="D301" s="179"/>
      <c r="E301" s="162"/>
      <c r="F301" s="163"/>
      <c r="G301" s="191"/>
      <c r="H301" s="191"/>
      <c r="I301" s="192"/>
      <c r="J301" s="164"/>
      <c r="K301" s="165">
        <f t="shared" si="5"/>
        <v>0</v>
      </c>
      <c r="L301" s="268"/>
      <c r="M301" s="192"/>
      <c r="N301" s="164"/>
      <c r="O301" s="165">
        <v>0</v>
      </c>
      <c r="P301" s="254" t="e">
        <v>#DIV/0!</v>
      </c>
      <c r="Q301" s="225"/>
      <c r="R301" s="38"/>
      <c r="S301" s="384"/>
      <c r="T301" s="67"/>
      <c r="U301" s="67"/>
      <c r="V301" s="180"/>
      <c r="W301" s="180"/>
      <c r="X301" s="2"/>
      <c r="Y301" s="180"/>
      <c r="Z301" s="180"/>
    </row>
    <row r="302" spans="2:26" ht="20.25">
      <c r="B302" s="380"/>
      <c r="C302" s="382"/>
      <c r="D302" s="179"/>
      <c r="E302" s="162"/>
      <c r="F302" s="163"/>
      <c r="G302" s="191"/>
      <c r="H302" s="191"/>
      <c r="I302" s="192"/>
      <c r="J302" s="164"/>
      <c r="K302" s="165">
        <f t="shared" si="5"/>
        <v>0</v>
      </c>
      <c r="L302" s="268"/>
      <c r="M302" s="192"/>
      <c r="N302" s="164"/>
      <c r="O302" s="165">
        <v>0</v>
      </c>
      <c r="P302" s="254" t="e">
        <v>#DIV/0!</v>
      </c>
      <c r="Q302" s="225"/>
      <c r="R302" s="38"/>
      <c r="S302" s="384"/>
      <c r="T302" s="67"/>
      <c r="U302" s="67"/>
      <c r="V302" s="180"/>
      <c r="W302" s="180"/>
      <c r="X302" s="2"/>
      <c r="Y302" s="180"/>
      <c r="Z302" s="180"/>
    </row>
    <row r="303" spans="2:26" ht="20.25">
      <c r="B303" s="380"/>
      <c r="C303" s="382"/>
      <c r="D303" s="179"/>
      <c r="E303" s="162"/>
      <c r="F303" s="163"/>
      <c r="G303" s="191"/>
      <c r="H303" s="191"/>
      <c r="I303" s="192"/>
      <c r="J303" s="164"/>
      <c r="K303" s="165">
        <f t="shared" si="5"/>
        <v>0</v>
      </c>
      <c r="L303" s="268"/>
      <c r="M303" s="192"/>
      <c r="N303" s="164"/>
      <c r="O303" s="165">
        <v>0</v>
      </c>
      <c r="P303" s="252" t="e">
        <v>#DIV/0!</v>
      </c>
      <c r="Q303" s="294"/>
      <c r="R303" s="295"/>
      <c r="S303" s="384"/>
      <c r="T303" s="67"/>
      <c r="U303" s="67"/>
      <c r="V303" s="180"/>
      <c r="W303" s="180"/>
      <c r="X303" s="2"/>
      <c r="Y303" s="180"/>
      <c r="Z303" s="180"/>
    </row>
    <row r="304" spans="2:26" ht="20.25">
      <c r="B304" s="380"/>
      <c r="C304" s="382"/>
      <c r="D304" s="153"/>
      <c r="E304" s="154"/>
      <c r="F304" s="155"/>
      <c r="G304" s="143"/>
      <c r="H304" s="143"/>
      <c r="I304" s="3"/>
      <c r="J304" s="215"/>
      <c r="K304" s="165">
        <f t="shared" si="5"/>
        <v>0</v>
      </c>
      <c r="L304" s="264"/>
      <c r="M304" s="3"/>
      <c r="N304" s="215"/>
      <c r="O304" s="145">
        <v>0</v>
      </c>
      <c r="P304" s="252" t="e">
        <v>#DIV/0!</v>
      </c>
      <c r="Q304" s="294"/>
      <c r="R304" s="307"/>
      <c r="S304" s="384"/>
      <c r="T304" s="67"/>
      <c r="U304" s="67"/>
      <c r="V304" s="180"/>
      <c r="W304" s="180"/>
      <c r="X304" s="2"/>
      <c r="Y304" s="180"/>
      <c r="Z304" s="180"/>
    </row>
    <row r="305" spans="2:39" ht="20.25">
      <c r="B305" s="380"/>
      <c r="C305" s="382"/>
      <c r="D305" s="153"/>
      <c r="E305" s="154"/>
      <c r="F305" s="155"/>
      <c r="G305" s="143"/>
      <c r="H305" s="143"/>
      <c r="I305" s="3"/>
      <c r="J305" s="215"/>
      <c r="K305" s="165">
        <f t="shared" si="5"/>
        <v>0</v>
      </c>
      <c r="L305" s="264"/>
      <c r="M305" s="3"/>
      <c r="N305" s="215"/>
      <c r="O305" s="145">
        <v>0</v>
      </c>
      <c r="P305" s="252" t="e">
        <v>#DIV/0!</v>
      </c>
      <c r="Q305" s="294"/>
      <c r="R305" s="307"/>
      <c r="S305" s="384"/>
      <c r="T305" s="67"/>
      <c r="U305" s="67"/>
      <c r="V305" s="180"/>
      <c r="W305" s="180"/>
      <c r="X305" s="2"/>
      <c r="Y305" s="180"/>
      <c r="Z305" s="180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</row>
    <row r="306" spans="2:39" ht="20.25">
      <c r="B306" s="380"/>
      <c r="C306" s="382"/>
      <c r="D306" s="179"/>
      <c r="E306" s="162"/>
      <c r="F306" s="163"/>
      <c r="G306" s="191"/>
      <c r="H306" s="191"/>
      <c r="I306" s="192"/>
      <c r="J306" s="164"/>
      <c r="K306" s="165">
        <f t="shared" si="5"/>
        <v>0</v>
      </c>
      <c r="L306" s="268"/>
      <c r="M306" s="192"/>
      <c r="N306" s="164"/>
      <c r="O306" s="165">
        <v>0</v>
      </c>
      <c r="P306" s="252" t="e">
        <v>#DIV/0!</v>
      </c>
      <c r="Q306" s="198"/>
      <c r="R306" s="193"/>
      <c r="S306" s="385"/>
      <c r="T306" s="2"/>
      <c r="U306" s="2"/>
      <c r="V306" s="194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2:39" ht="20.25">
      <c r="B307" s="380"/>
      <c r="C307" s="382"/>
      <c r="D307" s="179"/>
      <c r="E307" s="162"/>
      <c r="F307" s="163"/>
      <c r="G307" s="191"/>
      <c r="H307" s="191"/>
      <c r="I307" s="192"/>
      <c r="J307" s="164"/>
      <c r="K307" s="165">
        <f t="shared" si="5"/>
        <v>0</v>
      </c>
      <c r="L307" s="268"/>
      <c r="M307" s="192"/>
      <c r="N307" s="164"/>
      <c r="O307" s="165">
        <v>0</v>
      </c>
      <c r="P307" s="252" t="e">
        <v>#DIV/0!</v>
      </c>
      <c r="Q307" s="198"/>
      <c r="R307" s="230"/>
      <c r="S307" s="386"/>
      <c r="T307" s="2"/>
      <c r="U307" s="2"/>
      <c r="V307" s="194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2:39" ht="20.25">
      <c r="B308" s="380"/>
      <c r="C308" s="382"/>
      <c r="D308" s="179"/>
      <c r="E308" s="162"/>
      <c r="F308" s="163"/>
      <c r="G308" s="191"/>
      <c r="H308" s="191"/>
      <c r="I308" s="192"/>
      <c r="J308" s="164"/>
      <c r="K308" s="165">
        <f t="shared" si="5"/>
        <v>0</v>
      </c>
      <c r="L308" s="268"/>
      <c r="M308" s="192"/>
      <c r="N308" s="164"/>
      <c r="O308" s="165">
        <v>0</v>
      </c>
      <c r="P308" s="252" t="e">
        <v>#DIV/0!</v>
      </c>
      <c r="Q308" s="198"/>
      <c r="R308" s="230"/>
      <c r="S308" s="386"/>
      <c r="T308" s="2"/>
      <c r="U308" s="2"/>
      <c r="V308" s="194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2:39" ht="20.25">
      <c r="B309" s="380"/>
      <c r="C309" s="382"/>
      <c r="D309" s="179"/>
      <c r="E309" s="162"/>
      <c r="F309" s="163"/>
      <c r="G309" s="191"/>
      <c r="H309" s="191"/>
      <c r="I309" s="192"/>
      <c r="J309" s="164"/>
      <c r="K309" s="165">
        <f t="shared" si="5"/>
        <v>0</v>
      </c>
      <c r="L309" s="268"/>
      <c r="M309" s="192"/>
      <c r="N309" s="164"/>
      <c r="O309" s="165">
        <v>0</v>
      </c>
      <c r="P309" s="252" t="e">
        <v>#DIV/0!</v>
      </c>
      <c r="Q309" s="198"/>
      <c r="R309" s="230"/>
      <c r="S309" s="386"/>
      <c r="T309" s="2"/>
      <c r="U309" s="2"/>
      <c r="V309" s="194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2:39" ht="20.25">
      <c r="B310" s="380"/>
      <c r="C310" s="382"/>
      <c r="D310" s="179"/>
      <c r="E310" s="162"/>
      <c r="F310" s="163"/>
      <c r="G310" s="191"/>
      <c r="H310" s="191"/>
      <c r="I310" s="192"/>
      <c r="J310" s="164"/>
      <c r="K310" s="165">
        <f t="shared" si="5"/>
        <v>0</v>
      </c>
      <c r="L310" s="268"/>
      <c r="M310" s="192"/>
      <c r="N310" s="164"/>
      <c r="O310" s="165">
        <v>0</v>
      </c>
      <c r="P310" s="252" t="e">
        <v>#DIV/0!</v>
      </c>
      <c r="Q310" s="198"/>
      <c r="R310" s="230"/>
      <c r="S310" s="386"/>
      <c r="T310" s="2"/>
      <c r="U310" s="2"/>
      <c r="V310" s="194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2:39" ht="20.25">
      <c r="B311" s="380"/>
      <c r="C311" s="382"/>
      <c r="D311" s="179"/>
      <c r="E311" s="162"/>
      <c r="F311" s="163"/>
      <c r="G311" s="191"/>
      <c r="H311" s="191"/>
      <c r="I311" s="192"/>
      <c r="J311" s="164"/>
      <c r="K311" s="165">
        <f t="shared" si="5"/>
        <v>0</v>
      </c>
      <c r="L311" s="268"/>
      <c r="M311" s="192"/>
      <c r="N311" s="164"/>
      <c r="O311" s="165">
        <v>0</v>
      </c>
      <c r="P311" s="252" t="e">
        <v>#DIV/0!</v>
      </c>
      <c r="Q311" s="198"/>
      <c r="R311" s="230"/>
      <c r="S311" s="386"/>
      <c r="T311" s="67"/>
      <c r="U311" s="67"/>
      <c r="V311" s="194"/>
      <c r="W311" s="180"/>
      <c r="X311" s="2"/>
      <c r="Y311" s="180"/>
      <c r="Z311" s="180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</row>
    <row r="312" spans="2:39" ht="20.25">
      <c r="B312" s="380"/>
      <c r="C312" s="446"/>
      <c r="D312" s="179"/>
      <c r="E312" s="162"/>
      <c r="F312" s="163"/>
      <c r="G312" s="191"/>
      <c r="H312" s="191"/>
      <c r="I312" s="192"/>
      <c r="J312" s="164"/>
      <c r="K312" s="165">
        <f t="shared" si="5"/>
        <v>0</v>
      </c>
      <c r="L312" s="268"/>
      <c r="M312" s="192"/>
      <c r="N312" s="164"/>
      <c r="O312" s="165">
        <v>0</v>
      </c>
      <c r="P312" s="253" t="e">
        <v>#DIV/0!</v>
      </c>
      <c r="Q312" s="199"/>
      <c r="R312" s="161"/>
      <c r="S312" s="173"/>
      <c r="T312" s="67"/>
      <c r="U312" s="67"/>
      <c r="V312" s="194"/>
      <c r="W312" s="67"/>
      <c r="X312" s="2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</row>
    <row r="313" spans="2:39" ht="20.25">
      <c r="B313" s="380"/>
      <c r="C313" s="446"/>
      <c r="D313" s="179"/>
      <c r="E313" s="162"/>
      <c r="F313" s="163"/>
      <c r="G313" s="191"/>
      <c r="H313" s="191"/>
      <c r="I313" s="192"/>
      <c r="J313" s="164"/>
      <c r="K313" s="165">
        <f t="shared" si="5"/>
        <v>0</v>
      </c>
      <c r="L313" s="268"/>
      <c r="M313" s="192"/>
      <c r="N313" s="164"/>
      <c r="O313" s="165">
        <v>0</v>
      </c>
      <c r="P313" s="252" t="e">
        <v>#DIV/0!</v>
      </c>
      <c r="Q313" s="200"/>
      <c r="R313" s="35"/>
      <c r="S313" s="174"/>
      <c r="T313" s="67"/>
      <c r="U313" s="67"/>
      <c r="V313" s="194"/>
      <c r="W313" s="67"/>
      <c r="X313" s="2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</row>
    <row r="314" spans="2:39" ht="20.25">
      <c r="B314" s="380"/>
      <c r="C314" s="446"/>
      <c r="D314" s="179"/>
      <c r="E314" s="162"/>
      <c r="F314" s="163"/>
      <c r="G314" s="191"/>
      <c r="H314" s="191"/>
      <c r="I314" s="192"/>
      <c r="J314" s="164"/>
      <c r="K314" s="165">
        <f t="shared" si="5"/>
        <v>0</v>
      </c>
      <c r="L314" s="268"/>
      <c r="M314" s="192"/>
      <c r="N314" s="164"/>
      <c r="O314" s="165">
        <v>0</v>
      </c>
      <c r="P314" s="252" t="e">
        <v>#DIV/0!</v>
      </c>
      <c r="Q314" s="200"/>
      <c r="R314" s="175"/>
      <c r="S314" s="174"/>
      <c r="T314" s="67"/>
      <c r="U314" s="67"/>
      <c r="V314" s="194"/>
      <c r="W314" s="67"/>
      <c r="X314" s="2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</row>
    <row r="315" spans="2:39" ht="20.25">
      <c r="B315" s="380"/>
      <c r="C315" s="446"/>
      <c r="D315" s="179"/>
      <c r="E315" s="162"/>
      <c r="F315" s="163"/>
      <c r="G315" s="191"/>
      <c r="H315" s="191"/>
      <c r="I315" s="192"/>
      <c r="J315" s="164"/>
      <c r="K315" s="165">
        <f t="shared" si="5"/>
        <v>0</v>
      </c>
      <c r="L315" s="268"/>
      <c r="M315" s="192"/>
      <c r="N315" s="164"/>
      <c r="O315" s="165">
        <v>0</v>
      </c>
      <c r="P315" s="252" t="e">
        <v>#DIV/0!</v>
      </c>
      <c r="Q315" s="200"/>
      <c r="R315" s="175"/>
      <c r="S315" s="174"/>
      <c r="T315" s="67"/>
      <c r="U315" s="67"/>
      <c r="V315" s="194"/>
      <c r="W315" s="67"/>
      <c r="X315" s="2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</row>
    <row r="316" spans="2:39" ht="20.25">
      <c r="B316" s="380"/>
      <c r="C316" s="446"/>
      <c r="D316" s="179"/>
      <c r="E316" s="162"/>
      <c r="F316" s="163"/>
      <c r="G316" s="191"/>
      <c r="H316" s="191"/>
      <c r="I316" s="192"/>
      <c r="J316" s="164"/>
      <c r="K316" s="165">
        <f t="shared" si="5"/>
        <v>0</v>
      </c>
      <c r="L316" s="268"/>
      <c r="M316" s="192"/>
      <c r="N316" s="164"/>
      <c r="O316" s="165">
        <v>0</v>
      </c>
      <c r="P316" s="252" t="e">
        <v>#DIV/0!</v>
      </c>
      <c r="Q316" s="200"/>
      <c r="R316" s="175"/>
      <c r="S316" s="174"/>
      <c r="T316" s="67"/>
      <c r="U316" s="67"/>
      <c r="V316" s="194"/>
      <c r="W316" s="67"/>
      <c r="X316" s="2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</row>
    <row r="317" spans="2:39" ht="20.25">
      <c r="B317" s="380"/>
      <c r="C317" s="446"/>
      <c r="D317" s="179"/>
      <c r="E317" s="162"/>
      <c r="F317" s="163"/>
      <c r="G317" s="191"/>
      <c r="H317" s="191"/>
      <c r="I317" s="192"/>
      <c r="J317" s="164"/>
      <c r="K317" s="165">
        <f t="shared" si="5"/>
        <v>0</v>
      </c>
      <c r="L317" s="268"/>
      <c r="M317" s="192"/>
      <c r="N317" s="164"/>
      <c r="O317" s="165">
        <v>0</v>
      </c>
      <c r="P317" s="252" t="e">
        <v>#DIV/0!</v>
      </c>
      <c r="Q317" s="200"/>
      <c r="R317" s="175"/>
      <c r="S317" s="174"/>
      <c r="T317" s="67"/>
      <c r="U317" s="67"/>
      <c r="V317" s="194"/>
      <c r="W317" s="67"/>
      <c r="X317" s="2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</row>
    <row r="318" spans="2:39" ht="20.25">
      <c r="B318" s="380"/>
      <c r="C318" s="446"/>
      <c r="D318" s="179"/>
      <c r="E318" s="162"/>
      <c r="F318" s="163"/>
      <c r="G318" s="191"/>
      <c r="H318" s="191"/>
      <c r="I318" s="192"/>
      <c r="J318" s="164"/>
      <c r="K318" s="165">
        <f t="shared" si="5"/>
        <v>0</v>
      </c>
      <c r="L318" s="268"/>
      <c r="M318" s="192"/>
      <c r="N318" s="164"/>
      <c r="O318" s="165">
        <v>0</v>
      </c>
      <c r="P318" s="252" t="e">
        <v>#DIV/0!</v>
      </c>
      <c r="Q318" s="200"/>
      <c r="R318" s="175"/>
      <c r="S318" s="174"/>
      <c r="T318" s="67"/>
      <c r="U318" s="67"/>
      <c r="V318" s="194"/>
      <c r="W318" s="67"/>
      <c r="X318" s="2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</row>
    <row r="319" spans="2:39" ht="20.25">
      <c r="B319" s="380"/>
      <c r="C319" s="446"/>
      <c r="D319" s="179"/>
      <c r="E319" s="162"/>
      <c r="F319" s="163"/>
      <c r="G319" s="191"/>
      <c r="H319" s="191"/>
      <c r="I319" s="192"/>
      <c r="J319" s="164"/>
      <c r="K319" s="165">
        <f t="shared" si="5"/>
        <v>0</v>
      </c>
      <c r="L319" s="268"/>
      <c r="M319" s="192"/>
      <c r="N319" s="164"/>
      <c r="O319" s="165">
        <v>0</v>
      </c>
      <c r="P319" s="252" t="e">
        <v>#DIV/0!</v>
      </c>
      <c r="Q319" s="200"/>
      <c r="R319" s="175"/>
      <c r="S319" s="174"/>
      <c r="T319" s="67"/>
      <c r="U319" s="67"/>
      <c r="V319" s="194"/>
      <c r="W319" s="67"/>
      <c r="X319" s="2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</row>
    <row r="320" spans="2:39" ht="20.25">
      <c r="B320" s="380"/>
      <c r="C320" s="446"/>
      <c r="D320" s="179"/>
      <c r="E320" s="162"/>
      <c r="F320" s="163"/>
      <c r="G320" s="191"/>
      <c r="H320" s="191"/>
      <c r="I320" s="192"/>
      <c r="J320" s="164"/>
      <c r="K320" s="165">
        <f t="shared" si="5"/>
        <v>0</v>
      </c>
      <c r="L320" s="268"/>
      <c r="M320" s="192"/>
      <c r="N320" s="164"/>
      <c r="O320" s="165">
        <v>0</v>
      </c>
      <c r="P320" s="252" t="e">
        <v>#DIV/0!</v>
      </c>
      <c r="Q320" s="200"/>
      <c r="R320" s="175"/>
      <c r="S320" s="174"/>
      <c r="T320" s="67"/>
      <c r="U320" s="67"/>
      <c r="V320" s="194"/>
      <c r="W320" s="67"/>
      <c r="X320" s="2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</row>
    <row r="321" spans="2:26" ht="20.25">
      <c r="B321" s="380"/>
      <c r="C321" s="446"/>
      <c r="D321" s="179"/>
      <c r="E321" s="162"/>
      <c r="F321" s="163"/>
      <c r="G321" s="191"/>
      <c r="H321" s="191"/>
      <c r="I321" s="192"/>
      <c r="J321" s="164"/>
      <c r="K321" s="165">
        <f t="shared" si="5"/>
        <v>0</v>
      </c>
      <c r="L321" s="268"/>
      <c r="M321" s="192"/>
      <c r="N321" s="164"/>
      <c r="O321" s="165">
        <v>0</v>
      </c>
      <c r="P321" s="252" t="e">
        <v>#DIV/0!</v>
      </c>
      <c r="Q321" s="200"/>
      <c r="R321" s="273"/>
      <c r="S321" s="174"/>
      <c r="T321" s="67"/>
      <c r="U321" s="67"/>
      <c r="V321" s="194"/>
      <c r="W321" s="67"/>
      <c r="X321" s="2"/>
      <c r="Y321" s="67"/>
      <c r="Z321" s="67"/>
    </row>
    <row r="322" spans="2:26" ht="20.25">
      <c r="B322" s="380"/>
      <c r="C322" s="446"/>
      <c r="D322" s="179"/>
      <c r="E322" s="162"/>
      <c r="F322" s="163"/>
      <c r="G322" s="191"/>
      <c r="H322" s="191"/>
      <c r="I322" s="192"/>
      <c r="J322" s="164"/>
      <c r="K322" s="165">
        <f t="shared" si="5"/>
        <v>0</v>
      </c>
      <c r="L322" s="268"/>
      <c r="M322" s="192"/>
      <c r="N322" s="164"/>
      <c r="O322" s="165">
        <v>0</v>
      </c>
      <c r="P322" s="252" t="e">
        <v>#DIV/0!</v>
      </c>
      <c r="Q322" s="200"/>
      <c r="R322" s="175"/>
      <c r="S322" s="174"/>
      <c r="T322" s="67"/>
      <c r="U322" s="67"/>
      <c r="V322" s="194"/>
      <c r="W322" s="67"/>
      <c r="X322" s="2"/>
      <c r="Y322" s="67"/>
      <c r="Z322" s="67"/>
    </row>
    <row r="323" spans="2:26" ht="20.25">
      <c r="B323" s="380"/>
      <c r="C323" s="446"/>
      <c r="D323" s="179"/>
      <c r="E323" s="162"/>
      <c r="F323" s="163"/>
      <c r="G323" s="191"/>
      <c r="H323" s="191"/>
      <c r="I323" s="192"/>
      <c r="J323" s="164"/>
      <c r="K323" s="165">
        <f t="shared" si="5"/>
        <v>0</v>
      </c>
      <c r="L323" s="268"/>
      <c r="M323" s="192"/>
      <c r="N323" s="164"/>
      <c r="O323" s="165">
        <v>0</v>
      </c>
      <c r="P323" s="252" t="e">
        <v>#DIV/0!</v>
      </c>
      <c r="Q323" s="200"/>
      <c r="R323" s="175"/>
      <c r="S323" s="174"/>
      <c r="T323" s="67"/>
      <c r="U323" s="67"/>
      <c r="V323" s="194"/>
      <c r="W323" s="67"/>
      <c r="X323" s="2"/>
      <c r="Y323" s="67"/>
      <c r="Z323" s="67"/>
    </row>
    <row r="324" spans="2:26" ht="20.25">
      <c r="B324" s="380"/>
      <c r="C324" s="446"/>
      <c r="D324" s="179"/>
      <c r="E324" s="162"/>
      <c r="F324" s="163"/>
      <c r="G324" s="191"/>
      <c r="H324" s="191"/>
      <c r="I324" s="192"/>
      <c r="J324" s="164"/>
      <c r="K324" s="165">
        <f t="shared" si="5"/>
        <v>0</v>
      </c>
      <c r="L324" s="268"/>
      <c r="M324" s="192"/>
      <c r="N324" s="164"/>
      <c r="O324" s="165">
        <v>0</v>
      </c>
      <c r="P324" s="252" t="e">
        <v>#DIV/0!</v>
      </c>
      <c r="Q324" s="200"/>
      <c r="R324" s="175"/>
      <c r="S324" s="174"/>
      <c r="T324" s="67"/>
      <c r="U324" s="67"/>
      <c r="V324" s="194"/>
      <c r="W324" s="67"/>
      <c r="X324" s="2"/>
      <c r="Y324" s="67"/>
      <c r="Z324" s="67"/>
    </row>
    <row r="325" spans="2:26" ht="20.25">
      <c r="B325" s="380"/>
      <c r="C325" s="446"/>
      <c r="D325" s="179"/>
      <c r="E325" s="162"/>
      <c r="F325" s="163"/>
      <c r="G325" s="191"/>
      <c r="H325" s="191"/>
      <c r="I325" s="192"/>
      <c r="J325" s="164"/>
      <c r="K325" s="165">
        <f t="shared" si="5"/>
        <v>0</v>
      </c>
      <c r="L325" s="268"/>
      <c r="M325" s="192"/>
      <c r="N325" s="164"/>
      <c r="O325" s="165">
        <v>0</v>
      </c>
      <c r="P325" s="252" t="e">
        <v>#DIV/0!</v>
      </c>
      <c r="Q325" s="200"/>
      <c r="R325" s="175"/>
      <c r="S325" s="174"/>
      <c r="T325" s="67"/>
      <c r="U325" s="67"/>
      <c r="V325" s="194"/>
      <c r="W325" s="67"/>
      <c r="X325" s="2"/>
      <c r="Y325" s="67"/>
      <c r="Z325" s="67"/>
    </row>
    <row r="326" spans="2:26" ht="20.25">
      <c r="B326" s="380"/>
      <c r="C326" s="446"/>
      <c r="D326" s="179"/>
      <c r="E326" s="162"/>
      <c r="F326" s="163"/>
      <c r="G326" s="191"/>
      <c r="H326" s="191"/>
      <c r="I326" s="192"/>
      <c r="J326" s="164"/>
      <c r="K326" s="165">
        <f t="shared" si="5"/>
        <v>0</v>
      </c>
      <c r="L326" s="268"/>
      <c r="M326" s="192"/>
      <c r="N326" s="164"/>
      <c r="O326" s="165">
        <v>0</v>
      </c>
      <c r="P326" s="252" t="e">
        <v>#DIV/0!</v>
      </c>
      <c r="Q326" s="200"/>
      <c r="R326" s="175"/>
      <c r="S326" s="174"/>
      <c r="T326" s="67"/>
      <c r="U326" s="67"/>
      <c r="V326" s="194"/>
      <c r="W326" s="67"/>
      <c r="X326" s="2"/>
      <c r="Y326" s="67"/>
      <c r="Z326" s="67"/>
    </row>
    <row r="327" spans="2:26" ht="20.25">
      <c r="B327" s="380"/>
      <c r="C327" s="446"/>
      <c r="D327" s="179"/>
      <c r="E327" s="162"/>
      <c r="F327" s="163"/>
      <c r="G327" s="191"/>
      <c r="H327" s="191"/>
      <c r="I327" s="192"/>
      <c r="J327" s="164"/>
      <c r="K327" s="165">
        <f t="shared" si="5"/>
        <v>0</v>
      </c>
      <c r="L327" s="268"/>
      <c r="M327" s="192"/>
      <c r="N327" s="164"/>
      <c r="O327" s="165">
        <v>0</v>
      </c>
      <c r="P327" s="252" t="e">
        <v>#DIV/0!</v>
      </c>
      <c r="Q327" s="200"/>
      <c r="R327" s="175"/>
      <c r="S327" s="174"/>
      <c r="T327" s="67"/>
      <c r="U327" s="67"/>
      <c r="V327" s="194"/>
      <c r="W327" s="67"/>
      <c r="X327" s="2"/>
      <c r="Y327" s="67"/>
      <c r="Z327" s="67"/>
    </row>
    <row r="328" spans="2:26" ht="20.25">
      <c r="B328" s="380"/>
      <c r="C328" s="446"/>
      <c r="D328" s="179"/>
      <c r="E328" s="162"/>
      <c r="F328" s="163"/>
      <c r="G328" s="191"/>
      <c r="H328" s="191"/>
      <c r="I328" s="192"/>
      <c r="J328" s="164"/>
      <c r="K328" s="165">
        <f t="shared" si="5"/>
        <v>0</v>
      </c>
      <c r="L328" s="268"/>
      <c r="M328" s="192"/>
      <c r="N328" s="164"/>
      <c r="O328" s="165">
        <v>0</v>
      </c>
      <c r="P328" s="252" t="e">
        <v>#DIV/0!</v>
      </c>
      <c r="Q328" s="200"/>
      <c r="R328" s="175"/>
      <c r="S328" s="174"/>
      <c r="T328" s="67"/>
      <c r="U328" s="67"/>
      <c r="V328" s="194"/>
      <c r="W328" s="67"/>
      <c r="X328" s="2"/>
      <c r="Y328" s="67"/>
      <c r="Z328" s="67"/>
    </row>
    <row r="329" spans="2:26" ht="20.25">
      <c r="B329" s="380"/>
      <c r="C329" s="446"/>
      <c r="D329" s="179"/>
      <c r="E329" s="162"/>
      <c r="F329" s="163"/>
      <c r="G329" s="191"/>
      <c r="H329" s="191"/>
      <c r="I329" s="192"/>
      <c r="J329" s="164"/>
      <c r="K329" s="165">
        <f t="shared" si="5"/>
        <v>0</v>
      </c>
      <c r="L329" s="268"/>
      <c r="M329" s="192"/>
      <c r="N329" s="164"/>
      <c r="O329" s="165">
        <v>0</v>
      </c>
      <c r="P329" s="252" t="e">
        <v>#DIV/0!</v>
      </c>
      <c r="Q329" s="200"/>
      <c r="R329" s="175"/>
      <c r="S329" s="174"/>
      <c r="T329" s="67"/>
      <c r="U329" s="67"/>
      <c r="V329" s="194"/>
      <c r="W329" s="67"/>
      <c r="X329" s="2"/>
      <c r="Y329" s="67"/>
      <c r="Z329" s="67"/>
    </row>
    <row r="330" spans="2:26" ht="20.25">
      <c r="B330" s="380"/>
      <c r="C330" s="446"/>
      <c r="D330" s="179"/>
      <c r="E330" s="162"/>
      <c r="F330" s="163"/>
      <c r="G330" s="191"/>
      <c r="H330" s="191"/>
      <c r="I330" s="192"/>
      <c r="J330" s="164"/>
      <c r="K330" s="165">
        <f t="shared" si="5"/>
        <v>0</v>
      </c>
      <c r="L330" s="268"/>
      <c r="M330" s="192"/>
      <c r="N330" s="164"/>
      <c r="O330" s="165">
        <v>0</v>
      </c>
      <c r="P330" s="254" t="e">
        <v>#DIV/0!</v>
      </c>
      <c r="Q330" s="222"/>
      <c r="R330" s="161"/>
      <c r="S330" s="388"/>
      <c r="T330" s="67"/>
      <c r="U330" s="67"/>
      <c r="V330" s="180"/>
      <c r="W330" s="180"/>
      <c r="X330" s="2"/>
      <c r="Y330" s="180"/>
      <c r="Z330" s="180"/>
    </row>
    <row r="331" spans="2:26" ht="20.25">
      <c r="B331" s="380"/>
      <c r="C331" s="446"/>
      <c r="D331" s="179"/>
      <c r="E331" s="162"/>
      <c r="F331" s="163"/>
      <c r="G331" s="191"/>
      <c r="H331" s="191"/>
      <c r="I331" s="192"/>
      <c r="J331" s="164"/>
      <c r="K331" s="165">
        <f t="shared" si="5"/>
        <v>0</v>
      </c>
      <c r="L331" s="268"/>
      <c r="M331" s="192"/>
      <c r="N331" s="164"/>
      <c r="O331" s="165">
        <v>0</v>
      </c>
      <c r="P331" s="254" t="e">
        <v>#DIV/0!</v>
      </c>
      <c r="Q331" s="223"/>
      <c r="R331" s="35"/>
      <c r="S331" s="389"/>
      <c r="T331" s="67"/>
      <c r="U331" s="67"/>
      <c r="V331" s="180"/>
      <c r="W331" s="180"/>
      <c r="X331" s="2"/>
      <c r="Y331" s="180"/>
      <c r="Z331" s="180"/>
    </row>
    <row r="332" spans="2:26" ht="20.25">
      <c r="B332" s="380"/>
      <c r="C332" s="446"/>
      <c r="D332" s="179"/>
      <c r="E332" s="162"/>
      <c r="F332" s="163"/>
      <c r="G332" s="191"/>
      <c r="H332" s="191"/>
      <c r="I332" s="192"/>
      <c r="J332" s="164"/>
      <c r="K332" s="165">
        <f t="shared" si="5"/>
        <v>0</v>
      </c>
      <c r="L332" s="268"/>
      <c r="M332" s="192"/>
      <c r="N332" s="164"/>
      <c r="O332" s="165">
        <v>0</v>
      </c>
      <c r="P332" s="252" t="e">
        <v>#DIV/0!</v>
      </c>
      <c r="Q332" s="219"/>
      <c r="R332" s="35"/>
      <c r="S332" s="389"/>
      <c r="T332" s="67"/>
      <c r="U332" s="67"/>
      <c r="V332" s="180"/>
      <c r="W332" s="180"/>
      <c r="X332" s="2"/>
      <c r="Y332" s="180"/>
      <c r="Z332" s="180"/>
    </row>
    <row r="333" spans="2:26" ht="20.25">
      <c r="B333" s="380"/>
      <c r="C333" s="446"/>
      <c r="D333" s="179"/>
      <c r="E333" s="162"/>
      <c r="F333" s="163"/>
      <c r="G333" s="191"/>
      <c r="H333" s="191"/>
      <c r="I333" s="192"/>
      <c r="J333" s="164"/>
      <c r="K333" s="165">
        <f t="shared" si="5"/>
        <v>0</v>
      </c>
      <c r="L333" s="268"/>
      <c r="M333" s="192"/>
      <c r="N333" s="164"/>
      <c r="O333" s="165">
        <v>0</v>
      </c>
      <c r="P333" s="252" t="e">
        <v>#DIV/0!</v>
      </c>
      <c r="Q333" s="219"/>
      <c r="R333" s="35"/>
      <c r="S333" s="389"/>
      <c r="T333" s="67"/>
      <c r="U333" s="67"/>
      <c r="V333" s="180"/>
      <c r="W333" s="180"/>
      <c r="X333" s="2"/>
      <c r="Y333" s="180"/>
      <c r="Z333" s="180"/>
    </row>
    <row r="334" spans="2:26" ht="20.25">
      <c r="B334" s="380"/>
      <c r="C334" s="446"/>
      <c r="D334" s="179"/>
      <c r="E334" s="162"/>
      <c r="F334" s="163"/>
      <c r="G334" s="191"/>
      <c r="H334" s="191"/>
      <c r="I334" s="192"/>
      <c r="J334" s="164"/>
      <c r="K334" s="165">
        <f t="shared" si="5"/>
        <v>0</v>
      </c>
      <c r="L334" s="268"/>
      <c r="M334" s="192"/>
      <c r="N334" s="164"/>
      <c r="O334" s="165">
        <v>0</v>
      </c>
      <c r="P334" s="252" t="e">
        <v>#DIV/0!</v>
      </c>
      <c r="Q334" s="219"/>
      <c r="R334" s="35"/>
      <c r="S334" s="389"/>
      <c r="T334" s="67"/>
      <c r="U334" s="67"/>
      <c r="V334" s="180"/>
      <c r="W334" s="180"/>
      <c r="X334" s="2"/>
      <c r="Y334" s="180"/>
      <c r="Z334" s="180"/>
    </row>
    <row r="335" spans="2:26" ht="20.25">
      <c r="B335" s="380"/>
      <c r="C335" s="446"/>
      <c r="D335" s="179"/>
      <c r="E335" s="162"/>
      <c r="F335" s="163"/>
      <c r="G335" s="191"/>
      <c r="H335" s="191"/>
      <c r="I335" s="192"/>
      <c r="J335" s="164"/>
      <c r="K335" s="165">
        <f t="shared" si="5"/>
        <v>0</v>
      </c>
      <c r="L335" s="268"/>
      <c r="M335" s="192"/>
      <c r="N335" s="164"/>
      <c r="O335" s="165">
        <v>0</v>
      </c>
      <c r="P335" s="254" t="e">
        <v>#DIV/0!</v>
      </c>
      <c r="Q335" s="220"/>
      <c r="R335" s="221"/>
      <c r="S335" s="390"/>
      <c r="T335" s="67"/>
      <c r="U335" s="67"/>
      <c r="V335" s="180"/>
      <c r="W335" s="180"/>
      <c r="X335" s="2"/>
      <c r="Y335" s="180"/>
      <c r="Z335" s="180"/>
    </row>
    <row r="336" spans="2:26" ht="20.25">
      <c r="B336" s="380"/>
      <c r="C336" s="446"/>
      <c r="D336" s="179"/>
      <c r="E336" s="162"/>
      <c r="F336" s="163"/>
      <c r="G336" s="191"/>
      <c r="H336" s="191"/>
      <c r="I336" s="192"/>
      <c r="J336" s="164"/>
      <c r="K336" s="165">
        <f t="shared" si="5"/>
        <v>0</v>
      </c>
      <c r="L336" s="268"/>
      <c r="M336" s="192"/>
      <c r="N336" s="164"/>
      <c r="O336" s="165">
        <v>0</v>
      </c>
      <c r="P336" s="253" t="e">
        <v>#DIV/0!</v>
      </c>
      <c r="Q336" s="224"/>
      <c r="R336" s="218"/>
      <c r="S336" s="388"/>
      <c r="T336" s="67"/>
      <c r="U336" s="67"/>
      <c r="V336" s="180"/>
      <c r="W336" s="180"/>
      <c r="X336" s="2"/>
      <c r="Y336" s="180"/>
      <c r="Z336" s="180"/>
    </row>
    <row r="337" spans="2:39" ht="20.25">
      <c r="B337" s="380"/>
      <c r="C337" s="446"/>
      <c r="D337" s="179"/>
      <c r="E337" s="162"/>
      <c r="F337" s="163"/>
      <c r="G337" s="191"/>
      <c r="H337" s="191"/>
      <c r="I337" s="192"/>
      <c r="J337" s="164"/>
      <c r="K337" s="165">
        <f t="shared" si="5"/>
        <v>0</v>
      </c>
      <c r="L337" s="268"/>
      <c r="M337" s="192"/>
      <c r="N337" s="164"/>
      <c r="O337" s="165">
        <v>0</v>
      </c>
      <c r="P337" s="254" t="e">
        <v>#DIV/0!</v>
      </c>
      <c r="Q337" s="225"/>
      <c r="R337" s="231"/>
      <c r="S337" s="389"/>
      <c r="T337" s="67"/>
      <c r="U337" s="67"/>
      <c r="V337" s="180"/>
      <c r="W337" s="180"/>
      <c r="X337" s="2"/>
      <c r="Y337" s="180"/>
      <c r="Z337" s="180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</row>
    <row r="338" spans="2:39" ht="20.25">
      <c r="B338" s="380"/>
      <c r="C338" s="446"/>
      <c r="D338" s="179"/>
      <c r="E338" s="162"/>
      <c r="F338" s="163"/>
      <c r="G338" s="191"/>
      <c r="H338" s="191"/>
      <c r="I338" s="192"/>
      <c r="J338" s="164"/>
      <c r="K338" s="165">
        <f t="shared" si="5"/>
        <v>0</v>
      </c>
      <c r="L338" s="268"/>
      <c r="M338" s="192"/>
      <c r="N338" s="164"/>
      <c r="O338" s="165">
        <v>0</v>
      </c>
      <c r="P338" s="254" t="e">
        <v>#DIV/0!</v>
      </c>
      <c r="Q338" s="225"/>
      <c r="R338" s="231"/>
      <c r="S338" s="389"/>
      <c r="T338" s="67"/>
      <c r="U338" s="67"/>
      <c r="V338" s="180"/>
      <c r="W338" s="180"/>
      <c r="X338" s="2"/>
      <c r="Y338" s="180"/>
      <c r="Z338" s="180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</row>
    <row r="339" spans="2:39" ht="20.25">
      <c r="B339" s="380"/>
      <c r="C339" s="446"/>
      <c r="D339" s="179"/>
      <c r="E339" s="162"/>
      <c r="F339" s="163"/>
      <c r="G339" s="191"/>
      <c r="H339" s="191"/>
      <c r="I339" s="192"/>
      <c r="J339" s="164"/>
      <c r="K339" s="165">
        <f t="shared" si="5"/>
        <v>0</v>
      </c>
      <c r="L339" s="268"/>
      <c r="M339" s="192"/>
      <c r="N339" s="164"/>
      <c r="O339" s="165">
        <v>0</v>
      </c>
      <c r="P339" s="254" t="e">
        <v>#DIV/0!</v>
      </c>
      <c r="Q339" s="225"/>
      <c r="R339" s="37"/>
      <c r="S339" s="389"/>
      <c r="T339" s="67"/>
      <c r="U339" s="67"/>
      <c r="V339" s="180"/>
      <c r="W339" s="180"/>
      <c r="X339" s="2"/>
      <c r="Y339" s="180"/>
      <c r="Z339" s="180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</row>
    <row r="340" spans="2:39" ht="20.25">
      <c r="B340" s="380"/>
      <c r="C340" s="446"/>
      <c r="D340" s="179"/>
      <c r="E340" s="162"/>
      <c r="F340" s="163"/>
      <c r="G340" s="191"/>
      <c r="H340" s="191"/>
      <c r="I340" s="192"/>
      <c r="J340" s="164"/>
      <c r="K340" s="165">
        <f t="shared" si="5"/>
        <v>0</v>
      </c>
      <c r="L340" s="268"/>
      <c r="M340" s="192"/>
      <c r="N340" s="164"/>
      <c r="O340" s="165">
        <v>0</v>
      </c>
      <c r="P340" s="254" t="e">
        <v>#DIV/0!</v>
      </c>
      <c r="Q340" s="225"/>
      <c r="R340" s="37"/>
      <c r="S340" s="389"/>
      <c r="T340" s="67"/>
      <c r="U340" s="67"/>
      <c r="V340" s="180"/>
      <c r="W340" s="180"/>
      <c r="X340" s="2"/>
      <c r="Y340" s="180"/>
      <c r="Z340" s="180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</row>
    <row r="341" spans="2:39" ht="20.25">
      <c r="B341" s="380"/>
      <c r="C341" s="446"/>
      <c r="D341" s="150"/>
      <c r="E341" s="151"/>
      <c r="F341" s="152"/>
      <c r="G341" s="149"/>
      <c r="H341" s="149"/>
      <c r="I341" s="213"/>
      <c r="J341" s="214"/>
      <c r="K341" s="165">
        <f t="shared" si="5"/>
        <v>0</v>
      </c>
      <c r="L341" s="269"/>
      <c r="M341" s="213"/>
      <c r="N341" s="214"/>
      <c r="O341" s="145">
        <v>0</v>
      </c>
      <c r="P341" s="254" t="e">
        <v>#DIV/0!</v>
      </c>
      <c r="Q341" s="225"/>
      <c r="R341" s="37"/>
      <c r="S341" s="389"/>
      <c r="T341" s="67"/>
      <c r="U341" s="67"/>
      <c r="V341" s="180"/>
      <c r="W341" s="180"/>
      <c r="X341" s="2"/>
      <c r="Y341" s="180"/>
      <c r="Z341" s="180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</row>
    <row r="342" spans="2:39" ht="20.25">
      <c r="B342" s="380"/>
      <c r="C342" s="446"/>
      <c r="D342" s="153"/>
      <c r="E342" s="154"/>
      <c r="F342" s="155"/>
      <c r="G342" s="143"/>
      <c r="H342" s="149"/>
      <c r="I342" s="213"/>
      <c r="J342" s="215"/>
      <c r="K342" s="165">
        <f t="shared" si="5"/>
        <v>0</v>
      </c>
      <c r="L342" s="264"/>
      <c r="M342" s="213"/>
      <c r="N342" s="215"/>
      <c r="O342" s="145">
        <v>0</v>
      </c>
      <c r="P342" s="254" t="e">
        <v>#DIV/0!</v>
      </c>
      <c r="Q342" s="225"/>
      <c r="R342" s="37"/>
      <c r="S342" s="389"/>
      <c r="T342" s="67"/>
      <c r="U342" s="67"/>
      <c r="V342" s="180"/>
      <c r="W342" s="180"/>
      <c r="X342" s="2"/>
      <c r="Y342" s="180"/>
      <c r="Z342" s="180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</row>
    <row r="343" spans="2:39" ht="20.25">
      <c r="B343" s="380"/>
      <c r="C343" s="446"/>
      <c r="D343" s="153"/>
      <c r="E343" s="154"/>
      <c r="F343" s="155"/>
      <c r="G343" s="143"/>
      <c r="H343" s="143"/>
      <c r="I343" s="3"/>
      <c r="J343" s="215"/>
      <c r="K343" s="165">
        <f t="shared" si="5"/>
        <v>0</v>
      </c>
      <c r="L343" s="264"/>
      <c r="M343" s="3"/>
      <c r="N343" s="215"/>
      <c r="O343" s="145">
        <v>0</v>
      </c>
      <c r="P343" s="254" t="e">
        <v>#DIV/0!</v>
      </c>
      <c r="Q343" s="225"/>
      <c r="R343" s="37"/>
      <c r="S343" s="389"/>
      <c r="T343" s="67"/>
      <c r="U343" s="67"/>
      <c r="V343" s="180"/>
      <c r="W343" s="180"/>
      <c r="X343" s="2"/>
      <c r="Y343" s="180"/>
      <c r="Z343" s="180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</row>
    <row r="344" spans="2:39" ht="20.25">
      <c r="B344" s="380"/>
      <c r="C344" s="446"/>
      <c r="D344" s="153"/>
      <c r="E344" s="154"/>
      <c r="F344" s="155"/>
      <c r="G344" s="143"/>
      <c r="H344" s="143"/>
      <c r="I344" s="3"/>
      <c r="J344" s="215"/>
      <c r="K344" s="165">
        <f t="shared" si="5"/>
        <v>0</v>
      </c>
      <c r="L344" s="264"/>
      <c r="M344" s="3"/>
      <c r="N344" s="215"/>
      <c r="O344" s="145">
        <v>0</v>
      </c>
      <c r="P344" s="254" t="e">
        <v>#DIV/0!</v>
      </c>
      <c r="Q344" s="225"/>
      <c r="R344" s="37"/>
      <c r="S344" s="389"/>
      <c r="T344" s="67"/>
      <c r="U344" s="67"/>
      <c r="V344" s="180"/>
      <c r="W344" s="180"/>
      <c r="X344" s="2"/>
      <c r="Y344" s="180"/>
      <c r="Z344" s="180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</row>
    <row r="345" spans="2:39" ht="20.25">
      <c r="B345" s="380"/>
      <c r="C345" s="446"/>
      <c r="D345" s="153"/>
      <c r="E345" s="154"/>
      <c r="F345" s="155"/>
      <c r="G345" s="143"/>
      <c r="H345" s="143"/>
      <c r="I345" s="3"/>
      <c r="J345" s="215"/>
      <c r="K345" s="165">
        <f t="shared" si="5"/>
        <v>0</v>
      </c>
      <c r="L345" s="264"/>
      <c r="M345" s="3"/>
      <c r="N345" s="215"/>
      <c r="O345" s="145">
        <v>0</v>
      </c>
      <c r="P345" s="254" t="e">
        <v>#DIV/0!</v>
      </c>
      <c r="Q345" s="225"/>
      <c r="R345" s="37"/>
      <c r="S345" s="389"/>
      <c r="T345" s="67"/>
      <c r="U345" s="67"/>
      <c r="V345" s="180"/>
      <c r="W345" s="180"/>
      <c r="X345" s="2"/>
      <c r="Y345" s="180"/>
      <c r="Z345" s="180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</row>
    <row r="346" spans="2:39" ht="20.25">
      <c r="B346" s="380"/>
      <c r="C346" s="446"/>
      <c r="D346" s="153"/>
      <c r="E346" s="154"/>
      <c r="F346" s="155"/>
      <c r="G346" s="143"/>
      <c r="H346" s="143"/>
      <c r="I346" s="3"/>
      <c r="J346" s="215"/>
      <c r="K346" s="165">
        <f t="shared" si="5"/>
        <v>0</v>
      </c>
      <c r="L346" s="264"/>
      <c r="M346" s="3"/>
      <c r="N346" s="215"/>
      <c r="O346" s="145">
        <v>0</v>
      </c>
      <c r="P346" s="254" t="e">
        <v>#DIV/0!</v>
      </c>
      <c r="Q346" s="225"/>
      <c r="R346" s="38"/>
      <c r="S346" s="389"/>
      <c r="T346" s="67"/>
      <c r="U346" s="67"/>
      <c r="V346" s="180"/>
      <c r="W346" s="180"/>
      <c r="X346" s="2"/>
      <c r="Y346" s="180"/>
      <c r="Z346" s="180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</row>
    <row r="347" spans="2:39" ht="20.25">
      <c r="B347" s="380"/>
      <c r="C347" s="446"/>
      <c r="D347" s="153"/>
      <c r="E347" s="154"/>
      <c r="F347" s="155"/>
      <c r="G347" s="143"/>
      <c r="H347" s="143"/>
      <c r="I347" s="3"/>
      <c r="J347" s="215"/>
      <c r="K347" s="165">
        <f t="shared" si="5"/>
        <v>0</v>
      </c>
      <c r="L347" s="264"/>
      <c r="M347" s="3"/>
      <c r="N347" s="215"/>
      <c r="O347" s="145">
        <v>0</v>
      </c>
      <c r="P347" s="254" t="e">
        <v>#DIV/0!</v>
      </c>
      <c r="Q347" s="225"/>
      <c r="R347" s="38"/>
      <c r="S347" s="389"/>
      <c r="T347" s="67"/>
      <c r="U347" s="67"/>
      <c r="V347" s="180"/>
      <c r="W347" s="180"/>
      <c r="X347" s="2"/>
      <c r="Y347" s="180"/>
      <c r="Z347" s="180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</row>
    <row r="348" spans="2:39" ht="20.25">
      <c r="B348" s="380"/>
      <c r="C348" s="446"/>
      <c r="D348" s="153"/>
      <c r="E348" s="154"/>
      <c r="F348" s="155"/>
      <c r="G348" s="143"/>
      <c r="H348" s="143"/>
      <c r="I348" s="3"/>
      <c r="J348" s="215"/>
      <c r="K348" s="165">
        <f t="shared" si="5"/>
        <v>0</v>
      </c>
      <c r="L348" s="264"/>
      <c r="M348" s="3"/>
      <c r="N348" s="215"/>
      <c r="O348" s="145">
        <v>0</v>
      </c>
      <c r="P348" s="252" t="e">
        <v>#DIV/0!</v>
      </c>
      <c r="Q348" s="294"/>
      <c r="R348" s="295"/>
      <c r="S348" s="389"/>
      <c r="T348" s="67"/>
      <c r="U348" s="67"/>
      <c r="V348" s="180"/>
      <c r="W348" s="180"/>
      <c r="X348" s="2"/>
      <c r="Y348" s="180"/>
      <c r="Z348" s="180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</row>
    <row r="349" spans="2:39" ht="20.25">
      <c r="B349" s="380"/>
      <c r="C349" s="446"/>
      <c r="D349" s="153"/>
      <c r="E349" s="154"/>
      <c r="F349" s="155"/>
      <c r="G349" s="143"/>
      <c r="H349" s="143"/>
      <c r="I349" s="3"/>
      <c r="J349" s="215"/>
      <c r="K349" s="165">
        <f t="shared" si="5"/>
        <v>0</v>
      </c>
      <c r="L349" s="264"/>
      <c r="M349" s="3"/>
      <c r="N349" s="215"/>
      <c r="O349" s="145">
        <v>0</v>
      </c>
      <c r="P349" s="252" t="e">
        <v>#DIV/0!</v>
      </c>
      <c r="Q349" s="294"/>
      <c r="R349" s="307"/>
      <c r="S349" s="389"/>
      <c r="T349" s="67"/>
      <c r="U349" s="67"/>
      <c r="V349" s="180"/>
      <c r="W349" s="180"/>
      <c r="X349" s="2"/>
      <c r="Y349" s="180"/>
      <c r="Z349" s="180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</row>
    <row r="350" spans="2:39" ht="20.25">
      <c r="B350" s="380"/>
      <c r="C350" s="446"/>
      <c r="D350" s="153"/>
      <c r="E350" s="154"/>
      <c r="F350" s="155"/>
      <c r="G350" s="143"/>
      <c r="H350" s="143"/>
      <c r="I350" s="3"/>
      <c r="J350" s="215"/>
      <c r="K350" s="165">
        <f t="shared" si="5"/>
        <v>0</v>
      </c>
      <c r="L350" s="264"/>
      <c r="M350" s="3"/>
      <c r="N350" s="215"/>
      <c r="O350" s="145">
        <v>0</v>
      </c>
      <c r="P350" s="252" t="e">
        <v>#DIV/0!</v>
      </c>
      <c r="Q350" s="294"/>
      <c r="R350" s="307"/>
      <c r="S350" s="389"/>
      <c r="T350" s="67"/>
      <c r="U350" s="67"/>
      <c r="V350" s="180"/>
      <c r="W350" s="180"/>
      <c r="X350" s="2"/>
      <c r="Y350" s="180"/>
      <c r="Z350" s="180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</row>
    <row r="351" spans="2:39" ht="20.25">
      <c r="B351" s="380"/>
      <c r="C351" s="447"/>
      <c r="D351" s="148"/>
      <c r="E351" s="288"/>
      <c r="F351" s="289"/>
      <c r="G351" s="290"/>
      <c r="H351" s="290"/>
      <c r="I351" s="291"/>
      <c r="J351" s="292"/>
      <c r="K351" s="165">
        <f t="shared" si="5"/>
        <v>0</v>
      </c>
      <c r="L351" s="293"/>
      <c r="M351" s="291"/>
      <c r="N351" s="292"/>
      <c r="O351" s="147">
        <v>0</v>
      </c>
      <c r="P351" s="254" t="e">
        <v>#DIV/0!</v>
      </c>
      <c r="Q351" s="220"/>
      <c r="R351" s="221"/>
      <c r="S351" s="390"/>
      <c r="T351" s="2"/>
      <c r="U351" s="2"/>
      <c r="V351" s="2"/>
      <c r="W351" s="2"/>
      <c r="X351" s="2"/>
      <c r="Y351" s="2"/>
      <c r="Z351" s="2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</row>
    <row r="352" spans="2:39" ht="27" thickBot="1">
      <c r="B352" s="380"/>
      <c r="C352" s="364" t="s">
        <v>23</v>
      </c>
      <c r="D352" s="365"/>
      <c r="E352" s="365"/>
      <c r="F352" s="366"/>
      <c r="G352" s="39"/>
      <c r="H352" s="39"/>
      <c r="I352" s="40"/>
      <c r="J352" s="41"/>
      <c r="K352" s="26">
        <f>SUM(K170:K351)</f>
        <v>0</v>
      </c>
      <c r="L352" s="39"/>
      <c r="M352" s="40"/>
      <c r="N352" s="41"/>
      <c r="O352" s="26">
        <v>0</v>
      </c>
      <c r="P352" s="250" t="e">
        <v>#DIV/0!</v>
      </c>
      <c r="Q352" s="60"/>
      <c r="R352" s="367"/>
      <c r="S352" s="368"/>
      <c r="T352" s="32"/>
      <c r="U352" s="32"/>
      <c r="V352" s="182"/>
      <c r="W352" s="182"/>
      <c r="X352" s="33"/>
      <c r="Y352" s="182"/>
      <c r="Z352" s="18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</row>
    <row r="353" spans="2:39" ht="20.25">
      <c r="B353" s="369" t="s">
        <v>24</v>
      </c>
      <c r="C353" s="371" t="s">
        <v>25</v>
      </c>
      <c r="D353" s="166"/>
      <c r="E353" s="42"/>
      <c r="F353" s="43"/>
      <c r="G353" s="169"/>
      <c r="H353" s="169"/>
      <c r="I353" s="171"/>
      <c r="J353" s="144"/>
      <c r="K353" s="145">
        <v>0</v>
      </c>
      <c r="L353" s="44"/>
      <c r="M353" s="171"/>
      <c r="N353" s="144"/>
      <c r="O353" s="145">
        <v>0</v>
      </c>
      <c r="P353" s="255" t="e">
        <v>#DIV/0!</v>
      </c>
      <c r="Q353" s="203"/>
      <c r="R353" s="45"/>
      <c r="S353" s="37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2:39" ht="20.25">
      <c r="B354" s="370"/>
      <c r="C354" s="372"/>
      <c r="D354" s="167"/>
      <c r="E354" s="46"/>
      <c r="F354" s="47"/>
      <c r="G354" s="170"/>
      <c r="H354" s="170"/>
      <c r="I354" s="172"/>
      <c r="J354" s="168"/>
      <c r="K354" s="216">
        <v>0</v>
      </c>
      <c r="L354" s="48"/>
      <c r="M354" s="172"/>
      <c r="N354" s="168"/>
      <c r="O354" s="216">
        <v>0</v>
      </c>
      <c r="P354" s="254" t="e">
        <v>#DIV/0!</v>
      </c>
      <c r="Q354" s="201"/>
      <c r="R354" s="49"/>
      <c r="S354" s="375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2:39" ht="20.25">
      <c r="B355" s="370"/>
      <c r="C355" s="372"/>
      <c r="D355" s="167"/>
      <c r="E355" s="46"/>
      <c r="F355" s="47"/>
      <c r="G355" s="170"/>
      <c r="H355" s="170"/>
      <c r="I355" s="172"/>
      <c r="J355" s="168"/>
      <c r="K355" s="216">
        <v>0</v>
      </c>
      <c r="L355" s="48"/>
      <c r="M355" s="172"/>
      <c r="N355" s="168"/>
      <c r="O355" s="216">
        <v>0</v>
      </c>
      <c r="P355" s="254" t="e">
        <v>#DIV/0!</v>
      </c>
      <c r="Q355" s="201"/>
      <c r="R355" s="49"/>
      <c r="S355" s="375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2:39" ht="20.25">
      <c r="B356" s="370"/>
      <c r="C356" s="372"/>
      <c r="D356" s="167"/>
      <c r="E356" s="46"/>
      <c r="F356" s="47"/>
      <c r="G356" s="170"/>
      <c r="H356" s="170"/>
      <c r="I356" s="172"/>
      <c r="J356" s="168"/>
      <c r="K356" s="216">
        <v>0</v>
      </c>
      <c r="L356" s="48"/>
      <c r="M356" s="172"/>
      <c r="N356" s="168"/>
      <c r="O356" s="216">
        <v>0</v>
      </c>
      <c r="P356" s="254" t="e">
        <v>#DIV/0!</v>
      </c>
      <c r="Q356" s="201"/>
      <c r="R356" s="49"/>
      <c r="S356" s="375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2:39" ht="20.25">
      <c r="B357" s="370"/>
      <c r="C357" s="372"/>
      <c r="D357" s="167"/>
      <c r="E357" s="46"/>
      <c r="F357" s="47"/>
      <c r="G357" s="170"/>
      <c r="H357" s="170"/>
      <c r="I357" s="172"/>
      <c r="J357" s="168"/>
      <c r="K357" s="216">
        <v>0</v>
      </c>
      <c r="L357" s="48"/>
      <c r="M357" s="172"/>
      <c r="N357" s="168"/>
      <c r="O357" s="216">
        <v>0</v>
      </c>
      <c r="P357" s="254" t="e">
        <v>#DIV/0!</v>
      </c>
      <c r="Q357" s="201"/>
      <c r="R357" s="49"/>
      <c r="S357" s="375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2:39" ht="20.25">
      <c r="B358" s="370"/>
      <c r="C358" s="373"/>
      <c r="D358" s="167"/>
      <c r="E358" s="46"/>
      <c r="F358" s="47"/>
      <c r="G358" s="170"/>
      <c r="H358" s="170"/>
      <c r="I358" s="172"/>
      <c r="J358" s="168"/>
      <c r="K358" s="216">
        <v>0</v>
      </c>
      <c r="L358" s="50"/>
      <c r="M358" s="172"/>
      <c r="N358" s="168"/>
      <c r="O358" s="216">
        <v>0</v>
      </c>
      <c r="P358" s="254" t="e">
        <v>#DIV/0!</v>
      </c>
      <c r="Q358" s="204"/>
      <c r="R358" s="51"/>
      <c r="S358" s="376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2:39" ht="20.25">
      <c r="B359" s="370"/>
      <c r="C359" s="377" t="s">
        <v>26</v>
      </c>
      <c r="D359" s="142"/>
      <c r="E359" s="207"/>
      <c r="F359" s="208"/>
      <c r="G359" s="209"/>
      <c r="H359" s="209"/>
      <c r="I359" s="176"/>
      <c r="J359" s="238"/>
      <c r="K359" s="239">
        <v>0</v>
      </c>
      <c r="L359" s="52"/>
      <c r="M359" s="176"/>
      <c r="N359" s="238"/>
      <c r="O359" s="239">
        <v>0</v>
      </c>
      <c r="P359" s="254" t="e">
        <v>#DIV/0!</v>
      </c>
      <c r="Q359" s="205"/>
      <c r="R359" s="53"/>
      <c r="S359" s="378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2:39" ht="20.25">
      <c r="B360" s="370"/>
      <c r="C360" s="372"/>
      <c r="D360" s="179"/>
      <c r="E360" s="27"/>
      <c r="F360" s="28"/>
      <c r="G360" s="36"/>
      <c r="H360" s="36"/>
      <c r="I360" s="226"/>
      <c r="J360" s="240"/>
      <c r="K360" s="241">
        <v>0</v>
      </c>
      <c r="L360" s="54"/>
      <c r="M360" s="226"/>
      <c r="N360" s="240"/>
      <c r="O360" s="241">
        <v>0</v>
      </c>
      <c r="P360" s="254" t="e">
        <v>#DIV/0!</v>
      </c>
      <c r="Q360" s="206"/>
      <c r="R360" s="49"/>
      <c r="S360" s="375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2:39" ht="20.25">
      <c r="B361" s="370"/>
      <c r="C361" s="373"/>
      <c r="D361" s="244"/>
      <c r="E361" s="210"/>
      <c r="F361" s="211"/>
      <c r="G361" s="212"/>
      <c r="H361" s="212"/>
      <c r="I361" s="242"/>
      <c r="J361" s="243"/>
      <c r="K361" s="217">
        <v>0</v>
      </c>
      <c r="L361" s="55"/>
      <c r="M361" s="242"/>
      <c r="N361" s="243"/>
      <c r="O361" s="217">
        <v>0</v>
      </c>
      <c r="P361" s="256" t="e">
        <v>#DIV/0!</v>
      </c>
      <c r="Q361" s="202"/>
      <c r="R361" s="56"/>
      <c r="S361" s="376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2:39" ht="27" thickBot="1">
      <c r="B362" s="370"/>
      <c r="C362" s="364" t="s">
        <v>27</v>
      </c>
      <c r="D362" s="365"/>
      <c r="E362" s="365"/>
      <c r="F362" s="366"/>
      <c r="G362" s="57"/>
      <c r="H362" s="57"/>
      <c r="I362" s="58"/>
      <c r="J362" s="59"/>
      <c r="K362" s="26">
        <f>SUM(K353:K361)</f>
        <v>0</v>
      </c>
      <c r="L362" s="57"/>
      <c r="M362" s="58"/>
      <c r="N362" s="59"/>
      <c r="O362" s="26">
        <v>0</v>
      </c>
      <c r="P362" s="250" t="e">
        <v>#DIV/0!</v>
      </c>
      <c r="Q362" s="60"/>
      <c r="R362" s="61"/>
      <c r="S362" s="62"/>
      <c r="T362" s="32"/>
      <c r="U362" s="32"/>
      <c r="V362" s="182"/>
      <c r="W362" s="182"/>
      <c r="X362" s="33"/>
      <c r="Y362" s="182"/>
      <c r="Z362" s="18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</row>
    <row r="363" spans="2:39" ht="26.25">
      <c r="B363" s="63" t="s">
        <v>28</v>
      </c>
      <c r="C363" s="346" t="s">
        <v>29</v>
      </c>
      <c r="D363" s="347"/>
      <c r="E363" s="347"/>
      <c r="F363" s="348"/>
      <c r="G363" s="64"/>
      <c r="H363" s="64"/>
      <c r="I363" s="160" t="s">
        <v>30</v>
      </c>
      <c r="J363" s="160" t="s">
        <v>31</v>
      </c>
      <c r="K363" s="65">
        <v>0</v>
      </c>
      <c r="L363" s="64"/>
      <c r="M363" s="160" t="s">
        <v>30</v>
      </c>
      <c r="N363" s="160" t="s">
        <v>31</v>
      </c>
      <c r="O363" s="66">
        <v>0</v>
      </c>
      <c r="P363" s="257" t="e">
        <v>#DIV/0!</v>
      </c>
      <c r="Q363" s="349"/>
      <c r="R363" s="350"/>
      <c r="S363" s="351"/>
      <c r="T363" s="137"/>
      <c r="U363" s="137"/>
      <c r="V363" s="180"/>
      <c r="W363" s="180"/>
      <c r="X363" s="2"/>
      <c r="Y363" s="180"/>
      <c r="Z363" s="180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</row>
    <row r="364" spans="2:39" ht="26.25">
      <c r="B364" s="69" t="s">
        <v>32</v>
      </c>
      <c r="C364" s="330" t="s">
        <v>33</v>
      </c>
      <c r="D364" s="331"/>
      <c r="E364" s="331"/>
      <c r="F364" s="332"/>
      <c r="G364" s="70"/>
      <c r="H364" s="70"/>
      <c r="I364" s="308">
        <v>0</v>
      </c>
      <c r="J364" s="276">
        <v>1150</v>
      </c>
      <c r="K364" s="71">
        <v>0</v>
      </c>
      <c r="L364" s="70"/>
      <c r="M364" s="308">
        <v>0</v>
      </c>
      <c r="N364" s="276">
        <v>1150</v>
      </c>
      <c r="O364" s="71">
        <v>0</v>
      </c>
      <c r="P364" s="258" t="e">
        <v>#DIV/0!</v>
      </c>
      <c r="Q364" s="352"/>
      <c r="R364" s="353"/>
      <c r="S364" s="354"/>
      <c r="T364" s="67"/>
      <c r="U364" s="67"/>
      <c r="V364" s="180"/>
      <c r="W364" s="180"/>
      <c r="X364" s="2"/>
      <c r="Y364" s="180"/>
      <c r="Z364" s="180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</row>
    <row r="365" spans="2:39" ht="26.25">
      <c r="B365" s="73" t="s">
        <v>34</v>
      </c>
      <c r="C365" s="330" t="s">
        <v>35</v>
      </c>
      <c r="D365" s="331"/>
      <c r="E365" s="331"/>
      <c r="F365" s="332"/>
      <c r="G365" s="75"/>
      <c r="H365" s="75"/>
      <c r="I365" s="280"/>
      <c r="J365" s="75"/>
      <c r="K365" s="79">
        <v>0</v>
      </c>
      <c r="L365" s="75"/>
      <c r="M365" s="75"/>
      <c r="N365" s="75"/>
      <c r="O365" s="72">
        <v>0</v>
      </c>
      <c r="P365" s="259"/>
      <c r="Q365" s="352"/>
      <c r="R365" s="353"/>
      <c r="S365" s="354"/>
      <c r="T365" s="67"/>
      <c r="U365" s="67"/>
      <c r="V365" s="180"/>
      <c r="W365" s="180"/>
      <c r="X365" s="2"/>
      <c r="Y365" s="180"/>
      <c r="Z365" s="180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</row>
    <row r="366" spans="2:39" ht="26.25">
      <c r="B366" s="76" t="s">
        <v>36</v>
      </c>
      <c r="C366" s="358" t="s">
        <v>37</v>
      </c>
      <c r="D366" s="359"/>
      <c r="E366" s="359"/>
      <c r="F366" s="360"/>
      <c r="G366" s="77"/>
      <c r="H366" s="77"/>
      <c r="I366" s="75"/>
      <c r="J366" s="75"/>
      <c r="K366" s="79">
        <v>0</v>
      </c>
      <c r="L366" s="77"/>
      <c r="M366" s="75"/>
      <c r="N366" s="75"/>
      <c r="O366" s="72">
        <v>0</v>
      </c>
      <c r="P366" s="259" t="e">
        <v>#DIV/0!</v>
      </c>
      <c r="Q366" s="352"/>
      <c r="R366" s="353"/>
      <c r="S366" s="354"/>
      <c r="T366" s="67"/>
      <c r="U366" s="67"/>
      <c r="V366" s="180"/>
      <c r="W366" s="180"/>
      <c r="X366" s="2"/>
      <c r="Y366" s="180"/>
      <c r="Z366" s="180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</row>
    <row r="367" spans="2:39" ht="26.25">
      <c r="B367" s="69" t="s">
        <v>38</v>
      </c>
      <c r="C367" s="361" t="s">
        <v>39</v>
      </c>
      <c r="D367" s="362"/>
      <c r="E367" s="362"/>
      <c r="F367" s="363"/>
      <c r="G367" s="75"/>
      <c r="H367" s="75"/>
      <c r="I367" s="75"/>
      <c r="J367" s="75"/>
      <c r="K367" s="79">
        <v>0</v>
      </c>
      <c r="L367" s="75"/>
      <c r="M367" s="75"/>
      <c r="N367" s="75"/>
      <c r="O367" s="72">
        <v>0</v>
      </c>
      <c r="P367" s="258" t="e">
        <v>#DIV/0!</v>
      </c>
      <c r="Q367" s="352"/>
      <c r="R367" s="353"/>
      <c r="S367" s="354"/>
      <c r="T367" s="67"/>
      <c r="U367" s="67"/>
      <c r="V367" s="180"/>
      <c r="W367" s="180"/>
      <c r="X367" s="2"/>
      <c r="Y367" s="180"/>
      <c r="Z367" s="180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</row>
    <row r="368" spans="2:39" ht="26.25">
      <c r="B368" s="73" t="s">
        <v>40</v>
      </c>
      <c r="C368" s="330" t="s">
        <v>41</v>
      </c>
      <c r="D368" s="331"/>
      <c r="E368" s="331"/>
      <c r="F368" s="332"/>
      <c r="G368" s="75"/>
      <c r="H368" s="75"/>
      <c r="I368" s="75"/>
      <c r="J368" s="78"/>
      <c r="K368" s="279">
        <v>0</v>
      </c>
      <c r="L368" s="75"/>
      <c r="M368" s="75"/>
      <c r="N368" s="78"/>
      <c r="O368" s="302">
        <v>0</v>
      </c>
      <c r="P368" s="259"/>
      <c r="Q368" s="352"/>
      <c r="R368" s="353"/>
      <c r="S368" s="354"/>
      <c r="T368" s="67"/>
      <c r="U368" s="67"/>
      <c r="V368" s="180"/>
      <c r="W368" s="180"/>
      <c r="X368" s="2"/>
      <c r="Y368" s="180"/>
      <c r="Z368" s="180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</row>
    <row r="369" spans="2:26" ht="26.25">
      <c r="B369" s="69" t="s">
        <v>42</v>
      </c>
      <c r="C369" s="361" t="s">
        <v>43</v>
      </c>
      <c r="D369" s="362"/>
      <c r="E369" s="362"/>
      <c r="F369" s="363"/>
      <c r="G369" s="75"/>
      <c r="H369" s="75"/>
      <c r="I369" s="75"/>
      <c r="J369" s="78"/>
      <c r="K369" s="79">
        <v>0</v>
      </c>
      <c r="L369" s="74"/>
      <c r="M369" s="75"/>
      <c r="N369" s="78"/>
      <c r="O369" s="274">
        <v>0</v>
      </c>
      <c r="P369" s="258" t="e">
        <v>#DIV/0!</v>
      </c>
      <c r="Q369" s="352"/>
      <c r="R369" s="353"/>
      <c r="S369" s="354"/>
      <c r="T369" s="67"/>
      <c r="U369" s="67"/>
      <c r="V369" s="180"/>
      <c r="W369" s="180"/>
      <c r="X369" s="2"/>
      <c r="Y369" s="180"/>
      <c r="Z369" s="180"/>
    </row>
    <row r="370" spans="2:26" ht="27" thickBot="1">
      <c r="B370" s="69" t="s">
        <v>44</v>
      </c>
      <c r="C370" s="330" t="s">
        <v>45</v>
      </c>
      <c r="D370" s="331"/>
      <c r="E370" s="331"/>
      <c r="F370" s="332"/>
      <c r="G370" s="75"/>
      <c r="H370" s="75"/>
      <c r="I370" s="75"/>
      <c r="J370" s="75"/>
      <c r="K370" s="79">
        <v>0</v>
      </c>
      <c r="L370" s="75"/>
      <c r="M370" s="75"/>
      <c r="N370" s="75"/>
      <c r="O370" s="72">
        <v>0</v>
      </c>
      <c r="P370" s="259" t="e">
        <v>#DIV/0!</v>
      </c>
      <c r="Q370" s="355"/>
      <c r="R370" s="356"/>
      <c r="S370" s="357"/>
      <c r="T370" s="67"/>
      <c r="U370" s="67"/>
      <c r="V370" s="180"/>
      <c r="W370" s="180"/>
      <c r="X370" s="2"/>
      <c r="Y370" s="180"/>
      <c r="Z370" s="180"/>
    </row>
    <row r="371" spans="2:26" ht="26.25">
      <c r="B371" s="73" t="s">
        <v>46</v>
      </c>
      <c r="C371" s="330" t="s">
        <v>47</v>
      </c>
      <c r="D371" s="331"/>
      <c r="E371" s="331"/>
      <c r="F371" s="332"/>
      <c r="G371" s="75"/>
      <c r="H371" s="75"/>
      <c r="I371" s="75"/>
      <c r="J371" s="75"/>
      <c r="K371" s="277">
        <v>0</v>
      </c>
      <c r="L371" s="75"/>
      <c r="M371" s="75"/>
      <c r="N371" s="75"/>
      <c r="O371" s="275">
        <v>0</v>
      </c>
      <c r="P371" s="258" t="e">
        <v>#DIV/0!</v>
      </c>
      <c r="Q371" s="80" t="s">
        <v>48</v>
      </c>
      <c r="R371" s="81" t="e">
        <v>#DIV/0!</v>
      </c>
      <c r="S371" s="82"/>
      <c r="T371" s="67"/>
      <c r="U371" s="67"/>
      <c r="V371" s="180"/>
      <c r="W371" s="180"/>
      <c r="X371" s="2"/>
      <c r="Y371" s="180"/>
      <c r="Z371" s="180"/>
    </row>
    <row r="372" spans="2:26" ht="26.25">
      <c r="B372" s="69" t="s">
        <v>49</v>
      </c>
      <c r="C372" s="333" t="s">
        <v>50</v>
      </c>
      <c r="D372" s="334"/>
      <c r="E372" s="334"/>
      <c r="F372" s="335"/>
      <c r="G372" s="75"/>
      <c r="H372" s="75"/>
      <c r="I372" s="75"/>
      <c r="J372" s="75"/>
      <c r="K372" s="79">
        <v>0</v>
      </c>
      <c r="L372" s="75"/>
      <c r="M372" s="75"/>
      <c r="N372" s="75"/>
      <c r="O372" s="72">
        <v>0</v>
      </c>
      <c r="P372" s="259"/>
      <c r="Q372" s="83" t="s">
        <v>51</v>
      </c>
      <c r="R372" s="84" t="e">
        <v>#DIV/0!</v>
      </c>
      <c r="S372" s="85"/>
      <c r="T372" s="67"/>
      <c r="U372" s="67"/>
      <c r="V372" s="180"/>
      <c r="W372" s="180"/>
      <c r="X372" s="2"/>
      <c r="Y372" s="180"/>
      <c r="Z372" s="180"/>
    </row>
    <row r="373" spans="2:26" ht="27" thickBot="1">
      <c r="B373" s="86" t="s">
        <v>52</v>
      </c>
      <c r="C373" s="336" t="s">
        <v>53</v>
      </c>
      <c r="D373" s="337"/>
      <c r="E373" s="337"/>
      <c r="F373" s="338"/>
      <c r="G373" s="278"/>
      <c r="H373" s="278"/>
      <c r="I373" s="278"/>
      <c r="J373" s="278"/>
      <c r="K373" s="303">
        <v>0</v>
      </c>
      <c r="L373" s="304"/>
      <c r="M373" s="304"/>
      <c r="N373" s="304"/>
      <c r="O373" s="305">
        <v>0</v>
      </c>
      <c r="P373" s="260"/>
      <c r="Q373" s="87" t="s">
        <v>54</v>
      </c>
      <c r="R373" s="88" t="e">
        <v>#DIV/0!</v>
      </c>
      <c r="S373" s="89"/>
      <c r="T373" s="67"/>
      <c r="U373" s="67"/>
      <c r="V373" s="180"/>
      <c r="W373" s="180"/>
      <c r="X373" s="2"/>
      <c r="Y373" s="180"/>
      <c r="Z373" s="180"/>
    </row>
    <row r="374" spans="2:26" ht="18" thickBot="1">
      <c r="B374" s="90"/>
      <c r="C374" s="90"/>
      <c r="D374" s="90"/>
      <c r="E374" s="90"/>
      <c r="F374" s="91"/>
      <c r="G374" s="94"/>
      <c r="H374" s="94"/>
      <c r="I374" s="94"/>
      <c r="J374" s="92"/>
      <c r="K374" s="93"/>
      <c r="L374" s="94"/>
      <c r="M374" s="94"/>
      <c r="N374" s="92"/>
      <c r="O374" s="93"/>
      <c r="P374" s="92"/>
      <c r="Q374" s="92"/>
      <c r="R374" s="95"/>
      <c r="S374" s="92"/>
      <c r="T374" s="67"/>
      <c r="U374" s="67"/>
      <c r="V374" s="180"/>
      <c r="W374" s="180"/>
      <c r="X374" s="2"/>
      <c r="Y374" s="180"/>
      <c r="Z374" s="180"/>
    </row>
    <row r="375" spans="2:26" ht="27" thickBot="1">
      <c r="B375" s="339" t="s">
        <v>55</v>
      </c>
      <c r="C375" s="340"/>
      <c r="D375" s="340"/>
      <c r="E375" s="341"/>
      <c r="F375" s="96"/>
      <c r="G375" s="97"/>
      <c r="H375" s="97"/>
      <c r="I375" s="342" t="s">
        <v>56</v>
      </c>
      <c r="J375" s="343"/>
      <c r="K375" s="97"/>
      <c r="L375" s="98"/>
      <c r="M375" s="98"/>
      <c r="N375" s="344" t="s">
        <v>57</v>
      </c>
      <c r="O375" s="345"/>
      <c r="P375" s="99"/>
      <c r="Q375" s="322"/>
      <c r="R375" s="323"/>
      <c r="S375" s="324"/>
      <c r="T375" s="67"/>
      <c r="U375" s="67"/>
      <c r="V375" s="180"/>
      <c r="W375" s="180"/>
      <c r="X375" s="2"/>
      <c r="Y375" s="180"/>
      <c r="Z375" s="180"/>
    </row>
    <row r="376" spans="2:26" ht="27" thickBot="1">
      <c r="B376" s="100"/>
      <c r="C376" s="101" t="s">
        <v>58</v>
      </c>
      <c r="D376" s="102"/>
      <c r="E376" s="103">
        <v>0.05</v>
      </c>
      <c r="F376" s="104"/>
      <c r="G376" s="105"/>
      <c r="H376" s="105"/>
      <c r="I376" s="106">
        <v>0</v>
      </c>
      <c r="J376" s="107">
        <v>0</v>
      </c>
      <c r="K376" s="108"/>
      <c r="L376" s="109"/>
      <c r="M376" s="110"/>
      <c r="N376" s="306">
        <v>0</v>
      </c>
      <c r="O376" s="107">
        <v>0</v>
      </c>
      <c r="P376" s="111"/>
      <c r="Q376" s="325"/>
      <c r="R376" s="325"/>
      <c r="S376" s="326"/>
      <c r="T376" s="67"/>
      <c r="U376" s="67"/>
      <c r="V376" s="180"/>
      <c r="W376" s="180"/>
      <c r="X376" s="2"/>
      <c r="Y376" s="180"/>
      <c r="Z376" s="180"/>
    </row>
    <row r="377" spans="2:26" ht="26.25">
      <c r="B377" s="112"/>
      <c r="C377" s="113" t="s">
        <v>59</v>
      </c>
      <c r="D377" s="114"/>
      <c r="E377" s="115">
        <v>0.03</v>
      </c>
      <c r="F377" s="104"/>
      <c r="G377" s="116"/>
      <c r="H377" s="116"/>
      <c r="I377" s="177"/>
      <c r="J377" s="117" t="s">
        <v>60</v>
      </c>
      <c r="K377" s="178">
        <v>0</v>
      </c>
      <c r="L377" s="117"/>
      <c r="M377" s="118"/>
      <c r="N377" s="329"/>
      <c r="O377" s="329"/>
      <c r="P377" s="119"/>
      <c r="Q377" s="325"/>
      <c r="R377" s="325"/>
      <c r="S377" s="326"/>
      <c r="T377" s="67"/>
      <c r="U377" s="67"/>
      <c r="V377" s="180"/>
      <c r="W377" s="180"/>
      <c r="X377" s="2"/>
      <c r="Y377" s="180"/>
      <c r="Z377" s="180"/>
    </row>
    <row r="378" spans="2:26" ht="26.25">
      <c r="B378" s="120"/>
      <c r="C378" s="121" t="s">
        <v>61</v>
      </c>
      <c r="D378" s="122"/>
      <c r="E378" s="123">
        <v>0.02</v>
      </c>
      <c r="F378" s="104"/>
      <c r="G378" s="18"/>
      <c r="H378" s="18"/>
      <c r="I378" s="117" t="s">
        <v>62</v>
      </c>
      <c r="J378" s="124"/>
      <c r="K378" s="116"/>
      <c r="L378" s="116"/>
      <c r="M378" s="116"/>
      <c r="N378" s="125"/>
      <c r="O378" s="19"/>
      <c r="P378" s="18"/>
      <c r="Q378" s="325"/>
      <c r="R378" s="325"/>
      <c r="S378" s="326"/>
      <c r="T378" s="67"/>
      <c r="U378" s="67"/>
      <c r="V378" s="180"/>
      <c r="W378" s="180"/>
      <c r="X378" s="2"/>
      <c r="Y378" s="180"/>
      <c r="Z378" s="180"/>
    </row>
    <row r="379" spans="2:26" ht="26.25">
      <c r="B379" s="126"/>
      <c r="C379" s="127" t="s">
        <v>63</v>
      </c>
      <c r="D379" s="128"/>
      <c r="E379" s="129">
        <v>0.01</v>
      </c>
      <c r="F379" s="104"/>
      <c r="G379" s="18"/>
      <c r="H379" s="18"/>
      <c r="I379" s="130"/>
      <c r="J379" s="91"/>
      <c r="K379" s="91"/>
      <c r="L379" s="91"/>
      <c r="M379" s="91"/>
      <c r="N379" s="125"/>
      <c r="O379" s="19"/>
      <c r="P379" s="18"/>
      <c r="Q379" s="325"/>
      <c r="R379" s="325"/>
      <c r="S379" s="326"/>
      <c r="T379" s="67"/>
      <c r="U379" s="67"/>
      <c r="V379" s="180"/>
      <c r="W379" s="180"/>
      <c r="X379" s="2"/>
      <c r="Y379" s="180"/>
      <c r="Z379" s="180"/>
    </row>
    <row r="380" spans="2:26" ht="27" thickBot="1">
      <c r="B380" s="131"/>
      <c r="C380" s="132" t="s">
        <v>64</v>
      </c>
      <c r="D380" s="133"/>
      <c r="E380" s="134">
        <v>0</v>
      </c>
      <c r="F380" s="135"/>
      <c r="G380" s="21"/>
      <c r="H380" s="21"/>
      <c r="I380" s="136"/>
      <c r="J380" s="136"/>
      <c r="K380" s="136"/>
      <c r="L380" s="136"/>
      <c r="M380" s="136"/>
      <c r="N380" s="22"/>
      <c r="O380" s="22"/>
      <c r="P380" s="21"/>
      <c r="Q380" s="327"/>
      <c r="R380" s="327"/>
      <c r="S380" s="328"/>
      <c r="T380" s="67"/>
      <c r="U380" s="67"/>
      <c r="V380" s="180"/>
      <c r="W380" s="180"/>
      <c r="X380" s="2"/>
      <c r="Y380" s="180"/>
      <c r="Z380" s="180"/>
    </row>
    <row r="381" spans="2:26" ht="17.25">
      <c r="B381" s="6"/>
      <c r="C381" s="6"/>
      <c r="D381" s="68"/>
      <c r="E381" s="67"/>
      <c r="F381" s="67"/>
      <c r="G381" s="67"/>
      <c r="H381" s="67"/>
      <c r="I381" s="67"/>
      <c r="J381" s="137"/>
      <c r="K381" s="137"/>
      <c r="L381" s="137"/>
      <c r="M381" s="67"/>
      <c r="N381" s="137"/>
      <c r="O381" s="137"/>
      <c r="P381" s="67"/>
      <c r="Q381" s="67"/>
      <c r="R381" s="67"/>
      <c r="S381" s="67"/>
      <c r="T381" s="67"/>
      <c r="U381" s="67"/>
      <c r="V381" s="180"/>
      <c r="W381" s="180"/>
      <c r="X381" s="2"/>
      <c r="Y381" s="180"/>
      <c r="Z381" s="180"/>
    </row>
    <row r="385" spans="2:26" ht="17.25">
      <c r="B385" s="6"/>
      <c r="C385" s="6"/>
      <c r="D385" s="68"/>
      <c r="E385" s="68"/>
      <c r="F385" s="68"/>
      <c r="G385" s="68"/>
      <c r="H385" s="68"/>
      <c r="I385" s="138"/>
      <c r="J385" s="7"/>
      <c r="K385" s="7"/>
      <c r="L385" s="7"/>
      <c r="M385" s="68"/>
      <c r="N385" s="7"/>
      <c r="O385" s="7"/>
      <c r="P385" s="68"/>
      <c r="Q385" s="68"/>
      <c r="R385" s="68"/>
      <c r="S385" s="68"/>
      <c r="T385" s="67"/>
      <c r="U385" s="67"/>
      <c r="V385" s="180"/>
      <c r="W385" s="180"/>
      <c r="X385" s="2"/>
      <c r="Y385" s="180"/>
      <c r="Z385" s="180"/>
    </row>
  </sheetData>
  <mergeCells count="53">
    <mergeCell ref="B2:O4"/>
    <mergeCell ref="P2:Q2"/>
    <mergeCell ref="P3:Q3"/>
    <mergeCell ref="P4:Q4"/>
    <mergeCell ref="B6:C6"/>
    <mergeCell ref="D6:E6"/>
    <mergeCell ref="R6:S6"/>
    <mergeCell ref="B8:B9"/>
    <mergeCell ref="C8:C9"/>
    <mergeCell ref="D8:F9"/>
    <mergeCell ref="G8:K8"/>
    <mergeCell ref="L8:O8"/>
    <mergeCell ref="P8:P9"/>
    <mergeCell ref="Q8:Q9"/>
    <mergeCell ref="R8:R9"/>
    <mergeCell ref="S8:S9"/>
    <mergeCell ref="M6:P6"/>
    <mergeCell ref="I6:K6"/>
    <mergeCell ref="B10:B169"/>
    <mergeCell ref="C10:C168"/>
    <mergeCell ref="S10:S168"/>
    <mergeCell ref="C169:F169"/>
    <mergeCell ref="R169:S169"/>
    <mergeCell ref="C170:C351"/>
    <mergeCell ref="C352:F352"/>
    <mergeCell ref="R352:S352"/>
    <mergeCell ref="B353:B362"/>
    <mergeCell ref="C353:C358"/>
    <mergeCell ref="S353:S358"/>
    <mergeCell ref="C359:C361"/>
    <mergeCell ref="S359:S361"/>
    <mergeCell ref="C362:F362"/>
    <mergeCell ref="B170:B352"/>
    <mergeCell ref="S170:S311"/>
    <mergeCell ref="S330:S335"/>
    <mergeCell ref="S336:S351"/>
    <mergeCell ref="C363:F363"/>
    <mergeCell ref="Q363:S370"/>
    <mergeCell ref="C364:F364"/>
    <mergeCell ref="C365:F365"/>
    <mergeCell ref="C366:F366"/>
    <mergeCell ref="C367:F367"/>
    <mergeCell ref="C368:F368"/>
    <mergeCell ref="C369:F369"/>
    <mergeCell ref="C370:F370"/>
    <mergeCell ref="Q375:S380"/>
    <mergeCell ref="N377:O377"/>
    <mergeCell ref="C371:F371"/>
    <mergeCell ref="C372:F372"/>
    <mergeCell ref="C373:F373"/>
    <mergeCell ref="B375:E375"/>
    <mergeCell ref="I375:J375"/>
    <mergeCell ref="N375:O37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2021-10-07T09:10:50Z</dcterms:created>
  <dcterms:modified xsi:type="dcterms:W3CDTF">2021-11-17T02:43:42Z</dcterms:modified>
</cp:coreProperties>
</file>