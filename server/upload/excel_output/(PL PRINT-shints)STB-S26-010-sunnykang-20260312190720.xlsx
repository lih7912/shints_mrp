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9" name="IMPORT-K(SAMTEX)" state="visible" r:id="rId12"/>
    <sheet sheetId="10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<sst xmlns="http://schemas.openxmlformats.org/spreadsheetml/2006/main" count="9923" uniqueCount="890">
  <si>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</si>
  <si>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</si>
  <si>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</si>
  <si>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</si>
  <si>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</si>
  <si>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</si>
  <si>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</si>
  <si>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</si>
  <si>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</si>
  <si>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</si>
  <si>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</si>
  <si>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</si>
  <si>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</si>
  <si>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</si>
  <si>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</si>
  <si>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</si>
  <si>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</si>
  <si>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</si>
  <si>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</si>
  <si>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</si>
  <si>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</si>
  <si>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</si>
  <si>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</si>
  <si>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</si>
  <si>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</si>
  <si>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</si>
  <si>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</si>
  <si>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</si>
  <si>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</si>
  <si>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</si>
  <si>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</si>
  <si>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</si>
  <si>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</si>
  <si>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</si>
  <si>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</si>
  <si>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</si>
  <si>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</si>
  <si>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</si>
  <si>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</si>
  <si>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</si>
  <si>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</si>
  <si>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</si>
  <si>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</si>
  <si>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</si>
  <si>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</si>
  <si>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</si>
  <si>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</si>
  <si>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</si>
  <si>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</si>
  <si>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</si>
  <si>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</si>
  <si>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</si>
  <si>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</si>
  <si>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</si>
  <si>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</si>
  <si>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</si>
  <si>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</si>
  <si>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</si>
  <si>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</si>
  <si>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</si>
  <si>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</si>
  <si>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</si>
  <si>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</si>
  <si>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</si>
  <si>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</si>
  <si>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</si>
  <si>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</si>
  <si>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</si>
  <si>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</si>
  <si>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</si>
  <si>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</si>
  <si>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</si>
  <si>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</si>
  <si>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</si>
  <si>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</si>
  <si>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</si>
  <si>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</si>
  <si>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</si>
  <si>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</si>
  <si>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</si>
  <si>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</si>
  <si>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</si>
  <si>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</si>
  <si>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</si>
  <si>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</si>
  <si>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</si>
  <si>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</si>
  <si>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</si>
  <si>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</si>
  <si>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</si>
  <si>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</si>
  <si>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</si>
  <si>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</si>
  <si>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</si>
  <si>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</si>
  <si>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</si>
  <si>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</si>
  <si>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</si>
  <si>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</si>
  <si>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</si>
  <si>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</si>
  <si>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</si>
  <si>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</si>
  <si>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</si>
  <si>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</si>
  <si>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</si>
  <si>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</si>
  <si>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</si>
  <si>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</si>
  <si>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</si>
  <si>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</si>
  <si>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</si>
  <si>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</si>
  <si>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</si>
  <si>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</si>
  <si>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</si>
  <si>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</si>
  <si>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</si>
  <si>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</si>
  <si>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</si>
  <si>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</si>
  <si>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</si>
  <si>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</si>
  <si>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</si>
  <si>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</si>
  <si>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</si>
  <si>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</si>
  <si>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</si>
  <si>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</si>
  <si>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</si>
  <si>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</si>
  <si>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</si>
  <si>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</si>
  <si>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</si>
  <si>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</si>
  <si>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</si>
  <si>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</si>
  <si>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</si>
  <si>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</si>
  <si>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</si>
  <si>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</si>
  <si>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</si>
  <si>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</si>
  <si>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</si>
  <si>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</si>
  <si>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</si>
  <si>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</si>
  <si>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</si>
  <si>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</si>
  <si>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</si>
  <si>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</si>
  <si>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</si>
  <si>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</si>
  <si>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</si>
  <si>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</si>
  <si>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</si>
  <si>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</si>
  <si>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</si>
  <si>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</si>
  <si>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</si>
  <si>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</si>
  <si>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</si>
  <si>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</si>
  <si>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</si>
  <si>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</si>
  <si>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</si>
  <si>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</si>
  <si>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</si>
  <si>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</si>
  <si>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</si>
  <si>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</si>
  <si>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</si>
  <si>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</si>
  <si>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</si>
  <si>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</si>
  <si>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</si>
  <si>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</si>
  <si>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</si>
  <si>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</si>
  <si>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</si>
  <si>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</si>
  <si>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</si>
  <si>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</si>
  <si>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</si>
  <si>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</si>
  <si>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</si>
  <si>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</si>
  <si>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</si>
  <si>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</si>
  <si>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</si>
  <si>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</si>
  <si>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</si>
  <si>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</si>
  <si>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</si>
  <si>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</si>
  <si>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</si>
  <si>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</si>
  <si>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</si>
  <si>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</si>
  <si>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</si>
  <si>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</si>
  <si>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</si>
  <si>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</si>
  <si>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</si>
  <si>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</si>
  <si>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</si>
  <si>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</si>
  <si>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</si>
  <si>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</si>
  <si>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</si>
  <si>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</si>
  <si>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</si>
  <si>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</si>
  <si>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</si>
  <si>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</si>
  <si>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</si>
  <si>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</si>
  <si>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</si>
  <si>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</si>
  <si>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</si>
  <si>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</si>
  <si>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</si>
  <si>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</si>
  <si>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</si>
  <si>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</si>
  <si>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</si>
  <si>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</si>
  <si>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</si>
  <si>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</si>
  <si>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</si>
  <si>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</si>
  <si>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</si>
  <si>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</si>
  <si>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</si>
  <si>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</si>
  <si>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</si>
  <si>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</si>
  <si>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</si>
  <si>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</si>
  <si>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</si>
  <si>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</si>
  <si>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</si>
  <si>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</si>
  <si>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</si>
  <si>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</si>
  <si>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</si>
  <si>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</si>
  <si>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</si>
  <si>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</si>
  <si>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</si>
  <si>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</si>
  <si>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</si>
  <si>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</si>
  <si>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</si>
  <si>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</si>
  <si>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</si>
  <si>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</si>
  <si>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</si>
  <si>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</si>
  <si>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</si>
  <si>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</si>
  <si>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</si>
  <si>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</si>
  <si>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</si>
  <si>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</si>
  <si>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</si>
  <si>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</si>
  <si>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</si>
  <si>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</si>
  <si>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</si>
  <si>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</si>
  <si>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</si>
  <si>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</si>
  <si>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</si>
  <si>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</si>
  <si>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</si>
  <si>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</si>
  <si>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</si>
  <si>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</si>
  <si>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</si>
  <si>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</si>
  <si>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</si>
  <si>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</si>
  <si>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</si>
  <si>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</si>
  <si>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</si>
  <si>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</si>
  <si>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</si>
  <si>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</si>
  <si>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</si>
  <si>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</si>
  <si>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</si>
  <si>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</si>
  <si>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</si>
  <si>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</si>
  <si>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</si>
  <si>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</si>
  <si>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</si>
  <si>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</si>
  <si>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HANOI,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</si>
  <si>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</si>
  <si>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</si>
  <si>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</si>
  <si>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</si>
  <si>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</si>
  <si>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</si>
  <si>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</si>
  <si>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</si>
  <si>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</si>
  <si>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</si>
  <si>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</si>
  <si>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</si>
  <si>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</si>
  <si>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</si>
  <si>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</si>
  <si>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</si>
  <si>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</si>
  <si>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</si>
  <si>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</si>
  <si>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</si>
  <si>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</si>
  <si>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</si>
  <si>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</si>
  <si>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</si>
  <si>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</si>
  <si>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</si>
  <si>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</si>
  <si>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</si>
  <si>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</si>
  <si>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</si>
  <si>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</si>
  <si>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</si>
  <si>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</si>
  <si>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</si>
  <si>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</si>
  <si>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</si>
  <si>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</si>
  <si>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</si>
  <si>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</si>
  <si>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</si>
  <si>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</si>
  <si>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</si>
  <si>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</si>
  <si>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</si>
  <si>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</si>
  <si>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</si>
  <si>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</si>
  <si>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</si>
  <si>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</si>
  <si>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</si>
  <si>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</si>
  <si>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</si>
  <si>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</si>
  <si>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</si>
  <si>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</si>
  <si>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</si>
  <si>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</si>
  <si>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</si>
  <si>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</si>
  <si>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</si>
  <si>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</si>
  <si>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</si>
  <si>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</si>
  <si>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</si>
  <si>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</si>
  <si>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</si>
  <si>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</si>
  <si>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</si>
  <si>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</si>
  <si>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</si>
  <si>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</si>
  <si>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</si>
  <si>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</si>
  <si>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</si>
  <si>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</si>
  <si>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</si>
  <si>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</si>
  <si>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</si>
  <si>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</si>
  <si>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</si>
  <si>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</si>
  <si>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</si>
  <si>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</si>
  <si>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</si>
  <si>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</si>
  <si>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</si>
  <si>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</si>
  <si>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</si>
  <si>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</si>
  <si>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</si>
  <si>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</si>
  <si>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</si>
  <si>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</si>
  <si>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</si>
  <si>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</si>
  <si>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</si>
  <si>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</si>
  <si>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</si>
  <si>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</si>
  <si>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</si>
  <si>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</si>
  <si>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</si>
  <si>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</si>
  <si>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</si>
  <si>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</si>
  <si>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</si>
  <si>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</si>
  <si>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</si>
  <si>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</si>
  <si>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</si>
  <si>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</si>
  <si>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</si>
  <si>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</si>
  <si>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</si>
  <si>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</si>
  <si>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</si>
  <si>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</si>
  <si>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</si>
  <si>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</si>
  <si>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</si>
  <si>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</si>
  <si>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</si>
  <si>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</si>
  <si>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</si>
  <si>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</si>
  <si>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</si>
  <si>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</si>
  <si>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</si>
  <si>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</si>
  <si>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</si>
  <si>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</si>
  <si>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</si>
  <si>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</si>
  <si>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</si>
  <si>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</si>
  <si>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</si>
  <si>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</si>
  <si>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</si>
  <si>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</si>
  <si>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</si>
  <si>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</si>
  <si>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</si>
  <si>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</si>
  <si>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</si>
  <si>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</si>
  <si>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</si>
  <si>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</si>
  <si>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</si>
  <si>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</si>
  <si>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</si>
  <si>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</si>
  <si>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</si>
  <si>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</si>
  <si>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</si>
  <si>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</si>
  <si>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</si>
  <si>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</si>
  <si>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</si>
  <si>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</si>
  <si>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</si>
  <si>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</si>
  <si>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</si>
  <si>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</si>
  <si>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</si>
  <si>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</si>
  <si>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</si>
  <si>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</si>
  <si>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</si>
  <si>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</si>
  <si>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</si>
  <si>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</si>
  <si>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</si>
  <si>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</si>
  <si>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</si>
  <si>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</si>
  <si>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</si>
  <si>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</si>
  <si>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</si>
  <si>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</si>
  <si>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</si>
  <si>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</si>
  <si>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</si>
  <si>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</si>
  <si>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</si>
  <si>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</si>
  <si>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</si>
  <si>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</si>
  <si>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</si>
  <si>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</si>
  <si>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</si>
  <si>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</si>
  <si>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</si>
  <si>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</si>
  <si>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</si>
  <si>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</si>
  <si>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</si>
  <si>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</si>
  <si>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</si>
  <si>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</si>
  <si>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</si>
  <si>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</si>
  <si>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</si>
  <si>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</si>
  <si>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</si>
  <si>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</si>
  <si>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</si>
  <si>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</si>
  <si>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</si>
  <si>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</si>
  <si>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</si>
  <si>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</si>
  <si>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</si>
  <si>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</si>
  <si>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</si>
  <si>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</si>
  <si>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</si>
  <si>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</si>
  <si>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</si>
  <si>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</si>
  <si>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</si>
  <si>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</si>
  <si>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</si>
  <si>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</si>
  <si>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</si>
  <si>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</si>
  <si>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</si>
  <si>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</si>
  <si>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</si>
  <si>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</si>
  <si>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</si>
  <si>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</si>
  <si>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</si>
  <si>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</si>
  <si>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</si>
  <si>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</si>
  <si>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</si>
  <si>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</si>
  <si>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</si>
  <si>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</si>
  <si>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</si>
  <si>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</si>
  <si>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</si>
  <si>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</si>
  <si>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</si>
  <si>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</si>
  <si>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</si>
  <si>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</si>
  <si>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</si>
  <si>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</si>
  <si>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</si>
  <si>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</si>
  <si>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</si>
  <si>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</si>
  <si>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</si>
  <si>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</si>
  <si>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</si>
  <si>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</si>
  <si>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</si>
  <si>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</si>
  <si>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</si>
  <si>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</si>
  <si>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</si>
  <si>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</si>
  <si>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</si>
  <si>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</si>
  <si>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</si>
  <si>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</si>
  <si>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</si>
  <si>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</si>
  <si>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</si>
  <si>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</si>
  <si>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</si>
  <si>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</si>
  <si>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</si>
  <si>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</si>
  <si>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</si>
  <si>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</si>
  <si>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</si>
  <si>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</si>
  <si>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</si>
  <si>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</si>
  <si>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</si>
  <si>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</si>
  <si>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</si>
  <si>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</si>
  <si>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</si>
  <si>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</si>
  <si>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</si>
  <si>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</si>
  <si>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</si>
  <si>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</si>
  <si>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</si>
  <si>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</si>
  <si>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</si>
  <si>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</si>
  <si>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</si>
  <si>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</si>
  <si>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</si>
  <si>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</si>
  <si>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</si>
  <si>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</si>
  <si>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</si>
  <si>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</si>
  <si>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</si>
  <si>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</si>
  <si>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</si>
  <si>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</si>
  <si>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</si>
  <si>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</si>
  <si>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</si>
  <si>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</si>
  <si>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</si>
  <si>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</si>
  <si>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</si>
  <si>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</si>
  <si>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</si>
  <si>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</si>
  <si>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</si>
  <si>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</si>
  <si>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</si>
  <si>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</si>
  <si>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</si>
  <si>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</si>
  <si>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</si>
  <si>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</si>
  <si>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</si>
  <si>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</si>
  <si>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</si>
  <si>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</si>
  <si>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</si>
  <si>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</si>
  <si>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</si>
  <si>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</si>
  <si>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</si>
  <si>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</si>
  <si>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</si>
  <si>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</si>
  <si>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</si>
  <si>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</si>
  <si>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</si>
  <si>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</si>
  <si>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</si>
  <si>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</si>
  <si>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</si>
  <si>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</si>
  <si>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</si>
  <si>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</si>
  <si>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</si>
  <si>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</si>
  <si>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</si>
  <si>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</si>
  <si>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</si>
  <si>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</si>
  <si>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</si>
  <si>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</si>
  <si>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</si>
  <si>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</si>
  <si>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</si>
  <si>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</si>
  <si>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</si>
  <si>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</si>
  <si>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</si>
  <si>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</si>
  <si>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</si>
  <si>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</si>
  <si>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</si>
  <si>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</si>
  <si>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</si>
  <si>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</si>
  <si>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</si>
  <si>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</si>
  <si>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</si>
  <si>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</si>
  <si>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</si>
  <si>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</si>
  <si>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</si>
  <si>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</si>
  <si>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</si>
  <si>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</si>
  <si>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</si>
  <si>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</si>
  <si>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</si>
  <si>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</si>
  <si>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</si>
  <si>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</si>
  <si>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</si>
  <si>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</si>
  <si>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</si>
  <si>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</si>
  <si>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</si>
  <si>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</si>
  <si>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</si>
  <si>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</si>
  <si>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</si>
  <si>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</si>
  <si>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</si>
  <si>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</si>
  <si>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</si>
  <si>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</si>
  <si>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</si>
  <si>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</si>
  <si>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</si>
  <si>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</si>
  <si>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</si>
  <si>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</si>
  <si>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</si>
  <si>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</si>
  <si>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</si>
  <si>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</si>
  <si>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</si>
  <si>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</si>
  <si>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</si>
  <si>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</si>
  <si>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</si>
  <si>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</si>
  <si>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</si>
  <si>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</si>
  <si>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</si>
  <si>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</si>
  <si>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</si>
  <si>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</si>
  <si>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</si>
  <si>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</si>
  <si>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</si>
  <si>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</si>
  <si>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</si>
  <si>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</si>
  <si>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</si>
  <si>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</si>
  <si>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</si>
  <si>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</si>
  <si>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</si>
  <si>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</si>
  <si>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</si>
  <si>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</si>
  <si>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</si>
  <si>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</si>
  <si>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</si>
  <si>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</si>
  <si>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</si>
  <si>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</si>
  <si>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</si>
  <si>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</si>
  <si>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</si>
  <si>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</si>
  <si>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</si>
  <si>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</si>
  <si>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</si>
  <si>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</si>
  <si>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</si>
  <si>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</si>
  <si>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</si>
  <si>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</si>
  <si>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</si>
  <si>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</si>
  <si>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</si>
  <si>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</si>
  <si>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</si>
  <si>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</si>
  <si>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</si>
  <si>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</si>
  <si>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</si>
  <si>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</si>
  <si>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</si>
  <si>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</si>
  <si>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</si>
  <si>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</si>
  <si>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</si>
  <si>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</si>
  <si>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</si>
  <si>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</si>
  <si>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</si>
  <si>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</si>
  <si>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</si>
  <si>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</si>
  <si>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</si>
  <si>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</si>
  <si>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</si>
  <si>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</si>
  <si>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</si>
  <si>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</si>
  <si>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</si>
  <si>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</si>
  <si>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</si>
  <si>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</si>
  <si>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</si>
  <si>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</si>
  <si>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</si>
  <si>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</si>
  <si>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</si>
  <si>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</si>
  <si>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</si>
  <si>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</si>
  <si>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</si>
  <si>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</si>
  <si>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</si>
  <si>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</si>
  <si>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</si>
  <si>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</si>
  <si>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</si>
  <si>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</si>
  <si>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</si>
  <si>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</si>
  <si>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</si>
  <si>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</si>
  <si>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</si>
  <si>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</si>
  <si>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</si>
  <si>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</si>
  <si>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</si>
  <si>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</si>
  <si>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</si>
  <si>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</si>
  <si>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</si>
  <si>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</si>
  <si>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</si>
  <si>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</si>
  <si>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</si>
  <si>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</si>
  <si>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</si>
  <si>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</si>
  <si>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</si>
  <si>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</si>
  <si>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</si>
  <si>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</si>
  <si>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</si>
  <si>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</si>
  <si>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</si>
  <si>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</si>
  <si>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</si>
  <si>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</si>
  <si>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</si>
  <si>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</si>
  <si>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</si>
  <si>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</si>
  <si>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</si>
  <si>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</si>
  <si>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</si>
  <si>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</si>
  <si>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</si>
  <si>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</si>
  <si>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</si>
  <si>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</si>
  <si>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</si>
  <si>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</si>
  <si>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</si>
  <si>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</si>
  <si>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</si>
  <si>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</si>
  <si>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</si>
  <si>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</si>
  <si>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</si>
  <si>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</si>
  <si>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</si>
  <si>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</si>
  <si>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</si>
  <si>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</si>
  <si>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</si>
  <si>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</si>
  <si>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</si>
  <si>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</si>
  <si>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</si>
  <si>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</si>
  <si>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</si>
  <si>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</si>
  <si>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</si>
  <si>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</si>
  <si>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</si>
  <si>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</si>
  <si>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</si>
  <si>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</si>
  <si>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</si>
  <si>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</si>
  <si>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</si>
  <si>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</si>
  <si>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>HAIPHONG, VIETNAM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</si>
  <si>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</si>
  <si>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</si>
  <si>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</si>
  <si>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</si>
  <si>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</si>
  <si>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</si>
  <si>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</si>
  <si>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</si>
  <si>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</si>
  <si>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 xml:space="preserve">H.S.CODE : 5407.69-2000
ITEM : CH-32046-C0ADWRCIRE
PD/C0 DWR/CIRE
YARN : POLY F.YARN 20D SD+POLY F.YARN 20D SD
WIDTH : 55"
TOTAL WEIGHT: 49GR/YD</t>
  </si>
  <si>
    <t xml:space="preserve">100% POLYESTER
P/D
YARN : P75D+P30D
WIDTH : 52/54"
TOTAL WEIGHT: 325GR/YD
</t>
  </si>
  <si>
    <t xml:space="preserve">HS 5903.20.0000
61% NYLON 31% POLYESTER 8% SPANDEX 
WEAVE: RIPSTOP
WEIGHT: 245GSM,CUTTABLE WIDTH 44"
FINISHING: PFC FREE DWR, BLACK PU LAMINATION</t>
  </si>
  <si>
    <t xml:space="preserve">HS 5407.42.0000
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</si>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</sst>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2.4733</v>
      </c>
      <c r="E6" s="14">
        <v>200</v>
      </c>
      <c r="F6" s="15" t="s">
        <v>14</v>
      </c>
      <c r="G6" s="13">
        <v>494.66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2.4765</v>
      </c>
      <c r="E7" s="14">
        <v>330</v>
      </c>
      <c r="F7" s="15" t="s">
        <v>14</v>
      </c>
      <c r="G7" s="13">
        <v>817.25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2.87</v>
      </c>
      <c r="E8" s="14">
        <v>363</v>
      </c>
      <c r="F8" s="15" t="s">
        <v>14</v>
      </c>
      <c r="G8" s="13">
        <v>1041.81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0.7361</v>
      </c>
      <c r="E10" s="14">
        <v>11078</v>
      </c>
      <c r="F10" s="15" t="s">
        <v>32</v>
      </c>
      <c r="G10" s="13">
        <v>8154.52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0.7377</v>
      </c>
      <c r="E11" s="14">
        <v>4468</v>
      </c>
      <c r="F11" s="15" t="s">
        <v>32</v>
      </c>
      <c r="G11" s="13">
        <v>3296.04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0.07</v>
      </c>
      <c r="E22" s="14">
        <v>8000</v>
      </c>
      <c r="F22" s="15" t="s">
        <v>14</v>
      </c>
      <c r="G22" s="13">
        <v>560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19.77</v>
      </c>
      <c r="E27" s="14">
        <v>36</v>
      </c>
      <c r="F27" s="15" t="s">
        <v>32</v>
      </c>
      <c r="G27" s="13">
        <v>711.72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30.67</v>
      </c>
      <c r="E28" s="14">
        <v>24</v>
      </c>
      <c r="F28" s="15" t="s">
        <v>32</v>
      </c>
      <c r="G28" s="13">
        <v>736.08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1.16</v>
      </c>
      <c r="E29" s="14">
        <v>500</v>
      </c>
      <c r="F29" s="15" t="s">
        <v>32</v>
      </c>
      <c r="G29" s="13">
        <v>580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11.86</v>
      </c>
      <c r="E30" s="14">
        <v>20</v>
      </c>
      <c r="F30" s="15" t="s">
        <v>46</v>
      </c>
      <c r="G30" s="13">
        <v>237.2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3.87</v>
      </c>
      <c r="E44" s="14">
        <v>30</v>
      </c>
      <c r="F44" s="15" t="s">
        <v>82</v>
      </c>
      <c r="G44" s="13">
        <v>116.1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5.46</v>
      </c>
      <c r="E45" s="14">
        <v>30</v>
      </c>
      <c r="F45" s="15" t="s">
        <v>82</v>
      </c>
      <c r="G45" s="13">
        <v>163.8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115.86</v>
      </c>
      <c r="E52" s="14">
        <v>25</v>
      </c>
      <c r="F52" s="15" t="s">
        <v>95</v>
      </c>
      <c r="G52" s="13">
        <v>2896.5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2.4733</v>
      </c>
      <c r="E10" s="111">
        <v>200</v>
      </c>
      <c r="F10" s="112" t="s">
        <v>14</v>
      </c>
      <c r="G10" s="110">
        <v>494.66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2.4765</v>
      </c>
      <c r="E11" s="111">
        <v>330</v>
      </c>
      <c r="F11" s="112" t="s">
        <v>14</v>
      </c>
      <c r="G11" s="110">
        <v>817.25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2.87</v>
      </c>
      <c r="E12" s="111">
        <v>363</v>
      </c>
      <c r="F12" s="112" t="s">
        <v>14</v>
      </c>
      <c r="G12" s="110">
        <v>1041.81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0.7361</v>
      </c>
      <c r="E17" s="111">
        <v>11078</v>
      </c>
      <c r="F17" s="112" t="s">
        <v>32</v>
      </c>
      <c r="G17" s="110">
        <v>8154.52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0.7377</v>
      </c>
      <c r="E18" s="111">
        <v>4468</v>
      </c>
      <c r="F18" s="112" t="s">
        <v>32</v>
      </c>
      <c r="G18" s="110">
        <v>3296.04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0.07</v>
      </c>
      <c r="E29" s="111">
        <v>8000</v>
      </c>
      <c r="F29" s="112" t="s">
        <v>14</v>
      </c>
      <c r="G29" s="110">
        <v>560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19.77</v>
      </c>
      <c r="E34" s="111">
        <v>36</v>
      </c>
      <c r="F34" s="112" t="s">
        <v>32</v>
      </c>
      <c r="G34" s="110">
        <v>711.72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30.67</v>
      </c>
      <c r="E35" s="111">
        <v>24</v>
      </c>
      <c r="F35" s="112" t="s">
        <v>32</v>
      </c>
      <c r="G35" s="110">
        <v>736.08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1.16</v>
      </c>
      <c r="E36" s="111">
        <v>500</v>
      </c>
      <c r="F36" s="112" t="s">
        <v>32</v>
      </c>
      <c r="G36" s="110">
        <v>580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11.86</v>
      </c>
      <c r="E37" s="111">
        <v>20</v>
      </c>
      <c r="F37" s="112" t="s">
        <v>46</v>
      </c>
      <c r="G37" s="110">
        <v>237.2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3.87</v>
      </c>
      <c r="E51" s="111">
        <v>30</v>
      </c>
      <c r="F51" s="112" t="s">
        <v>82</v>
      </c>
      <c r="G51" s="110">
        <v>116.1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5.46</v>
      </c>
      <c r="E52" s="111">
        <v>30</v>
      </c>
      <c r="F52" s="112" t="s">
        <v>82</v>
      </c>
      <c r="G52" s="110">
        <v>163.8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115.86</v>
      </c>
      <c r="E59" s="111">
        <v>25</v>
      </c>
      <c r="F59" s="112" t="s">
        <v>95</v>
      </c>
      <c r="G59" s="110">
        <v>2896.5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3.87</v>
      </c>
      <c r="E7" s="135">
        <v>30</v>
      </c>
      <c r="F7" s="29" t="s">
        <v>82</v>
      </c>
      <c r="G7" s="135">
        <v>116.10000000000001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5.46</v>
      </c>
      <c r="E8" s="135">
        <v>30</v>
      </c>
      <c r="F8" s="29" t="s">
        <v>82</v>
      </c>
      <c r="G8" s="135">
        <v>163.8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19.77</v>
      </c>
      <c r="E17" s="135">
        <v>36</v>
      </c>
      <c r="F17" s="29" t="s">
        <v>32</v>
      </c>
      <c r="G17" s="135">
        <v>711.72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30.67</v>
      </c>
      <c r="E18" s="135">
        <v>24</v>
      </c>
      <c r="F18" s="29" t="s">
        <v>32</v>
      </c>
      <c r="G18" s="135">
        <v>736.08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115.86</v>
      </c>
      <c r="E19" s="135">
        <v>25</v>
      </c>
      <c r="F19" s="29" t="s">
        <v>95</v>
      </c>
      <c r="G19" s="135">
        <v>2896.5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1.16</v>
      </c>
      <c r="E28" s="135">
        <v>500</v>
      </c>
      <c r="F28" s="29" t="s">
        <v>32</v>
      </c>
      <c r="G28" s="135">
        <v>580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514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412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516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825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3.07</v>
      </c>
      <c r="E299" s="135">
        <v>161</v>
      </c>
      <c r="F299" s="29" t="s">
        <v>14</v>
      </c>
      <c r="G299" s="135">
        <v>494.27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2.87</v>
      </c>
      <c r="E308" s="135">
        <v>363</v>
      </c>
      <c r="F308" s="29" t="s">
        <v>14</v>
      </c>
      <c r="G308" s="135">
        <v>1041.81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0.73</v>
      </c>
      <c r="E331" s="135">
        <v>412</v>
      </c>
      <c r="F331" s="29" t="s">
        <v>32</v>
      </c>
      <c r="G331" s="135">
        <v>300.76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0.74</v>
      </c>
      <c r="E333" s="135">
        <v>1142</v>
      </c>
      <c r="F333" s="29" t="s">
        <v>32</v>
      </c>
      <c r="G333" s="135">
        <v>845.08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0.76</v>
      </c>
      <c r="E335" s="135">
        <v>331</v>
      </c>
      <c r="F335" s="29" t="s">
        <v>32</v>
      </c>
      <c r="G335" s="135">
        <v>251.56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0.76</v>
      </c>
      <c r="E344" s="135">
        <v>103</v>
      </c>
      <c r="F344" s="29" t="s">
        <v>32</v>
      </c>
      <c r="G344" s="135">
        <v>78.28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0.74</v>
      </c>
      <c r="E346" s="135">
        <v>155</v>
      </c>
      <c r="F346" s="29" t="s">
        <v>32</v>
      </c>
      <c r="G346" s="135">
        <v>114.7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0.73</v>
      </c>
      <c r="E348" s="135">
        <v>72</v>
      </c>
      <c r="F348" s="29" t="s">
        <v>32</v>
      </c>
      <c r="G348" s="135">
        <v>52.56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0.73</v>
      </c>
      <c r="E358" s="135">
        <v>2517</v>
      </c>
      <c r="F358" s="29" t="s">
        <v>32</v>
      </c>
      <c r="G358" s="135">
        <v>1837.4099999999999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0.75</v>
      </c>
      <c r="E361" s="135">
        <v>1524</v>
      </c>
      <c r="F361" s="29" t="s">
        <v>32</v>
      </c>
      <c r="G361" s="135">
        <v>1143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0.75</v>
      </c>
      <c r="E370" s="135">
        <v>464</v>
      </c>
      <c r="F370" s="29" t="s">
        <v>32</v>
      </c>
      <c r="G370" s="135">
        <v>348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0.73</v>
      </c>
      <c r="E373" s="135">
        <v>686</v>
      </c>
      <c r="F373" s="29" t="s">
        <v>32</v>
      </c>
      <c r="G373" s="135">
        <v>500.78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3.07</v>
      </c>
      <c r="E384" s="135">
        <v>52</v>
      </c>
      <c r="F384" s="29" t="s">
        <v>14</v>
      </c>
      <c r="G384" s="135">
        <v>159.64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3.07</v>
      </c>
      <c r="E393" s="135">
        <v>214</v>
      </c>
      <c r="F393" s="29" t="s">
        <v>14</v>
      </c>
      <c r="G393" s="135">
        <v>656.98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11.86</v>
      </c>
      <c r="E459" s="135">
        <v>20</v>
      </c>
      <c r="F459" s="29" t="s">
        <v>46</v>
      </c>
      <c r="G459" s="135">
        <v>237.2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0.07</v>
      </c>
      <c r="E483" s="135">
        <v>8000</v>
      </c>
      <c r="F483" s="29" t="s">
        <v>14</v>
      </c>
      <c r="G483" s="135">
        <v>560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=1500/65366.63*J29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 showGridLines="0" zoomScale="100" zoomScaleNormal="100" view="normal">
      <selection activeCell="C37" sqref="C37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=1500/65366.63*4022.7300000000005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=4022.7300000000005*1.1*0.026%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5.409999999999999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875</v>
      </c>
      <c r="E18" s="74"/>
      <c r="F18" s="74"/>
      <c r="G18" s="1"/>
      <c r="H18" s="67" t="s">
        <v>874</v>
      </c>
      <c r="I18" s="179">
        <v>5.951000000000001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876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877</v>
      </c>
      <c r="E26" s="188"/>
      <c r="F26" s="188"/>
      <c r="G26" s="188" t="s">
        <v>5</v>
      </c>
      <c r="H26" s="188" t="s">
        <v>6</v>
      </c>
      <c r="I26" s="188" t="s">
        <v>878</v>
      </c>
      <c r="J26" s="188" t="s">
        <v>879</v>
      </c>
      <c r="K26" s="86"/>
    </row>
    <row r="27" ht="15" customHeight="1" spans="1:11" x14ac:dyDescent="0.25">
      <c r="A27" s="87"/>
      <c r="B27" s="1"/>
      <c r="C27" s="1"/>
      <c r="D27" s="29" t="s">
        <v>238</v>
      </c>
      <c r="E27" s="3"/>
      <c r="F27" s="180"/>
      <c r="G27" s="180">
        <v>267</v>
      </c>
      <c r="H27" s="181" t="s">
        <v>14</v>
      </c>
      <c r="I27" s="182">
        <v>6.29</v>
      </c>
      <c r="J27" s="183">
        <f>=G27*I27</f>
      </c>
      <c r="K27" s="86">
        <v>1.7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=G28*I28</f>
      </c>
      <c r="K28" s="86">
        <v>0.05</v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502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1"/>
      <c r="B31" s="1"/>
      <c r="C31" s="1"/>
      <c r="D31" s="189" t="s">
        <v>248</v>
      </c>
      <c r="E31" s="1"/>
      <c r="F31" s="1"/>
      <c r="G31" s="180">
        <v>1</v>
      </c>
      <c r="H31" s="181" t="s">
        <v>14</v>
      </c>
      <c r="I31" s="182">
        <v>4.15</v>
      </c>
      <c r="J31" s="183">
        <f>=G31*I31</f>
      </c>
      <c r="K31" s="86">
        <v>0.01</v>
      </c>
    </row>
    <row r="32" ht="15" customHeight="1" spans="1:11" x14ac:dyDescent="0.25">
      <c r="A32" s="1"/>
      <c r="B32" s="1"/>
      <c r="C32" s="1"/>
      <c r="D32" s="189" t="s">
        <v>248</v>
      </c>
      <c r="E32" s="1"/>
      <c r="F32" s="1"/>
      <c r="G32" s="180">
        <v>2</v>
      </c>
      <c r="H32" s="181" t="s">
        <v>14</v>
      </c>
      <c r="I32" s="182">
        <v>4.15</v>
      </c>
      <c r="J32" s="183">
        <f>=G32*I32</f>
      </c>
      <c r="K32" s="86">
        <v>0.01</v>
      </c>
    </row>
    <row r="33" ht="15" customHeight="1" spans="1:11" x14ac:dyDescent="0.25">
      <c r="A33" s="1"/>
      <c r="B33" s="1"/>
      <c r="C33" s="1"/>
      <c r="D33" s="189" t="s">
        <v>248</v>
      </c>
      <c r="E33" s="1"/>
      <c r="F33" s="1"/>
      <c r="G33" s="180">
        <v>12</v>
      </c>
      <c r="H33" s="181" t="s">
        <v>14</v>
      </c>
      <c r="I33" s="182">
        <v>4.15</v>
      </c>
      <c r="J33" s="183">
        <f>=G33*I33</f>
      </c>
      <c r="K33" s="86">
        <v>0.08</v>
      </c>
    </row>
    <row r="34" ht="15" customHeight="1" spans="1:11" x14ac:dyDescent="0.25">
      <c r="A34" s="1"/>
      <c r="B34" s="1"/>
      <c r="C34" s="1"/>
      <c r="D34" s="189" t="s">
        <v>248</v>
      </c>
      <c r="E34" s="1"/>
      <c r="F34" s="1"/>
      <c r="G34" s="180">
        <v>4</v>
      </c>
      <c r="H34" s="181" t="s">
        <v>14</v>
      </c>
      <c r="I34" s="182">
        <v>4.15</v>
      </c>
      <c r="J34" s="183">
        <f>=G34*I34</f>
      </c>
      <c r="K34" s="86">
        <v>0.03</v>
      </c>
    </row>
    <row r="35" ht="15" customHeight="1" spans="1:11" x14ac:dyDescent="0.25">
      <c r="A35" s="1"/>
      <c r="B35" s="1"/>
      <c r="C35" s="1"/>
      <c r="D35" s="189" t="s">
        <v>248</v>
      </c>
      <c r="E35" s="1"/>
      <c r="F35" s="1"/>
      <c r="G35" s="180">
        <v>3</v>
      </c>
      <c r="H35" s="181" t="s">
        <v>14</v>
      </c>
      <c r="I35" s="182">
        <v>4.15</v>
      </c>
      <c r="J35" s="183">
        <f>=G35*I35</f>
      </c>
      <c r="K35" s="86">
        <v>0.02</v>
      </c>
    </row>
    <row r="36" ht="15" customHeight="1" spans="1:11" x14ac:dyDescent="0.25">
      <c r="A36" s="87"/>
      <c r="B36" s="88"/>
      <c r="C36" s="3"/>
      <c r="D36" s="164" t="s">
        <v>274</v>
      </c>
      <c r="E36" s="164"/>
      <c r="F36" s="164"/>
      <c r="G36" s="184"/>
      <c r="H36" s="185"/>
      <c r="I36" s="186"/>
      <c r="J36" s="187">
        <f>=SUM(J27:J35)</f>
      </c>
      <c r="K36" s="86">
        <f>=SUM(K27:K35)</f>
      </c>
    </row>
    <row r="37" ht="15" customHeight="1" spans="1:11" x14ac:dyDescent="0.25">
      <c r="A37" s="87"/>
      <c r="B37" s="88"/>
      <c r="C37" s="3"/>
      <c r="D37" s="51"/>
      <c r="E37" s="51"/>
      <c r="F37" s="51"/>
      <c r="G37" s="67"/>
      <c r="H37" s="190"/>
      <c r="I37" s="191"/>
      <c r="J37" s="192"/>
      <c r="K37" s="86"/>
    </row>
    <row r="38" ht="15" customHeight="1" spans="1:10" x14ac:dyDescent="0.25">
      <c r="A38" s="1" t="s">
        <v>880</v>
      </c>
      <c r="B38" s="88"/>
      <c r="C38" s="1"/>
      <c r="D38" s="1" t="s">
        <v>881</v>
      </c>
      <c r="E38" s="1"/>
      <c r="F38" s="1" t="s">
        <v>882</v>
      </c>
      <c r="G38" s="1"/>
      <c r="H38" s="89"/>
      <c r="I38" s="90"/>
      <c r="J38" s="96"/>
    </row>
    <row r="39" ht="18" customHeight="1" spans="1:12" x14ac:dyDescent="0.25">
      <c r="A39" s="193" t="s">
        <v>240</v>
      </c>
      <c r="B39" s="193"/>
      <c r="C39" s="193"/>
      <c r="D39" s="193" t="s">
        <v>12</v>
      </c>
      <c r="E39" s="193"/>
      <c r="F39" s="194" t="s">
        <v>883</v>
      </c>
      <c r="G39" s="194"/>
      <c r="H39" s="194"/>
      <c r="I39" s="194"/>
      <c r="J39" s="194"/>
      <c r="K39" s="194"/>
      <c r="L39" t="s">
        <v>238</v>
      </c>
    </row>
    <row r="40" ht="18" customHeight="1" spans="1:12" x14ac:dyDescent="0.25">
      <c r="A40" s="193" t="s">
        <v>244</v>
      </c>
      <c r="B40" s="193"/>
      <c r="C40" s="193"/>
      <c r="D40" s="193" t="s">
        <v>12</v>
      </c>
      <c r="E40" s="193"/>
      <c r="F40" s="194" t="s">
        <v>884</v>
      </c>
      <c r="G40" s="194"/>
      <c r="H40" s="194"/>
      <c r="I40" s="194"/>
      <c r="J40" s="194"/>
      <c r="K40" s="194"/>
      <c r="L40" t="s">
        <v>242</v>
      </c>
    </row>
    <row r="41" ht="18" customHeight="1" spans="1:12" x14ac:dyDescent="0.25">
      <c r="A41" s="193" t="s">
        <v>247</v>
      </c>
      <c r="B41" s="193"/>
      <c r="C41" s="193"/>
      <c r="D41" s="193" t="s">
        <v>323</v>
      </c>
      <c r="E41" s="193"/>
      <c r="F41" s="194" t="s">
        <v>885</v>
      </c>
      <c r="G41" s="194"/>
      <c r="H41" s="194"/>
      <c r="I41" s="194"/>
      <c r="J41" s="194"/>
      <c r="K41" s="194"/>
      <c r="L41" t="s">
        <v>245</v>
      </c>
    </row>
    <row r="42" ht="18" customHeight="1" spans="1:12" x14ac:dyDescent="0.25">
      <c r="A42" s="193" t="s">
        <v>249</v>
      </c>
      <c r="B42" s="193"/>
      <c r="C42" s="193"/>
      <c r="D42" s="193" t="s">
        <v>327</v>
      </c>
      <c r="E42" s="193"/>
      <c r="F42" s="194" t="s">
        <v>886</v>
      </c>
      <c r="G42" s="194"/>
      <c r="H42" s="194"/>
      <c r="I42" s="194"/>
      <c r="J42" s="194"/>
      <c r="K42" s="194"/>
      <c r="L42" t="s">
        <v>248</v>
      </c>
    </row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spans="1:6" x14ac:dyDescent="0.25">
      <c r="A48" s="66" t="s">
        <v>315</v>
      </c>
      <c r="B48" s="66"/>
      <c r="C48" s="66"/>
      <c r="D48" s="66"/>
      <c r="E48" s="66"/>
      <c r="F48" s="66"/>
    </row>
    <row r="49" ht="15" customHeight="1" spans="1:11" x14ac:dyDescent="0.25">
      <c r="A49" s="66" t="s">
        <v>316</v>
      </c>
      <c r="B49" s="66"/>
      <c r="C49" s="66"/>
      <c r="D49" s="1"/>
      <c r="E49" s="1"/>
      <c r="F49" s="1"/>
      <c r="G49" s="1"/>
      <c r="H49" s="97" t="s">
        <v>317</v>
      </c>
      <c r="I49" s="61"/>
      <c r="J49" s="61"/>
      <c r="K49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9:C39"/>
    <mergeCell ref="D39:E39"/>
    <mergeCell ref="F39:K39"/>
    <mergeCell ref="A40:C40"/>
    <mergeCell ref="D40:E40"/>
    <mergeCell ref="F40:K40"/>
    <mergeCell ref="A41:C41"/>
    <mergeCell ref="D41:E41"/>
    <mergeCell ref="F41:K41"/>
    <mergeCell ref="A42:C42"/>
    <mergeCell ref="D42:E42"/>
    <mergeCell ref="F42:K4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=1500/65366.63*10156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=10156*1.1*0.026%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8.19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875</v>
      </c>
      <c r="E18" s="74"/>
      <c r="F18" s="74"/>
      <c r="G18" s="1"/>
      <c r="H18" s="67" t="s">
        <v>874</v>
      </c>
      <c r="I18" s="179">
        <v>9.009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876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877</v>
      </c>
      <c r="E26" s="188"/>
      <c r="F26" s="188"/>
      <c r="G26" s="188" t="s">
        <v>5</v>
      </c>
      <c r="H26" s="188" t="s">
        <v>6</v>
      </c>
      <c r="I26" s="188" t="s">
        <v>878</v>
      </c>
      <c r="J26" s="188" t="s">
        <v>879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395</v>
      </c>
      <c r="H27" s="181" t="s">
        <v>14</v>
      </c>
      <c r="I27" s="182">
        <v>8.75</v>
      </c>
      <c r="J27" s="183">
        <f>=G27*I27</f>
      </c>
      <c r="K27" s="86">
        <v>2.51</v>
      </c>
    </row>
    <row r="28" ht="15" customHeight="1" spans="1:11" x14ac:dyDescent="0.25">
      <c r="A28" s="1"/>
      <c r="D28" s="189" t="s">
        <v>198</v>
      </c>
      <c r="G28" s="180">
        <v>305</v>
      </c>
      <c r="H28" s="181" t="s">
        <v>14</v>
      </c>
      <c r="I28" s="182">
        <v>8.75</v>
      </c>
      <c r="J28" s="183">
        <f>=G28*I28</f>
      </c>
      <c r="K28" s="86">
        <v>1.94</v>
      </c>
    </row>
    <row r="29" ht="15" customHeight="1" spans="1:11" x14ac:dyDescent="0.25">
      <c r="A29" s="1"/>
      <c r="D29" s="189" t="s">
        <v>198</v>
      </c>
      <c r="G29" s="180">
        <v>90</v>
      </c>
      <c r="H29" s="181" t="s">
        <v>14</v>
      </c>
      <c r="I29" s="182">
        <v>8.75</v>
      </c>
      <c r="J29" s="183">
        <f>=G29*I29</f>
      </c>
      <c r="K29" s="86">
        <v>0.57</v>
      </c>
    </row>
    <row r="30" ht="15" customHeight="1" spans="1:11" x14ac:dyDescent="0.25">
      <c r="A30" s="1"/>
      <c r="D30" s="189" t="s">
        <v>201</v>
      </c>
      <c r="G30" s="180">
        <v>499</v>
      </c>
      <c r="H30" s="181" t="s">
        <v>14</v>
      </c>
      <c r="I30" s="182">
        <v>6.5</v>
      </c>
      <c r="J30" s="183">
        <f>=G30*I30</f>
      </c>
      <c r="K30" s="86">
        <v>3.17</v>
      </c>
    </row>
    <row r="31" ht="15" customHeight="1" spans="1:11" x14ac:dyDescent="0.25">
      <c r="A31" s="1"/>
      <c r="B31" s="1"/>
      <c r="C31" s="1"/>
      <c r="D31" s="189" t="s">
        <v>242</v>
      </c>
      <c r="E31" s="1"/>
      <c r="F31" s="1"/>
      <c r="G31" s="180">
        <v>8</v>
      </c>
      <c r="H31" s="181" t="s">
        <v>14</v>
      </c>
      <c r="I31" s="182">
        <v>5.15</v>
      </c>
      <c r="J31" s="183">
        <f>=SUM(J27:J30)</f>
      </c>
      <c r="K31" s="86">
        <f>=SUM(K27:K30)</f>
      </c>
    </row>
    <row r="32" ht="15" customHeight="1" spans="1:11" x14ac:dyDescent="0.25">
      <c r="A32" s="1"/>
      <c r="B32" s="1"/>
      <c r="C32" s="1"/>
      <c r="D32" s="189" t="s">
        <v>245</v>
      </c>
      <c r="E32" s="1"/>
      <c r="F32" s="1"/>
      <c r="G32" s="180">
        <v>50</v>
      </c>
      <c r="H32" s="181" t="s">
        <v>14</v>
      </c>
      <c r="I32" s="182">
        <v>2.55</v>
      </c>
      <c r="J32" s="183">
        <f>=G29*I29</f>
      </c>
      <c r="K32" s="86">
        <v>0.32</v>
      </c>
    </row>
    <row r="33" ht="15" customHeight="1" spans="1:11" x14ac:dyDescent="0.25">
      <c r="A33" s="1"/>
      <c r="B33" s="1"/>
      <c r="C33" s="1"/>
      <c r="D33" s="189" t="s">
        <v>248</v>
      </c>
      <c r="E33" s="1"/>
      <c r="F33" s="1"/>
      <c r="G33" s="180">
        <v>502</v>
      </c>
      <c r="H33" s="181" t="s">
        <v>14</v>
      </c>
      <c r="I33" s="182">
        <v>4.15</v>
      </c>
      <c r="J33" s="183">
        <f>=G30*I30</f>
      </c>
      <c r="K33" s="86">
        <v>3.19</v>
      </c>
    </row>
    <row r="34" ht="15" customHeight="1" spans="1:11" x14ac:dyDescent="0.25">
      <c r="A34" s="1"/>
      <c r="B34" s="1"/>
      <c r="C34" s="1"/>
      <c r="D34" s="189" t="s">
        <v>248</v>
      </c>
      <c r="E34" s="1"/>
      <c r="F34" s="1"/>
      <c r="G34" s="180">
        <v>1</v>
      </c>
      <c r="H34" s="181" t="s">
        <v>14</v>
      </c>
      <c r="I34" s="182">
        <v>4.15</v>
      </c>
      <c r="J34" s="183">
        <f>=G31*I31</f>
      </c>
      <c r="K34" s="86">
        <v>0.01</v>
      </c>
    </row>
    <row r="35" ht="15" customHeight="1" spans="1:11" x14ac:dyDescent="0.25">
      <c r="A35" s="1"/>
      <c r="B35" s="1"/>
      <c r="C35" s="1"/>
      <c r="D35" s="189" t="s">
        <v>248</v>
      </c>
      <c r="E35" s="1"/>
      <c r="F35" s="1"/>
      <c r="G35" s="180">
        <v>2</v>
      </c>
      <c r="H35" s="181" t="s">
        <v>14</v>
      </c>
      <c r="I35" s="182">
        <v>4.15</v>
      </c>
      <c r="J35" s="183">
        <f>=G32*I32</f>
      </c>
      <c r="K35" s="86">
        <v>0.01</v>
      </c>
    </row>
    <row r="36" ht="15" customHeight="1" spans="1:11" x14ac:dyDescent="0.25">
      <c r="A36" s="1"/>
      <c r="B36" s="1"/>
      <c r="C36" s="1"/>
      <c r="D36" s="189" t="s">
        <v>248</v>
      </c>
      <c r="E36" s="1"/>
      <c r="F36" s="1"/>
      <c r="G36" s="180">
        <v>12</v>
      </c>
      <c r="H36" s="181" t="s">
        <v>14</v>
      </c>
      <c r="I36" s="182">
        <v>4.15</v>
      </c>
      <c r="J36" s="183">
        <f>=G33*I33</f>
      </c>
      <c r="K36" s="86">
        <v>0.08</v>
      </c>
    </row>
    <row r="37" ht="15" customHeight="1" spans="1:11" x14ac:dyDescent="0.25">
      <c r="A37" s="1"/>
      <c r="B37" s="1"/>
      <c r="C37" s="1"/>
      <c r="D37" s="189" t="s">
        <v>248</v>
      </c>
      <c r="E37" s="1"/>
      <c r="F37" s="1"/>
      <c r="G37" s="180">
        <v>4</v>
      </c>
      <c r="H37" s="181" t="s">
        <v>14</v>
      </c>
      <c r="I37" s="182">
        <v>4.15</v>
      </c>
      <c r="J37" s="183">
        <f>=G34*I34</f>
      </c>
      <c r="K37" s="86">
        <v>0.03</v>
      </c>
    </row>
    <row r="38" ht="15" customHeight="1" spans="1:11" x14ac:dyDescent="0.25">
      <c r="A38" s="1"/>
      <c r="B38" s="1"/>
      <c r="C38" s="1"/>
      <c r="D38" s="189" t="s">
        <v>248</v>
      </c>
      <c r="E38" s="1"/>
      <c r="F38" s="1"/>
      <c r="G38" s="180">
        <v>3</v>
      </c>
      <c r="H38" s="181" t="s">
        <v>14</v>
      </c>
      <c r="I38" s="182">
        <v>4.15</v>
      </c>
      <c r="J38" s="183">
        <f>=G35*I35</f>
      </c>
      <c r="K38" s="86">
        <v>0.02</v>
      </c>
    </row>
    <row r="39" ht="15" customHeight="1" spans="1:11" x14ac:dyDescent="0.25">
      <c r="A39" s="87"/>
      <c r="B39" s="88"/>
      <c r="C39" s="3"/>
      <c r="D39" s="164" t="s">
        <v>274</v>
      </c>
      <c r="E39" s="164"/>
      <c r="F39" s="164"/>
      <c r="G39" s="184"/>
      <c r="H39" s="185"/>
      <c r="I39" s="186"/>
      <c r="J39" s="187">
        <f>=SUM(J27:J35)</f>
      </c>
      <c r="K39" s="86">
        <f>=SUM(K27:K35)</f>
      </c>
    </row>
    <row r="40" ht="15" customHeight="1" spans="1:11" x14ac:dyDescent="0.25">
      <c r="A40" s="87"/>
      <c r="B40" s="88"/>
      <c r="C40" s="3"/>
      <c r="D40" s="51"/>
      <c r="E40" s="51"/>
      <c r="F40" s="51"/>
      <c r="G40" s="67"/>
      <c r="H40" s="190"/>
      <c r="I40" s="191"/>
      <c r="J40" s="192"/>
      <c r="K40" s="86"/>
    </row>
    <row r="41" ht="15" customHeight="1" spans="1:10" x14ac:dyDescent="0.25">
      <c r="A41" s="1" t="s">
        <v>880</v>
      </c>
      <c r="B41" s="88"/>
      <c r="C41" s="1"/>
      <c r="D41" s="1" t="s">
        <v>881</v>
      </c>
      <c r="E41" s="1"/>
      <c r="F41" s="1" t="s">
        <v>882</v>
      </c>
      <c r="G41" s="1"/>
      <c r="H41" s="89"/>
      <c r="I41" s="90"/>
      <c r="J41" s="96"/>
    </row>
    <row r="42" ht="18" customHeight="1" spans="1:12" x14ac:dyDescent="0.25">
      <c r="A42" s="193" t="s">
        <v>199</v>
      </c>
      <c r="B42" s="193"/>
      <c r="C42" s="193"/>
      <c r="D42" s="193" t="s">
        <v>330</v>
      </c>
      <c r="E42" s="193"/>
      <c r="F42" s="194" t="s">
        <v>887</v>
      </c>
      <c r="G42" s="194"/>
      <c r="H42" s="194"/>
      <c r="I42" s="194"/>
      <c r="J42" s="194"/>
      <c r="K42" s="194"/>
      <c r="L42" t="s">
        <v>198</v>
      </c>
    </row>
    <row r="43" ht="18" customHeight="1" spans="1:12" x14ac:dyDescent="0.25">
      <c r="A43" s="193" t="s">
        <v>202</v>
      </c>
      <c r="B43" s="193"/>
      <c r="C43" s="193"/>
      <c r="D43" s="193" t="s">
        <v>334</v>
      </c>
      <c r="E43" s="193"/>
      <c r="F43" s="194" t="s">
        <v>888</v>
      </c>
      <c r="G43" s="194"/>
      <c r="H43" s="194"/>
      <c r="I43" s="194"/>
      <c r="J43" s="194"/>
      <c r="K43" s="194"/>
      <c r="L43" t="s">
        <v>201</v>
      </c>
    </row>
    <row r="44" ht="18" customHeight="1" spans="1:12" x14ac:dyDescent="0.25">
      <c r="A44" s="193" t="s">
        <v>244</v>
      </c>
      <c r="B44" s="193"/>
      <c r="C44" s="193"/>
      <c r="D44" s="193" t="s">
        <v>12</v>
      </c>
      <c r="E44" s="193"/>
      <c r="F44" s="194" t="s">
        <v>884</v>
      </c>
      <c r="G44" s="194"/>
      <c r="H44" s="194"/>
      <c r="I44" s="194"/>
      <c r="J44" s="194"/>
      <c r="K44" s="194"/>
      <c r="L44" t="s">
        <v>242</v>
      </c>
    </row>
    <row r="45" ht="18" customHeight="1" spans="1:12" x14ac:dyDescent="0.25">
      <c r="A45" s="193" t="s">
        <v>247</v>
      </c>
      <c r="B45" s="193"/>
      <c r="C45" s="193"/>
      <c r="D45" s="193" t="s">
        <v>323</v>
      </c>
      <c r="E45" s="193"/>
      <c r="F45" s="194" t="s">
        <v>885</v>
      </c>
      <c r="G45" s="194"/>
      <c r="H45" s="194"/>
      <c r="I45" s="194"/>
      <c r="J45" s="194"/>
      <c r="K45" s="194"/>
      <c r="L45" t="s">
        <v>245</v>
      </c>
    </row>
    <row r="46" ht="18" customHeight="1" spans="1:12" x14ac:dyDescent="0.25">
      <c r="A46" s="193" t="s">
        <v>249</v>
      </c>
      <c r="B46" s="193"/>
      <c r="C46" s="193"/>
      <c r="D46" s="193" t="s">
        <v>327</v>
      </c>
      <c r="E46" s="193"/>
      <c r="F46" s="194" t="s">
        <v>886</v>
      </c>
      <c r="G46" s="194"/>
      <c r="H46" s="194"/>
      <c r="I46" s="194"/>
      <c r="J46" s="194"/>
      <c r="K46" s="194"/>
      <c r="L46" t="s">
        <v>248</v>
      </c>
    </row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spans="1:6" x14ac:dyDescent="0.25">
      <c r="A52" s="66" t="s">
        <v>315</v>
      </c>
      <c r="B52" s="66"/>
      <c r="C52" s="66"/>
      <c r="D52" s="66"/>
      <c r="E52" s="66"/>
      <c r="F52" s="66"/>
    </row>
    <row r="53" ht="15" customHeight="1" spans="1:11" x14ac:dyDescent="0.25">
      <c r="A53" s="66" t="s">
        <v>316</v>
      </c>
      <c r="B53" s="66"/>
      <c r="C53" s="66"/>
      <c r="D53" s="1"/>
      <c r="E53" s="1"/>
      <c r="F53" s="1"/>
      <c r="G53" s="1"/>
      <c r="H53" s="97" t="s">
        <v>317</v>
      </c>
      <c r="I53" s="61"/>
      <c r="J53" s="61"/>
      <c r="K53" s="61"/>
    </row>
  </sheetData>
  <mergeCells count="23">
    <mergeCell ref="A1:K1"/>
    <mergeCell ref="A18:C18"/>
    <mergeCell ref="D18:F18"/>
    <mergeCell ref="A21:C21"/>
    <mergeCell ref="D21:F21"/>
    <mergeCell ref="A22:C22"/>
    <mergeCell ref="D22:F22"/>
    <mergeCell ref="G22:H22"/>
    <mergeCell ref="A42:C42"/>
    <mergeCell ref="D42:E42"/>
    <mergeCell ref="F42:K42"/>
    <mergeCell ref="A43:C43"/>
    <mergeCell ref="D43:E43"/>
    <mergeCell ref="F43:K43"/>
    <mergeCell ref="A44:C44"/>
    <mergeCell ref="D44:E44"/>
    <mergeCell ref="F44:K44"/>
    <mergeCell ref="A45:C45"/>
    <mergeCell ref="D45:E45"/>
    <mergeCell ref="F45:K45"/>
    <mergeCell ref="A46:C46"/>
    <mergeCell ref="D46:E46"/>
    <mergeCell ref="F46:K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=1500/65366.63*1400.28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=1400.28*1.1*0.026%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26.899999999999995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875</v>
      </c>
      <c r="E18" s="74"/>
      <c r="F18" s="74"/>
      <c r="G18" s="1"/>
      <c r="H18" s="67" t="s">
        <v>874</v>
      </c>
      <c r="I18" s="179">
        <v>29.589999999999996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876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877</v>
      </c>
      <c r="E26" s="188"/>
      <c r="F26" s="188"/>
      <c r="G26" s="188" t="s">
        <v>5</v>
      </c>
      <c r="H26" s="188" t="s">
        <v>6</v>
      </c>
      <c r="I26" s="188" t="s">
        <v>878</v>
      </c>
      <c r="J26" s="188" t="s">
        <v>879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170</v>
      </c>
      <c r="H27" s="181" t="s">
        <v>32</v>
      </c>
      <c r="I27" s="182">
        <v>0.01</v>
      </c>
      <c r="J27" s="183">
        <f>=G27*I27</f>
      </c>
      <c r="K27" s="86">
        <v>1.08</v>
      </c>
    </row>
    <row r="28" ht="15" customHeight="1" spans="1:11" x14ac:dyDescent="0.25">
      <c r="A28" s="1"/>
      <c r="D28" s="189" t="s">
        <v>263</v>
      </c>
      <c r="G28" s="180">
        <v>842</v>
      </c>
      <c r="H28" s="181" t="s">
        <v>32</v>
      </c>
      <c r="I28" s="182">
        <v>0.1</v>
      </c>
      <c r="J28" s="183">
        <f>=G28*I28</f>
      </c>
      <c r="K28" s="86">
        <v>5.35</v>
      </c>
    </row>
    <row r="29" ht="15" customHeight="1" spans="1:11" x14ac:dyDescent="0.25">
      <c r="A29" s="1"/>
      <c r="D29" s="189" t="s">
        <v>263</v>
      </c>
      <c r="G29" s="180">
        <v>920</v>
      </c>
      <c r="H29" s="181" t="s">
        <v>32</v>
      </c>
      <c r="I29" s="182">
        <v>0.37</v>
      </c>
      <c r="J29" s="183">
        <f>=G29*I29</f>
      </c>
      <c r="K29" s="86">
        <v>5.85</v>
      </c>
    </row>
    <row r="30" ht="15" customHeight="1" spans="1:11" x14ac:dyDescent="0.25">
      <c r="A30" s="1"/>
      <c r="D30" s="189" t="s">
        <v>263</v>
      </c>
      <c r="G30" s="180">
        <v>204</v>
      </c>
      <c r="H30" s="181" t="s">
        <v>32</v>
      </c>
      <c r="I30" s="182">
        <v>0.38</v>
      </c>
      <c r="J30" s="183">
        <f>=G30*I30</f>
      </c>
      <c r="K30" s="86">
        <v>1.3</v>
      </c>
    </row>
    <row r="31" ht="15" customHeight="1" spans="1:11" x14ac:dyDescent="0.25">
      <c r="A31" s="1"/>
      <c r="D31" s="189" t="s">
        <v>263</v>
      </c>
      <c r="G31" s="180">
        <v>319</v>
      </c>
      <c r="H31" s="181" t="s">
        <v>32</v>
      </c>
      <c r="I31" s="182">
        <v>0.42</v>
      </c>
      <c r="J31" s="183">
        <f>=G31*I31</f>
      </c>
      <c r="K31" s="86">
        <v>2.03</v>
      </c>
    </row>
    <row r="32" ht="15" customHeight="1" spans="1:11" x14ac:dyDescent="0.25">
      <c r="A32" s="1"/>
      <c r="D32" s="189" t="s">
        <v>263</v>
      </c>
      <c r="G32" s="180">
        <v>867</v>
      </c>
      <c r="H32" s="181" t="s">
        <v>32</v>
      </c>
      <c r="I32" s="182">
        <v>0.44</v>
      </c>
      <c r="J32" s="183">
        <f>=G32*I32</f>
      </c>
      <c r="K32" s="86">
        <v>5.51</v>
      </c>
    </row>
    <row r="33" ht="15" customHeight="1" spans="1:11" x14ac:dyDescent="0.25">
      <c r="A33" s="1"/>
      <c r="D33" s="189" t="s">
        <v>263</v>
      </c>
      <c r="G33" s="180">
        <v>710</v>
      </c>
      <c r="H33" s="181" t="s">
        <v>32</v>
      </c>
      <c r="I33" s="182">
        <v>0.45</v>
      </c>
      <c r="J33" s="183">
        <f>=G33*I33</f>
      </c>
      <c r="K33" s="86">
        <v>4.51</v>
      </c>
    </row>
    <row r="34" ht="15" customHeight="1" spans="1:11" x14ac:dyDescent="0.25">
      <c r="A34" s="1"/>
      <c r="D34" s="189" t="s">
        <v>263</v>
      </c>
      <c r="G34" s="180">
        <v>175</v>
      </c>
      <c r="H34" s="181" t="s">
        <v>32</v>
      </c>
      <c r="I34" s="182">
        <v>0.35</v>
      </c>
      <c r="J34" s="183">
        <f>=G34*I34</f>
      </c>
      <c r="K34" s="86">
        <v>1.11</v>
      </c>
    </row>
    <row r="35" ht="15" customHeight="1" spans="1:11" x14ac:dyDescent="0.25">
      <c r="A35" s="1"/>
      <c r="D35" s="189" t="s">
        <v>263</v>
      </c>
      <c r="G35" s="180">
        <v>25</v>
      </c>
      <c r="H35" s="181" t="s">
        <v>32</v>
      </c>
      <c r="I35" s="182">
        <v>0.01</v>
      </c>
      <c r="J35" s="183">
        <f>=G35*I35</f>
      </c>
      <c r="K35" s="86">
        <v>0.16</v>
      </c>
    </row>
    <row r="36" ht="15" customHeight="1" spans="1:11" x14ac:dyDescent="0.25">
      <c r="A36" s="1"/>
      <c r="B36" s="1"/>
      <c r="C36" s="1"/>
      <c r="D36" s="189" t="s">
        <v>242</v>
      </c>
      <c r="E36" s="1"/>
      <c r="F36" s="1"/>
      <c r="G36" s="180">
        <v>8</v>
      </c>
      <c r="H36" s="181" t="s">
        <v>14</v>
      </c>
      <c r="I36" s="182">
        <v>5.15</v>
      </c>
      <c r="J36" s="183">
        <f>=SUM(J27:J35)</f>
      </c>
      <c r="K36" s="86">
        <f>=SUM(K27:K35)</f>
      </c>
    </row>
    <row r="37" ht="15" customHeight="1" spans="1:11" x14ac:dyDescent="0.25">
      <c r="A37" s="1"/>
      <c r="B37" s="1"/>
      <c r="C37" s="1"/>
      <c r="D37" s="189" t="s">
        <v>245</v>
      </c>
      <c r="E37" s="1"/>
      <c r="F37" s="1"/>
      <c r="G37" s="180">
        <v>50</v>
      </c>
      <c r="H37" s="181" t="s">
        <v>14</v>
      </c>
      <c r="I37" s="182">
        <v>2.55</v>
      </c>
      <c r="J37" s="183">
        <f>=G29*I29</f>
      </c>
      <c r="K37" s="86">
        <v>0.32</v>
      </c>
    </row>
    <row r="38" ht="15" customHeight="1" spans="1:11" x14ac:dyDescent="0.25">
      <c r="A38" s="1"/>
      <c r="B38" s="1"/>
      <c r="C38" s="1"/>
      <c r="D38" s="189" t="s">
        <v>248</v>
      </c>
      <c r="E38" s="1"/>
      <c r="F38" s="1"/>
      <c r="G38" s="180">
        <v>502</v>
      </c>
      <c r="H38" s="181" t="s">
        <v>14</v>
      </c>
      <c r="I38" s="182">
        <v>4.15</v>
      </c>
      <c r="J38" s="183">
        <f>=G30*I30</f>
      </c>
      <c r="K38" s="86">
        <v>3.19</v>
      </c>
    </row>
    <row r="39" ht="15" customHeight="1" spans="1:11" x14ac:dyDescent="0.25">
      <c r="A39" s="1"/>
      <c r="B39" s="1"/>
      <c r="C39" s="1"/>
      <c r="D39" s="189" t="s">
        <v>248</v>
      </c>
      <c r="E39" s="1"/>
      <c r="F39" s="1"/>
      <c r="G39" s="180">
        <v>1</v>
      </c>
      <c r="H39" s="181" t="s">
        <v>14</v>
      </c>
      <c r="I39" s="182">
        <v>4.15</v>
      </c>
      <c r="J39" s="183">
        <f>=G31*I31</f>
      </c>
      <c r="K39" s="86">
        <v>0.01</v>
      </c>
    </row>
    <row r="40" ht="15" customHeight="1" spans="1:11" x14ac:dyDescent="0.25">
      <c r="A40" s="1"/>
      <c r="B40" s="1"/>
      <c r="C40" s="1"/>
      <c r="D40" s="189" t="s">
        <v>248</v>
      </c>
      <c r="E40" s="1"/>
      <c r="F40" s="1"/>
      <c r="G40" s="180">
        <v>2</v>
      </c>
      <c r="H40" s="181" t="s">
        <v>14</v>
      </c>
      <c r="I40" s="182">
        <v>4.15</v>
      </c>
      <c r="J40" s="183">
        <f>=G32*I32</f>
      </c>
      <c r="K40" s="86">
        <v>0.01</v>
      </c>
    </row>
    <row r="41" ht="15" customHeight="1" spans="1:11" x14ac:dyDescent="0.25">
      <c r="A41" s="1"/>
      <c r="B41" s="1"/>
      <c r="C41" s="1"/>
      <c r="D41" s="189" t="s">
        <v>248</v>
      </c>
      <c r="E41" s="1"/>
      <c r="F41" s="1"/>
      <c r="G41" s="180">
        <v>12</v>
      </c>
      <c r="H41" s="181" t="s">
        <v>14</v>
      </c>
      <c r="I41" s="182">
        <v>4.15</v>
      </c>
      <c r="J41" s="183">
        <f>=G33*I33</f>
      </c>
      <c r="K41" s="86">
        <v>0.08</v>
      </c>
    </row>
    <row r="42" ht="15" customHeight="1" spans="1:11" x14ac:dyDescent="0.25">
      <c r="A42" s="1"/>
      <c r="B42" s="1"/>
      <c r="C42" s="1"/>
      <c r="D42" s="189" t="s">
        <v>248</v>
      </c>
      <c r="E42" s="1"/>
      <c r="F42" s="1"/>
      <c r="G42" s="180">
        <v>4</v>
      </c>
      <c r="H42" s="181" t="s">
        <v>14</v>
      </c>
      <c r="I42" s="182">
        <v>4.15</v>
      </c>
      <c r="J42" s="183">
        <f>=G34*I34</f>
      </c>
      <c r="K42" s="86">
        <v>0.03</v>
      </c>
    </row>
    <row r="43" ht="15" customHeight="1" spans="1:11" x14ac:dyDescent="0.25">
      <c r="A43" s="1"/>
      <c r="B43" s="1"/>
      <c r="C43" s="1"/>
      <c r="D43" s="189" t="s">
        <v>248</v>
      </c>
      <c r="E43" s="1"/>
      <c r="F43" s="1"/>
      <c r="G43" s="180">
        <v>3</v>
      </c>
      <c r="H43" s="181" t="s">
        <v>14</v>
      </c>
      <c r="I43" s="182">
        <v>4.15</v>
      </c>
      <c r="J43" s="183">
        <f>=G35*I35</f>
      </c>
      <c r="K43" s="86">
        <v>0.02</v>
      </c>
    </row>
    <row r="44" ht="15" customHeight="1" spans="1:11" x14ac:dyDescent="0.25">
      <c r="A44" s="87"/>
      <c r="B44" s="88"/>
      <c r="C44" s="3"/>
      <c r="D44" s="164" t="s">
        <v>274</v>
      </c>
      <c r="E44" s="164"/>
      <c r="F44" s="164"/>
      <c r="G44" s="184"/>
      <c r="H44" s="185"/>
      <c r="I44" s="186"/>
      <c r="J44" s="187">
        <f>=SUM(J27:J35)</f>
      </c>
      <c r="K44" s="86">
        <f>=SUM(K27:K35)</f>
      </c>
    </row>
    <row r="45" ht="15" customHeight="1" spans="1:11" x14ac:dyDescent="0.25">
      <c r="A45" s="87"/>
      <c r="B45" s="88"/>
      <c r="C45" s="3"/>
      <c r="D45" s="51"/>
      <c r="E45" s="51"/>
      <c r="F45" s="51"/>
      <c r="G45" s="67"/>
      <c r="H45" s="190"/>
      <c r="I45" s="191"/>
      <c r="J45" s="192"/>
      <c r="K45" s="86"/>
    </row>
    <row r="46" ht="15" customHeight="1" spans="1:10" x14ac:dyDescent="0.25">
      <c r="A46" s="1" t="s">
        <v>880</v>
      </c>
      <c r="B46" s="88"/>
      <c r="C46" s="1"/>
      <c r="D46" s="1" t="s">
        <v>881</v>
      </c>
      <c r="E46" s="1"/>
      <c r="F46" s="1" t="s">
        <v>882</v>
      </c>
      <c r="G46" s="1"/>
      <c r="H46" s="89"/>
      <c r="I46" s="90"/>
      <c r="J46" s="96"/>
    </row>
    <row r="47" ht="18" customHeight="1" spans="1:12" x14ac:dyDescent="0.25">
      <c r="A47" s="193" t="s">
        <v>265</v>
      </c>
      <c r="B47" s="193"/>
      <c r="C47" s="193"/>
      <c r="D47" s="193" t="s">
        <v>337</v>
      </c>
      <c r="E47" s="193"/>
      <c r="F47" s="194" t="s">
        <v>889</v>
      </c>
      <c r="G47" s="194"/>
      <c r="H47" s="194"/>
      <c r="I47" s="194"/>
      <c r="J47" s="194"/>
      <c r="K47" s="194"/>
      <c r="L47" t="s">
        <v>263</v>
      </c>
    </row>
    <row r="48" ht="18" customHeight="1" spans="1:12" x14ac:dyDescent="0.25">
      <c r="A48" s="193" t="s">
        <v>267</v>
      </c>
      <c r="B48" s="193"/>
      <c r="C48" s="193"/>
      <c r="D48" s="193" t="s">
        <v>337</v>
      </c>
      <c r="E48" s="193"/>
      <c r="F48" s="194" t="s">
        <v>889</v>
      </c>
      <c r="G48" s="194"/>
      <c r="H48" s="194"/>
      <c r="I48" s="194"/>
      <c r="J48" s="194"/>
      <c r="K48" s="194"/>
      <c r="L48" t="s">
        <v>263</v>
      </c>
    </row>
    <row r="49" ht="18" customHeight="1" spans="1:12" x14ac:dyDescent="0.25">
      <c r="A49" s="193" t="s">
        <v>268</v>
      </c>
      <c r="B49" s="193"/>
      <c r="C49" s="193"/>
      <c r="D49" s="193" t="s">
        <v>337</v>
      </c>
      <c r="E49" s="193"/>
      <c r="F49" s="194" t="s">
        <v>889</v>
      </c>
      <c r="G49" s="194"/>
      <c r="H49" s="194"/>
      <c r="I49" s="194"/>
      <c r="J49" s="194"/>
      <c r="K49" s="194"/>
      <c r="L49" t="s">
        <v>263</v>
      </c>
    </row>
    <row r="50" ht="18" customHeight="1" spans="1:12" x14ac:dyDescent="0.25">
      <c r="A50" s="193" t="s">
        <v>269</v>
      </c>
      <c r="B50" s="193"/>
      <c r="C50" s="193"/>
      <c r="D50" s="193" t="s">
        <v>337</v>
      </c>
      <c r="E50" s="193"/>
      <c r="F50" s="194" t="s">
        <v>889</v>
      </c>
      <c r="G50" s="194"/>
      <c r="H50" s="194"/>
      <c r="I50" s="194"/>
      <c r="J50" s="194"/>
      <c r="K50" s="194"/>
      <c r="L50" t="s">
        <v>263</v>
      </c>
    </row>
    <row r="51" ht="18" customHeight="1" spans="1:12" x14ac:dyDescent="0.25">
      <c r="A51" s="193" t="s">
        <v>270</v>
      </c>
      <c r="B51" s="193"/>
      <c r="C51" s="193"/>
      <c r="D51" s="193" t="s">
        <v>337</v>
      </c>
      <c r="E51" s="193"/>
      <c r="F51" s="194" t="s">
        <v>889</v>
      </c>
      <c r="G51" s="194"/>
      <c r="H51" s="194"/>
      <c r="I51" s="194"/>
      <c r="J51" s="194"/>
      <c r="K51" s="194"/>
      <c r="L51" t="s">
        <v>263</v>
      </c>
    </row>
    <row r="52" ht="18" customHeight="1" spans="1:12" x14ac:dyDescent="0.25">
      <c r="A52" s="193" t="s">
        <v>271</v>
      </c>
      <c r="B52" s="193"/>
      <c r="C52" s="193"/>
      <c r="D52" s="193" t="s">
        <v>337</v>
      </c>
      <c r="E52" s="193"/>
      <c r="F52" s="194" t="s">
        <v>889</v>
      </c>
      <c r="G52" s="194"/>
      <c r="H52" s="194"/>
      <c r="I52" s="194"/>
      <c r="J52" s="194"/>
      <c r="K52" s="194"/>
      <c r="L52" t="s">
        <v>263</v>
      </c>
    </row>
    <row r="53" ht="18" customHeight="1" spans="1:12" x14ac:dyDescent="0.25">
      <c r="A53" s="193" t="s">
        <v>273</v>
      </c>
      <c r="B53" s="193"/>
      <c r="C53" s="193"/>
      <c r="D53" s="193" t="s">
        <v>337</v>
      </c>
      <c r="E53" s="193"/>
      <c r="F53" s="194" t="s">
        <v>889</v>
      </c>
      <c r="G53" s="194"/>
      <c r="H53" s="194"/>
      <c r="I53" s="194"/>
      <c r="J53" s="194"/>
      <c r="K53" s="194"/>
      <c r="L53" t="s">
        <v>263</v>
      </c>
    </row>
    <row r="54" ht="18" customHeight="1" spans="1:12" x14ac:dyDescent="0.25">
      <c r="A54" s="193" t="s">
        <v>244</v>
      </c>
      <c r="B54" s="193"/>
      <c r="C54" s="193"/>
      <c r="D54" s="193" t="s">
        <v>12</v>
      </c>
      <c r="E54" s="193"/>
      <c r="F54" s="194" t="s">
        <v>884</v>
      </c>
      <c r="G54" s="194"/>
      <c r="H54" s="194"/>
      <c r="I54" s="194"/>
      <c r="J54" s="194"/>
      <c r="K54" s="194"/>
      <c r="L54" t="s">
        <v>242</v>
      </c>
    </row>
    <row r="55" ht="18" customHeight="1" spans="1:12" x14ac:dyDescent="0.25">
      <c r="A55" s="193" t="s">
        <v>247</v>
      </c>
      <c r="B55" s="193"/>
      <c r="C55" s="193"/>
      <c r="D55" s="193" t="s">
        <v>323</v>
      </c>
      <c r="E55" s="193"/>
      <c r="F55" s="194" t="s">
        <v>885</v>
      </c>
      <c r="G55" s="194"/>
      <c r="H55" s="194"/>
      <c r="I55" s="194"/>
      <c r="J55" s="194"/>
      <c r="K55" s="194"/>
      <c r="L55" t="s">
        <v>245</v>
      </c>
    </row>
    <row r="56" ht="18" customHeight="1" spans="1:12" x14ac:dyDescent="0.25">
      <c r="A56" s="193" t="s">
        <v>249</v>
      </c>
      <c r="B56" s="193"/>
      <c r="C56" s="193"/>
      <c r="D56" s="193" t="s">
        <v>327</v>
      </c>
      <c r="E56" s="193"/>
      <c r="F56" s="194" t="s">
        <v>886</v>
      </c>
      <c r="G56" s="194"/>
      <c r="H56" s="194"/>
      <c r="I56" s="194"/>
      <c r="J56" s="194"/>
      <c r="K56" s="194"/>
      <c r="L56" t="s">
        <v>248</v>
      </c>
    </row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spans="1:6" x14ac:dyDescent="0.25">
      <c r="A62" s="66" t="s">
        <v>315</v>
      </c>
      <c r="B62" s="66"/>
      <c r="C62" s="66"/>
      <c r="D62" s="66"/>
      <c r="E62" s="66"/>
      <c r="F62" s="66"/>
    </row>
    <row r="63" ht="15" customHeight="1" spans="1:11" x14ac:dyDescent="0.25">
      <c r="A63" s="66" t="s">
        <v>316</v>
      </c>
      <c r="B63" s="66"/>
      <c r="C63" s="66"/>
      <c r="D63" s="1"/>
      <c r="E63" s="1"/>
      <c r="F63" s="1"/>
      <c r="G63" s="1"/>
      <c r="H63" s="97" t="s">
        <v>317</v>
      </c>
      <c r="I63" s="61"/>
      <c r="J63" s="61"/>
      <c r="K63" s="61"/>
    </row>
  </sheetData>
  <mergeCells count="38">
    <mergeCell ref="A1:K1"/>
    <mergeCell ref="A18:C18"/>
    <mergeCell ref="D18:F18"/>
    <mergeCell ref="A21:C21"/>
    <mergeCell ref="D21:F21"/>
    <mergeCell ref="A22:C22"/>
    <mergeCell ref="D22:F22"/>
    <mergeCell ref="G22:H22"/>
    <mergeCell ref="A47:C47"/>
    <mergeCell ref="D47:E47"/>
    <mergeCell ref="F47:K47"/>
    <mergeCell ref="A48:C48"/>
    <mergeCell ref="D48:E48"/>
    <mergeCell ref="F48:K48"/>
    <mergeCell ref="A49:C49"/>
    <mergeCell ref="D49:E49"/>
    <mergeCell ref="F49:K49"/>
    <mergeCell ref="A50:C50"/>
    <mergeCell ref="D50:E50"/>
    <mergeCell ref="F50:K50"/>
    <mergeCell ref="A51:C51"/>
    <mergeCell ref="D51:E51"/>
    <mergeCell ref="F51:K51"/>
    <mergeCell ref="A52:C52"/>
    <mergeCell ref="D52:E52"/>
    <mergeCell ref="F52:K52"/>
    <mergeCell ref="A53:C53"/>
    <mergeCell ref="D53:E53"/>
    <mergeCell ref="F53:K53"/>
    <mergeCell ref="A54:C54"/>
    <mergeCell ref="D54:E54"/>
    <mergeCell ref="F54:K54"/>
    <mergeCell ref="A55:C55"/>
    <mergeCell ref="D55:E55"/>
    <mergeCell ref="F55:K55"/>
    <mergeCell ref="A56:C56"/>
    <mergeCell ref="D56:E56"/>
    <mergeCell ref="F56:K5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