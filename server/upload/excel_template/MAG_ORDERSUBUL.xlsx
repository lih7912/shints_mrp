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360" yWindow="105" windowWidth="18840" windowHeight="6840"/>
  </bookViews>
  <sheets>
    <sheet name="오더별 진행정보 및 원재료 수불내역" sheetId="1" r:id="rId1"/>
    <sheet name="NSR오더별 진행정보 및 원재료 수불내역" sheetId="4" r:id="rId2"/>
    <sheet name="FOB오더리스트" sheetId="8" r:id="rId3"/>
    <sheet name="Cancel" sheetId="9" r:id="rId4"/>
    <sheet name="상품매출오더리스트" sheetId="10" r:id="rId5"/>
    <sheet name="Sample PO" sheetId="12" r:id="rId6"/>
    <sheet name="산출방식" sheetId="11" r:id="rId7"/>
  </sheets>
  <calcPr calcId="144525"/>
</workbook>
</file>

<file path=xl/calcChain.xml><?xml version="1.0" encoding="utf-8"?>
<calcChain xmlns="http://schemas.openxmlformats.org/spreadsheetml/2006/main">
  <c r="Y8" i="12" l="1"/>
  <c r="U8" i="12"/>
  <c r="Q8" i="12"/>
  <c r="O8" i="12"/>
  <c r="J8" i="12"/>
  <c r="G8" i="12"/>
  <c r="K8" i="12" s="1"/>
  <c r="AH7" i="12"/>
  <c r="Z7" i="12"/>
  <c r="L7" i="12"/>
  <c r="K7" i="12"/>
  <c r="AA7" i="12" s="1"/>
  <c r="I7" i="12"/>
  <c r="AK6" i="12"/>
  <c r="AH6" i="12"/>
  <c r="Z6" i="12"/>
  <c r="L6" i="12"/>
  <c r="K6" i="12"/>
  <c r="AA6" i="12" s="1"/>
  <c r="I6" i="12"/>
  <c r="AK5" i="12"/>
  <c r="AH5" i="12"/>
  <c r="AH8" i="12" s="1"/>
  <c r="AK8" i="12" s="1"/>
  <c r="Z5" i="12"/>
  <c r="L5" i="12"/>
  <c r="K5" i="12"/>
  <c r="AA5" i="12" s="1"/>
  <c r="I5" i="12"/>
  <c r="I8" i="12" s="1"/>
  <c r="L8" i="12" s="1"/>
  <c r="AE6" i="12" l="1"/>
  <c r="T6" i="12"/>
  <c r="X6" i="12" s="1"/>
  <c r="AE5" i="12"/>
  <c r="T5" i="12"/>
  <c r="AE7" i="12"/>
  <c r="T7" i="12"/>
  <c r="X7" i="12" s="1"/>
  <c r="P5" i="12"/>
  <c r="AK7" i="12"/>
  <c r="P7" i="12"/>
  <c r="P6" i="12"/>
  <c r="Y8" i="10"/>
  <c r="U8" i="10"/>
  <c r="Q8" i="10"/>
  <c r="O8" i="10"/>
  <c r="J8" i="10"/>
  <c r="K8" i="10" s="1"/>
  <c r="G8" i="10"/>
  <c r="AH7" i="10"/>
  <c r="AK7" i="10" s="1"/>
  <c r="AA7" i="10"/>
  <c r="AE7" i="10" s="1"/>
  <c r="Z7" i="10"/>
  <c r="T7" i="10"/>
  <c r="X7" i="10" s="1"/>
  <c r="P7" i="10"/>
  <c r="S7" i="10" s="1"/>
  <c r="N7" i="10"/>
  <c r="K7" i="10"/>
  <c r="I7" i="10"/>
  <c r="L7" i="10" s="1"/>
  <c r="AK6" i="10"/>
  <c r="AH6" i="10"/>
  <c r="AA6" i="10"/>
  <c r="AE6" i="10" s="1"/>
  <c r="Z6" i="10"/>
  <c r="X6" i="10"/>
  <c r="T6" i="10"/>
  <c r="S6" i="10"/>
  <c r="W6" i="10" s="1"/>
  <c r="V6" i="10" s="1"/>
  <c r="P6" i="10"/>
  <c r="AB6" i="10" s="1"/>
  <c r="AC6" i="10" s="1"/>
  <c r="N6" i="10"/>
  <c r="L6" i="10"/>
  <c r="K6" i="10"/>
  <c r="I6" i="10"/>
  <c r="AK5" i="10"/>
  <c r="AH5" i="10"/>
  <c r="AH8" i="10" s="1"/>
  <c r="AK8" i="10" s="1"/>
  <c r="Z5" i="10"/>
  <c r="L5" i="10"/>
  <c r="K5" i="10"/>
  <c r="AA5" i="10" s="1"/>
  <c r="I5" i="10"/>
  <c r="S6" i="12" l="1"/>
  <c r="AB6" i="12"/>
  <c r="AC6" i="12" s="1"/>
  <c r="AD6" i="12" s="1"/>
  <c r="N6" i="12"/>
  <c r="AF5" i="12"/>
  <c r="AG5" i="12"/>
  <c r="AI5" i="12" s="1"/>
  <c r="AG6" i="12"/>
  <c r="AI6" i="12" s="1"/>
  <c r="AJ6" i="12" s="1"/>
  <c r="AF6" i="12"/>
  <c r="AF7" i="12"/>
  <c r="AG7" i="12"/>
  <c r="AI7" i="12" s="1"/>
  <c r="AJ7" i="12" s="1"/>
  <c r="P8" i="12"/>
  <c r="AB5" i="12"/>
  <c r="N5" i="12"/>
  <c r="S5" i="12"/>
  <c r="T8" i="12"/>
  <c r="X5" i="12"/>
  <c r="X8" i="12" s="1"/>
  <c r="AB7" i="12"/>
  <c r="AC7" i="12" s="1"/>
  <c r="AD7" i="12" s="1"/>
  <c r="N7" i="12"/>
  <c r="S7" i="12"/>
  <c r="AE5" i="10"/>
  <c r="T5" i="10"/>
  <c r="W7" i="10"/>
  <c r="V7" i="10" s="1"/>
  <c r="R7" i="10"/>
  <c r="AD6" i="10"/>
  <c r="AF6" i="10"/>
  <c r="AG6" i="10" s="1"/>
  <c r="AI6" i="10" s="1"/>
  <c r="AJ6" i="10" s="1"/>
  <c r="AD7" i="10"/>
  <c r="AG7" i="10"/>
  <c r="AI7" i="10" s="1"/>
  <c r="AF7" i="10"/>
  <c r="I8" i="10"/>
  <c r="L8" i="10" s="1"/>
  <c r="AB7" i="10"/>
  <c r="AC7" i="10" s="1"/>
  <c r="AJ7" i="10"/>
  <c r="P5" i="10"/>
  <c r="R6" i="10"/>
  <c r="Y8" i="9"/>
  <c r="U8" i="9"/>
  <c r="Q8" i="9"/>
  <c r="O8" i="9"/>
  <c r="J8" i="9"/>
  <c r="K8" i="9" s="1"/>
  <c r="G8" i="9"/>
  <c r="AH7" i="9"/>
  <c r="AK7" i="9" s="1"/>
  <c r="AA7" i="9"/>
  <c r="AE7" i="9" s="1"/>
  <c r="Z7" i="9"/>
  <c r="T7" i="9"/>
  <c r="X7" i="9" s="1"/>
  <c r="P7" i="9"/>
  <c r="N7" i="9" s="1"/>
  <c r="K7" i="9"/>
  <c r="I7" i="9"/>
  <c r="I8" i="9" s="1"/>
  <c r="L8" i="9" s="1"/>
  <c r="AK6" i="9"/>
  <c r="AH6" i="9"/>
  <c r="AA6" i="9"/>
  <c r="AE6" i="9" s="1"/>
  <c r="Z6" i="9"/>
  <c r="X6" i="9"/>
  <c r="T6" i="9"/>
  <c r="P6" i="9"/>
  <c r="N6" i="9" s="1"/>
  <c r="L6" i="9"/>
  <c r="K6" i="9"/>
  <c r="I6" i="9"/>
  <c r="AK5" i="9"/>
  <c r="AH5" i="9"/>
  <c r="AH8" i="9" s="1"/>
  <c r="AK8" i="9" s="1"/>
  <c r="Z5" i="9"/>
  <c r="L5" i="9"/>
  <c r="K5" i="9"/>
  <c r="AA5" i="9" s="1"/>
  <c r="I5" i="9"/>
  <c r="AJ5" i="12" l="1"/>
  <c r="AJ8" i="12" s="1"/>
  <c r="AI8" i="12"/>
  <c r="W7" i="12"/>
  <c r="V7" i="12" s="1"/>
  <c r="R7" i="12"/>
  <c r="S8" i="12"/>
  <c r="W5" i="12"/>
  <c r="R5" i="12"/>
  <c r="R8" i="12" s="1"/>
  <c r="W6" i="12"/>
  <c r="V6" i="12" s="1"/>
  <c r="R6" i="12"/>
  <c r="AC5" i="12"/>
  <c r="AB8" i="12"/>
  <c r="P8" i="10"/>
  <c r="N5" i="10"/>
  <c r="S5" i="10"/>
  <c r="AB5" i="10"/>
  <c r="T8" i="10"/>
  <c r="X5" i="10"/>
  <c r="X8" i="10" s="1"/>
  <c r="AG5" i="10"/>
  <c r="AI5" i="10" s="1"/>
  <c r="AF5" i="10"/>
  <c r="T5" i="9"/>
  <c r="AE5" i="9"/>
  <c r="AF6" i="9"/>
  <c r="AG6" i="9" s="1"/>
  <c r="AI6" i="9" s="1"/>
  <c r="AJ6" i="9" s="1"/>
  <c r="AF7" i="9"/>
  <c r="AG7" i="9" s="1"/>
  <c r="AI7" i="9" s="1"/>
  <c r="AJ7" i="9" s="1"/>
  <c r="AB7" i="9"/>
  <c r="AC7" i="9" s="1"/>
  <c r="AD7" i="9" s="1"/>
  <c r="P5" i="9"/>
  <c r="AB6" i="9"/>
  <c r="AC6" i="9" s="1"/>
  <c r="AD6" i="9" s="1"/>
  <c r="L7" i="9"/>
  <c r="S7" i="9"/>
  <c r="S6" i="9"/>
  <c r="Y8" i="8"/>
  <c r="U8" i="8"/>
  <c r="Q8" i="8"/>
  <c r="O8" i="8"/>
  <c r="J8" i="8"/>
  <c r="K8" i="8" s="1"/>
  <c r="G8" i="8"/>
  <c r="AH7" i="8"/>
  <c r="AK7" i="8" s="1"/>
  <c r="AA7" i="8"/>
  <c r="AE7" i="8" s="1"/>
  <c r="Z7" i="8"/>
  <c r="T7" i="8"/>
  <c r="X7" i="8" s="1"/>
  <c r="P7" i="8"/>
  <c r="S7" i="8" s="1"/>
  <c r="N7" i="8"/>
  <c r="K7" i="8"/>
  <c r="I7" i="8"/>
  <c r="L7" i="8" s="1"/>
  <c r="AK6" i="8"/>
  <c r="AH6" i="8"/>
  <c r="AA6" i="8"/>
  <c r="AE6" i="8" s="1"/>
  <c r="Z6" i="8"/>
  <c r="X6" i="8"/>
  <c r="T6" i="8"/>
  <c r="S6" i="8"/>
  <c r="W6" i="8" s="1"/>
  <c r="V6" i="8" s="1"/>
  <c r="P6" i="8"/>
  <c r="AB6" i="8" s="1"/>
  <c r="AC6" i="8" s="1"/>
  <c r="N6" i="8"/>
  <c r="L6" i="8"/>
  <c r="K6" i="8"/>
  <c r="I6" i="8"/>
  <c r="AK5" i="8"/>
  <c r="AH5" i="8"/>
  <c r="AH8" i="8" s="1"/>
  <c r="AK8" i="8" s="1"/>
  <c r="Z5" i="8"/>
  <c r="L5" i="8"/>
  <c r="K5" i="8"/>
  <c r="AA5" i="8" s="1"/>
  <c r="I5" i="8"/>
  <c r="AC8" i="12" l="1"/>
  <c r="AD5" i="12"/>
  <c r="AD8" i="12" s="1"/>
  <c r="W8" i="12"/>
  <c r="V5" i="12"/>
  <c r="V8" i="12" s="1"/>
  <c r="AC5" i="10"/>
  <c r="AB8" i="10"/>
  <c r="AI8" i="10"/>
  <c r="AJ5" i="10"/>
  <c r="AJ8" i="10" s="1"/>
  <c r="S8" i="10"/>
  <c r="W5" i="10"/>
  <c r="R5" i="10"/>
  <c r="R8" i="10" s="1"/>
  <c r="AF5" i="9"/>
  <c r="AG5" i="9" s="1"/>
  <c r="AI5" i="9" s="1"/>
  <c r="W6" i="9"/>
  <c r="V6" i="9" s="1"/>
  <c r="R6" i="9"/>
  <c r="W7" i="9"/>
  <c r="V7" i="9" s="1"/>
  <c r="R7" i="9"/>
  <c r="N5" i="9"/>
  <c r="S5" i="9"/>
  <c r="AB5" i="9"/>
  <c r="P8" i="9"/>
  <c r="X5" i="9"/>
  <c r="X8" i="9" s="1"/>
  <c r="T8" i="9"/>
  <c r="AE5" i="8"/>
  <c r="T5" i="8"/>
  <c r="W7" i="8"/>
  <c r="V7" i="8" s="1"/>
  <c r="R7" i="8"/>
  <c r="AD6" i="8"/>
  <c r="AF6" i="8"/>
  <c r="AG6" i="8" s="1"/>
  <c r="AI6" i="8" s="1"/>
  <c r="AJ6" i="8" s="1"/>
  <c r="AG7" i="8"/>
  <c r="AI7" i="8" s="1"/>
  <c r="AF7" i="8"/>
  <c r="I8" i="8"/>
  <c r="L8" i="8" s="1"/>
  <c r="AB7" i="8"/>
  <c r="AC7" i="8" s="1"/>
  <c r="AD7" i="8" s="1"/>
  <c r="AJ7" i="8"/>
  <c r="P5" i="8"/>
  <c r="R6" i="8"/>
  <c r="Y8" i="4"/>
  <c r="U8" i="4"/>
  <c r="Q8" i="4"/>
  <c r="O8" i="4"/>
  <c r="J8" i="4"/>
  <c r="K8" i="4" s="1"/>
  <c r="G8" i="4"/>
  <c r="AH7" i="4"/>
  <c r="AK7" i="4" s="1"/>
  <c r="Z7" i="4"/>
  <c r="P7" i="4"/>
  <c r="K7" i="4"/>
  <c r="AA7" i="4" s="1"/>
  <c r="I7" i="4"/>
  <c r="L7" i="4" s="1"/>
  <c r="AH6" i="4"/>
  <c r="AK6" i="4" s="1"/>
  <c r="Z6" i="4"/>
  <c r="L6" i="4"/>
  <c r="K6" i="4"/>
  <c r="AA6" i="4" s="1"/>
  <c r="I6" i="4"/>
  <c r="AH5" i="4"/>
  <c r="AH8" i="4" s="1"/>
  <c r="AK8" i="4" s="1"/>
  <c r="Z5" i="4"/>
  <c r="K5" i="4"/>
  <c r="AA5" i="4" s="1"/>
  <c r="I5" i="4"/>
  <c r="L5" i="4" s="1"/>
  <c r="V5" i="10" l="1"/>
  <c r="V8" i="10" s="1"/>
  <c r="W8" i="10"/>
  <c r="AC8" i="10"/>
  <c r="AD5" i="10"/>
  <c r="AD8" i="10" s="1"/>
  <c r="AJ5" i="9"/>
  <c r="AJ8" i="9" s="1"/>
  <c r="AI8" i="9"/>
  <c r="W5" i="9"/>
  <c r="R5" i="9"/>
  <c r="R8" i="9" s="1"/>
  <c r="S8" i="9"/>
  <c r="AC5" i="9"/>
  <c r="AB8" i="9"/>
  <c r="T8" i="8"/>
  <c r="X5" i="8"/>
  <c r="X8" i="8" s="1"/>
  <c r="AG5" i="8"/>
  <c r="AI5" i="8" s="1"/>
  <c r="AF5" i="8"/>
  <c r="P8" i="8"/>
  <c r="N5" i="8"/>
  <c r="S5" i="8"/>
  <c r="AB5" i="8"/>
  <c r="AE7" i="4"/>
  <c r="T7" i="4"/>
  <c r="X7" i="4" s="1"/>
  <c r="AE6" i="4"/>
  <c r="T6" i="4"/>
  <c r="X6" i="4" s="1"/>
  <c r="S7" i="4"/>
  <c r="W7" i="4" s="1"/>
  <c r="V7" i="4" s="1"/>
  <c r="N7" i="4"/>
  <c r="AK5" i="4"/>
  <c r="P6" i="4"/>
  <c r="AF7" i="4"/>
  <c r="AG7" i="4" s="1"/>
  <c r="AI7" i="4" s="1"/>
  <c r="AJ7" i="4" s="1"/>
  <c r="AF6" i="4"/>
  <c r="AG6" i="4"/>
  <c r="AI6" i="4" s="1"/>
  <c r="AJ6" i="4" s="1"/>
  <c r="AE5" i="4"/>
  <c r="T5" i="4"/>
  <c r="I8" i="4"/>
  <c r="L8" i="4" s="1"/>
  <c r="AB7" i="4"/>
  <c r="AC7" i="4" s="1"/>
  <c r="AD7" i="4" s="1"/>
  <c r="P5" i="4"/>
  <c r="AC8" i="9" l="1"/>
  <c r="AD5" i="9"/>
  <c r="AD8" i="9" s="1"/>
  <c r="W8" i="9"/>
  <c r="V5" i="9"/>
  <c r="V8" i="9" s="1"/>
  <c r="S8" i="8"/>
  <c r="W5" i="8"/>
  <c r="R5" i="8"/>
  <c r="R8" i="8" s="1"/>
  <c r="AI8" i="8"/>
  <c r="AJ5" i="8"/>
  <c r="AJ8" i="8" s="1"/>
  <c r="AC5" i="8"/>
  <c r="AB8" i="8"/>
  <c r="R7" i="4"/>
  <c r="AB6" i="4"/>
  <c r="AC6" i="4" s="1"/>
  <c r="AD6" i="4" s="1"/>
  <c r="S6" i="4"/>
  <c r="N6" i="4"/>
  <c r="AF5" i="4"/>
  <c r="AG5" i="4" s="1"/>
  <c r="AI5" i="4" s="1"/>
  <c r="P8" i="4"/>
  <c r="N5" i="4"/>
  <c r="S5" i="4"/>
  <c r="AB5" i="4"/>
  <c r="T8" i="4"/>
  <c r="X5" i="4"/>
  <c r="X8" i="4" s="1"/>
  <c r="K7" i="1"/>
  <c r="K6" i="1"/>
  <c r="K5" i="1"/>
  <c r="AC8" i="8" l="1"/>
  <c r="AD5" i="8"/>
  <c r="AD8" i="8" s="1"/>
  <c r="V5" i="8"/>
  <c r="V8" i="8" s="1"/>
  <c r="W8" i="8"/>
  <c r="W6" i="4"/>
  <c r="V6" i="4" s="1"/>
  <c r="R6" i="4"/>
  <c r="S8" i="4"/>
  <c r="W5" i="4"/>
  <c r="R5" i="4"/>
  <c r="R8" i="4" s="1"/>
  <c r="AI8" i="4"/>
  <c r="AJ5" i="4"/>
  <c r="AJ8" i="4" s="1"/>
  <c r="AC5" i="4"/>
  <c r="AB8" i="4"/>
  <c r="P5" i="1"/>
  <c r="AA5" i="1"/>
  <c r="P6" i="1"/>
  <c r="AA6" i="1"/>
  <c r="P7" i="1"/>
  <c r="AA7" i="1"/>
  <c r="AC8" i="4" l="1"/>
  <c r="AD5" i="4"/>
  <c r="AD8" i="4" s="1"/>
  <c r="V5" i="4"/>
  <c r="V8" i="4" s="1"/>
  <c r="W8" i="4"/>
  <c r="S6" i="1"/>
  <c r="N6" i="1"/>
  <c r="AB6" i="1"/>
  <c r="AB7" i="1"/>
  <c r="N7" i="1"/>
  <c r="S7" i="1"/>
  <c r="AB5" i="1"/>
  <c r="N5" i="1"/>
  <c r="S5" i="1"/>
  <c r="P8" i="1"/>
  <c r="T7" i="1" l="1"/>
  <c r="T6" i="1"/>
  <c r="I7" i="1" l="1"/>
  <c r="L7" i="1" s="1"/>
  <c r="I6" i="1"/>
  <c r="L6" i="1" s="1"/>
  <c r="I5" i="1"/>
  <c r="L5" i="1" s="1"/>
  <c r="AH5" i="1" l="1"/>
  <c r="AH7" i="1"/>
  <c r="AK7" i="1" s="1"/>
  <c r="AE7" i="1"/>
  <c r="AH6" i="1"/>
  <c r="AE6" i="1"/>
  <c r="AF6" i="1" s="1"/>
  <c r="AG6" i="1" s="1"/>
  <c r="AI6" i="1" s="1"/>
  <c r="AE5" i="1"/>
  <c r="AF5" i="1" s="1"/>
  <c r="AG5" i="1" s="1"/>
  <c r="AI5" i="1" s="1"/>
  <c r="T5" i="1"/>
  <c r="AJ5" i="1" l="1"/>
  <c r="AJ6" i="1"/>
  <c r="AK5" i="1"/>
  <c r="AK6" i="1"/>
  <c r="AF7" i="1"/>
  <c r="AG7" i="1" s="1"/>
  <c r="AI7" i="1" s="1"/>
  <c r="AJ7" i="1" s="1"/>
  <c r="AJ8" i="1" l="1"/>
  <c r="AC7" i="1" l="1"/>
  <c r="AC6" i="1"/>
  <c r="Z7" i="1"/>
  <c r="W7" i="1" s="1"/>
  <c r="Z6" i="1"/>
  <c r="Z5" i="1"/>
  <c r="W5" i="1" s="1"/>
  <c r="Y8" i="1"/>
  <c r="X7" i="1"/>
  <c r="R6" i="1"/>
  <c r="AC5" i="1" l="1"/>
  <c r="AB8" i="1"/>
  <c r="AD6" i="1"/>
  <c r="W6" i="1"/>
  <c r="AD7" i="1"/>
  <c r="X5" i="1"/>
  <c r="V5" i="1" s="1"/>
  <c r="V7" i="1"/>
  <c r="X6" i="1"/>
  <c r="R5" i="1"/>
  <c r="V6" i="1"/>
  <c r="R7" i="1"/>
  <c r="AD5" i="1" l="1"/>
  <c r="AD8" i="1" s="1"/>
  <c r="AC8" i="1"/>
  <c r="X8" i="1"/>
  <c r="V8" i="1"/>
  <c r="W8" i="1"/>
  <c r="R8" i="1" l="1"/>
  <c r="Q8" i="1"/>
  <c r="O8" i="1"/>
  <c r="J8" i="1"/>
  <c r="G8" i="1"/>
  <c r="K8" i="1" l="1"/>
  <c r="I8" i="1"/>
  <c r="L8" i="1" s="1"/>
  <c r="S8" i="1" l="1"/>
  <c r="AH8" i="1" l="1"/>
  <c r="AK8" i="1" s="1"/>
  <c r="U8" i="1"/>
  <c r="T8" i="1"/>
  <c r="AI8" i="1" l="1"/>
</calcChain>
</file>

<file path=xl/sharedStrings.xml><?xml version="1.0" encoding="utf-8"?>
<sst xmlns="http://schemas.openxmlformats.org/spreadsheetml/2006/main" count="404" uniqueCount="105">
  <si>
    <t>제작기간</t>
    <phoneticPr fontId="2" type="noConversion"/>
  </si>
  <si>
    <t>Order Date</t>
    <phoneticPr fontId="2" type="noConversion"/>
  </si>
  <si>
    <t>Due Date</t>
    <phoneticPr fontId="2" type="noConversion"/>
  </si>
  <si>
    <t>Style Name</t>
    <phoneticPr fontId="2" type="noConversion"/>
  </si>
  <si>
    <t>Q'ty</t>
    <phoneticPr fontId="2" type="noConversion"/>
  </si>
  <si>
    <t>U.Price</t>
    <phoneticPr fontId="2" type="noConversion"/>
  </si>
  <si>
    <t>Amount</t>
    <phoneticPr fontId="2" type="noConversion"/>
  </si>
  <si>
    <t>선적수량</t>
    <phoneticPr fontId="2" type="noConversion"/>
  </si>
  <si>
    <t>Buyer</t>
  </si>
  <si>
    <t>PO No.</t>
  </si>
  <si>
    <t>Order No.</t>
  </si>
  <si>
    <t>기초정보</t>
    <phoneticPr fontId="2" type="noConversion"/>
  </si>
  <si>
    <t>예정단가</t>
    <phoneticPr fontId="2" type="noConversion"/>
  </si>
  <si>
    <t>완료여부</t>
    <phoneticPr fontId="2" type="noConversion"/>
  </si>
  <si>
    <t>수주내역(pc,$)</t>
    <phoneticPr fontId="2" type="noConversion"/>
  </si>
  <si>
    <t>기간 :</t>
    <phoneticPr fontId="2" type="noConversion"/>
  </si>
  <si>
    <t>원재료 예정투입금액($,%)</t>
  </si>
  <si>
    <t>원재료 예정투입금액($,%)</t>
    <phoneticPr fontId="2" type="noConversion"/>
  </si>
  <si>
    <t>기초정보</t>
  </si>
  <si>
    <t>제작기간</t>
  </si>
  <si>
    <t>수주내역(pc,$)</t>
  </si>
  <si>
    <t>Order Date</t>
  </si>
  <si>
    <t>Due Date</t>
  </si>
  <si>
    <t>Style Name</t>
  </si>
  <si>
    <t>Q'ty</t>
  </si>
  <si>
    <t>U.Price</t>
  </si>
  <si>
    <t>Amount</t>
  </si>
  <si>
    <t>예정단가</t>
  </si>
  <si>
    <t>완성수량</t>
  </si>
  <si>
    <t>선적수량</t>
  </si>
  <si>
    <t>오더별 진행정보 및 원재료 수불내역</t>
    <phoneticPr fontId="2" type="noConversion"/>
  </si>
  <si>
    <t>총합계</t>
    <phoneticPr fontId="2" type="noConversion"/>
  </si>
  <si>
    <t>제품재고 원재료 배부액</t>
    <phoneticPr fontId="2" type="noConversion"/>
  </si>
  <si>
    <t>원재료비</t>
    <phoneticPr fontId="2" type="noConversion"/>
  </si>
  <si>
    <t>수량</t>
    <phoneticPr fontId="2" type="noConversion"/>
  </si>
  <si>
    <t>금액($)</t>
    <phoneticPr fontId="2" type="noConversion"/>
  </si>
  <si>
    <r>
      <t>금액(</t>
    </r>
    <r>
      <rPr>
        <sz val="9"/>
        <rFont val="맑은 고딕"/>
        <family val="3"/>
        <charset val="129"/>
      </rPr>
      <t>₩)</t>
    </r>
    <phoneticPr fontId="2" type="noConversion"/>
  </si>
  <si>
    <t>간접비</t>
    <phoneticPr fontId="2" type="noConversion"/>
  </si>
  <si>
    <t>계</t>
    <phoneticPr fontId="2" type="noConversion"/>
  </si>
  <si>
    <t>매출액</t>
    <phoneticPr fontId="2" type="noConversion"/>
  </si>
  <si>
    <t>매출원가</t>
    <phoneticPr fontId="2" type="noConversion"/>
  </si>
  <si>
    <t>매출총이익</t>
    <phoneticPr fontId="2" type="noConversion"/>
  </si>
  <si>
    <t>이익율</t>
    <phoneticPr fontId="2" type="noConversion"/>
  </si>
  <si>
    <t>투입총액</t>
    <phoneticPr fontId="2" type="noConversion"/>
  </si>
  <si>
    <t>원재료율</t>
    <phoneticPr fontId="2" type="noConversion"/>
  </si>
  <si>
    <t>진척도</t>
    <phoneticPr fontId="2" type="noConversion"/>
  </si>
  <si>
    <t>기말현재상태</t>
    <phoneticPr fontId="2" type="noConversion"/>
  </si>
  <si>
    <t>제품수량(pc)</t>
    <phoneticPr fontId="2" type="noConversion"/>
  </si>
  <si>
    <t>원재료매입액 배부($)</t>
    <phoneticPr fontId="2" type="noConversion"/>
  </si>
  <si>
    <t>원재료</t>
    <phoneticPr fontId="2" type="noConversion"/>
  </si>
  <si>
    <t>제품</t>
    <phoneticPr fontId="2" type="noConversion"/>
  </si>
  <si>
    <t>원가</t>
    <phoneticPr fontId="2" type="noConversion"/>
  </si>
  <si>
    <t>STS-IN 계</t>
    <phoneticPr fontId="2" type="noConversion"/>
  </si>
  <si>
    <t>2017.01.01 ~ 2017.09.30</t>
    <phoneticPr fontId="2" type="noConversion"/>
  </si>
  <si>
    <t>원재료매입액 배부(\)</t>
    <phoneticPr fontId="2" type="noConversion"/>
  </si>
  <si>
    <t>적용환율</t>
    <phoneticPr fontId="2" type="noConversion"/>
  </si>
  <si>
    <t>원재료비 대비 간접비율(제조원가명세서 기준) :</t>
    <phoneticPr fontId="2" type="noConversion"/>
  </si>
  <si>
    <t>품목별 제조단가($)</t>
    <phoneticPr fontId="2" type="noConversion"/>
  </si>
  <si>
    <t>품목별 매출총이익($)</t>
    <phoneticPr fontId="2" type="noConversion"/>
  </si>
  <si>
    <t>공장자료</t>
    <phoneticPr fontId="2" type="noConversion"/>
  </si>
  <si>
    <t>완성수량</t>
    <phoneticPr fontId="2" type="noConversion"/>
  </si>
  <si>
    <t>산출방식에 대한 세부 설명</t>
    <phoneticPr fontId="2" type="noConversion"/>
  </si>
  <si>
    <t>조회기간</t>
    <phoneticPr fontId="2" type="noConversion"/>
  </si>
  <si>
    <t>신티에스프로그램(이하 '프로그램') 해당메뉴 초기화면에서 설정하는 기간을 표기함</t>
    <phoneticPr fontId="2" type="noConversion"/>
  </si>
  <si>
    <t>조회대상</t>
    <phoneticPr fontId="2" type="noConversion"/>
  </si>
  <si>
    <t>조회기간 말일까지 오더가 생성된 오더들을 대상으로 하되, 아래 오더들은 조회대상에서 제외
 1) 조회기간 초일 이전에 End된 오더
 2) NSR사업본부 거래매장 판매용 오더
 3) 캔슬오더
 4) 완사입오더
 5) 공장 FOB 오더(ex. 내수브랜드 일부 오더)
 6) 바이어가 공장에 CM만 의뢰하는 오더
단, 상기 제외대상 중 2), 3), 4), 5)는 참고 목적으로 별도 sheet에 따로 집계</t>
    <phoneticPr fontId="2" type="noConversion"/>
  </si>
  <si>
    <t>양식 내 각 항목별 산출방법 또는 자료출처</t>
    <phoneticPr fontId="2" type="noConversion"/>
  </si>
  <si>
    <t>프로그램 내 Buyer 정보 또는 Order List 정보 사용</t>
    <phoneticPr fontId="2" type="noConversion"/>
  </si>
  <si>
    <r>
      <t xml:space="preserve">Order q'ty + Add q'ty
</t>
    </r>
    <r>
      <rPr>
        <sz val="11"/>
        <rFont val="맑은 고딕"/>
        <family val="3"/>
        <charset val="129"/>
        <scheme val="minor"/>
      </rPr>
      <t>단, 조회기간 말일 현재 End된 오더는 선적수량으로 대체</t>
    </r>
    <phoneticPr fontId="2" type="noConversion"/>
  </si>
  <si>
    <r>
      <t xml:space="preserve">FOB단가를 USD로 환산한 값 (※ USD 환산 시 </t>
    </r>
    <r>
      <rPr>
        <sz val="11"/>
        <rFont val="맑은 고딕"/>
        <family val="3"/>
        <charset val="129"/>
        <scheme val="minor"/>
      </rPr>
      <t>환율 적용시점은 Order Date)</t>
    </r>
    <phoneticPr fontId="2" type="noConversion"/>
  </si>
  <si>
    <t>sheet 내에서 수식으로 계산</t>
    <phoneticPr fontId="2" type="noConversion"/>
  </si>
  <si>
    <t>투입총액</t>
    <phoneticPr fontId="2" type="noConversion"/>
  </si>
  <si>
    <r>
      <t xml:space="preserve">PO List 상의 Need Q'ty 투입총액을 USD로 환산한 값(※ USD 환산 시 </t>
    </r>
    <r>
      <rPr>
        <sz val="11"/>
        <rFont val="맑은 고딕"/>
        <family val="3"/>
        <charset val="129"/>
        <scheme val="minor"/>
      </rPr>
      <t xml:space="preserve">환율 적용시점은 curruncy date)으로 하되 다음 자재들은 포함하지 않음
 </t>
    </r>
    <r>
      <rPr>
        <strike/>
        <sz val="11"/>
        <rFont val="맑은 고딕"/>
        <family val="3"/>
        <charset val="129"/>
        <scheme val="minor"/>
      </rPr>
      <t>1) Buyer 공급자재</t>
    </r>
    <r>
      <rPr>
        <sz val="11"/>
        <rFont val="맑은 고딕"/>
        <family val="3"/>
        <charset val="129"/>
        <scheme val="minor"/>
      </rPr>
      <t xml:space="preserve"> (단가가 $0.001불이거나 당사가 선지불 후 청구하는 형태라서 굳이 제외할 필요 없음)
 2) 임가공비 성격의 자재. 즉, 임가공비로 별도 청구되는 자재 (프린트, 자수 등)
 3) 공장이 부담하는 소모성 자재 (봉제사, 박스, 박싱테이프 등)
단, 조회기간 말일 현재 End된 오더는 STS-IN 계($) 금액으로 대체</t>
    </r>
    <phoneticPr fontId="2" type="noConversion"/>
  </si>
  <si>
    <t>원재료율</t>
    <phoneticPr fontId="2" type="noConversion"/>
  </si>
  <si>
    <t>기말현재
상태</t>
    <phoneticPr fontId="2" type="noConversion"/>
  </si>
  <si>
    <t>완료여부</t>
    <phoneticPr fontId="2" type="noConversion"/>
  </si>
  <si>
    <r>
      <t xml:space="preserve">조회기간 말일 현재 End된 오더는 END로 표시하고, </t>
    </r>
    <r>
      <rPr>
        <sz val="11"/>
        <color theme="1"/>
        <rFont val="맑은 고딕"/>
        <family val="2"/>
        <charset val="129"/>
        <scheme val="minor"/>
      </rPr>
      <t>나머지는 공백 표시</t>
    </r>
    <phoneticPr fontId="2" type="noConversion"/>
  </si>
  <si>
    <t>진척도</t>
    <phoneticPr fontId="2" type="noConversion"/>
  </si>
  <si>
    <t>제품수량
(pc)</t>
    <phoneticPr fontId="2" type="noConversion"/>
  </si>
  <si>
    <t>공장자료</t>
    <phoneticPr fontId="2" type="noConversion"/>
  </si>
  <si>
    <t>공장에서 받은 완성수량. 단, 조회기간 말일 현재 End된 오더는 선적수량으로 대체
(혼선을 방지하기 위해 이 data는 숨겨놓음)</t>
    <phoneticPr fontId="2" type="noConversion"/>
  </si>
  <si>
    <t>sheet 내에서 수식으로 계산
(공장에서 받은 완성수량을 사용하되, 이 수량이 투입추정수량보다 많을 경우에는 투입추정수량으로 대체하고, 공장 완성수량이나 투입추정수량이 선적수량보다 적을 경우엔 선적수량으로 대체)</t>
    <phoneticPr fontId="2" type="noConversion"/>
  </si>
  <si>
    <r>
      <t xml:space="preserve">최초 오더시점부터 조회기간 말일까지의 제품 선적서류(B/L) 상 선적수량 누계값
</t>
    </r>
    <r>
      <rPr>
        <sz val="11"/>
        <rFont val="맑은 고딕"/>
        <family val="3"/>
        <charset val="129"/>
        <scheme val="minor"/>
      </rPr>
      <t>단, 다음과 같은 예외를 적용함
1) 조회기간 말일 현재 End이면서 선적수량이 0인 main오더는 1으로 대체
2) 조회기간 말일 현재 End이면서 서울개발실에서 진행한 sample오더는 Q'ty수량으로 대체</t>
    </r>
    <phoneticPr fontId="2" type="noConversion"/>
  </si>
  <si>
    <t>원재료매입액 배부($)</t>
    <phoneticPr fontId="2" type="noConversion"/>
  </si>
  <si>
    <t>원재료</t>
    <phoneticPr fontId="2" type="noConversion"/>
  </si>
  <si>
    <t>제품</t>
    <phoneticPr fontId="2" type="noConversion"/>
  </si>
  <si>
    <t>원가</t>
    <phoneticPr fontId="2" type="noConversion"/>
  </si>
  <si>
    <t>STS-IN 계</t>
    <phoneticPr fontId="2" type="noConversion"/>
  </si>
  <si>
    <r>
      <t xml:space="preserve">최초 오더시점부터 조회기간 말일까지 Inlist 상 STS IN의 총 누계금액을 USD로 환산한 값  (※ USD 환산 시 </t>
    </r>
    <r>
      <rPr>
        <sz val="11"/>
        <rFont val="맑은 고딕"/>
        <family val="3"/>
        <charset val="129"/>
        <scheme val="minor"/>
      </rPr>
      <t xml:space="preserve">환율 적용시점은 STS IN 일자)
단, 다음 자재들은 포함하지 않음
 </t>
    </r>
    <r>
      <rPr>
        <strike/>
        <sz val="11"/>
        <rFont val="맑은 고딕"/>
        <family val="3"/>
        <charset val="129"/>
        <scheme val="minor"/>
      </rPr>
      <t>1) Buyer 공급자재</t>
    </r>
    <r>
      <rPr>
        <sz val="11"/>
        <rFont val="맑은 고딕"/>
        <family val="3"/>
        <charset val="129"/>
        <scheme val="minor"/>
      </rPr>
      <t xml:space="preserve"> (단가가 $0.001불이거나 당사가 선지불 후 청구하는 형태라서 굳이 제외할 필요 없음)
 2) 임가공비 성격의 자재. 즉, 임가공비로 별도 청구되는 자재 (프린트, 자수 등)
 3) 공장이 부담하는 소모성 자재 (봉제사, 박스, 박싱테이프 등)</t>
    </r>
    <phoneticPr fontId="2" type="noConversion"/>
  </si>
  <si>
    <t>원재료매입액 배부(\)</t>
    <phoneticPr fontId="2" type="noConversion"/>
  </si>
  <si>
    <r>
      <t xml:space="preserve">최초 오더시점부터 조회기간 말일까지 Inlist 상 STS IN의 총 누계금액을 </t>
    </r>
    <r>
      <rPr>
        <sz val="11"/>
        <rFont val="맑은 고딕"/>
        <family val="3"/>
        <charset val="129"/>
        <scheme val="minor"/>
      </rPr>
      <t xml:space="preserve">KRW로 환산한 값  (※ KRW 환산 시 환율 적용시점은 STS IN 일자)
단, 다음 자재들은 포함하지 않음
 </t>
    </r>
    <r>
      <rPr>
        <strike/>
        <sz val="11"/>
        <rFont val="맑은 고딕"/>
        <family val="3"/>
        <charset val="129"/>
        <scheme val="minor"/>
      </rPr>
      <t>1) Buyer 공급자재</t>
    </r>
    <r>
      <rPr>
        <sz val="11"/>
        <rFont val="맑은 고딕"/>
        <family val="3"/>
        <charset val="129"/>
        <scheme val="minor"/>
      </rPr>
      <t xml:space="preserve"> (단가가 $0.001불이거나 당사가 선지불 후 청구하는 형태라서 굳이 제외할 필요 없음)
 2) 임가공비 성격의 자재. 즉, 임가공비로 별도 청구되는 자재 (프린트, 자수 등)
 3) 공장이 부담하는 소모성 자재 (봉제사, 박스, 박싱테이프 등)</t>
    </r>
    <phoneticPr fontId="2" type="noConversion"/>
  </si>
  <si>
    <t>적용환율</t>
    <phoneticPr fontId="2" type="noConversion"/>
  </si>
  <si>
    <t>제품재고 원재료 배부액</t>
    <phoneticPr fontId="2" type="noConversion"/>
  </si>
  <si>
    <t>원재료비</t>
    <phoneticPr fontId="2" type="noConversion"/>
  </si>
  <si>
    <t>수량</t>
    <phoneticPr fontId="2" type="noConversion"/>
  </si>
  <si>
    <t>금액($)</t>
    <phoneticPr fontId="2" type="noConversion"/>
  </si>
  <si>
    <t>금액(\)</t>
    <phoneticPr fontId="2" type="noConversion"/>
  </si>
  <si>
    <t>품목별 제조단가($)</t>
    <phoneticPr fontId="2" type="noConversion"/>
  </si>
  <si>
    <t>간접비</t>
    <phoneticPr fontId="2" type="noConversion"/>
  </si>
  <si>
    <t>계</t>
    <phoneticPr fontId="2" type="noConversion"/>
  </si>
  <si>
    <t>품목별 매출총이익($)</t>
    <phoneticPr fontId="2" type="noConversion"/>
  </si>
  <si>
    <t>매출액</t>
    <phoneticPr fontId="2" type="noConversion"/>
  </si>
  <si>
    <t>매출원가</t>
    <phoneticPr fontId="2" type="noConversion"/>
  </si>
  <si>
    <t>매출총이익</t>
    <phoneticPr fontId="2" type="noConversion"/>
  </si>
  <si>
    <t>이익율</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</si>
</sst>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1" formatCode="_-* #,##0_-;\-* #,##0_-;_-* &quot;-&quot;_-;_-@_-"/>
    <numFmt numFmtId="176" formatCode="_-* #,##0.0_-;\-* #,##0.0_-;_-* &quot;-&quot;_-;_-@_-"/>
    <numFmt numFmtId="177" formatCode="0.0%"/>
    <numFmt numFmtId="178" formatCode="#,##0_);\(#,##0\)"/>
    <numFmt numFmtId="179" formatCode="#,##0.0_);\(#,##0.0\)"/>
  </numFmts>
  <fonts count="12">
    <font>
      <sz val="11"/>
      <color theme="1"/>
      <name val="맑은 고딕"/>
      <family val="2"/>
      <charset val="129"/>
      <scheme val="minor"/>
    </font>
    <font>
      <sz val="11"/>
      <color theme="1"/>
      <name val="맑은 고딕"/>
      <family val="2"/>
      <charset val="129"/>
      <scheme val="minor"/>
    </font>
    <font>
      <sz val="8"/>
      <name val="맑은 고딕"/>
      <family val="2"/>
      <charset val="129"/>
      <scheme val="minor"/>
    </font>
    <font>
      <sz val="9"/>
      <color theme="1"/>
      <name val="맑은 고딕"/>
      <family val="2"/>
      <charset val="129"/>
      <scheme val="minor"/>
    </font>
    <font>
      <sz val="9"/>
      <color rgb="FF000000"/>
      <name val="맑은 고딕"/>
      <family val="3"/>
      <charset val="129"/>
      <scheme val="minor"/>
    </font>
    <font>
      <sz val="9"/>
      <name val="맑은 고딕"/>
      <family val="3"/>
      <charset val="129"/>
      <scheme val="minor"/>
    </font>
    <font>
      <sz val="11"/>
      <name val="맑은 고딕"/>
      <family val="3"/>
      <charset val="129"/>
      <scheme val="minor"/>
    </font>
    <font>
      <b/>
      <sz val="12"/>
      <color theme="1"/>
      <name val="맑은 고딕"/>
      <family val="3"/>
      <charset val="129"/>
      <scheme val="minor"/>
    </font>
    <font>
      <b/>
      <sz val="14"/>
      <color theme="1"/>
      <name val="맑은 고딕"/>
      <family val="3"/>
      <charset val="129"/>
      <scheme val="minor"/>
    </font>
    <font>
      <sz val="9"/>
      <name val="맑은 고딕"/>
      <family val="3"/>
      <charset val="129"/>
    </font>
    <font>
      <sz val="11"/>
      <name val="맑은 고딕"/>
      <family val="2"/>
      <charset val="129"/>
      <scheme val="minor"/>
    </font>
    <font>
      <strike/>
      <sz val="11"/>
      <name val="맑은 고딕"/>
      <family val="3"/>
      <charset val="129"/>
      <scheme val="minor"/>
    </font>
  </fonts>
  <fills count="6">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theme="0" tint="-0.14999847407452621"/>
        <bgColor indexed="64"/>
      </patternFill>
    </fill>
    <fill>
      <patternFill patternType="solid">
        <fgColor rgb="FFFFFF0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right/>
      <top/>
      <bottom style="thin">
        <color indexed="64"/>
      </bottom>
      <diagonal/>
    </border>
  </borders>
  <cellStyleXfs count="3">
    <xf numFmtId="0" fontId="0" fillId="0" borderId="0">
      <alignment vertical="center"/>
    </xf>
    <xf numFmtId="41" fontId="1" fillId="0" borderId="0" applyFont="0" applyFill="0" applyBorder="0" applyAlignment="0" applyProtection="0">
      <alignment vertical="center"/>
    </xf>
    <xf numFmtId="9" fontId="1" fillId="0" borderId="0" applyFont="0" applyFill="0" applyBorder="0" applyAlignment="0" applyProtection="0">
      <alignment vertical="center"/>
    </xf>
  </cellStyleXfs>
  <cellXfs count="69">
    <xf numFmtId="0" fontId="0" fillId="0" borderId="0" xfId="0">
      <alignment vertical="center"/>
    </xf>
    <xf numFmtId="0" fontId="3" fillId="0" borderId="0" xfId="0" applyFont="1">
      <alignment vertical="center"/>
    </xf>
    <xf numFmtId="0" fontId="3" fillId="2" borderId="1" xfId="0" applyFont="1" applyFill="1" applyBorder="1">
      <alignment vertical="center"/>
    </xf>
    <xf numFmtId="14" fontId="4" fillId="3" borderId="1" xfId="0" applyNumberFormat="1" applyFont="1" applyFill="1" applyBorder="1" applyAlignment="1">
      <alignment horizontal="center" vertical="center"/>
    </xf>
    <xf numFmtId="0" fontId="4" fillId="3" borderId="1" xfId="0" applyNumberFormat="1" applyFont="1" applyFill="1" applyBorder="1" applyAlignment="1">
      <alignment horizontal="left" vertical="center"/>
    </xf>
    <xf numFmtId="177" fontId="3" fillId="2" borderId="1" xfId="2" applyNumberFormat="1" applyFont="1" applyFill="1" applyBorder="1">
      <alignment vertical="center"/>
    </xf>
    <xf numFmtId="178" fontId="3" fillId="2" borderId="1" xfId="1" applyNumberFormat="1" applyFont="1" applyFill="1" applyBorder="1">
      <alignment vertical="center"/>
    </xf>
    <xf numFmtId="0" fontId="3" fillId="4" borderId="1" xfId="0" applyFont="1" applyFill="1" applyBorder="1">
      <alignment vertical="center"/>
    </xf>
    <xf numFmtId="0" fontId="3" fillId="4" borderId="1" xfId="0" applyFont="1" applyFill="1" applyBorder="1" applyAlignment="1">
      <alignment horizontal="center" vertical="center"/>
    </xf>
    <xf numFmtId="41" fontId="3" fillId="4" borderId="1" xfId="1" applyFont="1" applyFill="1" applyBorder="1">
      <alignment vertical="center"/>
    </xf>
    <xf numFmtId="177" fontId="3" fillId="4" borderId="1" xfId="2" applyNumberFormat="1" applyFont="1" applyFill="1" applyBorder="1">
      <alignment vertical="center"/>
    </xf>
    <xf numFmtId="176" fontId="3" fillId="0" borderId="0" xfId="1" applyNumberFormat="1" applyFont="1">
      <alignment vertical="center"/>
    </xf>
    <xf numFmtId="41" fontId="3" fillId="0" borderId="0" xfId="1" applyFont="1">
      <alignment vertical="center"/>
    </xf>
    <xf numFmtId="0" fontId="5" fillId="0" borderId="0" xfId="0" applyFont="1" applyFill="1">
      <alignment vertical="center"/>
    </xf>
    <xf numFmtId="0" fontId="5" fillId="0" borderId="0" xfId="0" applyFont="1" applyFill="1" applyAlignment="1">
      <alignment horizontal="center" vertical="center"/>
    </xf>
    <xf numFmtId="0" fontId="0" fillId="0" borderId="0" xfId="0" applyFont="1">
      <alignment vertical="center"/>
    </xf>
    <xf numFmtId="178" fontId="3" fillId="4" borderId="1" xfId="1" applyNumberFormat="1" applyFont="1" applyFill="1" applyBorder="1">
      <alignment vertical="center"/>
    </xf>
    <xf numFmtId="178" fontId="3" fillId="0" borderId="1" xfId="1" applyNumberFormat="1" applyFont="1" applyFill="1" applyBorder="1">
      <alignment vertical="center"/>
    </xf>
    <xf numFmtId="179" fontId="3" fillId="2" borderId="1" xfId="1" applyNumberFormat="1" applyFont="1" applyFill="1" applyBorder="1">
      <alignment vertical="center"/>
    </xf>
    <xf numFmtId="179" fontId="3" fillId="4" borderId="1" xfId="1" applyNumberFormat="1" applyFont="1" applyFill="1" applyBorder="1">
      <alignment vertical="center"/>
    </xf>
    <xf numFmtId="0" fontId="7" fillId="0" borderId="0" xfId="0" applyFont="1">
      <alignment vertical="center"/>
    </xf>
    <xf numFmtId="0" fontId="5" fillId="4" borderId="1" xfId="0" applyNumberFormat="1" applyFont="1" applyFill="1" applyBorder="1" applyAlignment="1">
      <alignment horizontal="center" vertical="center"/>
    </xf>
    <xf numFmtId="0" fontId="5" fillId="4" borderId="1" xfId="1" applyNumberFormat="1" applyFont="1" applyFill="1" applyBorder="1" applyAlignment="1">
      <alignment horizontal="center" vertical="center"/>
    </xf>
    <xf numFmtId="0" fontId="5" fillId="4" borderId="3" xfId="0" applyNumberFormat="1" applyFont="1" applyFill="1" applyBorder="1" applyAlignment="1">
      <alignment horizontal="center" vertical="center"/>
    </xf>
    <xf numFmtId="0" fontId="0" fillId="0" borderId="1" xfId="0" applyBorder="1" applyAlignment="1">
      <alignment vertical="center" wrapText="1"/>
    </xf>
    <xf numFmtId="0" fontId="0" fillId="4" borderId="1" xfId="0" applyFill="1" applyBorder="1">
      <alignment vertical="center"/>
    </xf>
    <xf numFmtId="0" fontId="0" fillId="4" borderId="1" xfId="0" applyFill="1" applyBorder="1" applyAlignment="1">
      <alignment horizontal="center" vertical="center"/>
    </xf>
    <xf numFmtId="0" fontId="8" fillId="0" borderId="0" xfId="0" applyFont="1">
      <alignment vertical="center"/>
    </xf>
    <xf numFmtId="0" fontId="5" fillId="4" borderId="1" xfId="0" applyNumberFormat="1" applyFont="1" applyFill="1" applyBorder="1" applyAlignment="1">
      <alignment horizontal="center" vertical="center"/>
    </xf>
    <xf numFmtId="41" fontId="5" fillId="4" borderId="1" xfId="1" applyFont="1" applyFill="1" applyBorder="1" applyAlignment="1">
      <alignment horizontal="center" vertical="center"/>
    </xf>
    <xf numFmtId="177" fontId="3" fillId="2" borderId="1" xfId="2" applyNumberFormat="1" applyFont="1" applyFill="1" applyBorder="1" applyAlignment="1">
      <alignment horizontal="center" vertical="center"/>
    </xf>
    <xf numFmtId="177" fontId="3" fillId="2" borderId="1" xfId="2" applyNumberFormat="1" applyFont="1" applyFill="1" applyBorder="1" applyAlignment="1">
      <alignment horizontal="right" vertical="center"/>
    </xf>
    <xf numFmtId="41" fontId="3" fillId="2" borderId="1" xfId="1" applyFont="1" applyFill="1" applyBorder="1">
      <alignment vertical="center"/>
    </xf>
    <xf numFmtId="176" fontId="3" fillId="2" borderId="1" xfId="1" applyNumberFormat="1" applyFont="1" applyFill="1" applyBorder="1" applyAlignment="1">
      <alignment horizontal="center" vertical="center"/>
    </xf>
    <xf numFmtId="0" fontId="0" fillId="4" borderId="5" xfId="0" applyFill="1" applyBorder="1" applyAlignment="1">
      <alignment horizontal="center" vertical="center" wrapText="1"/>
    </xf>
    <xf numFmtId="0" fontId="3" fillId="5" borderId="0" xfId="0" applyFont="1" applyFill="1">
      <alignment vertical="center"/>
    </xf>
    <xf numFmtId="0" fontId="3" fillId="5" borderId="0" xfId="0" applyFont="1" applyFill="1" applyAlignment="1">
      <alignment horizontal="right" vertical="center"/>
    </xf>
    <xf numFmtId="41" fontId="3" fillId="2" borderId="1" xfId="1" applyNumberFormat="1" applyFont="1" applyFill="1" applyBorder="1" applyAlignment="1">
      <alignment horizontal="center" vertical="center"/>
    </xf>
    <xf numFmtId="41" fontId="3" fillId="4" borderId="1" xfId="1" applyNumberFormat="1" applyFont="1" applyFill="1" applyBorder="1">
      <alignment vertical="center"/>
    </xf>
    <xf numFmtId="177" fontId="3" fillId="4" borderId="1" xfId="2" applyNumberFormat="1" applyFont="1" applyFill="1" applyBorder="1" applyAlignment="1">
      <alignment horizontal="center" vertical="center"/>
    </xf>
    <xf numFmtId="0" fontId="3" fillId="0" borderId="0" xfId="0" applyFont="1" applyFill="1">
      <alignment vertical="center"/>
    </xf>
    <xf numFmtId="0" fontId="3" fillId="5" borderId="8" xfId="0" applyFont="1" applyFill="1" applyBorder="1">
      <alignment vertical="center"/>
    </xf>
    <xf numFmtId="0" fontId="5" fillId="4" borderId="1" xfId="0" applyNumberFormat="1" applyFont="1" applyFill="1" applyBorder="1" applyAlignment="1">
      <alignment horizontal="center" vertical="center"/>
    </xf>
    <xf numFmtId="0" fontId="5" fillId="4" borderId="1" xfId="0" applyNumberFormat="1" applyFont="1" applyFill="1" applyBorder="1" applyAlignment="1">
      <alignment horizontal="center" vertical="center"/>
    </xf>
    <xf numFmtId="0" fontId="10" fillId="0" borderId="1" xfId="0" applyFont="1" applyBorder="1" applyAlignment="1">
      <alignment vertical="center" wrapText="1"/>
    </xf>
    <xf numFmtId="0" fontId="10" fillId="0" borderId="1" xfId="0" applyFont="1" applyBorder="1">
      <alignment vertical="center"/>
    </xf>
    <xf numFmtId="0" fontId="6" fillId="0" borderId="1" xfId="0" applyFont="1" applyBorder="1">
      <alignment vertical="center"/>
    </xf>
    <xf numFmtId="0" fontId="6" fillId="0" borderId="1" xfId="0" applyFont="1" applyBorder="1" applyAlignment="1">
      <alignment vertical="center" wrapText="1"/>
    </xf>
    <xf numFmtId="0" fontId="5" fillId="4" borderId="1" xfId="0" applyNumberFormat="1" applyFont="1" applyFill="1" applyBorder="1" applyAlignment="1">
      <alignment horizontal="center" vertical="center"/>
    </xf>
    <xf numFmtId="0" fontId="5" fillId="4" borderId="1" xfId="0" applyNumberFormat="1" applyFont="1" applyFill="1" applyBorder="1" applyAlignment="1">
      <alignment horizontal="center" vertical="center"/>
    </xf>
    <xf numFmtId="0" fontId="5" fillId="4" borderId="1" xfId="0" applyNumberFormat="1" applyFont="1" applyFill="1" applyBorder="1" applyAlignment="1">
      <alignment horizontal="center" vertical="center"/>
    </xf>
    <xf numFmtId="0" fontId="5" fillId="4" borderId="1" xfId="0" applyNumberFormat="1" applyFont="1" applyFill="1" applyBorder="1" applyAlignment="1">
      <alignment horizontal="center" vertical="center"/>
    </xf>
    <xf numFmtId="0" fontId="5" fillId="4" borderId="4" xfId="0" applyNumberFormat="1" applyFont="1" applyFill="1" applyBorder="1" applyAlignment="1">
      <alignment horizontal="center" vertical="center"/>
    </xf>
    <xf numFmtId="0" fontId="5" fillId="4" borderId="6" xfId="0" applyNumberFormat="1" applyFont="1" applyFill="1" applyBorder="1" applyAlignment="1">
      <alignment horizontal="center" vertical="center"/>
    </xf>
    <xf numFmtId="0" fontId="5" fillId="4" borderId="5" xfId="0" applyNumberFormat="1" applyFont="1" applyFill="1" applyBorder="1" applyAlignment="1">
      <alignment horizontal="center" vertical="center"/>
    </xf>
    <xf numFmtId="0" fontId="5" fillId="4" borderId="9" xfId="0" applyNumberFormat="1" applyFont="1" applyFill="1" applyBorder="1" applyAlignment="1">
      <alignment horizontal="center" vertical="center"/>
    </xf>
    <xf numFmtId="0" fontId="5" fillId="4" borderId="1" xfId="0" applyNumberFormat="1" applyFont="1" applyFill="1" applyBorder="1" applyAlignment="1">
      <alignment horizontal="center" vertical="center"/>
    </xf>
    <xf numFmtId="0" fontId="5" fillId="4" borderId="4" xfId="0" applyNumberFormat="1" applyFont="1" applyFill="1" applyBorder="1" applyAlignment="1">
      <alignment horizontal="center" vertical="center" wrapText="1"/>
    </xf>
    <xf numFmtId="0" fontId="5" fillId="4" borderId="5" xfId="0" applyNumberFormat="1" applyFont="1" applyFill="1" applyBorder="1" applyAlignment="1">
      <alignment horizontal="center" vertical="center" wrapText="1"/>
    </xf>
    <xf numFmtId="0" fontId="0" fillId="0" borderId="4" xfId="0" applyBorder="1" applyAlignment="1">
      <alignment horizontal="left" vertical="center" wrapText="1"/>
    </xf>
    <xf numFmtId="0" fontId="0" fillId="0" borderId="5" xfId="0" applyBorder="1" applyAlignment="1">
      <alignment horizontal="left" vertical="center" wrapText="1"/>
    </xf>
    <xf numFmtId="0" fontId="0" fillId="4" borderId="2" xfId="0" applyFill="1" applyBorder="1" applyAlignment="1">
      <alignment horizontal="center" vertical="center" wrapText="1"/>
    </xf>
    <xf numFmtId="0" fontId="0" fillId="4" borderId="7" xfId="0" applyFill="1" applyBorder="1" applyAlignment="1">
      <alignment horizontal="center" vertical="center" wrapText="1"/>
    </xf>
    <xf numFmtId="0" fontId="0" fillId="4" borderId="3" xfId="0" applyFill="1" applyBorder="1" applyAlignment="1">
      <alignment horizontal="center" vertical="center" wrapText="1"/>
    </xf>
    <xf numFmtId="0" fontId="0" fillId="0" borderId="2" xfId="0" applyBorder="1" applyAlignment="1">
      <alignment horizontal="left" vertical="center"/>
    </xf>
    <xf numFmtId="0" fontId="0" fillId="0" borderId="7" xfId="0" applyBorder="1" applyAlignment="1">
      <alignment horizontal="left" vertical="center"/>
    </xf>
    <xf numFmtId="0" fontId="0" fillId="0" borderId="3" xfId="0" applyBorder="1" applyAlignment="1">
      <alignment horizontal="left" vertical="center"/>
    </xf>
    <xf numFmtId="0" fontId="6" fillId="0" borderId="4" xfId="0" applyFont="1" applyBorder="1" applyAlignment="1">
      <alignment horizontal="left" vertical="center" wrapText="1"/>
    </xf>
    <xf numFmtId="0" fontId="6" fillId="0" borderId="5" xfId="0" applyFont="1" applyBorder="1" applyAlignment="1">
      <alignment horizontal="left" vertical="center" wrapText="1"/>
    </xf>
  </cellXfs>
  <cellStyles count="3">
    <cellStyle name="백분율" xfId="2" builtinId="5"/>
    <cellStyle name="쉼표 [0]" xfId="1" builtinId="6"/>
    <cellStyle name="표준"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9"/>
  <sheetViews>
    <sheetView tabSelected="1" zoomScaleNormal="100" workbookViewId="0">
      <pane ySplit="4" topLeftCell="A5" activePane="bottomLeft" state="frozen"/>
      <selection activeCell="F11" sqref="F11"/>
      <selection pane="bottomLeft"/>
    </sheetView>
  </sheetViews>
  <sheetFormatPr defaultColWidth="8.625" defaultRowHeight="15" customHeight="1"/>
  <cols>
    <col min="1" max="1" width="4.75" style="1" customWidth="1"/>
    <col min="2" max="2" width="8.625" style="1"/>
    <col min="3" max="3" width="9.25" style="1" bestFit="1" customWidth="1"/>
    <col min="4" max="5" width="9.75" style="1" bestFit="1" customWidth="1"/>
    <col min="6" max="6" width="28.5" style="1" bestFit="1" customWidth="1"/>
    <col min="7" max="7" width="8.125" style="1" customWidth="1"/>
    <col min="8" max="8" width="6.625" style="11" customWidth="1"/>
    <col min="9" max="9" width="10.625" style="12" customWidth="1"/>
    <col min="10" max="10" width="10.625" style="1" customWidth="1"/>
    <col min="11" max="14" width="6.625" style="1" customWidth="1"/>
    <col min="15" max="15" width="8.125" style="1" hidden="1" customWidth="1"/>
    <col min="16" max="17" width="8.125" style="1" customWidth="1"/>
    <col min="18" max="19" width="9.625" style="12" customWidth="1"/>
    <col min="20" max="21" width="9.625" style="1" customWidth="1"/>
    <col min="22" max="23" width="12.625" style="12" customWidth="1"/>
    <col min="24" max="24" width="12.625" style="1" customWidth="1"/>
    <col min="25" max="25" width="12.625" style="12" customWidth="1"/>
    <col min="26" max="27" width="6.625" style="1" customWidth="1"/>
    <col min="28" max="28" width="7.625" style="1" customWidth="1"/>
    <col min="29" max="29" width="9.625" style="1" customWidth="1"/>
    <col min="30" max="30" width="12.625" style="1" customWidth="1"/>
    <col min="31" max="32" width="6.625" style="1" customWidth="1"/>
    <col min="33" max="33" width="7.625" style="1" customWidth="1"/>
    <col min="34" max="36" width="9.625" style="1" customWidth="1"/>
    <col min="37" max="37" width="6.625" style="1" customWidth="1"/>
    <col min="38" max="39" width="10.25" style="1" customWidth="1"/>
    <col min="40" max="16384" width="8.625" style="1"/>
  </cols>
  <sheetData>
    <row r="1" spans="1:37" ht="20.100000000000001" customHeight="1" thickBot="1">
      <c r="A1" s="20" t="s">
        <v>30</v>
      </c>
    </row>
    <row r="2" spans="1:37" ht="16.5" customHeight="1" thickBot="1">
      <c r="A2" s="1" t="s">
        <v>15</v>
      </c>
      <c r="B2" s="1" t="s">
        <v>53</v>
      </c>
      <c r="AA2" s="40"/>
      <c r="AB2" s="35"/>
      <c r="AC2" s="35"/>
      <c r="AD2" s="35"/>
      <c r="AE2" s="36" t="s">
        <v>56</v>
      </c>
      <c r="AF2" s="41"/>
    </row>
    <row r="3" spans="1:37" s="13" customFormat="1" ht="15" customHeight="1">
      <c r="A3" s="56" t="s">
        <v>11</v>
      </c>
      <c r="B3" s="56"/>
      <c r="C3" s="56"/>
      <c r="D3" s="56" t="s">
        <v>0</v>
      </c>
      <c r="E3" s="56"/>
      <c r="F3" s="56" t="s">
        <v>14</v>
      </c>
      <c r="G3" s="56"/>
      <c r="H3" s="56"/>
      <c r="I3" s="56"/>
      <c r="J3" s="56" t="s">
        <v>17</v>
      </c>
      <c r="K3" s="56"/>
      <c r="L3" s="56"/>
      <c r="M3" s="57" t="s">
        <v>46</v>
      </c>
      <c r="N3" s="58"/>
      <c r="O3" s="52" t="s">
        <v>47</v>
      </c>
      <c r="P3" s="53"/>
      <c r="Q3" s="54"/>
      <c r="R3" s="56" t="s">
        <v>48</v>
      </c>
      <c r="S3" s="56"/>
      <c r="T3" s="56"/>
      <c r="U3" s="56"/>
      <c r="V3" s="52" t="s">
        <v>54</v>
      </c>
      <c r="W3" s="53"/>
      <c r="X3" s="53"/>
      <c r="Y3" s="53"/>
      <c r="Z3" s="54"/>
      <c r="AA3" s="52" t="s">
        <v>32</v>
      </c>
      <c r="AB3" s="53"/>
      <c r="AC3" s="53"/>
      <c r="AD3" s="54"/>
      <c r="AE3" s="52" t="s">
        <v>57</v>
      </c>
      <c r="AF3" s="55"/>
      <c r="AG3" s="53"/>
      <c r="AH3" s="52" t="s">
        <v>58</v>
      </c>
      <c r="AI3" s="53"/>
      <c r="AJ3" s="53"/>
      <c r="AK3" s="54"/>
    </row>
    <row r="4" spans="1:37" s="14" customFormat="1" ht="15" customHeight="1">
      <c r="A4" s="21" t="s">
        <v>8</v>
      </c>
      <c r="B4" s="21" t="s">
        <v>9</v>
      </c>
      <c r="C4" s="21" t="s">
        <v>10</v>
      </c>
      <c r="D4" s="21" t="s">
        <v>1</v>
      </c>
      <c r="E4" s="21" t="s">
        <v>2</v>
      </c>
      <c r="F4" s="21" t="s">
        <v>3</v>
      </c>
      <c r="G4" s="21" t="s">
        <v>4</v>
      </c>
      <c r="H4" s="22" t="s">
        <v>5</v>
      </c>
      <c r="I4" s="22" t="s">
        <v>6</v>
      </c>
      <c r="J4" s="21" t="s">
        <v>43</v>
      </c>
      <c r="K4" s="21" t="s">
        <v>12</v>
      </c>
      <c r="L4" s="21" t="s">
        <v>44</v>
      </c>
      <c r="M4" s="23" t="s">
        <v>13</v>
      </c>
      <c r="N4" s="23" t="s">
        <v>45</v>
      </c>
      <c r="O4" s="21" t="s">
        <v>59</v>
      </c>
      <c r="P4" s="42" t="s">
        <v>60</v>
      </c>
      <c r="Q4" s="21" t="s">
        <v>7</v>
      </c>
      <c r="R4" s="21" t="s">
        <v>49</v>
      </c>
      <c r="S4" s="21" t="s">
        <v>50</v>
      </c>
      <c r="T4" s="21" t="s">
        <v>51</v>
      </c>
      <c r="U4" s="21" t="s">
        <v>52</v>
      </c>
      <c r="V4" s="28" t="s">
        <v>49</v>
      </c>
      <c r="W4" s="28" t="s">
        <v>50</v>
      </c>
      <c r="X4" s="28" t="s">
        <v>51</v>
      </c>
      <c r="Y4" s="28" t="s">
        <v>52</v>
      </c>
      <c r="Z4" s="28" t="s">
        <v>55</v>
      </c>
      <c r="AA4" s="29" t="s">
        <v>33</v>
      </c>
      <c r="AB4" s="28" t="s">
        <v>34</v>
      </c>
      <c r="AC4" s="28" t="s">
        <v>35</v>
      </c>
      <c r="AD4" s="28" t="s">
        <v>36</v>
      </c>
      <c r="AE4" s="28" t="s">
        <v>33</v>
      </c>
      <c r="AF4" s="28" t="s">
        <v>37</v>
      </c>
      <c r="AG4" s="28" t="s">
        <v>38</v>
      </c>
      <c r="AH4" s="28" t="s">
        <v>39</v>
      </c>
      <c r="AI4" s="29" t="s">
        <v>40</v>
      </c>
      <c r="AJ4" s="29" t="s">
        <v>41</v>
      </c>
      <c r="AK4" s="28" t="s">
        <v>42</v>
      </c>
    </row>
    <row r="5" spans="1:37" s="40" customFormat="1" ht="15" customHeight="1">
      <c r="A5" s="2"/>
      <c r="B5" s="2"/>
      <c r="C5" s="2"/>
      <c r="D5" s="3"/>
      <c r="E5" s="3"/>
      <c r="F5" s="4"/>
      <c r="G5" s="17"/>
      <c r="H5" s="18"/>
      <c r="I5" s="6">
        <f>G5*H5</f>
        <v>0</v>
      </c>
      <c r="J5" s="6"/>
      <c r="K5" s="18" t="e">
        <f>J5/G5</f>
        <v>#DIV/0!</v>
      </c>
      <c r="L5" s="5" t="e">
        <f t="shared" ref="L5:L7" si="0">J5/I5</f>
        <v>#DIV/0!</v>
      </c>
      <c r="M5" s="5"/>
      <c r="N5" s="31" t="e">
        <f>IF(P5/G5&gt;1,1,P5/G5)</f>
        <v>#DIV/0!</v>
      </c>
      <c r="O5" s="6"/>
      <c r="P5" s="6">
        <f>IF(IF(IFERROR(U5/K5,0)&gt;O5,O5,INT(IFERROR(U5/K5,0)))&gt;Q5,IF(IFERROR(U5/K5,0)&gt;O5,O5,INT(IFERROR(U5/K5,0))),Q5)</f>
        <v>0</v>
      </c>
      <c r="Q5" s="6"/>
      <c r="R5" s="32" t="e">
        <f t="shared" ref="R5:R7" si="1">U5-S5-T5</f>
        <v>#DIV/0!</v>
      </c>
      <c r="S5" s="32" t="e">
        <f>(P5-Q5)*AA5</f>
        <v>#DIV/0!</v>
      </c>
      <c r="T5" s="32" t="e">
        <f>IF(Q5*AA5&gt;U5,U5,Q5*AA5)</f>
        <v>#DIV/0!</v>
      </c>
      <c r="U5" s="6"/>
      <c r="V5" s="32" t="e">
        <f t="shared" ref="V5:V7" si="2">Y5-W5-X5</f>
        <v>#DIV/0!</v>
      </c>
      <c r="W5" s="32" t="e">
        <f t="shared" ref="W5:W7" si="3">S5*Z5</f>
        <v>#DIV/0!</v>
      </c>
      <c r="X5" s="32" t="e">
        <f t="shared" ref="X5:X7" si="4">T5*Z5</f>
        <v>#DIV/0!</v>
      </c>
      <c r="Y5" s="6"/>
      <c r="Z5" s="32">
        <f t="shared" ref="Z5:Z7" si="5">IF(Y5=0,0,Y5/U5)</f>
        <v>0</v>
      </c>
      <c r="AA5" s="18" t="e">
        <f>K5</f>
        <v>#DIV/0!</v>
      </c>
      <c r="AB5" s="37">
        <f>P5-Q5</f>
        <v>0</v>
      </c>
      <c r="AC5" s="37" t="e">
        <f t="shared" ref="AC5:AC7" si="6">AB5*AA5</f>
        <v>#DIV/0!</v>
      </c>
      <c r="AD5" s="37" t="e">
        <f t="shared" ref="AD5:AD7" si="7">Z5*AC5</f>
        <v>#DIV/0!</v>
      </c>
      <c r="AE5" s="33" t="e">
        <f t="shared" ref="AE5:AE7" si="8">AA5</f>
        <v>#DIV/0!</v>
      </c>
      <c r="AF5" s="33" t="e">
        <f t="shared" ref="AF5:AF7" si="9">AE5*$AF$2</f>
        <v>#DIV/0!</v>
      </c>
      <c r="AG5" s="33" t="e">
        <f>AE5+AF5</f>
        <v>#DIV/0!</v>
      </c>
      <c r="AH5" s="37">
        <f t="shared" ref="AH5" si="10">Q5*H5</f>
        <v>0</v>
      </c>
      <c r="AI5" s="37" t="e">
        <f t="shared" ref="AI5" si="11">Q5*AG5</f>
        <v>#DIV/0!</v>
      </c>
      <c r="AJ5" s="37" t="e">
        <f t="shared" ref="AJ5" si="12">AH5-AI5</f>
        <v>#DIV/0!</v>
      </c>
      <c r="AK5" s="30" t="str">
        <f>IF(AH5=0,"N/A",AJ5/AH5)</f>
        <v>N/A</v>
      </c>
    </row>
    <row r="6" spans="1:37" s="40" customFormat="1" ht="15" customHeight="1">
      <c r="A6" s="2"/>
      <c r="B6" s="2"/>
      <c r="C6" s="2"/>
      <c r="D6" s="3"/>
      <c r="E6" s="3"/>
      <c r="F6" s="4"/>
      <c r="G6" s="17"/>
      <c r="H6" s="18"/>
      <c r="I6" s="6">
        <f t="shared" ref="I6:I7" si="13">G6*H6</f>
        <v>0</v>
      </c>
      <c r="J6" s="6"/>
      <c r="K6" s="18" t="e">
        <f t="shared" ref="K6:K7" si="14">J6/G6</f>
        <v>#DIV/0!</v>
      </c>
      <c r="L6" s="5" t="e">
        <f t="shared" si="0"/>
        <v>#DIV/0!</v>
      </c>
      <c r="M6" s="5"/>
      <c r="N6" s="31" t="e">
        <f t="shared" ref="N6:N7" si="15">IF(P6/G6&gt;1,1,P6/G6)</f>
        <v>#DIV/0!</v>
      </c>
      <c r="O6" s="6"/>
      <c r="P6" s="6">
        <f t="shared" ref="P6:P7" si="16">IF(IF(IFERROR(U6/K6,0)&gt;O6,O6,INT(IFERROR(U6/K6,0)))&gt;Q6,IF(IFERROR(U6/K6,0)&gt;O6,O6,INT(IFERROR(U6/K6,0))),Q6)</f>
        <v>0</v>
      </c>
      <c r="Q6" s="6"/>
      <c r="R6" s="32" t="e">
        <f t="shared" si="1"/>
        <v>#DIV/0!</v>
      </c>
      <c r="S6" s="32" t="e">
        <f t="shared" ref="S6:S7" si="17">(P6-Q6)*AA6</f>
        <v>#DIV/0!</v>
      </c>
      <c r="T6" s="32" t="e">
        <f t="shared" ref="T6:T7" si="18">IF(Q6*AA6&gt;U6,U6,Q6*AA6)</f>
        <v>#DIV/0!</v>
      </c>
      <c r="U6" s="6"/>
      <c r="V6" s="32" t="e">
        <f t="shared" si="2"/>
        <v>#DIV/0!</v>
      </c>
      <c r="W6" s="32" t="e">
        <f t="shared" si="3"/>
        <v>#DIV/0!</v>
      </c>
      <c r="X6" s="32" t="e">
        <f t="shared" si="4"/>
        <v>#DIV/0!</v>
      </c>
      <c r="Y6" s="6"/>
      <c r="Z6" s="32">
        <f t="shared" si="5"/>
        <v>0</v>
      </c>
      <c r="AA6" s="18" t="e">
        <f t="shared" ref="AA6:AA7" si="19">K6</f>
        <v>#DIV/0!</v>
      </c>
      <c r="AB6" s="37">
        <f t="shared" ref="AB6:AB7" si="20">P6-Q6</f>
        <v>0</v>
      </c>
      <c r="AC6" s="37" t="e">
        <f t="shared" si="6"/>
        <v>#DIV/0!</v>
      </c>
      <c r="AD6" s="37" t="e">
        <f t="shared" si="7"/>
        <v>#DIV/0!</v>
      </c>
      <c r="AE6" s="33" t="e">
        <f t="shared" si="8"/>
        <v>#DIV/0!</v>
      </c>
      <c r="AF6" s="33" t="e">
        <f t="shared" si="9"/>
        <v>#DIV/0!</v>
      </c>
      <c r="AG6" s="33" t="e">
        <f t="shared" ref="AG6:AG7" si="21">AE6+AF6</f>
        <v>#DIV/0!</v>
      </c>
      <c r="AH6" s="37">
        <f t="shared" ref="AH6:AH7" si="22">Q6*H6</f>
        <v>0</v>
      </c>
      <c r="AI6" s="37" t="e">
        <f t="shared" ref="AI6:AI7" si="23">Q6*AG6</f>
        <v>#DIV/0!</v>
      </c>
      <c r="AJ6" s="37" t="e">
        <f t="shared" ref="AJ6:AJ7" si="24">AH6-AI6</f>
        <v>#DIV/0!</v>
      </c>
      <c r="AK6" s="30" t="str">
        <f t="shared" ref="AK6:AK7" si="25">IF(AH6=0,"N/A",AJ6/AH6)</f>
        <v>N/A</v>
      </c>
    </row>
    <row r="7" spans="1:37" s="40" customFormat="1" ht="15" customHeight="1">
      <c r="A7" s="2"/>
      <c r="B7" s="2"/>
      <c r="C7" s="2"/>
      <c r="D7" s="3"/>
      <c r="E7" s="3"/>
      <c r="F7" s="4"/>
      <c r="G7" s="17"/>
      <c r="H7" s="18"/>
      <c r="I7" s="6">
        <f t="shared" si="13"/>
        <v>0</v>
      </c>
      <c r="J7" s="6"/>
      <c r="K7" s="18" t="e">
        <f t="shared" si="14"/>
        <v>#DIV/0!</v>
      </c>
      <c r="L7" s="5" t="e">
        <f t="shared" si="0"/>
        <v>#DIV/0!</v>
      </c>
      <c r="M7" s="5"/>
      <c r="N7" s="31" t="e">
        <f t="shared" si="15"/>
        <v>#DIV/0!</v>
      </c>
      <c r="O7" s="6"/>
      <c r="P7" s="6">
        <f t="shared" si="16"/>
        <v>0</v>
      </c>
      <c r="Q7" s="6"/>
      <c r="R7" s="32" t="e">
        <f t="shared" si="1"/>
        <v>#DIV/0!</v>
      </c>
      <c r="S7" s="32" t="e">
        <f t="shared" si="17"/>
        <v>#DIV/0!</v>
      </c>
      <c r="T7" s="32" t="e">
        <f t="shared" si="18"/>
        <v>#DIV/0!</v>
      </c>
      <c r="U7" s="6"/>
      <c r="V7" s="32" t="e">
        <f t="shared" si="2"/>
        <v>#DIV/0!</v>
      </c>
      <c r="W7" s="32" t="e">
        <f t="shared" si="3"/>
        <v>#DIV/0!</v>
      </c>
      <c r="X7" s="32" t="e">
        <f t="shared" si="4"/>
        <v>#DIV/0!</v>
      </c>
      <c r="Y7" s="6"/>
      <c r="Z7" s="32">
        <f t="shared" si="5"/>
        <v>0</v>
      </c>
      <c r="AA7" s="18" t="e">
        <f t="shared" si="19"/>
        <v>#DIV/0!</v>
      </c>
      <c r="AB7" s="37">
        <f t="shared" si="20"/>
        <v>0</v>
      </c>
      <c r="AC7" s="37" t="e">
        <f t="shared" si="6"/>
        <v>#DIV/0!</v>
      </c>
      <c r="AD7" s="37" t="e">
        <f t="shared" si="7"/>
        <v>#DIV/0!</v>
      </c>
      <c r="AE7" s="33" t="e">
        <f t="shared" si="8"/>
        <v>#DIV/0!</v>
      </c>
      <c r="AF7" s="33" t="e">
        <f t="shared" si="9"/>
        <v>#DIV/0!</v>
      </c>
      <c r="AG7" s="33" t="e">
        <f t="shared" si="21"/>
        <v>#DIV/0!</v>
      </c>
      <c r="AH7" s="37">
        <f t="shared" si="22"/>
        <v>0</v>
      </c>
      <c r="AI7" s="37" t="e">
        <f t="shared" si="23"/>
        <v>#DIV/0!</v>
      </c>
      <c r="AJ7" s="37" t="e">
        <f t="shared" si="24"/>
        <v>#DIV/0!</v>
      </c>
      <c r="AK7" s="30" t="str">
        <f t="shared" si="25"/>
        <v>N/A</v>
      </c>
    </row>
    <row r="8" spans="1:37" ht="15" customHeight="1">
      <c r="A8" s="7"/>
      <c r="B8" s="7"/>
      <c r="C8" s="7"/>
      <c r="D8" s="7"/>
      <c r="E8" s="7"/>
      <c r="F8" s="8" t="s">
        <v>31</v>
      </c>
      <c r="G8" s="16">
        <f>SUM(G5:G7)</f>
        <v>0</v>
      </c>
      <c r="H8" s="19"/>
      <c r="I8" s="16">
        <f>SUM(I5:I7)</f>
        <v>0</v>
      </c>
      <c r="J8" s="16">
        <f>SUM(J5:J7)</f>
        <v>0</v>
      </c>
      <c r="K8" s="19" t="e">
        <f>J8/G8</f>
        <v>#DIV/0!</v>
      </c>
      <c r="L8" s="10" t="e">
        <f>J8/I8</f>
        <v>#DIV/0!</v>
      </c>
      <c r="M8" s="10"/>
      <c r="N8" s="10"/>
      <c r="O8" s="16">
        <f t="shared" ref="O8:Y8" si="26">SUM(O5:O7)</f>
        <v>0</v>
      </c>
      <c r="P8" s="16">
        <f t="shared" si="26"/>
        <v>0</v>
      </c>
      <c r="Q8" s="16">
        <f t="shared" si="26"/>
        <v>0</v>
      </c>
      <c r="R8" s="16" t="e">
        <f t="shared" si="26"/>
        <v>#DIV/0!</v>
      </c>
      <c r="S8" s="16" t="e">
        <f t="shared" si="26"/>
        <v>#DIV/0!</v>
      </c>
      <c r="T8" s="16" t="e">
        <f t="shared" si="26"/>
        <v>#DIV/0!</v>
      </c>
      <c r="U8" s="16">
        <f t="shared" si="26"/>
        <v>0</v>
      </c>
      <c r="V8" s="16" t="e">
        <f t="shared" si="26"/>
        <v>#DIV/0!</v>
      </c>
      <c r="W8" s="16" t="e">
        <f t="shared" si="26"/>
        <v>#DIV/0!</v>
      </c>
      <c r="X8" s="16" t="e">
        <f t="shared" si="26"/>
        <v>#DIV/0!</v>
      </c>
      <c r="Y8" s="16">
        <f t="shared" si="26"/>
        <v>0</v>
      </c>
      <c r="Z8" s="16"/>
      <c r="AA8" s="19"/>
      <c r="AB8" s="38">
        <f>SUM(AB5:AB7)</f>
        <v>0</v>
      </c>
      <c r="AC8" s="38" t="e">
        <f>SUM(AC5:AC7)</f>
        <v>#DIV/0!</v>
      </c>
      <c r="AD8" s="38" t="e">
        <f>SUM(AD5:AD7)</f>
        <v>#DIV/0!</v>
      </c>
      <c r="AE8" s="9"/>
      <c r="AF8" s="16"/>
      <c r="AG8" s="16"/>
      <c r="AH8" s="38">
        <f>SUM(AH5:AH7)</f>
        <v>0</v>
      </c>
      <c r="AI8" s="38" t="e">
        <f>SUM(AI5:AI7)</f>
        <v>#DIV/0!</v>
      </c>
      <c r="AJ8" s="38" t="e">
        <f>SUM(AJ5:AJ7)</f>
        <v>#DIV/0!</v>
      </c>
      <c r="AK8" s="39" t="str">
        <f t="shared" ref="AK8" si="27">IF(AH8=0,"N/A",AJ8/AH8)</f>
        <v>N/A</v>
      </c>
    </row>
    <row r="9" spans="1:37" ht="15" customHeight="1">
      <c r="B9" s="15"/>
      <c r="H9" s="1"/>
      <c r="I9" s="1"/>
      <c r="R9" s="1"/>
      <c r="S9" s="1"/>
      <c r="V9" s="1"/>
      <c r="W9" s="1"/>
      <c r="Y9" s="1"/>
    </row>
  </sheetData>
  <mergeCells count="11">
    <mergeCell ref="A3:C3"/>
    <mergeCell ref="R3:U3"/>
    <mergeCell ref="V3:Z3"/>
    <mergeCell ref="J3:L3"/>
    <mergeCell ref="M3:N3"/>
    <mergeCell ref="O3:Q3"/>
    <mergeCell ref="AA3:AD3"/>
    <mergeCell ref="AE3:AG3"/>
    <mergeCell ref="AH3:AK3"/>
    <mergeCell ref="D3:E3"/>
    <mergeCell ref="F3:I3"/>
  </mergeCells>
  <phoneticPr fontId="2"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9"/>
  <sheetViews>
    <sheetView zoomScaleNormal="100" workbookViewId="0">
      <pane ySplit="4" topLeftCell="A5" activePane="bottomLeft" state="frozen"/>
      <selection activeCell="F11" sqref="F11"/>
      <selection pane="bottomLeft"/>
    </sheetView>
  </sheetViews>
  <sheetFormatPr defaultColWidth="8.625" defaultRowHeight="15" customHeight="1"/>
  <cols>
    <col min="1" max="1" width="4.75" style="1" customWidth="1"/>
    <col min="2" max="2" width="8.625" style="1"/>
    <col min="3" max="3" width="9.25" style="1" bestFit="1" customWidth="1"/>
    <col min="4" max="5" width="9.75" style="1" bestFit="1" customWidth="1"/>
    <col min="6" max="6" width="28.5" style="1" bestFit="1" customWidth="1"/>
    <col min="7" max="7" width="8.125" style="1" customWidth="1"/>
    <col min="8" max="8" width="6.625" style="11" customWidth="1"/>
    <col min="9" max="9" width="10.625" style="12" customWidth="1"/>
    <col min="10" max="10" width="10.625" style="1" customWidth="1"/>
    <col min="11" max="14" width="6.625" style="1" customWidth="1"/>
    <col min="15" max="15" width="8.125" style="1" hidden="1" customWidth="1"/>
    <col min="16" max="17" width="8.125" style="1" customWidth="1"/>
    <col min="18" max="19" width="9.625" style="12" customWidth="1"/>
    <col min="20" max="21" width="9.625" style="1" customWidth="1"/>
    <col min="22" max="23" width="12.625" style="12" customWidth="1"/>
    <col min="24" max="24" width="12.625" style="1" customWidth="1"/>
    <col min="25" max="25" width="12.625" style="12" customWidth="1"/>
    <col min="26" max="27" width="6.625" style="1" customWidth="1"/>
    <col min="28" max="28" width="7.625" style="1" customWidth="1"/>
    <col min="29" max="29" width="9.625" style="1" customWidth="1"/>
    <col min="30" max="30" width="12.625" style="1" customWidth="1"/>
    <col min="31" max="32" width="6.625" style="1" customWidth="1"/>
    <col min="33" max="33" width="7.625" style="1" customWidth="1"/>
    <col min="34" max="36" width="9.625" style="1" customWidth="1"/>
    <col min="37" max="37" width="6.625" style="1" customWidth="1"/>
    <col min="38" max="16384" width="8.625" style="1"/>
  </cols>
  <sheetData>
    <row r="1" spans="1:37" ht="20.100000000000001" customHeight="1" thickBot="1">
      <c r="A1" s="20" t="s">
        <v>30</v>
      </c>
    </row>
    <row r="2" spans="1:37" ht="16.5" customHeight="1" thickBot="1">
      <c r="A2" s="1" t="s">
        <v>15</v>
      </c>
      <c r="B2" s="1" t="s">
        <v>53</v>
      </c>
      <c r="AA2" s="40"/>
      <c r="AB2" s="35"/>
      <c r="AC2" s="35"/>
      <c r="AD2" s="35"/>
      <c r="AE2" s="36" t="s">
        <v>56</v>
      </c>
      <c r="AF2" s="41"/>
    </row>
    <row r="3" spans="1:37" s="13" customFormat="1" ht="15" customHeight="1">
      <c r="A3" s="56" t="s">
        <v>11</v>
      </c>
      <c r="B3" s="56"/>
      <c r="C3" s="56"/>
      <c r="D3" s="56" t="s">
        <v>0</v>
      </c>
      <c r="E3" s="56"/>
      <c r="F3" s="56" t="s">
        <v>14</v>
      </c>
      <c r="G3" s="56"/>
      <c r="H3" s="56"/>
      <c r="I3" s="56"/>
      <c r="J3" s="56" t="s">
        <v>17</v>
      </c>
      <c r="K3" s="56"/>
      <c r="L3" s="56"/>
      <c r="M3" s="57" t="s">
        <v>46</v>
      </c>
      <c r="N3" s="58"/>
      <c r="O3" s="52" t="s">
        <v>47</v>
      </c>
      <c r="P3" s="53"/>
      <c r="Q3" s="54"/>
      <c r="R3" s="56" t="s">
        <v>48</v>
      </c>
      <c r="S3" s="56"/>
      <c r="T3" s="56"/>
      <c r="U3" s="56"/>
      <c r="V3" s="52" t="s">
        <v>54</v>
      </c>
      <c r="W3" s="53"/>
      <c r="X3" s="53"/>
      <c r="Y3" s="53"/>
      <c r="Z3" s="54"/>
      <c r="AA3" s="52" t="s">
        <v>32</v>
      </c>
      <c r="AB3" s="53"/>
      <c r="AC3" s="53"/>
      <c r="AD3" s="54"/>
      <c r="AE3" s="52" t="s">
        <v>57</v>
      </c>
      <c r="AF3" s="55"/>
      <c r="AG3" s="53"/>
      <c r="AH3" s="52" t="s">
        <v>58</v>
      </c>
      <c r="AI3" s="53"/>
      <c r="AJ3" s="53"/>
      <c r="AK3" s="54"/>
    </row>
    <row r="4" spans="1:37" s="14" customFormat="1" ht="15" customHeight="1">
      <c r="A4" s="43" t="s">
        <v>8</v>
      </c>
      <c r="B4" s="43" t="s">
        <v>9</v>
      </c>
      <c r="C4" s="43" t="s">
        <v>10</v>
      </c>
      <c r="D4" s="43" t="s">
        <v>1</v>
      </c>
      <c r="E4" s="43" t="s">
        <v>2</v>
      </c>
      <c r="F4" s="43" t="s">
        <v>3</v>
      </c>
      <c r="G4" s="43" t="s">
        <v>4</v>
      </c>
      <c r="H4" s="22" t="s">
        <v>5</v>
      </c>
      <c r="I4" s="22" t="s">
        <v>6</v>
      </c>
      <c r="J4" s="43" t="s">
        <v>43</v>
      </c>
      <c r="K4" s="43" t="s">
        <v>12</v>
      </c>
      <c r="L4" s="43" t="s">
        <v>44</v>
      </c>
      <c r="M4" s="23" t="s">
        <v>13</v>
      </c>
      <c r="N4" s="23" t="s">
        <v>45</v>
      </c>
      <c r="O4" s="43" t="s">
        <v>59</v>
      </c>
      <c r="P4" s="43" t="s">
        <v>60</v>
      </c>
      <c r="Q4" s="43" t="s">
        <v>7</v>
      </c>
      <c r="R4" s="43" t="s">
        <v>49</v>
      </c>
      <c r="S4" s="43" t="s">
        <v>50</v>
      </c>
      <c r="T4" s="43" t="s">
        <v>51</v>
      </c>
      <c r="U4" s="43" t="s">
        <v>52</v>
      </c>
      <c r="V4" s="43" t="s">
        <v>49</v>
      </c>
      <c r="W4" s="43" t="s">
        <v>50</v>
      </c>
      <c r="X4" s="43" t="s">
        <v>51</v>
      </c>
      <c r="Y4" s="43" t="s">
        <v>52</v>
      </c>
      <c r="Z4" s="43" t="s">
        <v>55</v>
      </c>
      <c r="AA4" s="29" t="s">
        <v>33</v>
      </c>
      <c r="AB4" s="43" t="s">
        <v>34</v>
      </c>
      <c r="AC4" s="43" t="s">
        <v>35</v>
      </c>
      <c r="AD4" s="43" t="s">
        <v>36</v>
      </c>
      <c r="AE4" s="43" t="s">
        <v>33</v>
      </c>
      <c r="AF4" s="43" t="s">
        <v>37</v>
      </c>
      <c r="AG4" s="43" t="s">
        <v>38</v>
      </c>
      <c r="AH4" s="43" t="s">
        <v>39</v>
      </c>
      <c r="AI4" s="29" t="s">
        <v>40</v>
      </c>
      <c r="AJ4" s="29" t="s">
        <v>41</v>
      </c>
      <c r="AK4" s="43" t="s">
        <v>42</v>
      </c>
    </row>
    <row r="5" spans="1:37" s="40" customFormat="1" ht="15" customHeight="1">
      <c r="A5" s="2"/>
      <c r="B5" s="2"/>
      <c r="C5" s="2"/>
      <c r="D5" s="3"/>
      <c r="E5" s="3"/>
      <c r="F5" s="4"/>
      <c r="G5" s="17"/>
      <c r="H5" s="18"/>
      <c r="I5" s="6">
        <f>G5*H5</f>
        <v>0</v>
      </c>
      <c r="J5" s="6"/>
      <c r="K5" s="18" t="e">
        <f>J5/G5</f>
        <v>#DIV/0!</v>
      </c>
      <c r="L5" s="5" t="e">
        <f t="shared" ref="L5:L7" si="0">J5/I5</f>
        <v>#DIV/0!</v>
      </c>
      <c r="M5" s="5"/>
      <c r="N5" s="31" t="e">
        <f>IF(P5/G5&gt;1,1,P5/G5)</f>
        <v>#DIV/0!</v>
      </c>
      <c r="O5" s="6"/>
      <c r="P5" s="6">
        <f>IF(IF(IFERROR(U5/K5,0)&gt;O5,O5,INT(IFERROR(U5/K5,0)))&gt;Q5,IF(IFERROR(U5/K5,0)&gt;O5,O5,INT(IFERROR(U5/K5,0))),Q5)</f>
        <v>0</v>
      </c>
      <c r="Q5" s="6"/>
      <c r="R5" s="32" t="e">
        <f t="shared" ref="R5:R7" si="1">U5-S5-T5</f>
        <v>#DIV/0!</v>
      </c>
      <c r="S5" s="32" t="e">
        <f>(P5-Q5)*AA5</f>
        <v>#DIV/0!</v>
      </c>
      <c r="T5" s="32" t="e">
        <f>IF(Q5*AA5&gt;U5,U5,Q5*AA5)</f>
        <v>#DIV/0!</v>
      </c>
      <c r="U5" s="6"/>
      <c r="V5" s="32" t="e">
        <f t="shared" ref="V5:V7" si="2">Y5-W5-X5</f>
        <v>#DIV/0!</v>
      </c>
      <c r="W5" s="32" t="e">
        <f t="shared" ref="W5:W7" si="3">S5*Z5</f>
        <v>#DIV/0!</v>
      </c>
      <c r="X5" s="32" t="e">
        <f t="shared" ref="X5:X7" si="4">T5*Z5</f>
        <v>#DIV/0!</v>
      </c>
      <c r="Y5" s="6"/>
      <c r="Z5" s="32">
        <f t="shared" ref="Z5:Z7" si="5">IF(Y5=0,0,Y5/U5)</f>
        <v>0</v>
      </c>
      <c r="AA5" s="18" t="e">
        <f>K5</f>
        <v>#DIV/0!</v>
      </c>
      <c r="AB5" s="37">
        <f>P5-Q5</f>
        <v>0</v>
      </c>
      <c r="AC5" s="37" t="e">
        <f t="shared" ref="AC5:AC7" si="6">AB5*AA5</f>
        <v>#DIV/0!</v>
      </c>
      <c r="AD5" s="37" t="e">
        <f t="shared" ref="AD5:AD7" si="7">Z5*AC5</f>
        <v>#DIV/0!</v>
      </c>
      <c r="AE5" s="33" t="e">
        <f t="shared" ref="AE5:AE7" si="8">AA5</f>
        <v>#DIV/0!</v>
      </c>
      <c r="AF5" s="33" t="e">
        <f t="shared" ref="AF5:AF7" si="9">AE5*$AF$2</f>
        <v>#DIV/0!</v>
      </c>
      <c r="AG5" s="33" t="e">
        <f>AE5+AF5</f>
        <v>#DIV/0!</v>
      </c>
      <c r="AH5" s="37">
        <f t="shared" ref="AH5:AH7" si="10">Q5*H5</f>
        <v>0</v>
      </c>
      <c r="AI5" s="37" t="e">
        <f t="shared" ref="AI5:AI7" si="11">Q5*AG5</f>
        <v>#DIV/0!</v>
      </c>
      <c r="AJ5" s="37" t="e">
        <f t="shared" ref="AJ5:AJ7" si="12">AH5-AI5</f>
        <v>#DIV/0!</v>
      </c>
      <c r="AK5" s="30" t="str">
        <f>IF(AH5=0,"N/A",AJ5/AH5)</f>
        <v>N/A</v>
      </c>
    </row>
    <row r="6" spans="1:37" s="40" customFormat="1" ht="15" customHeight="1">
      <c r="A6" s="2"/>
      <c r="B6" s="2"/>
      <c r="C6" s="2"/>
      <c r="D6" s="3"/>
      <c r="E6" s="3"/>
      <c r="F6" s="4"/>
      <c r="G6" s="17"/>
      <c r="H6" s="18"/>
      <c r="I6" s="6">
        <f t="shared" ref="I6:I7" si="13">G6*H6</f>
        <v>0</v>
      </c>
      <c r="J6" s="6"/>
      <c r="K6" s="18" t="e">
        <f t="shared" ref="K6:K7" si="14">J6/G6</f>
        <v>#DIV/0!</v>
      </c>
      <c r="L6" s="5" t="e">
        <f t="shared" si="0"/>
        <v>#DIV/0!</v>
      </c>
      <c r="M6" s="5"/>
      <c r="N6" s="31" t="e">
        <f t="shared" ref="N6:N7" si="15">IF(P6/G6&gt;1,1,P6/G6)</f>
        <v>#DIV/0!</v>
      </c>
      <c r="O6" s="6"/>
      <c r="P6" s="6">
        <f t="shared" ref="P6:P7" si="16">IF(IF(IFERROR(U6/K6,0)&gt;O6,O6,INT(IFERROR(U6/K6,0)))&gt;Q6,IF(IFERROR(U6/K6,0)&gt;O6,O6,INT(IFERROR(U6/K6,0))),Q6)</f>
        <v>0</v>
      </c>
      <c r="Q6" s="6"/>
      <c r="R6" s="32" t="e">
        <f t="shared" si="1"/>
        <v>#DIV/0!</v>
      </c>
      <c r="S6" s="32" t="e">
        <f t="shared" ref="S6:S7" si="17">(P6-Q6)*AA6</f>
        <v>#DIV/0!</v>
      </c>
      <c r="T6" s="32" t="e">
        <f t="shared" ref="T6:T7" si="18">IF(Q6*AA6&gt;U6,U6,Q6*AA6)</f>
        <v>#DIV/0!</v>
      </c>
      <c r="U6" s="6"/>
      <c r="V6" s="32" t="e">
        <f t="shared" si="2"/>
        <v>#DIV/0!</v>
      </c>
      <c r="W6" s="32" t="e">
        <f t="shared" si="3"/>
        <v>#DIV/0!</v>
      </c>
      <c r="X6" s="32" t="e">
        <f t="shared" si="4"/>
        <v>#DIV/0!</v>
      </c>
      <c r="Y6" s="6"/>
      <c r="Z6" s="32">
        <f t="shared" si="5"/>
        <v>0</v>
      </c>
      <c r="AA6" s="18" t="e">
        <f t="shared" ref="AA6:AA7" si="19">K6</f>
        <v>#DIV/0!</v>
      </c>
      <c r="AB6" s="37">
        <f t="shared" ref="AB6:AB7" si="20">P6-Q6</f>
        <v>0</v>
      </c>
      <c r="AC6" s="37" t="e">
        <f t="shared" si="6"/>
        <v>#DIV/0!</v>
      </c>
      <c r="AD6" s="37" t="e">
        <f t="shared" si="7"/>
        <v>#DIV/0!</v>
      </c>
      <c r="AE6" s="33" t="e">
        <f t="shared" si="8"/>
        <v>#DIV/0!</v>
      </c>
      <c r="AF6" s="33" t="e">
        <f t="shared" si="9"/>
        <v>#DIV/0!</v>
      </c>
      <c r="AG6" s="33" t="e">
        <f t="shared" ref="AG6:AG7" si="21">AE6+AF6</f>
        <v>#DIV/0!</v>
      </c>
      <c r="AH6" s="37">
        <f t="shared" si="10"/>
        <v>0</v>
      </c>
      <c r="AI6" s="37" t="e">
        <f t="shared" si="11"/>
        <v>#DIV/0!</v>
      </c>
      <c r="AJ6" s="37" t="e">
        <f t="shared" si="12"/>
        <v>#DIV/0!</v>
      </c>
      <c r="AK6" s="30" t="str">
        <f t="shared" ref="AK6:AK8" si="22">IF(AH6=0,"N/A",AJ6/AH6)</f>
        <v>N/A</v>
      </c>
    </row>
    <row r="7" spans="1:37" s="40" customFormat="1" ht="15" customHeight="1">
      <c r="A7" s="2"/>
      <c r="B7" s="2"/>
      <c r="C7" s="2"/>
      <c r="D7" s="3"/>
      <c r="E7" s="3"/>
      <c r="F7" s="4"/>
      <c r="G7" s="17"/>
      <c r="H7" s="18"/>
      <c r="I7" s="6">
        <f t="shared" si="13"/>
        <v>0</v>
      </c>
      <c r="J7" s="6"/>
      <c r="K7" s="18" t="e">
        <f t="shared" si="14"/>
        <v>#DIV/0!</v>
      </c>
      <c r="L7" s="5" t="e">
        <f t="shared" si="0"/>
        <v>#DIV/0!</v>
      </c>
      <c r="M7" s="5"/>
      <c r="N7" s="31" t="e">
        <f t="shared" si="15"/>
        <v>#DIV/0!</v>
      </c>
      <c r="O7" s="6"/>
      <c r="P7" s="6">
        <f t="shared" si="16"/>
        <v>0</v>
      </c>
      <c r="Q7" s="6"/>
      <c r="R7" s="32" t="e">
        <f t="shared" si="1"/>
        <v>#DIV/0!</v>
      </c>
      <c r="S7" s="32" t="e">
        <f t="shared" si="17"/>
        <v>#DIV/0!</v>
      </c>
      <c r="T7" s="32" t="e">
        <f t="shared" si="18"/>
        <v>#DIV/0!</v>
      </c>
      <c r="U7" s="6"/>
      <c r="V7" s="32" t="e">
        <f t="shared" si="2"/>
        <v>#DIV/0!</v>
      </c>
      <c r="W7" s="32" t="e">
        <f t="shared" si="3"/>
        <v>#DIV/0!</v>
      </c>
      <c r="X7" s="32" t="e">
        <f t="shared" si="4"/>
        <v>#DIV/0!</v>
      </c>
      <c r="Y7" s="6"/>
      <c r="Z7" s="32">
        <f t="shared" si="5"/>
        <v>0</v>
      </c>
      <c r="AA7" s="18" t="e">
        <f t="shared" si="19"/>
        <v>#DIV/0!</v>
      </c>
      <c r="AB7" s="37">
        <f t="shared" si="20"/>
        <v>0</v>
      </c>
      <c r="AC7" s="37" t="e">
        <f t="shared" si="6"/>
        <v>#DIV/0!</v>
      </c>
      <c r="AD7" s="37" t="e">
        <f t="shared" si="7"/>
        <v>#DIV/0!</v>
      </c>
      <c r="AE7" s="33" t="e">
        <f t="shared" si="8"/>
        <v>#DIV/0!</v>
      </c>
      <c r="AF7" s="33" t="e">
        <f t="shared" si="9"/>
        <v>#DIV/0!</v>
      </c>
      <c r="AG7" s="33" t="e">
        <f t="shared" si="21"/>
        <v>#DIV/0!</v>
      </c>
      <c r="AH7" s="37">
        <f t="shared" si="10"/>
        <v>0</v>
      </c>
      <c r="AI7" s="37" t="e">
        <f t="shared" si="11"/>
        <v>#DIV/0!</v>
      </c>
      <c r="AJ7" s="37" t="e">
        <f t="shared" si="12"/>
        <v>#DIV/0!</v>
      </c>
      <c r="AK7" s="30" t="str">
        <f t="shared" si="22"/>
        <v>N/A</v>
      </c>
    </row>
    <row r="8" spans="1:37" ht="15" customHeight="1">
      <c r="A8" s="7"/>
      <c r="B8" s="7"/>
      <c r="C8" s="7"/>
      <c r="D8" s="7"/>
      <c r="E8" s="7"/>
      <c r="F8" s="8" t="s">
        <v>31</v>
      </c>
      <c r="G8" s="16">
        <f>SUM(G5:G7)</f>
        <v>0</v>
      </c>
      <c r="H8" s="19"/>
      <c r="I8" s="16">
        <f>SUM(I5:I7)</f>
        <v>0</v>
      </c>
      <c r="J8" s="16">
        <f>SUM(J5:J7)</f>
        <v>0</v>
      </c>
      <c r="K8" s="19" t="e">
        <f>J8/G8</f>
        <v>#DIV/0!</v>
      </c>
      <c r="L8" s="10" t="e">
        <f>J8/I8</f>
        <v>#DIV/0!</v>
      </c>
      <c r="M8" s="10"/>
      <c r="N8" s="10"/>
      <c r="O8" s="16">
        <f t="shared" ref="O8:Y8" si="23">SUM(O5:O7)</f>
        <v>0</v>
      </c>
      <c r="P8" s="16">
        <f t="shared" si="23"/>
        <v>0</v>
      </c>
      <c r="Q8" s="16">
        <f t="shared" si="23"/>
        <v>0</v>
      </c>
      <c r="R8" s="16" t="e">
        <f t="shared" si="23"/>
        <v>#DIV/0!</v>
      </c>
      <c r="S8" s="16" t="e">
        <f t="shared" si="23"/>
        <v>#DIV/0!</v>
      </c>
      <c r="T8" s="16" t="e">
        <f t="shared" si="23"/>
        <v>#DIV/0!</v>
      </c>
      <c r="U8" s="16">
        <f t="shared" si="23"/>
        <v>0</v>
      </c>
      <c r="V8" s="16" t="e">
        <f t="shared" si="23"/>
        <v>#DIV/0!</v>
      </c>
      <c r="W8" s="16" t="e">
        <f t="shared" si="23"/>
        <v>#DIV/0!</v>
      </c>
      <c r="X8" s="16" t="e">
        <f t="shared" si="23"/>
        <v>#DIV/0!</v>
      </c>
      <c r="Y8" s="16">
        <f t="shared" si="23"/>
        <v>0</v>
      </c>
      <c r="Z8" s="16"/>
      <c r="AA8" s="19"/>
      <c r="AB8" s="38">
        <f>SUM(AB5:AB7)</f>
        <v>0</v>
      </c>
      <c r="AC8" s="38" t="e">
        <f>SUM(AC5:AC7)</f>
        <v>#DIV/0!</v>
      </c>
      <c r="AD8" s="38" t="e">
        <f>SUM(AD5:AD7)</f>
        <v>#DIV/0!</v>
      </c>
      <c r="AE8" s="9"/>
      <c r="AF8" s="16"/>
      <c r="AG8" s="16"/>
      <c r="AH8" s="38">
        <f>SUM(AH5:AH7)</f>
        <v>0</v>
      </c>
      <c r="AI8" s="38" t="e">
        <f>SUM(AI5:AI7)</f>
        <v>#DIV/0!</v>
      </c>
      <c r="AJ8" s="38" t="e">
        <f>SUM(AJ5:AJ7)</f>
        <v>#DIV/0!</v>
      </c>
      <c r="AK8" s="39" t="str">
        <f t="shared" si="22"/>
        <v>N/A</v>
      </c>
    </row>
    <row r="9" spans="1:37" ht="15" customHeight="1">
      <c r="B9" s="15"/>
      <c r="H9" s="1"/>
      <c r="I9" s="1"/>
      <c r="R9" s="1"/>
      <c r="S9" s="1"/>
      <c r="V9" s="1"/>
      <c r="W9" s="1"/>
      <c r="Y9" s="1"/>
    </row>
  </sheetData>
  <mergeCells count="11">
    <mergeCell ref="R3:U3"/>
    <mergeCell ref="V3:Z3"/>
    <mergeCell ref="AA3:AD3"/>
    <mergeCell ref="AE3:AG3"/>
    <mergeCell ref="AH3:AK3"/>
    <mergeCell ref="O3:Q3"/>
    <mergeCell ref="A3:C3"/>
    <mergeCell ref="D3:E3"/>
    <mergeCell ref="F3:I3"/>
    <mergeCell ref="J3:L3"/>
    <mergeCell ref="M3:N3"/>
  </mergeCells>
  <phoneticPr fontId="2"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9"/>
  <sheetViews>
    <sheetView zoomScaleNormal="100" workbookViewId="0">
      <pane ySplit="4" topLeftCell="A5" activePane="bottomLeft" state="frozen"/>
      <selection activeCell="F11" sqref="F11"/>
      <selection pane="bottomLeft"/>
    </sheetView>
  </sheetViews>
  <sheetFormatPr defaultColWidth="8.625" defaultRowHeight="15" customHeight="1"/>
  <cols>
    <col min="1" max="1" width="4.75" style="1" customWidth="1"/>
    <col min="2" max="2" width="8.625" style="1"/>
    <col min="3" max="3" width="9.25" style="1" bestFit="1" customWidth="1"/>
    <col min="4" max="5" width="9.75" style="1" bestFit="1" customWidth="1"/>
    <col min="6" max="6" width="28.5" style="1" bestFit="1" customWidth="1"/>
    <col min="7" max="7" width="8.125" style="1" customWidth="1"/>
    <col min="8" max="8" width="6.625" style="11" customWidth="1"/>
    <col min="9" max="9" width="10.625" style="12" customWidth="1"/>
    <col min="10" max="10" width="10.625" style="1" customWidth="1"/>
    <col min="11" max="14" width="6.625" style="1" customWidth="1"/>
    <col min="15" max="15" width="8.125" style="1" hidden="1" customWidth="1"/>
    <col min="16" max="17" width="8.125" style="1" customWidth="1"/>
    <col min="18" max="19" width="9.625" style="12" customWidth="1"/>
    <col min="20" max="21" width="9.625" style="1" customWidth="1"/>
    <col min="22" max="23" width="12.625" style="12" customWidth="1"/>
    <col min="24" max="24" width="12.625" style="1" customWidth="1"/>
    <col min="25" max="25" width="12.625" style="12" customWidth="1"/>
    <col min="26" max="27" width="6.625" style="1" customWidth="1"/>
    <col min="28" max="28" width="7.625" style="1" customWidth="1"/>
    <col min="29" max="29" width="9.625" style="1" customWidth="1"/>
    <col min="30" max="30" width="12.625" style="1" customWidth="1"/>
    <col min="31" max="32" width="6.625" style="1" customWidth="1"/>
    <col min="33" max="33" width="7.625" style="1" customWidth="1"/>
    <col min="34" max="36" width="9.625" style="1" customWidth="1"/>
    <col min="37" max="37" width="6.625" style="1" customWidth="1"/>
    <col min="38" max="16384" width="8.625" style="1"/>
  </cols>
  <sheetData>
    <row r="1" spans="1:37" ht="20.100000000000001" customHeight="1" thickBot="1">
      <c r="A1" s="20" t="s">
        <v>30</v>
      </c>
    </row>
    <row r="2" spans="1:37" ht="16.5" customHeight="1" thickBot="1">
      <c r="A2" s="1" t="s">
        <v>15</v>
      </c>
      <c r="B2" s="1" t="s">
        <v>53</v>
      </c>
      <c r="AA2" s="40"/>
      <c r="AB2" s="35"/>
      <c r="AC2" s="35"/>
      <c r="AD2" s="35"/>
      <c r="AE2" s="36" t="s">
        <v>56</v>
      </c>
      <c r="AF2" s="41"/>
    </row>
    <row r="3" spans="1:37" s="13" customFormat="1" ht="15" customHeight="1">
      <c r="A3" s="56" t="s">
        <v>11</v>
      </c>
      <c r="B3" s="56"/>
      <c r="C3" s="56"/>
      <c r="D3" s="56" t="s">
        <v>0</v>
      </c>
      <c r="E3" s="56"/>
      <c r="F3" s="56" t="s">
        <v>14</v>
      </c>
      <c r="G3" s="56"/>
      <c r="H3" s="56"/>
      <c r="I3" s="56"/>
      <c r="J3" s="56" t="s">
        <v>17</v>
      </c>
      <c r="K3" s="56"/>
      <c r="L3" s="56"/>
      <c r="M3" s="57" t="s">
        <v>46</v>
      </c>
      <c r="N3" s="58"/>
      <c r="O3" s="52" t="s">
        <v>47</v>
      </c>
      <c r="P3" s="53"/>
      <c r="Q3" s="54"/>
      <c r="R3" s="56" t="s">
        <v>48</v>
      </c>
      <c r="S3" s="56"/>
      <c r="T3" s="56"/>
      <c r="U3" s="56"/>
      <c r="V3" s="52" t="s">
        <v>54</v>
      </c>
      <c r="W3" s="53"/>
      <c r="X3" s="53"/>
      <c r="Y3" s="53"/>
      <c r="Z3" s="54"/>
      <c r="AA3" s="52" t="s">
        <v>32</v>
      </c>
      <c r="AB3" s="53"/>
      <c r="AC3" s="53"/>
      <c r="AD3" s="54"/>
      <c r="AE3" s="52" t="s">
        <v>57</v>
      </c>
      <c r="AF3" s="55"/>
      <c r="AG3" s="53"/>
      <c r="AH3" s="52" t="s">
        <v>58</v>
      </c>
      <c r="AI3" s="53"/>
      <c r="AJ3" s="53"/>
      <c r="AK3" s="54"/>
    </row>
    <row r="4" spans="1:37" s="14" customFormat="1" ht="15" customHeight="1">
      <c r="A4" s="48" t="s">
        <v>8</v>
      </c>
      <c r="B4" s="48" t="s">
        <v>9</v>
      </c>
      <c r="C4" s="48" t="s">
        <v>10</v>
      </c>
      <c r="D4" s="48" t="s">
        <v>1</v>
      </c>
      <c r="E4" s="48" t="s">
        <v>2</v>
      </c>
      <c r="F4" s="48" t="s">
        <v>3</v>
      </c>
      <c r="G4" s="48" t="s">
        <v>4</v>
      </c>
      <c r="H4" s="22" t="s">
        <v>5</v>
      </c>
      <c r="I4" s="22" t="s">
        <v>6</v>
      </c>
      <c r="J4" s="48" t="s">
        <v>43</v>
      </c>
      <c r="K4" s="48" t="s">
        <v>12</v>
      </c>
      <c r="L4" s="48" t="s">
        <v>44</v>
      </c>
      <c r="M4" s="23" t="s">
        <v>13</v>
      </c>
      <c r="N4" s="23" t="s">
        <v>45</v>
      </c>
      <c r="O4" s="48" t="s">
        <v>59</v>
      </c>
      <c r="P4" s="48" t="s">
        <v>60</v>
      </c>
      <c r="Q4" s="48" t="s">
        <v>7</v>
      </c>
      <c r="R4" s="48" t="s">
        <v>49</v>
      </c>
      <c r="S4" s="48" t="s">
        <v>50</v>
      </c>
      <c r="T4" s="48" t="s">
        <v>51</v>
      </c>
      <c r="U4" s="48" t="s">
        <v>52</v>
      </c>
      <c r="V4" s="48" t="s">
        <v>49</v>
      </c>
      <c r="W4" s="48" t="s">
        <v>50</v>
      </c>
      <c r="X4" s="48" t="s">
        <v>51</v>
      </c>
      <c r="Y4" s="48" t="s">
        <v>52</v>
      </c>
      <c r="Z4" s="48" t="s">
        <v>55</v>
      </c>
      <c r="AA4" s="29" t="s">
        <v>33</v>
      </c>
      <c r="AB4" s="48" t="s">
        <v>34</v>
      </c>
      <c r="AC4" s="48" t="s">
        <v>35</v>
      </c>
      <c r="AD4" s="48" t="s">
        <v>36</v>
      </c>
      <c r="AE4" s="48" t="s">
        <v>33</v>
      </c>
      <c r="AF4" s="48" t="s">
        <v>37</v>
      </c>
      <c r="AG4" s="48" t="s">
        <v>38</v>
      </c>
      <c r="AH4" s="48" t="s">
        <v>39</v>
      </c>
      <c r="AI4" s="29" t="s">
        <v>40</v>
      </c>
      <c r="AJ4" s="29" t="s">
        <v>41</v>
      </c>
      <c r="AK4" s="48" t="s">
        <v>42</v>
      </c>
    </row>
    <row r="5" spans="1:37" s="40" customFormat="1" ht="15" customHeight="1">
      <c r="A5" s="2"/>
      <c r="B5" s="2"/>
      <c r="C5" s="2"/>
      <c r="D5" s="3"/>
      <c r="E5" s="3"/>
      <c r="F5" s="4"/>
      <c r="G5" s="17"/>
      <c r="H5" s="18"/>
      <c r="I5" s="6">
        <f>G5*H5</f>
        <v>0</v>
      </c>
      <c r="J5" s="6"/>
      <c r="K5" s="18" t="e">
        <f>J5/G5</f>
        <v>#DIV/0!</v>
      </c>
      <c r="L5" s="5" t="e">
        <f t="shared" ref="L5:L7" si="0">J5/I5</f>
        <v>#DIV/0!</v>
      </c>
      <c r="M5" s="5"/>
      <c r="N5" s="31" t="e">
        <f>IF(P5/G5&gt;1,1,P5/G5)</f>
        <v>#DIV/0!</v>
      </c>
      <c r="O5" s="6"/>
      <c r="P5" s="6">
        <f>IF(IF(IFERROR(U5/K5,0)&gt;O5,O5,INT(IFERROR(U5/K5,0)))&gt;Q5,IF(IFERROR(U5/K5,0)&gt;O5,O5,INT(IFERROR(U5/K5,0))),Q5)</f>
        <v>0</v>
      </c>
      <c r="Q5" s="6"/>
      <c r="R5" s="32" t="e">
        <f t="shared" ref="R5:R7" si="1">U5-S5-T5</f>
        <v>#DIV/0!</v>
      </c>
      <c r="S5" s="32" t="e">
        <f>(P5-Q5)*AA5</f>
        <v>#DIV/0!</v>
      </c>
      <c r="T5" s="32" t="e">
        <f>IF(Q5*AA5&gt;U5,U5,Q5*AA5)</f>
        <v>#DIV/0!</v>
      </c>
      <c r="U5" s="6"/>
      <c r="V5" s="32" t="e">
        <f t="shared" ref="V5:V7" si="2">Y5-W5-X5</f>
        <v>#DIV/0!</v>
      </c>
      <c r="W5" s="32" t="e">
        <f t="shared" ref="W5:W7" si="3">S5*Z5</f>
        <v>#DIV/0!</v>
      </c>
      <c r="X5" s="32" t="e">
        <f t="shared" ref="X5:X7" si="4">T5*Z5</f>
        <v>#DIV/0!</v>
      </c>
      <c r="Y5" s="6"/>
      <c r="Z5" s="32">
        <f t="shared" ref="Z5:Z7" si="5">IF(Y5=0,0,Y5/U5)</f>
        <v>0</v>
      </c>
      <c r="AA5" s="18" t="e">
        <f>K5</f>
        <v>#DIV/0!</v>
      </c>
      <c r="AB5" s="37">
        <f>P5-Q5</f>
        <v>0</v>
      </c>
      <c r="AC5" s="37" t="e">
        <f t="shared" ref="AC5:AC7" si="6">AB5*AA5</f>
        <v>#DIV/0!</v>
      </c>
      <c r="AD5" s="37" t="e">
        <f t="shared" ref="AD5:AD7" si="7">Z5*AC5</f>
        <v>#DIV/0!</v>
      </c>
      <c r="AE5" s="33" t="e">
        <f t="shared" ref="AE5:AE7" si="8">AA5</f>
        <v>#DIV/0!</v>
      </c>
      <c r="AF5" s="33" t="e">
        <f t="shared" ref="AF5:AF7" si="9">AE5*$AF$2</f>
        <v>#DIV/0!</v>
      </c>
      <c r="AG5" s="33" t="e">
        <f>AE5+AF5</f>
        <v>#DIV/0!</v>
      </c>
      <c r="AH5" s="37">
        <f t="shared" ref="AH5:AH7" si="10">Q5*H5</f>
        <v>0</v>
      </c>
      <c r="AI5" s="37" t="e">
        <f t="shared" ref="AI5:AI7" si="11">Q5*AG5</f>
        <v>#DIV/0!</v>
      </c>
      <c r="AJ5" s="37" t="e">
        <f t="shared" ref="AJ5:AJ7" si="12">AH5-AI5</f>
        <v>#DIV/0!</v>
      </c>
      <c r="AK5" s="30" t="str">
        <f>IF(AH5=0,"N/A",AJ5/AH5)</f>
        <v>N/A</v>
      </c>
    </row>
    <row r="6" spans="1:37" s="40" customFormat="1" ht="15" customHeight="1">
      <c r="A6" s="2"/>
      <c r="B6" s="2"/>
      <c r="C6" s="2"/>
      <c r="D6" s="3"/>
      <c r="E6" s="3"/>
      <c r="F6" s="4"/>
      <c r="G6" s="17"/>
      <c r="H6" s="18"/>
      <c r="I6" s="6">
        <f t="shared" ref="I6:I7" si="13">G6*H6</f>
        <v>0</v>
      </c>
      <c r="J6" s="6"/>
      <c r="K6" s="18" t="e">
        <f t="shared" ref="K6:K7" si="14">J6/G6</f>
        <v>#DIV/0!</v>
      </c>
      <c r="L6" s="5" t="e">
        <f t="shared" si="0"/>
        <v>#DIV/0!</v>
      </c>
      <c r="M6" s="5"/>
      <c r="N6" s="31" t="e">
        <f t="shared" ref="N6:N7" si="15">IF(P6/G6&gt;1,1,P6/G6)</f>
        <v>#DIV/0!</v>
      </c>
      <c r="O6" s="6"/>
      <c r="P6" s="6">
        <f t="shared" ref="P6:P7" si="16">IF(IF(IFERROR(U6/K6,0)&gt;O6,O6,INT(IFERROR(U6/K6,0)))&gt;Q6,IF(IFERROR(U6/K6,0)&gt;O6,O6,INT(IFERROR(U6/K6,0))),Q6)</f>
        <v>0</v>
      </c>
      <c r="Q6" s="6"/>
      <c r="R6" s="32" t="e">
        <f t="shared" si="1"/>
        <v>#DIV/0!</v>
      </c>
      <c r="S6" s="32" t="e">
        <f t="shared" ref="S6:S7" si="17">(P6-Q6)*AA6</f>
        <v>#DIV/0!</v>
      </c>
      <c r="T6" s="32" t="e">
        <f t="shared" ref="T6:T7" si="18">IF(Q6*AA6&gt;U6,U6,Q6*AA6)</f>
        <v>#DIV/0!</v>
      </c>
      <c r="U6" s="6"/>
      <c r="V6" s="32" t="e">
        <f t="shared" si="2"/>
        <v>#DIV/0!</v>
      </c>
      <c r="W6" s="32" t="e">
        <f t="shared" si="3"/>
        <v>#DIV/0!</v>
      </c>
      <c r="X6" s="32" t="e">
        <f t="shared" si="4"/>
        <v>#DIV/0!</v>
      </c>
      <c r="Y6" s="6"/>
      <c r="Z6" s="32">
        <f t="shared" si="5"/>
        <v>0</v>
      </c>
      <c r="AA6" s="18" t="e">
        <f t="shared" ref="AA6:AA7" si="19">K6</f>
        <v>#DIV/0!</v>
      </c>
      <c r="AB6" s="37">
        <f t="shared" ref="AB6:AB7" si="20">P6-Q6</f>
        <v>0</v>
      </c>
      <c r="AC6" s="37" t="e">
        <f t="shared" si="6"/>
        <v>#DIV/0!</v>
      </c>
      <c r="AD6" s="37" t="e">
        <f t="shared" si="7"/>
        <v>#DIV/0!</v>
      </c>
      <c r="AE6" s="33" t="e">
        <f t="shared" si="8"/>
        <v>#DIV/0!</v>
      </c>
      <c r="AF6" s="33" t="e">
        <f t="shared" si="9"/>
        <v>#DIV/0!</v>
      </c>
      <c r="AG6" s="33" t="e">
        <f t="shared" ref="AG6:AG7" si="21">AE6+AF6</f>
        <v>#DIV/0!</v>
      </c>
      <c r="AH6" s="37">
        <f t="shared" si="10"/>
        <v>0</v>
      </c>
      <c r="AI6" s="37" t="e">
        <f t="shared" si="11"/>
        <v>#DIV/0!</v>
      </c>
      <c r="AJ6" s="37" t="e">
        <f t="shared" si="12"/>
        <v>#DIV/0!</v>
      </c>
      <c r="AK6" s="30" t="str">
        <f t="shared" ref="AK6:AK8" si="22">IF(AH6=0,"N/A",AJ6/AH6)</f>
        <v>N/A</v>
      </c>
    </row>
    <row r="7" spans="1:37" s="40" customFormat="1" ht="15" customHeight="1">
      <c r="A7" s="2"/>
      <c r="B7" s="2"/>
      <c r="C7" s="2"/>
      <c r="D7" s="3"/>
      <c r="E7" s="3"/>
      <c r="F7" s="4"/>
      <c r="G7" s="17"/>
      <c r="H7" s="18"/>
      <c r="I7" s="6">
        <f t="shared" si="13"/>
        <v>0</v>
      </c>
      <c r="J7" s="6"/>
      <c r="K7" s="18" t="e">
        <f t="shared" si="14"/>
        <v>#DIV/0!</v>
      </c>
      <c r="L7" s="5" t="e">
        <f t="shared" si="0"/>
        <v>#DIV/0!</v>
      </c>
      <c r="M7" s="5"/>
      <c r="N7" s="31" t="e">
        <f t="shared" si="15"/>
        <v>#DIV/0!</v>
      </c>
      <c r="O7" s="6"/>
      <c r="P7" s="6">
        <f t="shared" si="16"/>
        <v>0</v>
      </c>
      <c r="Q7" s="6"/>
      <c r="R7" s="32" t="e">
        <f t="shared" si="1"/>
        <v>#DIV/0!</v>
      </c>
      <c r="S7" s="32" t="e">
        <f t="shared" si="17"/>
        <v>#DIV/0!</v>
      </c>
      <c r="T7" s="32" t="e">
        <f t="shared" si="18"/>
        <v>#DIV/0!</v>
      </c>
      <c r="U7" s="6"/>
      <c r="V7" s="32" t="e">
        <f t="shared" si="2"/>
        <v>#DIV/0!</v>
      </c>
      <c r="W7" s="32" t="e">
        <f t="shared" si="3"/>
        <v>#DIV/0!</v>
      </c>
      <c r="X7" s="32" t="e">
        <f t="shared" si="4"/>
        <v>#DIV/0!</v>
      </c>
      <c r="Y7" s="6"/>
      <c r="Z7" s="32">
        <f t="shared" si="5"/>
        <v>0</v>
      </c>
      <c r="AA7" s="18" t="e">
        <f t="shared" si="19"/>
        <v>#DIV/0!</v>
      </c>
      <c r="AB7" s="37">
        <f t="shared" si="20"/>
        <v>0</v>
      </c>
      <c r="AC7" s="37" t="e">
        <f t="shared" si="6"/>
        <v>#DIV/0!</v>
      </c>
      <c r="AD7" s="37" t="e">
        <f t="shared" si="7"/>
        <v>#DIV/0!</v>
      </c>
      <c r="AE7" s="33" t="e">
        <f t="shared" si="8"/>
        <v>#DIV/0!</v>
      </c>
      <c r="AF7" s="33" t="e">
        <f t="shared" si="9"/>
        <v>#DIV/0!</v>
      </c>
      <c r="AG7" s="33" t="e">
        <f t="shared" si="21"/>
        <v>#DIV/0!</v>
      </c>
      <c r="AH7" s="37">
        <f t="shared" si="10"/>
        <v>0</v>
      </c>
      <c r="AI7" s="37" t="e">
        <f t="shared" si="11"/>
        <v>#DIV/0!</v>
      </c>
      <c r="AJ7" s="37" t="e">
        <f t="shared" si="12"/>
        <v>#DIV/0!</v>
      </c>
      <c r="AK7" s="30" t="str">
        <f t="shared" si="22"/>
        <v>N/A</v>
      </c>
    </row>
    <row r="8" spans="1:37" ht="15" customHeight="1">
      <c r="A8" s="7"/>
      <c r="B8" s="7"/>
      <c r="C8" s="7"/>
      <c r="D8" s="7"/>
      <c r="E8" s="7"/>
      <c r="F8" s="8" t="s">
        <v>31</v>
      </c>
      <c r="G8" s="16">
        <f>SUM(G5:G7)</f>
        <v>0</v>
      </c>
      <c r="H8" s="19"/>
      <c r="I8" s="16">
        <f>SUM(I5:I7)</f>
        <v>0</v>
      </c>
      <c r="J8" s="16">
        <f>SUM(J5:J7)</f>
        <v>0</v>
      </c>
      <c r="K8" s="19" t="e">
        <f>J8/G8</f>
        <v>#DIV/0!</v>
      </c>
      <c r="L8" s="10" t="e">
        <f>J8/I8</f>
        <v>#DIV/0!</v>
      </c>
      <c r="M8" s="10"/>
      <c r="N8" s="10"/>
      <c r="O8" s="16">
        <f t="shared" ref="O8:Y8" si="23">SUM(O5:O7)</f>
        <v>0</v>
      </c>
      <c r="P8" s="16">
        <f t="shared" si="23"/>
        <v>0</v>
      </c>
      <c r="Q8" s="16">
        <f t="shared" si="23"/>
        <v>0</v>
      </c>
      <c r="R8" s="16" t="e">
        <f t="shared" si="23"/>
        <v>#DIV/0!</v>
      </c>
      <c r="S8" s="16" t="e">
        <f t="shared" si="23"/>
        <v>#DIV/0!</v>
      </c>
      <c r="T8" s="16" t="e">
        <f t="shared" si="23"/>
        <v>#DIV/0!</v>
      </c>
      <c r="U8" s="16">
        <f t="shared" si="23"/>
        <v>0</v>
      </c>
      <c r="V8" s="16" t="e">
        <f t="shared" si="23"/>
        <v>#DIV/0!</v>
      </c>
      <c r="W8" s="16" t="e">
        <f t="shared" si="23"/>
        <v>#DIV/0!</v>
      </c>
      <c r="X8" s="16" t="e">
        <f t="shared" si="23"/>
        <v>#DIV/0!</v>
      </c>
      <c r="Y8" s="16">
        <f t="shared" si="23"/>
        <v>0</v>
      </c>
      <c r="Z8" s="16"/>
      <c r="AA8" s="19"/>
      <c r="AB8" s="38">
        <f>SUM(AB5:AB7)</f>
        <v>0</v>
      </c>
      <c r="AC8" s="38" t="e">
        <f>SUM(AC5:AC7)</f>
        <v>#DIV/0!</v>
      </c>
      <c r="AD8" s="38" t="e">
        <f>SUM(AD5:AD7)</f>
        <v>#DIV/0!</v>
      </c>
      <c r="AE8" s="9"/>
      <c r="AF8" s="16"/>
      <c r="AG8" s="16"/>
      <c r="AH8" s="38">
        <f>SUM(AH5:AH7)</f>
        <v>0</v>
      </c>
      <c r="AI8" s="38" t="e">
        <f>SUM(AI5:AI7)</f>
        <v>#DIV/0!</v>
      </c>
      <c r="AJ8" s="38" t="e">
        <f>SUM(AJ5:AJ7)</f>
        <v>#DIV/0!</v>
      </c>
      <c r="AK8" s="39" t="str">
        <f t="shared" si="22"/>
        <v>N/A</v>
      </c>
    </row>
    <row r="9" spans="1:37" ht="15" customHeight="1">
      <c r="B9" s="15"/>
      <c r="H9" s="1"/>
      <c r="I9" s="1"/>
      <c r="R9" s="1"/>
      <c r="S9" s="1"/>
      <c r="V9" s="1"/>
      <c r="W9" s="1"/>
      <c r="Y9" s="1"/>
    </row>
  </sheetData>
  <mergeCells count="11">
    <mergeCell ref="R3:U3"/>
    <mergeCell ref="V3:Z3"/>
    <mergeCell ref="AA3:AD3"/>
    <mergeCell ref="AE3:AG3"/>
    <mergeCell ref="AH3:AK3"/>
    <mergeCell ref="O3:Q3"/>
    <mergeCell ref="A3:C3"/>
    <mergeCell ref="D3:E3"/>
    <mergeCell ref="F3:I3"/>
    <mergeCell ref="J3:L3"/>
    <mergeCell ref="M3:N3"/>
  </mergeCells>
  <phoneticPr fontId="2"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9"/>
  <sheetViews>
    <sheetView zoomScaleNormal="100" workbookViewId="0">
      <pane ySplit="4" topLeftCell="A5" activePane="bottomLeft" state="frozen"/>
      <selection activeCell="F11" sqref="F11"/>
      <selection pane="bottomLeft" activeCell="C37" sqref="C37"/>
    </sheetView>
  </sheetViews>
  <sheetFormatPr defaultColWidth="8.625" defaultRowHeight="15" customHeight="1"/>
  <cols>
    <col min="1" max="1" width="4.75" style="1" customWidth="1"/>
    <col min="2" max="2" width="8.625" style="1"/>
    <col min="3" max="3" width="9.25" style="1" bestFit="1" customWidth="1"/>
    <col min="4" max="5" width="9.75" style="1" bestFit="1" customWidth="1"/>
    <col min="6" max="6" width="28.5" style="1" bestFit="1" customWidth="1"/>
    <col min="7" max="7" width="8.125" style="1" customWidth="1"/>
    <col min="8" max="8" width="6.625" style="11" customWidth="1"/>
    <col min="9" max="9" width="10.625" style="12" customWidth="1"/>
    <col min="10" max="10" width="10.625" style="1" customWidth="1"/>
    <col min="11" max="14" width="6.625" style="1" customWidth="1"/>
    <col min="15" max="15" width="8.125" style="1" hidden="1" customWidth="1"/>
    <col min="16" max="17" width="8.125" style="1" customWidth="1"/>
    <col min="18" max="19" width="9.625" style="12" customWidth="1"/>
    <col min="20" max="21" width="9.625" style="1" customWidth="1"/>
    <col min="22" max="23" width="12.625" style="12" customWidth="1"/>
    <col min="24" max="24" width="12.625" style="1" customWidth="1"/>
    <col min="25" max="25" width="12.625" style="12" customWidth="1"/>
    <col min="26" max="27" width="6.625" style="1" customWidth="1"/>
    <col min="28" max="28" width="7.625" style="1" customWidth="1"/>
    <col min="29" max="29" width="9.625" style="1" customWidth="1"/>
    <col min="30" max="30" width="12.625" style="1" customWidth="1"/>
    <col min="31" max="32" width="6.625" style="1" customWidth="1"/>
    <col min="33" max="33" width="7.625" style="1" customWidth="1"/>
    <col min="34" max="36" width="9.625" style="1" customWidth="1"/>
    <col min="37" max="37" width="6.625" style="1" customWidth="1"/>
    <col min="38" max="16384" width="8.625" style="1"/>
  </cols>
  <sheetData>
    <row r="1" spans="1:37" ht="20.100000000000001" customHeight="1" thickBot="1">
      <c r="A1" s="20" t="s">
        <v>30</v>
      </c>
    </row>
    <row r="2" spans="1:37" ht="16.5" customHeight="1" thickBot="1">
      <c r="A2" s="1" t="s">
        <v>15</v>
      </c>
      <c r="B2" s="1" t="s">
        <v>53</v>
      </c>
      <c r="AA2" s="40"/>
      <c r="AB2" s="35"/>
      <c r="AC2" s="35"/>
      <c r="AD2" s="35"/>
      <c r="AE2" s="36" t="s">
        <v>56</v>
      </c>
      <c r="AF2" s="41"/>
    </row>
    <row r="3" spans="1:37" s="13" customFormat="1" ht="15" customHeight="1">
      <c r="A3" s="56" t="s">
        <v>11</v>
      </c>
      <c r="B3" s="56"/>
      <c r="C3" s="56"/>
      <c r="D3" s="56" t="s">
        <v>0</v>
      </c>
      <c r="E3" s="56"/>
      <c r="F3" s="56" t="s">
        <v>14</v>
      </c>
      <c r="G3" s="56"/>
      <c r="H3" s="56"/>
      <c r="I3" s="56"/>
      <c r="J3" s="56" t="s">
        <v>17</v>
      </c>
      <c r="K3" s="56"/>
      <c r="L3" s="56"/>
      <c r="M3" s="57" t="s">
        <v>46</v>
      </c>
      <c r="N3" s="58"/>
      <c r="O3" s="52" t="s">
        <v>47</v>
      </c>
      <c r="P3" s="53"/>
      <c r="Q3" s="54"/>
      <c r="R3" s="56" t="s">
        <v>48</v>
      </c>
      <c r="S3" s="56"/>
      <c r="T3" s="56"/>
      <c r="U3" s="56"/>
      <c r="V3" s="52" t="s">
        <v>54</v>
      </c>
      <c r="W3" s="53"/>
      <c r="X3" s="53"/>
      <c r="Y3" s="53"/>
      <c r="Z3" s="54"/>
      <c r="AA3" s="52" t="s">
        <v>32</v>
      </c>
      <c r="AB3" s="53"/>
      <c r="AC3" s="53"/>
      <c r="AD3" s="54"/>
      <c r="AE3" s="52" t="s">
        <v>57</v>
      </c>
      <c r="AF3" s="55"/>
      <c r="AG3" s="53"/>
      <c r="AH3" s="52" t="s">
        <v>58</v>
      </c>
      <c r="AI3" s="53"/>
      <c r="AJ3" s="53"/>
      <c r="AK3" s="54"/>
    </row>
    <row r="4" spans="1:37" s="14" customFormat="1" ht="15" customHeight="1">
      <c r="A4" s="49" t="s">
        <v>8</v>
      </c>
      <c r="B4" s="49" t="s">
        <v>9</v>
      </c>
      <c r="C4" s="49" t="s">
        <v>10</v>
      </c>
      <c r="D4" s="49" t="s">
        <v>1</v>
      </c>
      <c r="E4" s="49" t="s">
        <v>2</v>
      </c>
      <c r="F4" s="49" t="s">
        <v>3</v>
      </c>
      <c r="G4" s="49" t="s">
        <v>4</v>
      </c>
      <c r="H4" s="22" t="s">
        <v>5</v>
      </c>
      <c r="I4" s="22" t="s">
        <v>6</v>
      </c>
      <c r="J4" s="49" t="s">
        <v>43</v>
      </c>
      <c r="K4" s="49" t="s">
        <v>12</v>
      </c>
      <c r="L4" s="49" t="s">
        <v>44</v>
      </c>
      <c r="M4" s="23" t="s">
        <v>13</v>
      </c>
      <c r="N4" s="23" t="s">
        <v>45</v>
      </c>
      <c r="O4" s="49" t="s">
        <v>59</v>
      </c>
      <c r="P4" s="49" t="s">
        <v>60</v>
      </c>
      <c r="Q4" s="49" t="s">
        <v>7</v>
      </c>
      <c r="R4" s="49" t="s">
        <v>49</v>
      </c>
      <c r="S4" s="49" t="s">
        <v>50</v>
      </c>
      <c r="T4" s="49" t="s">
        <v>51</v>
      </c>
      <c r="U4" s="49" t="s">
        <v>52</v>
      </c>
      <c r="V4" s="49" t="s">
        <v>49</v>
      </c>
      <c r="W4" s="49" t="s">
        <v>50</v>
      </c>
      <c r="X4" s="49" t="s">
        <v>51</v>
      </c>
      <c r="Y4" s="49" t="s">
        <v>52</v>
      </c>
      <c r="Z4" s="49" t="s">
        <v>55</v>
      </c>
      <c r="AA4" s="29" t="s">
        <v>33</v>
      </c>
      <c r="AB4" s="49" t="s">
        <v>34</v>
      </c>
      <c r="AC4" s="49" t="s">
        <v>35</v>
      </c>
      <c r="AD4" s="49" t="s">
        <v>36</v>
      </c>
      <c r="AE4" s="49" t="s">
        <v>33</v>
      </c>
      <c r="AF4" s="49" t="s">
        <v>37</v>
      </c>
      <c r="AG4" s="49" t="s">
        <v>38</v>
      </c>
      <c r="AH4" s="49" t="s">
        <v>39</v>
      </c>
      <c r="AI4" s="29" t="s">
        <v>40</v>
      </c>
      <c r="AJ4" s="29" t="s">
        <v>41</v>
      </c>
      <c r="AK4" s="49" t="s">
        <v>42</v>
      </c>
    </row>
    <row r="5" spans="1:37" s="40" customFormat="1" ht="15" customHeight="1">
      <c r="A5" s="2"/>
      <c r="B5" s="2"/>
      <c r="C5" s="2"/>
      <c r="D5" s="3"/>
      <c r="E5" s="3"/>
      <c r="F5" s="4"/>
      <c r="G5" s="17"/>
      <c r="H5" s="18"/>
      <c r="I5" s="6">
        <f>G5*H5</f>
        <v>0</v>
      </c>
      <c r="J5" s="6"/>
      <c r="K5" s="18" t="e">
        <f>J5/G5</f>
        <v>#DIV/0!</v>
      </c>
      <c r="L5" s="5" t="e">
        <f t="shared" ref="L5:L7" si="0">J5/I5</f>
        <v>#DIV/0!</v>
      </c>
      <c r="M5" s="5"/>
      <c r="N5" s="31" t="e">
        <f>IF(P5/G5&gt;1,1,P5/G5)</f>
        <v>#DIV/0!</v>
      </c>
      <c r="O5" s="6"/>
      <c r="P5" s="6">
        <f>IF(IF(IFERROR(U5/K5,0)&gt;O5,O5,INT(IFERROR(U5/K5,0)))&gt;Q5,IF(IFERROR(U5/K5,0)&gt;O5,O5,INT(IFERROR(U5/K5,0))),Q5)</f>
        <v>0</v>
      </c>
      <c r="Q5" s="6"/>
      <c r="R5" s="32" t="e">
        <f t="shared" ref="R5:R7" si="1">U5-S5-T5</f>
        <v>#DIV/0!</v>
      </c>
      <c r="S5" s="32" t="e">
        <f>(P5-Q5)*AA5</f>
        <v>#DIV/0!</v>
      </c>
      <c r="T5" s="32" t="e">
        <f>IF(Q5*AA5&gt;U5,U5,Q5*AA5)</f>
        <v>#DIV/0!</v>
      </c>
      <c r="U5" s="6"/>
      <c r="V5" s="32" t="e">
        <f t="shared" ref="V5:V7" si="2">Y5-W5-X5</f>
        <v>#DIV/0!</v>
      </c>
      <c r="W5" s="32" t="e">
        <f t="shared" ref="W5:W7" si="3">S5*Z5</f>
        <v>#DIV/0!</v>
      </c>
      <c r="X5" s="32" t="e">
        <f t="shared" ref="X5:X7" si="4">T5*Z5</f>
        <v>#DIV/0!</v>
      </c>
      <c r="Y5" s="6"/>
      <c r="Z5" s="32">
        <f t="shared" ref="Z5:Z7" si="5">IF(Y5=0,0,Y5/U5)</f>
        <v>0</v>
      </c>
      <c r="AA5" s="18" t="e">
        <f>K5</f>
        <v>#DIV/0!</v>
      </c>
      <c r="AB5" s="37">
        <f>P5-Q5</f>
        <v>0</v>
      </c>
      <c r="AC5" s="37" t="e">
        <f t="shared" ref="AC5:AC7" si="6">AB5*AA5</f>
        <v>#DIV/0!</v>
      </c>
      <c r="AD5" s="37" t="e">
        <f t="shared" ref="AD5:AD7" si="7">Z5*AC5</f>
        <v>#DIV/0!</v>
      </c>
      <c r="AE5" s="33" t="e">
        <f t="shared" ref="AE5:AE7" si="8">AA5</f>
        <v>#DIV/0!</v>
      </c>
      <c r="AF5" s="33" t="e">
        <f t="shared" ref="AF5:AF7" si="9">AE5*$AF$2</f>
        <v>#DIV/0!</v>
      </c>
      <c r="AG5" s="33" t="e">
        <f>AE5+AF5</f>
        <v>#DIV/0!</v>
      </c>
      <c r="AH5" s="37">
        <f t="shared" ref="AH5:AH7" si="10">Q5*H5</f>
        <v>0</v>
      </c>
      <c r="AI5" s="37" t="e">
        <f t="shared" ref="AI5:AI7" si="11">Q5*AG5</f>
        <v>#DIV/0!</v>
      </c>
      <c r="AJ5" s="37" t="e">
        <f t="shared" ref="AJ5:AJ7" si="12">AH5-AI5</f>
        <v>#DIV/0!</v>
      </c>
      <c r="AK5" s="30" t="str">
        <f>IF(AH5=0,"N/A",AJ5/AH5)</f>
        <v>N/A</v>
      </c>
    </row>
    <row r="6" spans="1:37" s="40" customFormat="1" ht="15" customHeight="1">
      <c r="A6" s="2"/>
      <c r="B6" s="2"/>
      <c r="C6" s="2"/>
      <c r="D6" s="3"/>
      <c r="E6" s="3"/>
      <c r="F6" s="4"/>
      <c r="G6" s="17"/>
      <c r="H6" s="18"/>
      <c r="I6" s="6">
        <f t="shared" ref="I6:I7" si="13">G6*H6</f>
        <v>0</v>
      </c>
      <c r="J6" s="6"/>
      <c r="K6" s="18" t="e">
        <f t="shared" ref="K6:K7" si="14">J6/G6</f>
        <v>#DIV/0!</v>
      </c>
      <c r="L6" s="5" t="e">
        <f t="shared" si="0"/>
        <v>#DIV/0!</v>
      </c>
      <c r="M6" s="5"/>
      <c r="N6" s="31" t="e">
        <f t="shared" ref="N6:N7" si="15">IF(P6/G6&gt;1,1,P6/G6)</f>
        <v>#DIV/0!</v>
      </c>
      <c r="O6" s="6"/>
      <c r="P6" s="6">
        <f t="shared" ref="P6:P7" si="16">IF(IF(IFERROR(U6/K6,0)&gt;O6,O6,INT(IFERROR(U6/K6,0)))&gt;Q6,IF(IFERROR(U6/K6,0)&gt;O6,O6,INT(IFERROR(U6/K6,0))),Q6)</f>
        <v>0</v>
      </c>
      <c r="Q6" s="6"/>
      <c r="R6" s="32" t="e">
        <f t="shared" si="1"/>
        <v>#DIV/0!</v>
      </c>
      <c r="S6" s="32" t="e">
        <f t="shared" ref="S6:S7" si="17">(P6-Q6)*AA6</f>
        <v>#DIV/0!</v>
      </c>
      <c r="T6" s="32" t="e">
        <f t="shared" ref="T6:T7" si="18">IF(Q6*AA6&gt;U6,U6,Q6*AA6)</f>
        <v>#DIV/0!</v>
      </c>
      <c r="U6" s="6"/>
      <c r="V6" s="32" t="e">
        <f t="shared" si="2"/>
        <v>#DIV/0!</v>
      </c>
      <c r="W6" s="32" t="e">
        <f t="shared" si="3"/>
        <v>#DIV/0!</v>
      </c>
      <c r="X6" s="32" t="e">
        <f t="shared" si="4"/>
        <v>#DIV/0!</v>
      </c>
      <c r="Y6" s="6"/>
      <c r="Z6" s="32">
        <f t="shared" si="5"/>
        <v>0</v>
      </c>
      <c r="AA6" s="18" t="e">
        <f t="shared" ref="AA6:AA7" si="19">K6</f>
        <v>#DIV/0!</v>
      </c>
      <c r="AB6" s="37">
        <f t="shared" ref="AB6:AB7" si="20">P6-Q6</f>
        <v>0</v>
      </c>
      <c r="AC6" s="37" t="e">
        <f t="shared" si="6"/>
        <v>#DIV/0!</v>
      </c>
      <c r="AD6" s="37" t="e">
        <f t="shared" si="7"/>
        <v>#DIV/0!</v>
      </c>
      <c r="AE6" s="33" t="e">
        <f t="shared" si="8"/>
        <v>#DIV/0!</v>
      </c>
      <c r="AF6" s="33" t="e">
        <f t="shared" si="9"/>
        <v>#DIV/0!</v>
      </c>
      <c r="AG6" s="33" t="e">
        <f t="shared" ref="AG6:AG7" si="21">AE6+AF6</f>
        <v>#DIV/0!</v>
      </c>
      <c r="AH6" s="37">
        <f t="shared" si="10"/>
        <v>0</v>
      </c>
      <c r="AI6" s="37" t="e">
        <f t="shared" si="11"/>
        <v>#DIV/0!</v>
      </c>
      <c r="AJ6" s="37" t="e">
        <f t="shared" si="12"/>
        <v>#DIV/0!</v>
      </c>
      <c r="AK6" s="30" t="str">
        <f t="shared" ref="AK6:AK8" si="22">IF(AH6=0,"N/A",AJ6/AH6)</f>
        <v>N/A</v>
      </c>
    </row>
    <row r="7" spans="1:37" s="40" customFormat="1" ht="15" customHeight="1">
      <c r="A7" s="2"/>
      <c r="B7" s="2"/>
      <c r="C7" s="2"/>
      <c r="D7" s="3"/>
      <c r="E7" s="3"/>
      <c r="F7" s="4"/>
      <c r="G7" s="17"/>
      <c r="H7" s="18"/>
      <c r="I7" s="6">
        <f t="shared" si="13"/>
        <v>0</v>
      </c>
      <c r="J7" s="6"/>
      <c r="K7" s="18" t="e">
        <f t="shared" si="14"/>
        <v>#DIV/0!</v>
      </c>
      <c r="L7" s="5" t="e">
        <f t="shared" si="0"/>
        <v>#DIV/0!</v>
      </c>
      <c r="M7" s="5"/>
      <c r="N7" s="31" t="e">
        <f t="shared" si="15"/>
        <v>#DIV/0!</v>
      </c>
      <c r="O7" s="6"/>
      <c r="P7" s="6">
        <f t="shared" si="16"/>
        <v>0</v>
      </c>
      <c r="Q7" s="6"/>
      <c r="R7" s="32" t="e">
        <f t="shared" si="1"/>
        <v>#DIV/0!</v>
      </c>
      <c r="S7" s="32" t="e">
        <f t="shared" si="17"/>
        <v>#DIV/0!</v>
      </c>
      <c r="T7" s="32" t="e">
        <f t="shared" si="18"/>
        <v>#DIV/0!</v>
      </c>
      <c r="U7" s="6"/>
      <c r="V7" s="32" t="e">
        <f t="shared" si="2"/>
        <v>#DIV/0!</v>
      </c>
      <c r="W7" s="32" t="e">
        <f t="shared" si="3"/>
        <v>#DIV/0!</v>
      </c>
      <c r="X7" s="32" t="e">
        <f t="shared" si="4"/>
        <v>#DIV/0!</v>
      </c>
      <c r="Y7" s="6"/>
      <c r="Z7" s="32">
        <f t="shared" si="5"/>
        <v>0</v>
      </c>
      <c r="AA7" s="18" t="e">
        <f t="shared" si="19"/>
        <v>#DIV/0!</v>
      </c>
      <c r="AB7" s="37">
        <f t="shared" si="20"/>
        <v>0</v>
      </c>
      <c r="AC7" s="37" t="e">
        <f t="shared" si="6"/>
        <v>#DIV/0!</v>
      </c>
      <c r="AD7" s="37" t="e">
        <f t="shared" si="7"/>
        <v>#DIV/0!</v>
      </c>
      <c r="AE7" s="33" t="e">
        <f t="shared" si="8"/>
        <v>#DIV/0!</v>
      </c>
      <c r="AF7" s="33" t="e">
        <f t="shared" si="9"/>
        <v>#DIV/0!</v>
      </c>
      <c r="AG7" s="33" t="e">
        <f t="shared" si="21"/>
        <v>#DIV/0!</v>
      </c>
      <c r="AH7" s="37">
        <f t="shared" si="10"/>
        <v>0</v>
      </c>
      <c r="AI7" s="37" t="e">
        <f t="shared" si="11"/>
        <v>#DIV/0!</v>
      </c>
      <c r="AJ7" s="37" t="e">
        <f t="shared" si="12"/>
        <v>#DIV/0!</v>
      </c>
      <c r="AK7" s="30" t="str">
        <f t="shared" si="22"/>
        <v>N/A</v>
      </c>
    </row>
    <row r="8" spans="1:37" ht="15" customHeight="1">
      <c r="A8" s="7"/>
      <c r="B8" s="7"/>
      <c r="C8" s="7"/>
      <c r="D8" s="7"/>
      <c r="E8" s="7"/>
      <c r="F8" s="8" t="s">
        <v>31</v>
      </c>
      <c r="G8" s="16">
        <f>SUM(G5:G7)</f>
        <v>0</v>
      </c>
      <c r="H8" s="19"/>
      <c r="I8" s="16">
        <f>SUM(I5:I7)</f>
        <v>0</v>
      </c>
      <c r="J8" s="16">
        <f>SUM(J5:J7)</f>
        <v>0</v>
      </c>
      <c r="K8" s="19" t="e">
        <f>J8/G8</f>
        <v>#DIV/0!</v>
      </c>
      <c r="L8" s="10" t="e">
        <f>J8/I8</f>
        <v>#DIV/0!</v>
      </c>
      <c r="M8" s="10"/>
      <c r="N8" s="10"/>
      <c r="O8" s="16">
        <f t="shared" ref="O8:Y8" si="23">SUM(O5:O7)</f>
        <v>0</v>
      </c>
      <c r="P8" s="16">
        <f t="shared" si="23"/>
        <v>0</v>
      </c>
      <c r="Q8" s="16">
        <f t="shared" si="23"/>
        <v>0</v>
      </c>
      <c r="R8" s="16" t="e">
        <f t="shared" si="23"/>
        <v>#DIV/0!</v>
      </c>
      <c r="S8" s="16" t="e">
        <f t="shared" si="23"/>
        <v>#DIV/0!</v>
      </c>
      <c r="T8" s="16" t="e">
        <f t="shared" si="23"/>
        <v>#DIV/0!</v>
      </c>
      <c r="U8" s="16">
        <f t="shared" si="23"/>
        <v>0</v>
      </c>
      <c r="V8" s="16" t="e">
        <f t="shared" si="23"/>
        <v>#DIV/0!</v>
      </c>
      <c r="W8" s="16" t="e">
        <f t="shared" si="23"/>
        <v>#DIV/0!</v>
      </c>
      <c r="X8" s="16" t="e">
        <f t="shared" si="23"/>
        <v>#DIV/0!</v>
      </c>
      <c r="Y8" s="16">
        <f t="shared" si="23"/>
        <v>0</v>
      </c>
      <c r="Z8" s="16"/>
      <c r="AA8" s="19"/>
      <c r="AB8" s="38">
        <f>SUM(AB5:AB7)</f>
        <v>0</v>
      </c>
      <c r="AC8" s="38" t="e">
        <f>SUM(AC5:AC7)</f>
        <v>#DIV/0!</v>
      </c>
      <c r="AD8" s="38" t="e">
        <f>SUM(AD5:AD7)</f>
        <v>#DIV/0!</v>
      </c>
      <c r="AE8" s="9"/>
      <c r="AF8" s="16"/>
      <c r="AG8" s="16"/>
      <c r="AH8" s="38">
        <f>SUM(AH5:AH7)</f>
        <v>0</v>
      </c>
      <c r="AI8" s="38" t="e">
        <f>SUM(AI5:AI7)</f>
        <v>#DIV/0!</v>
      </c>
      <c r="AJ8" s="38" t="e">
        <f>SUM(AJ5:AJ7)</f>
        <v>#DIV/0!</v>
      </c>
      <c r="AK8" s="39" t="str">
        <f t="shared" si="22"/>
        <v>N/A</v>
      </c>
    </row>
    <row r="9" spans="1:37" ht="15" customHeight="1">
      <c r="B9" s="15"/>
      <c r="H9" s="1"/>
      <c r="I9" s="1"/>
      <c r="R9" s="1"/>
      <c r="S9" s="1"/>
      <c r="V9" s="1"/>
      <c r="W9" s="1"/>
      <c r="Y9" s="1"/>
    </row>
  </sheetData>
  <mergeCells count="11">
    <mergeCell ref="R3:U3"/>
    <mergeCell ref="V3:Z3"/>
    <mergeCell ref="AA3:AD3"/>
    <mergeCell ref="AE3:AG3"/>
    <mergeCell ref="AH3:AK3"/>
    <mergeCell ref="O3:Q3"/>
    <mergeCell ref="A3:C3"/>
    <mergeCell ref="D3:E3"/>
    <mergeCell ref="F3:I3"/>
    <mergeCell ref="J3:L3"/>
    <mergeCell ref="M3:N3"/>
  </mergeCells>
  <phoneticPr fontId="2"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9"/>
  <sheetViews>
    <sheetView zoomScaleNormal="100" workbookViewId="0">
      <pane ySplit="4" topLeftCell="A5" activePane="bottomLeft" state="frozen"/>
      <selection activeCell="F11" sqref="F11"/>
      <selection pane="bottomLeft" activeCell="C37" sqref="C37"/>
    </sheetView>
  </sheetViews>
  <sheetFormatPr defaultColWidth="8.625" defaultRowHeight="15" customHeight="1"/>
  <cols>
    <col min="1" max="1" width="4.75" style="1" customWidth="1"/>
    <col min="2" max="2" width="8.625" style="1"/>
    <col min="3" max="3" width="9.25" style="1" bestFit="1" customWidth="1"/>
    <col min="4" max="5" width="9.75" style="1" bestFit="1" customWidth="1"/>
    <col min="6" max="6" width="28.5" style="1" bestFit="1" customWidth="1"/>
    <col min="7" max="7" width="8.125" style="1" customWidth="1"/>
    <col min="8" max="8" width="6.625" style="11" customWidth="1"/>
    <col min="9" max="9" width="10.625" style="12" customWidth="1"/>
    <col min="10" max="10" width="10.625" style="1" customWidth="1"/>
    <col min="11" max="14" width="6.625" style="1" customWidth="1"/>
    <col min="15" max="15" width="8.125" style="1" hidden="1" customWidth="1"/>
    <col min="16" max="17" width="8.125" style="1" customWidth="1"/>
    <col min="18" max="19" width="9.625" style="12" customWidth="1"/>
    <col min="20" max="21" width="9.625" style="1" customWidth="1"/>
    <col min="22" max="23" width="12.625" style="12" customWidth="1"/>
    <col min="24" max="24" width="12.625" style="1" customWidth="1"/>
    <col min="25" max="25" width="12.625" style="12" customWidth="1"/>
    <col min="26" max="27" width="6.625" style="1" customWidth="1"/>
    <col min="28" max="28" width="7.625" style="1" customWidth="1"/>
    <col min="29" max="29" width="9.625" style="1" customWidth="1"/>
    <col min="30" max="30" width="12.625" style="1" customWidth="1"/>
    <col min="31" max="32" width="6.625" style="1" customWidth="1"/>
    <col min="33" max="33" width="7.625" style="1" customWidth="1"/>
    <col min="34" max="36" width="9.625" style="1" customWidth="1"/>
    <col min="37" max="37" width="6.625" style="1" customWidth="1"/>
    <col min="38" max="16384" width="8.625" style="1"/>
  </cols>
  <sheetData>
    <row r="1" spans="1:37" ht="20.100000000000001" customHeight="1" thickBot="1">
      <c r="A1" s="20" t="s">
        <v>30</v>
      </c>
    </row>
    <row r="2" spans="1:37" ht="16.5" customHeight="1" thickBot="1">
      <c r="A2" s="1" t="s">
        <v>15</v>
      </c>
      <c r="B2" s="1" t="s">
        <v>53</v>
      </c>
      <c r="AA2" s="40"/>
      <c r="AB2" s="35"/>
      <c r="AC2" s="35"/>
      <c r="AD2" s="35"/>
      <c r="AE2" s="36" t="s">
        <v>56</v>
      </c>
      <c r="AF2" s="41"/>
    </row>
    <row r="3" spans="1:37" s="13" customFormat="1" ht="15" customHeight="1">
      <c r="A3" s="56" t="s">
        <v>11</v>
      </c>
      <c r="B3" s="56"/>
      <c r="C3" s="56"/>
      <c r="D3" s="56" t="s">
        <v>0</v>
      </c>
      <c r="E3" s="56"/>
      <c r="F3" s="56" t="s">
        <v>14</v>
      </c>
      <c r="G3" s="56"/>
      <c r="H3" s="56"/>
      <c r="I3" s="56"/>
      <c r="J3" s="56" t="s">
        <v>17</v>
      </c>
      <c r="K3" s="56"/>
      <c r="L3" s="56"/>
      <c r="M3" s="57" t="s">
        <v>46</v>
      </c>
      <c r="N3" s="58"/>
      <c r="O3" s="52" t="s">
        <v>47</v>
      </c>
      <c r="P3" s="53"/>
      <c r="Q3" s="54"/>
      <c r="R3" s="56" t="s">
        <v>48</v>
      </c>
      <c r="S3" s="56"/>
      <c r="T3" s="56"/>
      <c r="U3" s="56"/>
      <c r="V3" s="52" t="s">
        <v>54</v>
      </c>
      <c r="W3" s="53"/>
      <c r="X3" s="53"/>
      <c r="Y3" s="53"/>
      <c r="Z3" s="54"/>
      <c r="AA3" s="52" t="s">
        <v>32</v>
      </c>
      <c r="AB3" s="53"/>
      <c r="AC3" s="53"/>
      <c r="AD3" s="54"/>
      <c r="AE3" s="52" t="s">
        <v>57</v>
      </c>
      <c r="AF3" s="55"/>
      <c r="AG3" s="53"/>
      <c r="AH3" s="52" t="s">
        <v>58</v>
      </c>
      <c r="AI3" s="53"/>
      <c r="AJ3" s="53"/>
      <c r="AK3" s="54"/>
    </row>
    <row r="4" spans="1:37" s="14" customFormat="1" ht="15" customHeight="1">
      <c r="A4" s="50" t="s">
        <v>8</v>
      </c>
      <c r="B4" s="50" t="s">
        <v>9</v>
      </c>
      <c r="C4" s="50" t="s">
        <v>10</v>
      </c>
      <c r="D4" s="50" t="s">
        <v>1</v>
      </c>
      <c r="E4" s="50" t="s">
        <v>2</v>
      </c>
      <c r="F4" s="50" t="s">
        <v>3</v>
      </c>
      <c r="G4" s="50" t="s">
        <v>4</v>
      </c>
      <c r="H4" s="22" t="s">
        <v>5</v>
      </c>
      <c r="I4" s="22" t="s">
        <v>6</v>
      </c>
      <c r="J4" s="50" t="s">
        <v>43</v>
      </c>
      <c r="K4" s="50" t="s">
        <v>12</v>
      </c>
      <c r="L4" s="50" t="s">
        <v>44</v>
      </c>
      <c r="M4" s="23" t="s">
        <v>13</v>
      </c>
      <c r="N4" s="23" t="s">
        <v>45</v>
      </c>
      <c r="O4" s="50" t="s">
        <v>59</v>
      </c>
      <c r="P4" s="50" t="s">
        <v>60</v>
      </c>
      <c r="Q4" s="50" t="s">
        <v>7</v>
      </c>
      <c r="R4" s="50" t="s">
        <v>49</v>
      </c>
      <c r="S4" s="50" t="s">
        <v>50</v>
      </c>
      <c r="T4" s="50" t="s">
        <v>51</v>
      </c>
      <c r="U4" s="50" t="s">
        <v>52</v>
      </c>
      <c r="V4" s="50" t="s">
        <v>49</v>
      </c>
      <c r="W4" s="50" t="s">
        <v>50</v>
      </c>
      <c r="X4" s="50" t="s">
        <v>51</v>
      </c>
      <c r="Y4" s="50" t="s">
        <v>52</v>
      </c>
      <c r="Z4" s="50" t="s">
        <v>55</v>
      </c>
      <c r="AA4" s="29" t="s">
        <v>33</v>
      </c>
      <c r="AB4" s="50" t="s">
        <v>34</v>
      </c>
      <c r="AC4" s="50" t="s">
        <v>35</v>
      </c>
      <c r="AD4" s="50" t="s">
        <v>36</v>
      </c>
      <c r="AE4" s="50" t="s">
        <v>33</v>
      </c>
      <c r="AF4" s="50" t="s">
        <v>37</v>
      </c>
      <c r="AG4" s="50" t="s">
        <v>38</v>
      </c>
      <c r="AH4" s="50" t="s">
        <v>39</v>
      </c>
      <c r="AI4" s="29" t="s">
        <v>40</v>
      </c>
      <c r="AJ4" s="29" t="s">
        <v>41</v>
      </c>
      <c r="AK4" s="50" t="s">
        <v>42</v>
      </c>
    </row>
    <row r="5" spans="1:37" s="40" customFormat="1" ht="15" customHeight="1">
      <c r="A5" s="2"/>
      <c r="B5" s="2"/>
      <c r="C5" s="2"/>
      <c r="D5" s="3"/>
      <c r="E5" s="3"/>
      <c r="F5" s="4"/>
      <c r="G5" s="17"/>
      <c r="H5" s="18"/>
      <c r="I5" s="6">
        <f>G5*H5</f>
        <v>0</v>
      </c>
      <c r="J5" s="6"/>
      <c r="K5" s="18" t="e">
        <f>J5/G5</f>
        <v>#DIV/0!</v>
      </c>
      <c r="L5" s="5" t="e">
        <f t="shared" ref="L5:L7" si="0">J5/I5</f>
        <v>#DIV/0!</v>
      </c>
      <c r="M5" s="5"/>
      <c r="N5" s="31" t="e">
        <f>IF(P5/G5&gt;1,1,P5/G5)</f>
        <v>#DIV/0!</v>
      </c>
      <c r="O5" s="6"/>
      <c r="P5" s="6">
        <f>IF(IF(IFERROR(U5/K5,0)&gt;O5,O5,INT(IFERROR(U5/K5,0)))&gt;Q5,IF(IFERROR(U5/K5,0)&gt;O5,O5,INT(IFERROR(U5/K5,0))),Q5)</f>
        <v>0</v>
      </c>
      <c r="Q5" s="6"/>
      <c r="R5" s="32" t="e">
        <f t="shared" ref="R5:R7" si="1">U5-S5-T5</f>
        <v>#DIV/0!</v>
      </c>
      <c r="S5" s="32" t="e">
        <f>(P5-Q5)*AA5</f>
        <v>#DIV/0!</v>
      </c>
      <c r="T5" s="32" t="e">
        <f>IF(Q5*AA5&gt;U5,U5,Q5*AA5)</f>
        <v>#DIV/0!</v>
      </c>
      <c r="U5" s="6"/>
      <c r="V5" s="32" t="e">
        <f t="shared" ref="V5:V7" si="2">Y5-W5-X5</f>
        <v>#DIV/0!</v>
      </c>
      <c r="W5" s="32" t="e">
        <f t="shared" ref="W5:W7" si="3">S5*Z5</f>
        <v>#DIV/0!</v>
      </c>
      <c r="X5" s="32" t="e">
        <f t="shared" ref="X5:X7" si="4">T5*Z5</f>
        <v>#DIV/0!</v>
      </c>
      <c r="Y5" s="6"/>
      <c r="Z5" s="32">
        <f t="shared" ref="Z5:Z7" si="5">IF(Y5=0,0,Y5/U5)</f>
        <v>0</v>
      </c>
      <c r="AA5" s="18" t="e">
        <f>K5</f>
        <v>#DIV/0!</v>
      </c>
      <c r="AB5" s="37">
        <f>P5-Q5</f>
        <v>0</v>
      </c>
      <c r="AC5" s="37" t="e">
        <f t="shared" ref="AC5:AC7" si="6">AB5*AA5</f>
        <v>#DIV/0!</v>
      </c>
      <c r="AD5" s="37" t="e">
        <f t="shared" ref="AD5:AD7" si="7">Z5*AC5</f>
        <v>#DIV/0!</v>
      </c>
      <c r="AE5" s="33" t="e">
        <f t="shared" ref="AE5:AE7" si="8">AA5</f>
        <v>#DIV/0!</v>
      </c>
      <c r="AF5" s="33" t="e">
        <f t="shared" ref="AF5:AF7" si="9">AE5*$AF$2</f>
        <v>#DIV/0!</v>
      </c>
      <c r="AG5" s="33" t="e">
        <f>AE5+AF5</f>
        <v>#DIV/0!</v>
      </c>
      <c r="AH5" s="37">
        <f t="shared" ref="AH5:AH7" si="10">Q5*H5</f>
        <v>0</v>
      </c>
      <c r="AI5" s="37" t="e">
        <f t="shared" ref="AI5:AI7" si="11">Q5*AG5</f>
        <v>#DIV/0!</v>
      </c>
      <c r="AJ5" s="37" t="e">
        <f t="shared" ref="AJ5:AJ7" si="12">AH5-AI5</f>
        <v>#DIV/0!</v>
      </c>
      <c r="AK5" s="30" t="str">
        <f>IF(AH5=0,"N/A",AJ5/AH5)</f>
        <v>N/A</v>
      </c>
    </row>
    <row r="6" spans="1:37" s="40" customFormat="1" ht="15" customHeight="1">
      <c r="A6" s="2"/>
      <c r="B6" s="2"/>
      <c r="C6" s="2"/>
      <c r="D6" s="3"/>
      <c r="E6" s="3"/>
      <c r="F6" s="4"/>
      <c r="G6" s="17"/>
      <c r="H6" s="18"/>
      <c r="I6" s="6">
        <f t="shared" ref="I6:I7" si="13">G6*H6</f>
        <v>0</v>
      </c>
      <c r="J6" s="6"/>
      <c r="K6" s="18" t="e">
        <f t="shared" ref="K6:K7" si="14">J6/G6</f>
        <v>#DIV/0!</v>
      </c>
      <c r="L6" s="5" t="e">
        <f t="shared" si="0"/>
        <v>#DIV/0!</v>
      </c>
      <c r="M6" s="5"/>
      <c r="N6" s="31" t="e">
        <f t="shared" ref="N6:N7" si="15">IF(P6/G6&gt;1,1,P6/G6)</f>
        <v>#DIV/0!</v>
      </c>
      <c r="O6" s="6"/>
      <c r="P6" s="6">
        <f t="shared" ref="P6:P7" si="16">IF(IF(IFERROR(U6/K6,0)&gt;O6,O6,INT(IFERROR(U6/K6,0)))&gt;Q6,IF(IFERROR(U6/K6,0)&gt;O6,O6,INT(IFERROR(U6/K6,0))),Q6)</f>
        <v>0</v>
      </c>
      <c r="Q6" s="6"/>
      <c r="R6" s="32" t="e">
        <f t="shared" si="1"/>
        <v>#DIV/0!</v>
      </c>
      <c r="S6" s="32" t="e">
        <f t="shared" ref="S6:S7" si="17">(P6-Q6)*AA6</f>
        <v>#DIV/0!</v>
      </c>
      <c r="T6" s="32" t="e">
        <f t="shared" ref="T6:T7" si="18">IF(Q6*AA6&gt;U6,U6,Q6*AA6)</f>
        <v>#DIV/0!</v>
      </c>
      <c r="U6" s="6"/>
      <c r="V6" s="32" t="e">
        <f t="shared" si="2"/>
        <v>#DIV/0!</v>
      </c>
      <c r="W6" s="32" t="e">
        <f t="shared" si="3"/>
        <v>#DIV/0!</v>
      </c>
      <c r="X6" s="32" t="e">
        <f t="shared" si="4"/>
        <v>#DIV/0!</v>
      </c>
      <c r="Y6" s="6"/>
      <c r="Z6" s="32">
        <f t="shared" si="5"/>
        <v>0</v>
      </c>
      <c r="AA6" s="18" t="e">
        <f t="shared" ref="AA6:AA7" si="19">K6</f>
        <v>#DIV/0!</v>
      </c>
      <c r="AB6" s="37">
        <f t="shared" ref="AB6:AB7" si="20">P6-Q6</f>
        <v>0</v>
      </c>
      <c r="AC6" s="37" t="e">
        <f t="shared" si="6"/>
        <v>#DIV/0!</v>
      </c>
      <c r="AD6" s="37" t="e">
        <f t="shared" si="7"/>
        <v>#DIV/0!</v>
      </c>
      <c r="AE6" s="33" t="e">
        <f t="shared" si="8"/>
        <v>#DIV/0!</v>
      </c>
      <c r="AF6" s="33" t="e">
        <f t="shared" si="9"/>
        <v>#DIV/0!</v>
      </c>
      <c r="AG6" s="33" t="e">
        <f t="shared" ref="AG6:AG7" si="21">AE6+AF6</f>
        <v>#DIV/0!</v>
      </c>
      <c r="AH6" s="37">
        <f t="shared" si="10"/>
        <v>0</v>
      </c>
      <c r="AI6" s="37" t="e">
        <f t="shared" si="11"/>
        <v>#DIV/0!</v>
      </c>
      <c r="AJ6" s="37" t="e">
        <f t="shared" si="12"/>
        <v>#DIV/0!</v>
      </c>
      <c r="AK6" s="30" t="str">
        <f t="shared" ref="AK6:AK8" si="22">IF(AH6=0,"N/A",AJ6/AH6)</f>
        <v>N/A</v>
      </c>
    </row>
    <row r="7" spans="1:37" s="40" customFormat="1" ht="15" customHeight="1">
      <c r="A7" s="2"/>
      <c r="B7" s="2"/>
      <c r="C7" s="2"/>
      <c r="D7" s="3"/>
      <c r="E7" s="3"/>
      <c r="F7" s="4"/>
      <c r="G7" s="17"/>
      <c r="H7" s="18"/>
      <c r="I7" s="6">
        <f t="shared" si="13"/>
        <v>0</v>
      </c>
      <c r="J7" s="6"/>
      <c r="K7" s="18" t="e">
        <f t="shared" si="14"/>
        <v>#DIV/0!</v>
      </c>
      <c r="L7" s="5" t="e">
        <f t="shared" si="0"/>
        <v>#DIV/0!</v>
      </c>
      <c r="M7" s="5"/>
      <c r="N7" s="31" t="e">
        <f t="shared" si="15"/>
        <v>#DIV/0!</v>
      </c>
      <c r="O7" s="6"/>
      <c r="P7" s="6">
        <f t="shared" si="16"/>
        <v>0</v>
      </c>
      <c r="Q7" s="6"/>
      <c r="R7" s="32" t="e">
        <f t="shared" si="1"/>
        <v>#DIV/0!</v>
      </c>
      <c r="S7" s="32" t="e">
        <f t="shared" si="17"/>
        <v>#DIV/0!</v>
      </c>
      <c r="T7" s="32" t="e">
        <f t="shared" si="18"/>
        <v>#DIV/0!</v>
      </c>
      <c r="U7" s="6"/>
      <c r="V7" s="32" t="e">
        <f t="shared" si="2"/>
        <v>#DIV/0!</v>
      </c>
      <c r="W7" s="32" t="e">
        <f t="shared" si="3"/>
        <v>#DIV/0!</v>
      </c>
      <c r="X7" s="32" t="e">
        <f t="shared" si="4"/>
        <v>#DIV/0!</v>
      </c>
      <c r="Y7" s="6"/>
      <c r="Z7" s="32">
        <f t="shared" si="5"/>
        <v>0</v>
      </c>
      <c r="AA7" s="18" t="e">
        <f t="shared" si="19"/>
        <v>#DIV/0!</v>
      </c>
      <c r="AB7" s="37">
        <f t="shared" si="20"/>
        <v>0</v>
      </c>
      <c r="AC7" s="37" t="e">
        <f t="shared" si="6"/>
        <v>#DIV/0!</v>
      </c>
      <c r="AD7" s="37" t="e">
        <f t="shared" si="7"/>
        <v>#DIV/0!</v>
      </c>
      <c r="AE7" s="33" t="e">
        <f t="shared" si="8"/>
        <v>#DIV/0!</v>
      </c>
      <c r="AF7" s="33" t="e">
        <f t="shared" si="9"/>
        <v>#DIV/0!</v>
      </c>
      <c r="AG7" s="33" t="e">
        <f t="shared" si="21"/>
        <v>#DIV/0!</v>
      </c>
      <c r="AH7" s="37">
        <f t="shared" si="10"/>
        <v>0</v>
      </c>
      <c r="AI7" s="37" t="e">
        <f t="shared" si="11"/>
        <v>#DIV/0!</v>
      </c>
      <c r="AJ7" s="37" t="e">
        <f t="shared" si="12"/>
        <v>#DIV/0!</v>
      </c>
      <c r="AK7" s="30" t="str">
        <f t="shared" si="22"/>
        <v>N/A</v>
      </c>
    </row>
    <row r="8" spans="1:37" ht="15" customHeight="1">
      <c r="A8" s="7"/>
      <c r="B8" s="7"/>
      <c r="C8" s="7"/>
      <c r="D8" s="7"/>
      <c r="E8" s="7"/>
      <c r="F8" s="8" t="s">
        <v>31</v>
      </c>
      <c r="G8" s="16">
        <f>SUM(G5:G7)</f>
        <v>0</v>
      </c>
      <c r="H8" s="19"/>
      <c r="I8" s="16">
        <f>SUM(I5:I7)</f>
        <v>0</v>
      </c>
      <c r="J8" s="16">
        <f>SUM(J5:J7)</f>
        <v>0</v>
      </c>
      <c r="K8" s="19" t="e">
        <f>J8/G8</f>
        <v>#DIV/0!</v>
      </c>
      <c r="L8" s="10" t="e">
        <f>J8/I8</f>
        <v>#DIV/0!</v>
      </c>
      <c r="M8" s="10"/>
      <c r="N8" s="10"/>
      <c r="O8" s="16">
        <f t="shared" ref="O8:Y8" si="23">SUM(O5:O7)</f>
        <v>0</v>
      </c>
      <c r="P8" s="16">
        <f t="shared" si="23"/>
        <v>0</v>
      </c>
      <c r="Q8" s="16">
        <f t="shared" si="23"/>
        <v>0</v>
      </c>
      <c r="R8" s="16" t="e">
        <f t="shared" si="23"/>
        <v>#DIV/0!</v>
      </c>
      <c r="S8" s="16" t="e">
        <f t="shared" si="23"/>
        <v>#DIV/0!</v>
      </c>
      <c r="T8" s="16" t="e">
        <f t="shared" si="23"/>
        <v>#DIV/0!</v>
      </c>
      <c r="U8" s="16">
        <f t="shared" si="23"/>
        <v>0</v>
      </c>
      <c r="V8" s="16" t="e">
        <f t="shared" si="23"/>
        <v>#DIV/0!</v>
      </c>
      <c r="W8" s="16" t="e">
        <f t="shared" si="23"/>
        <v>#DIV/0!</v>
      </c>
      <c r="X8" s="16" t="e">
        <f t="shared" si="23"/>
        <v>#DIV/0!</v>
      </c>
      <c r="Y8" s="16">
        <f t="shared" si="23"/>
        <v>0</v>
      </c>
      <c r="Z8" s="16"/>
      <c r="AA8" s="19"/>
      <c r="AB8" s="38">
        <f>SUM(AB5:AB7)</f>
        <v>0</v>
      </c>
      <c r="AC8" s="38" t="e">
        <f>SUM(AC5:AC7)</f>
        <v>#DIV/0!</v>
      </c>
      <c r="AD8" s="38" t="e">
        <f>SUM(AD5:AD7)</f>
        <v>#DIV/0!</v>
      </c>
      <c r="AE8" s="9"/>
      <c r="AF8" s="16"/>
      <c r="AG8" s="16"/>
      <c r="AH8" s="38">
        <f>SUM(AH5:AH7)</f>
        <v>0</v>
      </c>
      <c r="AI8" s="38" t="e">
        <f>SUM(AI5:AI7)</f>
        <v>#DIV/0!</v>
      </c>
      <c r="AJ8" s="38" t="e">
        <f>SUM(AJ5:AJ7)</f>
        <v>#DIV/0!</v>
      </c>
      <c r="AK8" s="39" t="str">
        <f t="shared" si="22"/>
        <v>N/A</v>
      </c>
    </row>
    <row r="9" spans="1:37" ht="15" customHeight="1">
      <c r="B9" s="15"/>
      <c r="H9" s="1"/>
      <c r="I9" s="1"/>
      <c r="R9" s="1"/>
      <c r="S9" s="1"/>
      <c r="V9" s="1"/>
      <c r="W9" s="1"/>
      <c r="Y9" s="1"/>
    </row>
  </sheetData>
  <mergeCells count="11">
    <mergeCell ref="O3:Q3"/>
    <mergeCell ref="A3:C3"/>
    <mergeCell ref="D3:E3"/>
    <mergeCell ref="F3:I3"/>
    <mergeCell ref="J3:L3"/>
    <mergeCell ref="M3:N3"/>
    <mergeCell ref="R3:U3"/>
    <mergeCell ref="V3:Z3"/>
    <mergeCell ref="AA3:AD3"/>
    <mergeCell ref="AE3:AG3"/>
    <mergeCell ref="AH3:AK3"/>
  </mergeCells>
  <phoneticPr fontId="2"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9"/>
  <sheetViews>
    <sheetView zoomScaleNormal="100" workbookViewId="0">
      <pane ySplit="4" topLeftCell="A5" activePane="bottomLeft" state="frozen"/>
      <selection activeCell="F11" sqref="F11"/>
      <selection pane="bottomLeft" activeCell="A27" sqref="A27"/>
    </sheetView>
  </sheetViews>
  <sheetFormatPr defaultColWidth="8.625" defaultRowHeight="15" customHeight="1"/>
  <cols>
    <col min="1" max="1" width="4.75" style="1" customWidth="1"/>
    <col min="2" max="2" width="8.625" style="1"/>
    <col min="3" max="3" width="9.25" style="1" bestFit="1" customWidth="1"/>
    <col min="4" max="5" width="9.75" style="1" bestFit="1" customWidth="1"/>
    <col min="6" max="6" width="28.5" style="1" bestFit="1" customWidth="1"/>
    <col min="7" max="7" width="8.125" style="1" customWidth="1"/>
    <col min="8" max="8" width="6.625" style="11" customWidth="1"/>
    <col min="9" max="9" width="10.625" style="12" customWidth="1"/>
    <col min="10" max="10" width="10.625" style="1" customWidth="1"/>
    <col min="11" max="14" width="6.625" style="1" customWidth="1"/>
    <col min="15" max="15" width="8.125" style="1" hidden="1" customWidth="1"/>
    <col min="16" max="17" width="8.125" style="1" customWidth="1"/>
    <col min="18" max="19" width="9.625" style="12" customWidth="1"/>
    <col min="20" max="21" width="9.625" style="1" customWidth="1"/>
    <col min="22" max="23" width="12.625" style="12" customWidth="1"/>
    <col min="24" max="24" width="12.625" style="1" customWidth="1"/>
    <col min="25" max="25" width="12.625" style="12" customWidth="1"/>
    <col min="26" max="27" width="6.625" style="1" customWidth="1"/>
    <col min="28" max="28" width="7.625" style="1" customWidth="1"/>
    <col min="29" max="29" width="9.625" style="1" customWidth="1"/>
    <col min="30" max="30" width="12.625" style="1" customWidth="1"/>
    <col min="31" max="32" width="6.625" style="1" customWidth="1"/>
    <col min="33" max="33" width="7.625" style="1" customWidth="1"/>
    <col min="34" max="36" width="9.625" style="1" customWidth="1"/>
    <col min="37" max="37" width="6.625" style="1" customWidth="1"/>
    <col min="38" max="16384" width="8.625" style="1"/>
  </cols>
  <sheetData>
    <row r="1" spans="1:37" ht="20.100000000000001" customHeight="1" thickBot="1">
      <c r="A1" s="20" t="s">
        <v>30</v>
      </c>
    </row>
    <row r="2" spans="1:37" ht="16.5" customHeight="1" thickBot="1">
      <c r="A2" s="1" t="s">
        <v>15</v>
      </c>
      <c r="B2" s="1" t="s">
        <v>53</v>
      </c>
      <c r="AA2" s="40"/>
      <c r="AB2" s="35"/>
      <c r="AC2" s="35"/>
      <c r="AD2" s="35"/>
      <c r="AE2" s="36" t="s">
        <v>56</v>
      </c>
      <c r="AF2" s="41"/>
    </row>
    <row r="3" spans="1:37" s="13" customFormat="1" ht="15" customHeight="1">
      <c r="A3" s="56" t="s">
        <v>11</v>
      </c>
      <c r="B3" s="56"/>
      <c r="C3" s="56"/>
      <c r="D3" s="56" t="s">
        <v>0</v>
      </c>
      <c r="E3" s="56"/>
      <c r="F3" s="56" t="s">
        <v>14</v>
      </c>
      <c r="G3" s="56"/>
      <c r="H3" s="56"/>
      <c r="I3" s="56"/>
      <c r="J3" s="56" t="s">
        <v>17</v>
      </c>
      <c r="K3" s="56"/>
      <c r="L3" s="56"/>
      <c r="M3" s="57" t="s">
        <v>46</v>
      </c>
      <c r="N3" s="58"/>
      <c r="O3" s="52" t="s">
        <v>47</v>
      </c>
      <c r="P3" s="53"/>
      <c r="Q3" s="54"/>
      <c r="R3" s="56" t="s">
        <v>48</v>
      </c>
      <c r="S3" s="56"/>
      <c r="T3" s="56"/>
      <c r="U3" s="56"/>
      <c r="V3" s="52" t="s">
        <v>54</v>
      </c>
      <c r="W3" s="53"/>
      <c r="X3" s="53"/>
      <c r="Y3" s="53"/>
      <c r="Z3" s="54"/>
      <c r="AA3" s="52" t="s">
        <v>32</v>
      </c>
      <c r="AB3" s="53"/>
      <c r="AC3" s="53"/>
      <c r="AD3" s="54"/>
      <c r="AE3" s="52" t="s">
        <v>57</v>
      </c>
      <c r="AF3" s="55"/>
      <c r="AG3" s="53"/>
      <c r="AH3" s="52" t="s">
        <v>58</v>
      </c>
      <c r="AI3" s="53"/>
      <c r="AJ3" s="53"/>
      <c r="AK3" s="54"/>
    </row>
    <row r="4" spans="1:37" s="14" customFormat="1" ht="15" customHeight="1">
      <c r="A4" s="51" t="s">
        <v>8</v>
      </c>
      <c r="B4" s="51" t="s">
        <v>9</v>
      </c>
      <c r="C4" s="51" t="s">
        <v>10</v>
      </c>
      <c r="D4" s="51" t="s">
        <v>1</v>
      </c>
      <c r="E4" s="51" t="s">
        <v>2</v>
      </c>
      <c r="F4" s="51" t="s">
        <v>3</v>
      </c>
      <c r="G4" s="51" t="s">
        <v>4</v>
      </c>
      <c r="H4" s="22" t="s">
        <v>5</v>
      </c>
      <c r="I4" s="22" t="s">
        <v>6</v>
      </c>
      <c r="J4" s="51" t="s">
        <v>43</v>
      </c>
      <c r="K4" s="51" t="s">
        <v>12</v>
      </c>
      <c r="L4" s="51" t="s">
        <v>44</v>
      </c>
      <c r="M4" s="23" t="s">
        <v>13</v>
      </c>
      <c r="N4" s="23" t="s">
        <v>45</v>
      </c>
      <c r="O4" s="51" t="s">
        <v>59</v>
      </c>
      <c r="P4" s="51" t="s">
        <v>60</v>
      </c>
      <c r="Q4" s="51" t="s">
        <v>7</v>
      </c>
      <c r="R4" s="51" t="s">
        <v>49</v>
      </c>
      <c r="S4" s="51" t="s">
        <v>50</v>
      </c>
      <c r="T4" s="51" t="s">
        <v>51</v>
      </c>
      <c r="U4" s="51" t="s">
        <v>52</v>
      </c>
      <c r="V4" s="51" t="s">
        <v>49</v>
      </c>
      <c r="W4" s="51" t="s">
        <v>50</v>
      </c>
      <c r="X4" s="51" t="s">
        <v>51</v>
      </c>
      <c r="Y4" s="51" t="s">
        <v>52</v>
      </c>
      <c r="Z4" s="51" t="s">
        <v>55</v>
      </c>
      <c r="AA4" s="29" t="s">
        <v>33</v>
      </c>
      <c r="AB4" s="51" t="s">
        <v>34</v>
      </c>
      <c r="AC4" s="51" t="s">
        <v>35</v>
      </c>
      <c r="AD4" s="51" t="s">
        <v>36</v>
      </c>
      <c r="AE4" s="51" t="s">
        <v>33</v>
      </c>
      <c r="AF4" s="51" t="s">
        <v>37</v>
      </c>
      <c r="AG4" s="51" t="s">
        <v>38</v>
      </c>
      <c r="AH4" s="51" t="s">
        <v>39</v>
      </c>
      <c r="AI4" s="29" t="s">
        <v>40</v>
      </c>
      <c r="AJ4" s="29" t="s">
        <v>41</v>
      </c>
      <c r="AK4" s="51" t="s">
        <v>42</v>
      </c>
    </row>
    <row r="5" spans="1:37" s="40" customFormat="1" ht="15" customHeight="1">
      <c r="A5" s="2"/>
      <c r="B5" s="2"/>
      <c r="C5" s="2"/>
      <c r="D5" s="3"/>
      <c r="E5" s="3"/>
      <c r="F5" s="4"/>
      <c r="G5" s="17"/>
      <c r="H5" s="18"/>
      <c r="I5" s="6">
        <f>G5*H5</f>
        <v>0</v>
      </c>
      <c r="J5" s="6"/>
      <c r="K5" s="18" t="e">
        <f>J5/G5</f>
        <v>#DIV/0!</v>
      </c>
      <c r="L5" s="5" t="e">
        <f t="shared" ref="L5:L7" si="0">J5/I5</f>
        <v>#DIV/0!</v>
      </c>
      <c r="M5" s="5"/>
      <c r="N5" s="31" t="e">
        <f>IF(P5/G5&gt;1,1,P5/G5)</f>
        <v>#DIV/0!</v>
      </c>
      <c r="O5" s="6"/>
      <c r="P5" s="6">
        <f>IF(IF(IFERROR(U5/K5,0)&gt;O5,O5,INT(IFERROR(U5/K5,0)))&gt;Q5,IF(IFERROR(U5/K5,0)&gt;O5,O5,INT(IFERROR(U5/K5,0))),Q5)</f>
        <v>0</v>
      </c>
      <c r="Q5" s="6"/>
      <c r="R5" s="32" t="e">
        <f t="shared" ref="R5:R7" si="1">U5-S5-T5</f>
        <v>#DIV/0!</v>
      </c>
      <c r="S5" s="32" t="e">
        <f>(P5-Q5)*AA5</f>
        <v>#DIV/0!</v>
      </c>
      <c r="T5" s="32" t="e">
        <f>IF(Q5*AA5&gt;U5,U5,Q5*AA5)</f>
        <v>#DIV/0!</v>
      </c>
      <c r="U5" s="6"/>
      <c r="V5" s="32" t="e">
        <f t="shared" ref="V5:V7" si="2">Y5-W5-X5</f>
        <v>#DIV/0!</v>
      </c>
      <c r="W5" s="32" t="e">
        <f t="shared" ref="W5:W7" si="3">S5*Z5</f>
        <v>#DIV/0!</v>
      </c>
      <c r="X5" s="32" t="e">
        <f t="shared" ref="X5:X7" si="4">T5*Z5</f>
        <v>#DIV/0!</v>
      </c>
      <c r="Y5" s="6"/>
      <c r="Z5" s="32">
        <f t="shared" ref="Z5:Z7" si="5">IF(Y5=0,0,Y5/U5)</f>
        <v>0</v>
      </c>
      <c r="AA5" s="18" t="e">
        <f>K5</f>
        <v>#DIV/0!</v>
      </c>
      <c r="AB5" s="37">
        <f>P5-Q5</f>
        <v>0</v>
      </c>
      <c r="AC5" s="37" t="e">
        <f t="shared" ref="AC5:AC7" si="6">AB5*AA5</f>
        <v>#DIV/0!</v>
      </c>
      <c r="AD5" s="37" t="e">
        <f t="shared" ref="AD5:AD7" si="7">Z5*AC5</f>
        <v>#DIV/0!</v>
      </c>
      <c r="AE5" s="33" t="e">
        <f t="shared" ref="AE5:AE7" si="8">AA5</f>
        <v>#DIV/0!</v>
      </c>
      <c r="AF5" s="33" t="e">
        <f t="shared" ref="AF5:AF7" si="9">AE5*$AF$2</f>
        <v>#DIV/0!</v>
      </c>
      <c r="AG5" s="33" t="e">
        <f>AE5+AF5</f>
        <v>#DIV/0!</v>
      </c>
      <c r="AH5" s="37">
        <f t="shared" ref="AH5:AH7" si="10">Q5*H5</f>
        <v>0</v>
      </c>
      <c r="AI5" s="37" t="e">
        <f t="shared" ref="AI5:AI7" si="11">Q5*AG5</f>
        <v>#DIV/0!</v>
      </c>
      <c r="AJ5" s="37" t="e">
        <f t="shared" ref="AJ5:AJ7" si="12">AH5-AI5</f>
        <v>#DIV/0!</v>
      </c>
      <c r="AK5" s="30" t="str">
        <f>IF(AH5=0,"N/A",AJ5/AH5)</f>
        <v>N/A</v>
      </c>
    </row>
    <row r="6" spans="1:37" s="40" customFormat="1" ht="15" customHeight="1">
      <c r="A6" s="2"/>
      <c r="B6" s="2"/>
      <c r="C6" s="2"/>
      <c r="D6" s="3"/>
      <c r="E6" s="3"/>
      <c r="F6" s="4"/>
      <c r="G6" s="17"/>
      <c r="H6" s="18"/>
      <c r="I6" s="6">
        <f t="shared" ref="I6:I7" si="13">G6*H6</f>
        <v>0</v>
      </c>
      <c r="J6" s="6"/>
      <c r="K6" s="18" t="e">
        <f t="shared" ref="K6:K7" si="14">J6/G6</f>
        <v>#DIV/0!</v>
      </c>
      <c r="L6" s="5" t="e">
        <f t="shared" si="0"/>
        <v>#DIV/0!</v>
      </c>
      <c r="M6" s="5"/>
      <c r="N6" s="31" t="e">
        <f t="shared" ref="N6:N7" si="15">IF(P6/G6&gt;1,1,P6/G6)</f>
        <v>#DIV/0!</v>
      </c>
      <c r="O6" s="6"/>
      <c r="P6" s="6">
        <f t="shared" ref="P6:P7" si="16">IF(IF(IFERROR(U6/K6,0)&gt;O6,O6,INT(IFERROR(U6/K6,0)))&gt;Q6,IF(IFERROR(U6/K6,0)&gt;O6,O6,INT(IFERROR(U6/K6,0))),Q6)</f>
        <v>0</v>
      </c>
      <c r="Q6" s="6"/>
      <c r="R6" s="32" t="e">
        <f t="shared" si="1"/>
        <v>#DIV/0!</v>
      </c>
      <c r="S6" s="32" t="e">
        <f t="shared" ref="S6:S7" si="17">(P6-Q6)*AA6</f>
        <v>#DIV/0!</v>
      </c>
      <c r="T6" s="32" t="e">
        <f t="shared" ref="T6:T7" si="18">IF(Q6*AA6&gt;U6,U6,Q6*AA6)</f>
        <v>#DIV/0!</v>
      </c>
      <c r="U6" s="6"/>
      <c r="V6" s="32" t="e">
        <f t="shared" si="2"/>
        <v>#DIV/0!</v>
      </c>
      <c r="W6" s="32" t="e">
        <f t="shared" si="3"/>
        <v>#DIV/0!</v>
      </c>
      <c r="X6" s="32" t="e">
        <f t="shared" si="4"/>
        <v>#DIV/0!</v>
      </c>
      <c r="Y6" s="6"/>
      <c r="Z6" s="32">
        <f t="shared" si="5"/>
        <v>0</v>
      </c>
      <c r="AA6" s="18" t="e">
        <f t="shared" ref="AA6:AA7" si="19">K6</f>
        <v>#DIV/0!</v>
      </c>
      <c r="AB6" s="37">
        <f t="shared" ref="AB6:AB7" si="20">P6-Q6</f>
        <v>0</v>
      </c>
      <c r="AC6" s="37" t="e">
        <f t="shared" si="6"/>
        <v>#DIV/0!</v>
      </c>
      <c r="AD6" s="37" t="e">
        <f t="shared" si="7"/>
        <v>#DIV/0!</v>
      </c>
      <c r="AE6" s="33" t="e">
        <f t="shared" si="8"/>
        <v>#DIV/0!</v>
      </c>
      <c r="AF6" s="33" t="e">
        <f t="shared" si="9"/>
        <v>#DIV/0!</v>
      </c>
      <c r="AG6" s="33" t="e">
        <f t="shared" ref="AG6:AG7" si="21">AE6+AF6</f>
        <v>#DIV/0!</v>
      </c>
      <c r="AH6" s="37">
        <f t="shared" si="10"/>
        <v>0</v>
      </c>
      <c r="AI6" s="37" t="e">
        <f t="shared" si="11"/>
        <v>#DIV/0!</v>
      </c>
      <c r="AJ6" s="37" t="e">
        <f t="shared" si="12"/>
        <v>#DIV/0!</v>
      </c>
      <c r="AK6" s="30" t="str">
        <f t="shared" ref="AK6:AK8" si="22">IF(AH6=0,"N/A",AJ6/AH6)</f>
        <v>N/A</v>
      </c>
    </row>
    <row r="7" spans="1:37" s="40" customFormat="1" ht="15" customHeight="1">
      <c r="A7" s="2"/>
      <c r="B7" s="2"/>
      <c r="C7" s="2"/>
      <c r="D7" s="3"/>
      <c r="E7" s="3"/>
      <c r="F7" s="4"/>
      <c r="G7" s="17"/>
      <c r="H7" s="18"/>
      <c r="I7" s="6">
        <f t="shared" si="13"/>
        <v>0</v>
      </c>
      <c r="J7" s="6"/>
      <c r="K7" s="18" t="e">
        <f t="shared" si="14"/>
        <v>#DIV/0!</v>
      </c>
      <c r="L7" s="5" t="e">
        <f t="shared" si="0"/>
        <v>#DIV/0!</v>
      </c>
      <c r="M7" s="5"/>
      <c r="N7" s="31" t="e">
        <f t="shared" si="15"/>
        <v>#DIV/0!</v>
      </c>
      <c r="O7" s="6"/>
      <c r="P7" s="6">
        <f t="shared" si="16"/>
        <v>0</v>
      </c>
      <c r="Q7" s="6"/>
      <c r="R7" s="32" t="e">
        <f t="shared" si="1"/>
        <v>#DIV/0!</v>
      </c>
      <c r="S7" s="32" t="e">
        <f t="shared" si="17"/>
        <v>#DIV/0!</v>
      </c>
      <c r="T7" s="32" t="e">
        <f t="shared" si="18"/>
        <v>#DIV/0!</v>
      </c>
      <c r="U7" s="6"/>
      <c r="V7" s="32" t="e">
        <f t="shared" si="2"/>
        <v>#DIV/0!</v>
      </c>
      <c r="W7" s="32" t="e">
        <f t="shared" si="3"/>
        <v>#DIV/0!</v>
      </c>
      <c r="X7" s="32" t="e">
        <f t="shared" si="4"/>
        <v>#DIV/0!</v>
      </c>
      <c r="Y7" s="6"/>
      <c r="Z7" s="32">
        <f t="shared" si="5"/>
        <v>0</v>
      </c>
      <c r="AA7" s="18" t="e">
        <f t="shared" si="19"/>
        <v>#DIV/0!</v>
      </c>
      <c r="AB7" s="37">
        <f t="shared" si="20"/>
        <v>0</v>
      </c>
      <c r="AC7" s="37" t="e">
        <f t="shared" si="6"/>
        <v>#DIV/0!</v>
      </c>
      <c r="AD7" s="37" t="e">
        <f t="shared" si="7"/>
        <v>#DIV/0!</v>
      </c>
      <c r="AE7" s="33" t="e">
        <f t="shared" si="8"/>
        <v>#DIV/0!</v>
      </c>
      <c r="AF7" s="33" t="e">
        <f t="shared" si="9"/>
        <v>#DIV/0!</v>
      </c>
      <c r="AG7" s="33" t="e">
        <f t="shared" si="21"/>
        <v>#DIV/0!</v>
      </c>
      <c r="AH7" s="37">
        <f t="shared" si="10"/>
        <v>0</v>
      </c>
      <c r="AI7" s="37" t="e">
        <f t="shared" si="11"/>
        <v>#DIV/0!</v>
      </c>
      <c r="AJ7" s="37" t="e">
        <f t="shared" si="12"/>
        <v>#DIV/0!</v>
      </c>
      <c r="AK7" s="30" t="str">
        <f t="shared" si="22"/>
        <v>N/A</v>
      </c>
    </row>
    <row r="8" spans="1:37" ht="15" customHeight="1">
      <c r="A8" s="7"/>
      <c r="B8" s="7"/>
      <c r="C8" s="7"/>
      <c r="D8" s="7"/>
      <c r="E8" s="7"/>
      <c r="F8" s="8" t="s">
        <v>31</v>
      </c>
      <c r="G8" s="16">
        <f>SUM(G5:G7)</f>
        <v>0</v>
      </c>
      <c r="H8" s="19"/>
      <c r="I8" s="16">
        <f>SUM(I5:I7)</f>
        <v>0</v>
      </c>
      <c r="J8" s="16">
        <f>SUM(J5:J7)</f>
        <v>0</v>
      </c>
      <c r="K8" s="19" t="e">
        <f>J8/G8</f>
        <v>#DIV/0!</v>
      </c>
      <c r="L8" s="10" t="e">
        <f>J8/I8</f>
        <v>#DIV/0!</v>
      </c>
      <c r="M8" s="10"/>
      <c r="N8" s="10"/>
      <c r="O8" s="16">
        <f t="shared" ref="O8:Y8" si="23">SUM(O5:O7)</f>
        <v>0</v>
      </c>
      <c r="P8" s="16">
        <f t="shared" si="23"/>
        <v>0</v>
      </c>
      <c r="Q8" s="16">
        <f t="shared" si="23"/>
        <v>0</v>
      </c>
      <c r="R8" s="16" t="e">
        <f t="shared" si="23"/>
        <v>#DIV/0!</v>
      </c>
      <c r="S8" s="16" t="e">
        <f t="shared" si="23"/>
        <v>#DIV/0!</v>
      </c>
      <c r="T8" s="16" t="e">
        <f t="shared" si="23"/>
        <v>#DIV/0!</v>
      </c>
      <c r="U8" s="16">
        <f t="shared" si="23"/>
        <v>0</v>
      </c>
      <c r="V8" s="16" t="e">
        <f t="shared" si="23"/>
        <v>#DIV/0!</v>
      </c>
      <c r="W8" s="16" t="e">
        <f t="shared" si="23"/>
        <v>#DIV/0!</v>
      </c>
      <c r="X8" s="16" t="e">
        <f t="shared" si="23"/>
        <v>#DIV/0!</v>
      </c>
      <c r="Y8" s="16">
        <f t="shared" si="23"/>
        <v>0</v>
      </c>
      <c r="Z8" s="16"/>
      <c r="AA8" s="19"/>
      <c r="AB8" s="38">
        <f>SUM(AB5:AB7)</f>
        <v>0</v>
      </c>
      <c r="AC8" s="38" t="e">
        <f>SUM(AC5:AC7)</f>
        <v>#DIV/0!</v>
      </c>
      <c r="AD8" s="38" t="e">
        <f>SUM(AD5:AD7)</f>
        <v>#DIV/0!</v>
      </c>
      <c r="AE8" s="9"/>
      <c r="AF8" s="16"/>
      <c r="AG8" s="16"/>
      <c r="AH8" s="38">
        <f>SUM(AH5:AH7)</f>
        <v>0</v>
      </c>
      <c r="AI8" s="38" t="e">
        <f>SUM(AI5:AI7)</f>
        <v>#DIV/0!</v>
      </c>
      <c r="AJ8" s="38" t="e">
        <f>SUM(AJ5:AJ7)</f>
        <v>#DIV/0!</v>
      </c>
      <c r="AK8" s="39" t="str">
        <f t="shared" si="22"/>
        <v>N/A</v>
      </c>
    </row>
    <row r="9" spans="1:37" ht="15" customHeight="1">
      <c r="B9" s="15"/>
      <c r="H9" s="1"/>
      <c r="I9" s="1"/>
      <c r="R9" s="1"/>
      <c r="S9" s="1"/>
      <c r="V9" s="1"/>
      <c r="W9" s="1"/>
      <c r="Y9" s="1"/>
    </row>
  </sheetData>
  <mergeCells count="11">
    <mergeCell ref="R3:U3"/>
    <mergeCell ref="V3:Z3"/>
    <mergeCell ref="AA3:AD3"/>
    <mergeCell ref="AE3:AG3"/>
    <mergeCell ref="AH3:AK3"/>
    <mergeCell ref="A3:C3"/>
    <mergeCell ref="D3:E3"/>
    <mergeCell ref="F3:I3"/>
    <mergeCell ref="J3:L3"/>
    <mergeCell ref="M3:N3"/>
    <mergeCell ref="O3:Q3"/>
  </mergeCells>
  <phoneticPr fontId="2"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42"/>
  <sheetViews>
    <sheetView zoomScaleNormal="100" workbookViewId="0">
      <selection activeCell="B4" sqref="B4:C4"/>
    </sheetView>
  </sheetViews>
  <sheetFormatPr defaultRowHeight="16.5"/>
  <cols>
    <col min="1" max="1" width="11.25" customWidth="1"/>
    <col min="2" max="2" width="12.25" customWidth="1"/>
    <col min="3" max="3" width="90.625" customWidth="1"/>
  </cols>
  <sheetData>
    <row r="1" spans="1:3" ht="20.25">
      <c r="A1" s="27" t="s">
        <v>61</v>
      </c>
    </row>
    <row r="3" spans="1:3" ht="16.5" customHeight="1">
      <c r="A3" s="26" t="s">
        <v>62</v>
      </c>
      <c r="B3" s="59" t="s">
        <v>63</v>
      </c>
      <c r="C3" s="60"/>
    </row>
    <row r="4" spans="1:3" ht="140.1" customHeight="1">
      <c r="A4" s="26" t="s">
        <v>64</v>
      </c>
      <c r="B4" s="67" t="s">
        <v>65</v>
      </c>
      <c r="C4" s="68"/>
    </row>
    <row r="5" spans="1:3">
      <c r="A5" s="25" t="s">
        <v>66</v>
      </c>
      <c r="B5" s="25"/>
      <c r="C5" s="25"/>
    </row>
    <row r="6" spans="1:3">
      <c r="A6" s="61" t="s">
        <v>18</v>
      </c>
      <c r="B6" s="26" t="s">
        <v>8</v>
      </c>
      <c r="C6" s="64" t="s">
        <v>67</v>
      </c>
    </row>
    <row r="7" spans="1:3">
      <c r="A7" s="62"/>
      <c r="B7" s="26" t="s">
        <v>9</v>
      </c>
      <c r="C7" s="65"/>
    </row>
    <row r="8" spans="1:3">
      <c r="A8" s="63"/>
      <c r="B8" s="26" t="s">
        <v>10</v>
      </c>
      <c r="C8" s="65"/>
    </row>
    <row r="9" spans="1:3">
      <c r="A9" s="61" t="s">
        <v>19</v>
      </c>
      <c r="B9" s="26" t="s">
        <v>21</v>
      </c>
      <c r="C9" s="65"/>
    </row>
    <row r="10" spans="1:3">
      <c r="A10" s="63"/>
      <c r="B10" s="26" t="s">
        <v>22</v>
      </c>
      <c r="C10" s="65"/>
    </row>
    <row r="11" spans="1:3" ht="16.5" customHeight="1">
      <c r="A11" s="61" t="s">
        <v>20</v>
      </c>
      <c r="B11" s="26" t="s">
        <v>23</v>
      </c>
      <c r="C11" s="66"/>
    </row>
    <row r="12" spans="1:3" ht="33">
      <c r="A12" s="62"/>
      <c r="B12" s="26" t="s">
        <v>24</v>
      </c>
      <c r="C12" s="44" t="s">
        <v>68</v>
      </c>
    </row>
    <row r="13" spans="1:3">
      <c r="A13" s="62"/>
      <c r="B13" s="26" t="s">
        <v>25</v>
      </c>
      <c r="C13" s="45" t="s">
        <v>69</v>
      </c>
    </row>
    <row r="14" spans="1:3">
      <c r="A14" s="63"/>
      <c r="B14" s="26" t="s">
        <v>26</v>
      </c>
      <c r="C14" s="46" t="s">
        <v>70</v>
      </c>
    </row>
    <row r="15" spans="1:3" ht="99">
      <c r="A15" s="61" t="s">
        <v>16</v>
      </c>
      <c r="B15" s="26" t="s">
        <v>71</v>
      </c>
      <c r="C15" s="44" t="s">
        <v>72</v>
      </c>
    </row>
    <row r="16" spans="1:3">
      <c r="A16" s="62"/>
      <c r="B16" s="26" t="s">
        <v>27</v>
      </c>
      <c r="C16" s="46" t="s">
        <v>70</v>
      </c>
    </row>
    <row r="17" spans="1:3">
      <c r="A17" s="63"/>
      <c r="B17" s="26" t="s">
        <v>73</v>
      </c>
      <c r="C17" s="46" t="s">
        <v>70</v>
      </c>
    </row>
    <row r="18" spans="1:3" ht="16.5" customHeight="1">
      <c r="A18" s="61" t="s">
        <v>74</v>
      </c>
      <c r="B18" s="34" t="s">
        <v>75</v>
      </c>
      <c r="C18" s="24" t="s">
        <v>76</v>
      </c>
    </row>
    <row r="19" spans="1:3" ht="16.5" customHeight="1">
      <c r="A19" s="63"/>
      <c r="B19" s="34" t="s">
        <v>77</v>
      </c>
      <c r="C19" s="46" t="s">
        <v>70</v>
      </c>
    </row>
    <row r="20" spans="1:3" ht="33">
      <c r="A20" s="61" t="s">
        <v>78</v>
      </c>
      <c r="B20" s="34" t="s">
        <v>79</v>
      </c>
      <c r="C20" s="47" t="s">
        <v>80</v>
      </c>
    </row>
    <row r="21" spans="1:3" ht="49.5">
      <c r="A21" s="62"/>
      <c r="B21" s="26" t="s">
        <v>28</v>
      </c>
      <c r="C21" s="47" t="s">
        <v>81</v>
      </c>
    </row>
    <row r="22" spans="1:3" ht="66">
      <c r="A22" s="63"/>
      <c r="B22" s="26" t="s">
        <v>29</v>
      </c>
      <c r="C22" s="44" t="s">
        <v>82</v>
      </c>
    </row>
    <row r="23" spans="1:3" ht="16.5" customHeight="1">
      <c r="A23" s="61" t="s">
        <v>83</v>
      </c>
      <c r="B23" s="26" t="s">
        <v>84</v>
      </c>
      <c r="C23" s="46" t="s">
        <v>70</v>
      </c>
    </row>
    <row r="24" spans="1:3">
      <c r="A24" s="62"/>
      <c r="B24" s="26" t="s">
        <v>85</v>
      </c>
      <c r="C24" s="46" t="s">
        <v>70</v>
      </c>
    </row>
    <row r="25" spans="1:3">
      <c r="A25" s="62"/>
      <c r="B25" s="26" t="s">
        <v>86</v>
      </c>
      <c r="C25" s="46" t="s">
        <v>70</v>
      </c>
    </row>
    <row r="26" spans="1:3" ht="99">
      <c r="A26" s="63"/>
      <c r="B26" s="26" t="s">
        <v>87</v>
      </c>
      <c r="C26" s="44" t="s">
        <v>88</v>
      </c>
    </row>
    <row r="27" spans="1:3" ht="16.5" customHeight="1">
      <c r="A27" s="61" t="s">
        <v>89</v>
      </c>
      <c r="B27" s="26" t="s">
        <v>84</v>
      </c>
      <c r="C27" s="46" t="s">
        <v>70</v>
      </c>
    </row>
    <row r="28" spans="1:3">
      <c r="A28" s="62"/>
      <c r="B28" s="26" t="s">
        <v>85</v>
      </c>
      <c r="C28" s="46" t="s">
        <v>70</v>
      </c>
    </row>
    <row r="29" spans="1:3">
      <c r="A29" s="62"/>
      <c r="B29" s="26" t="s">
        <v>86</v>
      </c>
      <c r="C29" s="46" t="s">
        <v>70</v>
      </c>
    </row>
    <row r="30" spans="1:3" ht="99">
      <c r="A30" s="62"/>
      <c r="B30" s="26" t="s">
        <v>87</v>
      </c>
      <c r="C30" s="44" t="s">
        <v>90</v>
      </c>
    </row>
    <row r="31" spans="1:3">
      <c r="A31" s="63"/>
      <c r="B31" s="26" t="s">
        <v>91</v>
      </c>
      <c r="C31" s="46" t="s">
        <v>70</v>
      </c>
    </row>
    <row r="32" spans="1:3" ht="16.5" customHeight="1">
      <c r="A32" s="61" t="s">
        <v>92</v>
      </c>
      <c r="B32" s="26" t="s">
        <v>93</v>
      </c>
      <c r="C32" s="46" t="s">
        <v>70</v>
      </c>
    </row>
    <row r="33" spans="1:3" ht="16.5" customHeight="1">
      <c r="A33" s="62"/>
      <c r="B33" s="26" t="s">
        <v>94</v>
      </c>
      <c r="C33" s="46" t="s">
        <v>70</v>
      </c>
    </row>
    <row r="34" spans="1:3" ht="16.5" customHeight="1">
      <c r="A34" s="62"/>
      <c r="B34" s="26" t="s">
        <v>95</v>
      </c>
      <c r="C34" s="46" t="s">
        <v>70</v>
      </c>
    </row>
    <row r="35" spans="1:3" ht="16.5" customHeight="1">
      <c r="A35" s="63"/>
      <c r="B35" s="26" t="s">
        <v>96</v>
      </c>
      <c r="C35" s="46" t="s">
        <v>70</v>
      </c>
    </row>
    <row r="36" spans="1:3" ht="16.5" customHeight="1">
      <c r="A36" s="61" t="s">
        <v>97</v>
      </c>
      <c r="B36" s="26" t="s">
        <v>93</v>
      </c>
      <c r="C36" s="46" t="s">
        <v>70</v>
      </c>
    </row>
    <row r="37" spans="1:3">
      <c r="A37" s="62"/>
      <c r="B37" s="26" t="s">
        <v>98</v>
      </c>
      <c r="C37" s="46" t="s">
        <v>70</v>
      </c>
    </row>
    <row r="38" spans="1:3">
      <c r="A38" s="63"/>
      <c r="B38" s="26" t="s">
        <v>99</v>
      </c>
      <c r="C38" s="46" t="s">
        <v>70</v>
      </c>
    </row>
    <row r="39" spans="1:3" ht="16.5" customHeight="1">
      <c r="A39" s="61" t="s">
        <v>100</v>
      </c>
      <c r="B39" s="26" t="s">
        <v>101</v>
      </c>
      <c r="C39" s="46" t="s">
        <v>70</v>
      </c>
    </row>
    <row r="40" spans="1:3">
      <c r="A40" s="62"/>
      <c r="B40" s="26" t="s">
        <v>102</v>
      </c>
      <c r="C40" s="46" t="s">
        <v>70</v>
      </c>
    </row>
    <row r="41" spans="1:3">
      <c r="A41" s="62"/>
      <c r="B41" s="26" t="s">
        <v>103</v>
      </c>
      <c r="C41" s="46" t="s">
        <v>70</v>
      </c>
    </row>
    <row r="42" spans="1:3">
      <c r="A42" s="63"/>
      <c r="B42" s="26" t="s">
        <v>104</v>
      </c>
      <c r="C42" s="46" t="s">
        <v>70</v>
      </c>
    </row>
  </sheetData>
  <mergeCells count="14">
    <mergeCell ref="A36:A38"/>
    <mergeCell ref="A39:A42"/>
    <mergeCell ref="A15:A17"/>
    <mergeCell ref="A18:A19"/>
    <mergeCell ref="A20:A22"/>
    <mergeCell ref="A23:A26"/>
    <mergeCell ref="A27:A31"/>
    <mergeCell ref="A32:A35"/>
    <mergeCell ref="B3:C3"/>
    <mergeCell ref="B4:C4"/>
    <mergeCell ref="A6:A8"/>
    <mergeCell ref="C6:C11"/>
    <mergeCell ref="A9:A10"/>
    <mergeCell ref="A11:A14"/>
  </mergeCells>
  <phoneticPr fontId="2" type="noConversion"/>
  <pageMargins left="0.39370078740157483" right="0.39370078740157483" top="0.74803149606299213" bottom="0.74803149606299213" header="0.31496062992125984" footer="0.31496062992125984"/>
  <pageSetup paperSize="9" scale="76" fitToHeight="2"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7</vt:i4>
      </vt:variant>
    </vt:vector>
  </HeadingPairs>
  <TitlesOfParts>
    <vt:vector size="7" baseType="lpstr">
      <vt:lpstr>오더별 진행정보 및 원재료 수불내역</vt:lpstr>
      <vt:lpstr>NSR오더별 진행정보 및 원재료 수불내역</vt:lpstr>
      <vt:lpstr>FOB오더리스트</vt:lpstr>
      <vt:lpstr>Cancel</vt:lpstr>
      <vt:lpstr>상품매출오더리스트</vt:lpstr>
      <vt:lpstr>Sample PO</vt:lpstr>
      <vt:lpstr>산출방식</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bhyoo</dc:creator>
  <cp:lastModifiedBy>window</cp:lastModifiedBy>
  <cp:lastPrinted>2017-12-13T07:23:45Z</cp:lastPrinted>
  <dcterms:created xsi:type="dcterms:W3CDTF">2017-08-08T09:26:11Z</dcterms:created>
  <dcterms:modified xsi:type="dcterms:W3CDTF">2020-02-05T02:47:47Z</dcterms:modified>
</cp:coreProperties>
</file>