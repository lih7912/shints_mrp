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60" windowWidth="10455" windowHeight="7275" tabRatio="889" activeTab="1"/>
  </bookViews>
  <sheets>
    <sheet name="월 별 수출입운임비교" sheetId="11" r:id="rId1"/>
    <sheet name="공장별 수출운임비교" sheetId="13" r:id="rId2"/>
    <sheet name="공장별 수입운임비교" sheetId="14" r:id="rId3"/>
  </sheets>
  <calcPr calcId="144525"/>
</workbook>
</file>

<file path=xl/calcChain.xml><?xml version="1.0" encoding="utf-8"?>
<calcChain xmlns="http://schemas.openxmlformats.org/spreadsheetml/2006/main">
  <c r="AA71" i="14" l="1"/>
  <c r="Y71" i="14"/>
  <c r="W71" i="14"/>
  <c r="U71" i="14"/>
  <c r="S71" i="14"/>
  <c r="Q71" i="14"/>
  <c r="O71" i="14"/>
  <c r="M71" i="14"/>
  <c r="K71" i="14"/>
  <c r="I71" i="14"/>
  <c r="G71" i="14"/>
  <c r="E71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A38" i="14"/>
  <c r="Y38" i="14"/>
  <c r="W38" i="14"/>
  <c r="U38" i="14"/>
  <c r="S38" i="14"/>
  <c r="Q38" i="14"/>
  <c r="O38" i="14"/>
  <c r="M38" i="14"/>
  <c r="K38" i="14"/>
  <c r="I38" i="14"/>
  <c r="G38" i="14"/>
  <c r="E38" i="14"/>
  <c r="AA37" i="14"/>
  <c r="Y37" i="14"/>
  <c r="W37" i="14"/>
  <c r="U37" i="14"/>
  <c r="S37" i="14"/>
  <c r="Q37" i="14"/>
  <c r="O37" i="14"/>
  <c r="M37" i="14"/>
  <c r="K37" i="14"/>
  <c r="I37" i="14"/>
  <c r="G37" i="14"/>
  <c r="E37" i="14"/>
  <c r="AA5" i="14"/>
  <c r="AA4" i="14"/>
  <c r="Y5" i="14"/>
  <c r="Y4" i="14"/>
  <c r="W5" i="14"/>
  <c r="W4" i="14"/>
  <c r="U5" i="14"/>
  <c r="U4" i="14"/>
  <c r="S5" i="14"/>
  <c r="S4" i="14"/>
  <c r="Q5" i="14"/>
  <c r="Q4" i="14"/>
  <c r="O5" i="14"/>
  <c r="O4" i="14"/>
  <c r="M5" i="14"/>
  <c r="M4" i="14"/>
  <c r="K5" i="14"/>
  <c r="K4" i="14"/>
  <c r="I5" i="14"/>
  <c r="I4" i="14"/>
  <c r="G5" i="14"/>
  <c r="G4" i="14"/>
  <c r="E5" i="14"/>
  <c r="E4" i="14"/>
  <c r="AA71" i="13"/>
  <c r="Y71" i="13"/>
  <c r="W71" i="13"/>
  <c r="U71" i="13"/>
  <c r="S71" i="13"/>
  <c r="Q71" i="13"/>
  <c r="O71" i="13"/>
  <c r="M71" i="13"/>
  <c r="K71" i="13"/>
  <c r="I71" i="13"/>
  <c r="G71" i="13"/>
  <c r="E71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AA38" i="13"/>
  <c r="Y38" i="13"/>
  <c r="W38" i="13"/>
  <c r="U38" i="13"/>
  <c r="S38" i="13"/>
  <c r="Q38" i="13"/>
  <c r="O38" i="13"/>
  <c r="M38" i="13"/>
  <c r="K38" i="13"/>
  <c r="I38" i="13"/>
  <c r="G38" i="13"/>
  <c r="E38" i="13"/>
  <c r="AA37" i="13"/>
  <c r="Y37" i="13"/>
  <c r="W37" i="13"/>
  <c r="U37" i="13"/>
  <c r="S37" i="13"/>
  <c r="Q37" i="13"/>
  <c r="O37" i="13"/>
  <c r="M37" i="13"/>
  <c r="K37" i="13"/>
  <c r="I37" i="13"/>
  <c r="G37" i="13"/>
  <c r="E37" i="13"/>
  <c r="AA5" i="13"/>
  <c r="AA4" i="13"/>
  <c r="Y5" i="13"/>
  <c r="Y4" i="13"/>
  <c r="W5" i="13"/>
  <c r="W4" i="13"/>
  <c r="U5" i="13"/>
  <c r="U4" i="13"/>
  <c r="S5" i="13"/>
  <c r="S4" i="13"/>
  <c r="Q5" i="13"/>
  <c r="Q4" i="13"/>
  <c r="O5" i="13"/>
  <c r="O4" i="13"/>
  <c r="M5" i="13"/>
  <c r="M4" i="13"/>
  <c r="K5" i="13"/>
  <c r="K4" i="13"/>
  <c r="I5" i="13"/>
  <c r="I4" i="13"/>
  <c r="G5" i="13"/>
  <c r="G4" i="13"/>
  <c r="E5" i="13"/>
  <c r="E4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AB81" i="13"/>
  <c r="AA81" i="13"/>
  <c r="Z81" i="13"/>
  <c r="Y81" i="13"/>
  <c r="X81" i="13"/>
  <c r="W81" i="13"/>
  <c r="V81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G81" i="13"/>
  <c r="F81" i="13"/>
  <c r="E81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AB66" i="13"/>
  <c r="AA66" i="13"/>
  <c r="Z66" i="13"/>
  <c r="Y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AB63" i="13"/>
  <c r="AA63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16" i="13"/>
  <c r="D17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C40" i="13"/>
  <c r="D40" i="13"/>
  <c r="C41" i="13"/>
  <c r="D41" i="13"/>
  <c r="C42" i="13"/>
  <c r="D42" i="13"/>
  <c r="C43" i="13"/>
  <c r="D43" i="13"/>
  <c r="C44" i="13"/>
  <c r="D44" i="13"/>
  <c r="C45" i="13"/>
  <c r="D45" i="13"/>
  <c r="C46" i="13"/>
  <c r="D46" i="13"/>
  <c r="C47" i="13"/>
  <c r="D47" i="13"/>
  <c r="C48" i="13"/>
  <c r="D48" i="13"/>
  <c r="C49" i="13"/>
  <c r="D49" i="13"/>
  <c r="C50" i="13"/>
  <c r="D50" i="13"/>
  <c r="C51" i="13"/>
  <c r="D51" i="13"/>
  <c r="C52" i="13"/>
  <c r="D52" i="13"/>
  <c r="C53" i="13"/>
  <c r="D53" i="13"/>
  <c r="C54" i="13"/>
  <c r="D54" i="13"/>
  <c r="C55" i="13"/>
  <c r="D55" i="13"/>
  <c r="C56" i="13"/>
  <c r="D56" i="13"/>
  <c r="C57" i="13"/>
  <c r="D57" i="13"/>
  <c r="C58" i="13"/>
  <c r="D58" i="13"/>
  <c r="C59" i="13"/>
  <c r="D59" i="13"/>
  <c r="C60" i="13"/>
  <c r="D60" i="13"/>
  <c r="C61" i="13"/>
  <c r="D61" i="13"/>
  <c r="C62" i="13"/>
  <c r="D62" i="13"/>
  <c r="C63" i="13"/>
  <c r="D63" i="13"/>
  <c r="C64" i="13"/>
  <c r="D64" i="13"/>
  <c r="C65" i="13"/>
  <c r="D65" i="13"/>
  <c r="C66" i="13"/>
  <c r="D66" i="13"/>
  <c r="F82" i="11"/>
  <c r="C19" i="13"/>
  <c r="D19" i="13"/>
  <c r="C20" i="13"/>
  <c r="D20" i="13"/>
  <c r="C21" i="13"/>
  <c r="D21" i="13"/>
  <c r="E12" i="11"/>
  <c r="F12" i="11"/>
  <c r="E14" i="11"/>
  <c r="E19" i="11"/>
  <c r="F19" i="11"/>
  <c r="E21" i="11"/>
  <c r="E26" i="11"/>
  <c r="F26" i="11"/>
  <c r="E28" i="11"/>
  <c r="E33" i="11"/>
  <c r="F33" i="11"/>
  <c r="E35" i="11"/>
  <c r="E40" i="11"/>
  <c r="F40" i="11"/>
  <c r="E42" i="11"/>
  <c r="E47" i="11"/>
  <c r="F47" i="11"/>
  <c r="E49" i="11"/>
  <c r="E54" i="11"/>
  <c r="F54" i="11"/>
  <c r="E56" i="11"/>
  <c r="E61" i="11"/>
  <c r="F61" i="11"/>
  <c r="E63" i="11"/>
  <c r="E68" i="11"/>
  <c r="F68" i="11"/>
  <c r="E70" i="11"/>
  <c r="E75" i="11"/>
  <c r="F75" i="11"/>
  <c r="E77" i="11"/>
  <c r="E82" i="11"/>
  <c r="E84" i="11"/>
  <c r="E89" i="11"/>
  <c r="F89" i="11"/>
  <c r="E91" i="11"/>
  <c r="C12" i="11"/>
  <c r="D12" i="11"/>
  <c r="C14" i="11"/>
  <c r="C19" i="11"/>
  <c r="D19" i="11"/>
  <c r="C21" i="11"/>
  <c r="C26" i="11"/>
  <c r="D26" i="11"/>
  <c r="C28" i="11"/>
  <c r="C33" i="11"/>
  <c r="D33" i="11"/>
  <c r="C35" i="11"/>
  <c r="C40" i="11"/>
  <c r="D40" i="11"/>
  <c r="C42" i="11"/>
  <c r="C47" i="11"/>
  <c r="D47" i="11"/>
  <c r="C49" i="11"/>
  <c r="C54" i="11"/>
  <c r="D54" i="11"/>
  <c r="C56" i="11"/>
  <c r="C61" i="11"/>
  <c r="D61" i="11"/>
  <c r="C63" i="11"/>
  <c r="C68" i="11"/>
  <c r="D68" i="11"/>
  <c r="C70" i="11"/>
  <c r="C75" i="11"/>
  <c r="D75" i="11"/>
  <c r="C77" i="11"/>
  <c r="C82" i="11"/>
  <c r="D82" i="11"/>
  <c r="C84" i="11"/>
  <c r="C89" i="11"/>
  <c r="D89" i="11"/>
  <c r="C91" i="11"/>
  <c r="E13" i="11"/>
  <c r="E20" i="11"/>
  <c r="E27" i="11"/>
  <c r="E34" i="11"/>
  <c r="E41" i="11"/>
  <c r="E48" i="11"/>
  <c r="E55" i="11"/>
  <c r="E62" i="11"/>
  <c r="E69" i="11"/>
  <c r="E76" i="11"/>
  <c r="E83" i="11"/>
  <c r="E90" i="11"/>
  <c r="E96" i="11"/>
  <c r="C13" i="11"/>
  <c r="C20" i="11"/>
  <c r="C96" i="11"/>
  <c r="I96" i="11"/>
  <c r="C27" i="11"/>
  <c r="C34" i="11"/>
  <c r="C41" i="11"/>
  <c r="C48" i="11"/>
  <c r="C55" i="11"/>
  <c r="C62" i="11"/>
  <c r="C69" i="11"/>
  <c r="C76" i="11"/>
  <c r="C83" i="11"/>
  <c r="C90" i="11"/>
  <c r="F95" i="11"/>
  <c r="D95" i="11"/>
  <c r="H95" i="11"/>
  <c r="E95" i="11"/>
  <c r="C95" i="11"/>
  <c r="G95" i="11"/>
  <c r="F94" i="11"/>
  <c r="D94" i="11"/>
  <c r="H94" i="11"/>
  <c r="E94" i="11"/>
  <c r="C94" i="11"/>
  <c r="G94" i="11"/>
  <c r="F93" i="11"/>
  <c r="D93" i="11"/>
  <c r="H93" i="11"/>
  <c r="E93" i="11"/>
  <c r="C93" i="11"/>
  <c r="G93" i="11"/>
  <c r="F92" i="11"/>
  <c r="D92" i="11"/>
  <c r="H92" i="11"/>
  <c r="E92" i="11"/>
  <c r="C92" i="11"/>
  <c r="G92" i="11"/>
  <c r="J4" i="11"/>
  <c r="H88" i="11"/>
  <c r="G88" i="11"/>
  <c r="H87" i="11"/>
  <c r="G87" i="11"/>
  <c r="H86" i="11"/>
  <c r="G86" i="11"/>
  <c r="H85" i="11"/>
  <c r="G85" i="11"/>
  <c r="H81" i="11"/>
  <c r="G81" i="11"/>
  <c r="H80" i="11"/>
  <c r="G80" i="11"/>
  <c r="H79" i="11"/>
  <c r="G79" i="11"/>
  <c r="H78" i="11"/>
  <c r="G78" i="11"/>
  <c r="H74" i="11"/>
  <c r="G74" i="11"/>
  <c r="H73" i="11"/>
  <c r="G73" i="11"/>
  <c r="H72" i="11"/>
  <c r="G72" i="11"/>
  <c r="H71" i="11"/>
  <c r="G71" i="11"/>
  <c r="H67" i="11"/>
  <c r="G67" i="11"/>
  <c r="H66" i="11"/>
  <c r="G66" i="11"/>
  <c r="H65" i="11"/>
  <c r="G65" i="11"/>
  <c r="H64" i="11"/>
  <c r="G64" i="11"/>
  <c r="H60" i="11"/>
  <c r="G60" i="11"/>
  <c r="H59" i="11"/>
  <c r="G59" i="11"/>
  <c r="H58" i="11"/>
  <c r="G58" i="11"/>
  <c r="H57" i="11"/>
  <c r="G57" i="11"/>
  <c r="H53" i="11"/>
  <c r="G53" i="11"/>
  <c r="H52" i="11"/>
  <c r="G52" i="11"/>
  <c r="H51" i="11"/>
  <c r="G51" i="11"/>
  <c r="H50" i="11"/>
  <c r="G50" i="11"/>
  <c r="H46" i="11"/>
  <c r="G46" i="11"/>
  <c r="H45" i="11"/>
  <c r="G45" i="11"/>
  <c r="H44" i="11"/>
  <c r="G44" i="11"/>
  <c r="H43" i="11"/>
  <c r="G43" i="11"/>
  <c r="H39" i="11"/>
  <c r="G39" i="11"/>
  <c r="H38" i="11"/>
  <c r="G38" i="11"/>
  <c r="H37" i="11"/>
  <c r="G37" i="11"/>
  <c r="H36" i="11"/>
  <c r="G36" i="11"/>
  <c r="H32" i="11"/>
  <c r="G32" i="11"/>
  <c r="H31" i="11"/>
  <c r="G31" i="11"/>
  <c r="H30" i="11"/>
  <c r="G30" i="11"/>
  <c r="H29" i="11"/>
  <c r="G29" i="11"/>
  <c r="I90" i="11"/>
  <c r="I84" i="11"/>
  <c r="I83" i="11"/>
  <c r="I76" i="11"/>
  <c r="I70" i="11"/>
  <c r="I69" i="11"/>
  <c r="I62" i="11"/>
  <c r="I56" i="11"/>
  <c r="I55" i="11"/>
  <c r="I48" i="11"/>
  <c r="I42" i="11"/>
  <c r="I41" i="11"/>
  <c r="I34" i="11"/>
  <c r="I28" i="11"/>
  <c r="I27" i="11"/>
  <c r="I20" i="11"/>
  <c r="J89" i="11"/>
  <c r="I89" i="11"/>
  <c r="J82" i="11"/>
  <c r="I82" i="11"/>
  <c r="J75" i="11"/>
  <c r="I75" i="11"/>
  <c r="J68" i="11"/>
  <c r="I68" i="11"/>
  <c r="J61" i="11"/>
  <c r="I61" i="11"/>
  <c r="J54" i="11"/>
  <c r="I54" i="11"/>
  <c r="J47" i="11"/>
  <c r="I47" i="11"/>
  <c r="J40" i="11"/>
  <c r="I40" i="11"/>
  <c r="J33" i="11"/>
  <c r="I33" i="11"/>
  <c r="J26" i="11"/>
  <c r="I26" i="11"/>
  <c r="J19" i="11"/>
  <c r="I19" i="11"/>
  <c r="J12" i="11"/>
  <c r="G4" i="11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5" i="14"/>
  <c r="D94" i="14"/>
  <c r="D96" i="14"/>
  <c r="C95" i="14"/>
  <c r="C94" i="14"/>
  <c r="C96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2" i="14"/>
  <c r="D91" i="14"/>
  <c r="D93" i="14"/>
  <c r="C92" i="14"/>
  <c r="C91" i="14"/>
  <c r="C93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89" i="14"/>
  <c r="D88" i="14"/>
  <c r="D90" i="14"/>
  <c r="C89" i="14"/>
  <c r="C88" i="14"/>
  <c r="C90" i="14"/>
  <c r="C22" i="13"/>
  <c r="D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2" i="14"/>
  <c r="D61" i="14"/>
  <c r="D63" i="14"/>
  <c r="C62" i="14"/>
  <c r="C61" i="14"/>
  <c r="C63" i="14"/>
  <c r="AB60" i="14"/>
  <c r="AA60" i="14"/>
  <c r="Z60" i="14"/>
  <c r="Y60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59" i="14"/>
  <c r="D58" i="14"/>
  <c r="D60" i="14"/>
  <c r="C59" i="14"/>
  <c r="C58" i="14"/>
  <c r="C60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6" i="14"/>
  <c r="D55" i="14"/>
  <c r="D57" i="14"/>
  <c r="C56" i="14"/>
  <c r="C55" i="14"/>
  <c r="C57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29" i="14"/>
  <c r="D28" i="14"/>
  <c r="D30" i="14"/>
  <c r="C29" i="14"/>
  <c r="C28" i="14"/>
  <c r="C30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6" i="14"/>
  <c r="D25" i="14"/>
  <c r="D27" i="14"/>
  <c r="C26" i="14"/>
  <c r="C25" i="14"/>
  <c r="C27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3" i="14"/>
  <c r="D22" i="14"/>
  <c r="D24" i="14"/>
  <c r="C23" i="14"/>
  <c r="C22" i="14"/>
  <c r="C24" i="14"/>
  <c r="D95" i="13"/>
  <c r="D94" i="13"/>
  <c r="D96" i="13"/>
  <c r="C95" i="13"/>
  <c r="C94" i="13"/>
  <c r="C96" i="13"/>
  <c r="D92" i="13"/>
  <c r="D91" i="13"/>
  <c r="D93" i="13"/>
  <c r="C92" i="13"/>
  <c r="C91" i="13"/>
  <c r="C93" i="13"/>
  <c r="D89" i="13"/>
  <c r="D88" i="13"/>
  <c r="D90" i="13"/>
  <c r="C89" i="13"/>
  <c r="C88" i="13"/>
  <c r="C90" i="13"/>
  <c r="C31" i="13"/>
  <c r="D31" i="13"/>
  <c r="C32" i="13"/>
  <c r="D32" i="13"/>
  <c r="C33" i="13"/>
  <c r="D33" i="13"/>
  <c r="G90" i="11"/>
  <c r="H89" i="11"/>
  <c r="G89" i="11"/>
  <c r="G84" i="11"/>
  <c r="G83" i="11"/>
  <c r="H82" i="11"/>
  <c r="G82" i="11"/>
  <c r="G76" i="11"/>
  <c r="H75" i="11"/>
  <c r="G75" i="11"/>
  <c r="G70" i="11"/>
  <c r="G69" i="11"/>
  <c r="H68" i="11"/>
  <c r="G68" i="11"/>
  <c r="G62" i="11"/>
  <c r="H61" i="11"/>
  <c r="G61" i="11"/>
  <c r="G56" i="11"/>
  <c r="G55" i="11"/>
  <c r="H54" i="11"/>
  <c r="G54" i="11"/>
  <c r="G48" i="11"/>
  <c r="H47" i="11"/>
  <c r="G47" i="11"/>
  <c r="G42" i="11"/>
  <c r="G41" i="11"/>
  <c r="H40" i="11"/>
  <c r="G40" i="11"/>
  <c r="G34" i="11"/>
  <c r="H33" i="11"/>
  <c r="G33" i="11"/>
  <c r="G28" i="11"/>
  <c r="G27" i="11"/>
  <c r="H26" i="11"/>
  <c r="G26" i="11"/>
  <c r="H25" i="11"/>
  <c r="G25" i="11"/>
  <c r="H24" i="11"/>
  <c r="G24" i="11"/>
  <c r="H23" i="11"/>
  <c r="G23" i="11"/>
  <c r="H22" i="11"/>
  <c r="G22" i="11"/>
  <c r="G20" i="11"/>
  <c r="H19" i="11"/>
  <c r="G19" i="11"/>
  <c r="H18" i="11"/>
  <c r="G18" i="11"/>
  <c r="H17" i="11"/>
  <c r="G17" i="11"/>
  <c r="H16" i="11"/>
  <c r="G16" i="11"/>
  <c r="H15" i="11"/>
  <c r="G15" i="11"/>
  <c r="I12" i="11"/>
  <c r="I13" i="11"/>
  <c r="G13" i="11"/>
  <c r="H9" i="11"/>
  <c r="H10" i="11"/>
  <c r="H11" i="11"/>
  <c r="H12" i="11"/>
  <c r="H8" i="11"/>
  <c r="G12" i="11"/>
  <c r="G9" i="11"/>
  <c r="G10" i="11"/>
  <c r="G11" i="11"/>
  <c r="G8" i="11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2" i="14"/>
  <c r="D31" i="14"/>
  <c r="D33" i="14"/>
  <c r="C32" i="14"/>
  <c r="C31" i="14"/>
  <c r="C33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0" i="14"/>
  <c r="D19" i="14"/>
  <c r="D21" i="14"/>
  <c r="C20" i="14"/>
  <c r="C19" i="14"/>
  <c r="C21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7" i="14"/>
  <c r="D16" i="14"/>
  <c r="D18" i="14"/>
  <c r="C17" i="14"/>
  <c r="C16" i="14"/>
  <c r="C18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4" i="14"/>
  <c r="D13" i="14"/>
  <c r="D15" i="14"/>
  <c r="C14" i="14"/>
  <c r="C13" i="14"/>
  <c r="C15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1" i="14"/>
  <c r="D10" i="14"/>
  <c r="D12" i="14"/>
  <c r="C11" i="14"/>
  <c r="C10" i="14"/>
  <c r="C12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8" i="14"/>
  <c r="D7" i="14"/>
  <c r="D9" i="14"/>
  <c r="C8" i="14"/>
  <c r="C7" i="14"/>
  <c r="C9" i="14"/>
  <c r="AA6" i="14"/>
  <c r="Y6" i="14"/>
  <c r="W6" i="14"/>
  <c r="U6" i="14"/>
  <c r="S6" i="14"/>
  <c r="Q6" i="14"/>
  <c r="O6" i="14"/>
  <c r="M6" i="14"/>
  <c r="K6" i="14"/>
  <c r="I6" i="14"/>
  <c r="G6" i="14"/>
  <c r="E6" i="14"/>
  <c r="C5" i="14"/>
  <c r="C4" i="14"/>
  <c r="C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5" i="14"/>
  <c r="D64" i="14"/>
  <c r="D66" i="14"/>
  <c r="C65" i="14"/>
  <c r="C64" i="14"/>
  <c r="C66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3" i="14"/>
  <c r="D52" i="14"/>
  <c r="D54" i="14"/>
  <c r="C53" i="14"/>
  <c r="C52" i="14"/>
  <c r="C54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0" i="14"/>
  <c r="D49" i="14"/>
  <c r="D51" i="14"/>
  <c r="C50" i="14"/>
  <c r="C49" i="14"/>
  <c r="C51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7" i="14"/>
  <c r="D46" i="14"/>
  <c r="D48" i="14"/>
  <c r="C47" i="14"/>
  <c r="C46" i="14"/>
  <c r="C48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4" i="14"/>
  <c r="D43" i="14"/>
  <c r="D45" i="14"/>
  <c r="C44" i="14"/>
  <c r="C43" i="14"/>
  <c r="C45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1" i="14"/>
  <c r="D40" i="14"/>
  <c r="D42" i="14"/>
  <c r="C41" i="14"/>
  <c r="C40" i="14"/>
  <c r="C42" i="14"/>
  <c r="AA39" i="14"/>
  <c r="Y39" i="14"/>
  <c r="W39" i="14"/>
  <c r="U39" i="14"/>
  <c r="S39" i="14"/>
  <c r="Q39" i="14"/>
  <c r="O39" i="14"/>
  <c r="M39" i="14"/>
  <c r="K39" i="14"/>
  <c r="I39" i="14"/>
  <c r="G39" i="14"/>
  <c r="E39" i="14"/>
  <c r="C38" i="14"/>
  <c r="C37" i="14"/>
  <c r="C39" i="14"/>
  <c r="D18" i="13"/>
  <c r="C17" i="13"/>
  <c r="C16" i="13"/>
  <c r="C18" i="13"/>
  <c r="D14" i="13"/>
  <c r="D13" i="13"/>
  <c r="D15" i="13"/>
  <c r="C14" i="13"/>
  <c r="C13" i="13"/>
  <c r="C15" i="13"/>
  <c r="D11" i="13"/>
  <c r="D10" i="13"/>
  <c r="D12" i="13"/>
  <c r="C11" i="13"/>
  <c r="C10" i="13"/>
  <c r="C12" i="13"/>
  <c r="D8" i="13"/>
  <c r="D7" i="13"/>
  <c r="D9" i="13"/>
  <c r="C8" i="13"/>
  <c r="C7" i="13"/>
  <c r="C9" i="13"/>
  <c r="AA6" i="13"/>
  <c r="Y6" i="13"/>
  <c r="W6" i="13"/>
  <c r="U6" i="13"/>
  <c r="S6" i="13"/>
  <c r="Q6" i="13"/>
  <c r="O6" i="13"/>
  <c r="M6" i="13"/>
  <c r="K6" i="13"/>
  <c r="I6" i="13"/>
  <c r="G6" i="13"/>
  <c r="E6" i="13"/>
  <c r="C5" i="13"/>
  <c r="C4" i="13"/>
  <c r="C6" i="13"/>
  <c r="AA39" i="13"/>
  <c r="Y39" i="13"/>
  <c r="W39" i="13"/>
  <c r="U39" i="13"/>
  <c r="S39" i="13"/>
  <c r="Q39" i="13"/>
  <c r="O39" i="13"/>
  <c r="M39" i="13"/>
  <c r="K39" i="13"/>
  <c r="I39" i="13"/>
  <c r="G39" i="13"/>
  <c r="E39" i="13"/>
  <c r="C38" i="13"/>
  <c r="C37" i="13"/>
  <c r="C39" i="13"/>
  <c r="D98" i="13"/>
  <c r="D97" i="13"/>
  <c r="D99" i="13"/>
  <c r="C98" i="13"/>
  <c r="C97" i="13"/>
  <c r="C99" i="13"/>
  <c r="D86" i="13"/>
  <c r="D85" i="13"/>
  <c r="D87" i="13"/>
  <c r="C86" i="13"/>
  <c r="C85" i="13"/>
  <c r="C87" i="13"/>
  <c r="D83" i="13"/>
  <c r="D82" i="13"/>
  <c r="D84" i="13"/>
  <c r="C83" i="13"/>
  <c r="C82" i="13"/>
  <c r="C84" i="13"/>
  <c r="D80" i="13"/>
  <c r="D79" i="13"/>
  <c r="D81" i="13"/>
  <c r="C80" i="13"/>
  <c r="C79" i="13"/>
  <c r="C81" i="13"/>
  <c r="D77" i="13"/>
  <c r="D76" i="13"/>
  <c r="D78" i="13"/>
  <c r="C77" i="13"/>
  <c r="C76" i="13"/>
  <c r="C78" i="13"/>
  <c r="D74" i="13"/>
  <c r="D73" i="13"/>
  <c r="D75" i="13"/>
  <c r="C74" i="13"/>
  <c r="C73" i="13"/>
  <c r="C75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C71" i="13"/>
  <c r="C70" i="13"/>
  <c r="C72" i="13"/>
  <c r="D98" i="14"/>
  <c r="D97" i="14"/>
  <c r="D86" i="14"/>
  <c r="D85" i="14"/>
  <c r="D83" i="14"/>
  <c r="D82" i="14"/>
  <c r="D80" i="14"/>
  <c r="D79" i="14"/>
  <c r="C98" i="14"/>
  <c r="C97" i="14"/>
  <c r="C86" i="14"/>
  <c r="C85" i="14"/>
  <c r="C83" i="14"/>
  <c r="C82" i="14"/>
  <c r="C80" i="14"/>
  <c r="C79" i="14"/>
  <c r="D77" i="14"/>
  <c r="D76" i="14"/>
  <c r="D78" i="14"/>
  <c r="C77" i="14"/>
  <c r="C76" i="14"/>
  <c r="D74" i="14"/>
  <c r="D73" i="14"/>
  <c r="D75" i="14"/>
  <c r="C74" i="14"/>
  <c r="C73" i="14"/>
  <c r="C71" i="14"/>
  <c r="C70" i="14"/>
  <c r="C72" i="14"/>
  <c r="D99" i="14"/>
  <c r="C99" i="14"/>
  <c r="D87" i="14"/>
  <c r="C87" i="14"/>
  <c r="D84" i="14"/>
  <c r="C84" i="14"/>
  <c r="D81" i="14"/>
  <c r="C81" i="14"/>
  <c r="C78" i="14"/>
  <c r="C75" i="14"/>
  <c r="E72" i="14"/>
  <c r="G72" i="14"/>
  <c r="I72" i="14"/>
  <c r="K72" i="14"/>
  <c r="M72" i="14"/>
  <c r="O72" i="14"/>
  <c r="Q72" i="14"/>
  <c r="S72" i="14"/>
  <c r="U72" i="14"/>
  <c r="W72" i="14"/>
  <c r="Y72" i="14"/>
  <c r="AA72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G96" i="11"/>
  <c r="I77" i="11"/>
  <c r="G77" i="11"/>
  <c r="C97" i="11"/>
  <c r="E3" i="11"/>
  <c r="F3" i="11"/>
  <c r="G3" i="11"/>
  <c r="I49" i="11"/>
  <c r="G49" i="11"/>
  <c r="I35" i="11"/>
  <c r="G35" i="11"/>
  <c r="I91" i="11"/>
  <c r="G91" i="11"/>
  <c r="I63" i="11"/>
  <c r="G63" i="11"/>
  <c r="I21" i="11"/>
  <c r="G21" i="11"/>
  <c r="E97" i="11"/>
  <c r="I14" i="11"/>
  <c r="G14" i="11"/>
  <c r="I97" i="11"/>
  <c r="G97" i="11"/>
</calcChain>
</file>

<file path=xl/sharedStrings.xml><?xml version="1.0" encoding="utf-8"?>
<sst xmlns="http://schemas.openxmlformats.org/spreadsheetml/2006/main" count="252" uniqueCount="46">
  <si>
    <t>TTL</t>
    <phoneticPr fontId="2" type="noConversion"/>
  </si>
  <si>
    <t>FCL</t>
    <phoneticPr fontId="2" type="noConversion"/>
  </si>
  <si>
    <t>LCL</t>
    <phoneticPr fontId="2" type="noConversion"/>
  </si>
  <si>
    <t>AIR</t>
    <phoneticPr fontId="2" type="noConversion"/>
  </si>
  <si>
    <t>G.TOTAL</t>
    <phoneticPr fontId="2" type="noConversion"/>
  </si>
  <si>
    <t>BVT</t>
    <phoneticPr fontId="2" type="noConversion"/>
  </si>
  <si>
    <t>DIFFERENCE</t>
    <phoneticPr fontId="2" type="noConversion"/>
  </si>
  <si>
    <r>
      <t>단위</t>
    </r>
    <r>
      <rPr>
        <sz val="10"/>
        <rFont val="Arial"/>
        <family val="2"/>
      </rPr>
      <t>:</t>
    </r>
    <r>
      <rPr>
        <sz val="10"/>
        <rFont val="돋움"/>
        <family val="3"/>
        <charset val="129"/>
      </rPr>
      <t>원</t>
    </r>
    <phoneticPr fontId="2" type="noConversion"/>
  </si>
  <si>
    <t>BVT</t>
    <phoneticPr fontId="2" type="noConversion"/>
  </si>
  <si>
    <t>MAEGAKI</t>
    <phoneticPr fontId="2" type="noConversion"/>
  </si>
  <si>
    <r>
      <t>E</t>
    </r>
    <r>
      <rPr>
        <sz val="11"/>
        <rFont val="돋움"/>
        <family val="3"/>
        <charset val="129"/>
      </rPr>
      <t>XPORT</t>
    </r>
    <phoneticPr fontId="2" type="noConversion"/>
  </si>
  <si>
    <r>
      <t>I</t>
    </r>
    <r>
      <rPr>
        <sz val="11"/>
        <rFont val="돋움"/>
        <family val="3"/>
        <charset val="129"/>
      </rPr>
      <t>MPORT</t>
    </r>
    <phoneticPr fontId="2" type="noConversion"/>
  </si>
  <si>
    <r>
      <t>B</t>
    </r>
    <r>
      <rPr>
        <sz val="11"/>
        <rFont val="돋움"/>
        <family val="3"/>
        <charset val="129"/>
      </rPr>
      <t>VT</t>
    </r>
    <phoneticPr fontId="2" type="noConversion"/>
  </si>
  <si>
    <t>MAEGAKI</t>
    <phoneticPr fontId="2" type="noConversion"/>
  </si>
  <si>
    <t>MONTH</t>
    <phoneticPr fontId="2" type="noConversion"/>
  </si>
  <si>
    <t>FACTORY</t>
    <phoneticPr fontId="2" type="noConversion"/>
  </si>
  <si>
    <t>ADP</t>
    <phoneticPr fontId="2" type="noConversion"/>
  </si>
  <si>
    <t>DHL</t>
    <phoneticPr fontId="2" type="noConversion"/>
  </si>
  <si>
    <t>ETC</t>
    <phoneticPr fontId="2" type="noConversion"/>
  </si>
  <si>
    <t>Total</t>
    <phoneticPr fontId="2" type="noConversion"/>
  </si>
  <si>
    <t>ETC</t>
    <phoneticPr fontId="2" type="noConversion"/>
  </si>
  <si>
    <t>SAMPLE</t>
    <phoneticPr fontId="2" type="noConversion"/>
  </si>
  <si>
    <r>
      <t>E</t>
    </r>
    <r>
      <rPr>
        <sz val="11"/>
        <rFont val="돋움"/>
        <family val="3"/>
        <charset val="129"/>
      </rPr>
      <t>TC</t>
    </r>
    <phoneticPr fontId="2" type="noConversion"/>
  </si>
  <si>
    <t>SAMPLE</t>
    <phoneticPr fontId="2" type="noConversion"/>
  </si>
  <si>
    <t>MAEGAKI</t>
    <phoneticPr fontId="2" type="noConversion"/>
  </si>
  <si>
    <t>MAEGAKI</t>
    <phoneticPr fontId="2" type="noConversion"/>
  </si>
  <si>
    <t>전년 월 기준 편차 금액(\)</t>
    <phoneticPr fontId="2" type="noConversion"/>
  </si>
  <si>
    <t>IMPORT</t>
    <phoneticPr fontId="2" type="noConversion"/>
  </si>
  <si>
    <t>EXPORT</t>
    <phoneticPr fontId="2" type="noConversion"/>
  </si>
  <si>
    <t>전년 월 기준 편차 백분율(%)</t>
    <phoneticPr fontId="2" type="noConversion"/>
  </si>
  <si>
    <t>KT(DHL)</t>
    <phoneticPr fontId="2" type="noConversion"/>
  </si>
  <si>
    <t>KT(TNT)</t>
    <phoneticPr fontId="2" type="noConversion"/>
  </si>
  <si>
    <t>KT(EMS)</t>
    <phoneticPr fontId="2" type="noConversion"/>
  </si>
  <si>
    <t>구분</t>
    <phoneticPr fontId="2" type="noConversion"/>
  </si>
  <si>
    <r>
      <t>매출액(</t>
    </r>
    <r>
      <rPr>
        <sz val="11"/>
        <rFont val="돋움"/>
        <family val="3"/>
        <charset val="129"/>
      </rPr>
      <t>$)</t>
    </r>
    <phoneticPr fontId="2" type="noConversion"/>
  </si>
  <si>
    <t>전년대비 변동률(%)</t>
    <phoneticPr fontId="2" type="noConversion"/>
  </si>
  <si>
    <r>
      <t>운임(</t>
    </r>
    <r>
      <rPr>
        <sz val="11"/>
        <rFont val="돋움"/>
        <family val="3"/>
        <charset val="129"/>
      </rPr>
      <t>\)</t>
    </r>
    <phoneticPr fontId="2" type="noConversion"/>
  </si>
  <si>
    <t>자재 운임비(샘플제외)</t>
    <phoneticPr fontId="2" type="noConversion"/>
  </si>
  <si>
    <r>
      <t>자재 운임비</t>
    </r>
    <r>
      <rPr>
        <sz val="11"/>
        <rFont val="돋움"/>
        <family val="3"/>
        <charset val="129"/>
      </rPr>
      <t>(샘플제외)G.TTL</t>
    </r>
    <phoneticPr fontId="2" type="noConversion"/>
  </si>
  <si>
    <r>
      <t>단위</t>
    </r>
    <r>
      <rPr>
        <sz val="10"/>
        <rFont val="Arial"/>
        <family val="2"/>
      </rPr>
      <t>:KRW</t>
    </r>
    <phoneticPr fontId="2" type="noConversion"/>
  </si>
  <si>
    <r>
      <t xml:space="preserve">2012/2013 IMPORT </t>
    </r>
    <r>
      <rPr>
        <b/>
        <sz val="15"/>
        <color indexed="12"/>
        <rFont val="돋움"/>
        <family val="3"/>
        <charset val="129"/>
      </rPr>
      <t>운임비교</t>
    </r>
    <r>
      <rPr>
        <b/>
        <sz val="15"/>
        <color indexed="12"/>
        <rFont val="Arial"/>
        <family val="2"/>
      </rPr>
      <t xml:space="preserve"> </t>
    </r>
    <r>
      <rPr>
        <b/>
        <sz val="15"/>
        <color indexed="12"/>
        <rFont val="돋움"/>
        <family val="3"/>
        <charset val="129"/>
      </rPr>
      <t>내역</t>
    </r>
    <phoneticPr fontId="2" type="noConversion"/>
  </si>
  <si>
    <t>2012/2013 수출입 운임 비교</t>
    <phoneticPr fontId="2" type="noConversion"/>
  </si>
  <si>
    <r>
      <t>2</t>
    </r>
    <r>
      <rPr>
        <sz val="11"/>
        <rFont val="돋움"/>
        <family val="3"/>
        <charset val="129"/>
      </rPr>
      <t>012년 총 운임 결과</t>
    </r>
    <phoneticPr fontId="2" type="noConversion"/>
  </si>
  <si>
    <r>
      <t>20</t>
    </r>
    <r>
      <rPr>
        <sz val="11"/>
        <rFont val="돋움"/>
        <family val="3"/>
        <charset val="129"/>
      </rPr>
      <t>13년 총 운임 예상</t>
    </r>
    <phoneticPr fontId="2" type="noConversion"/>
  </si>
  <si>
    <t>2013년 목표</t>
    <phoneticPr fontId="2" type="noConversion"/>
  </si>
  <si>
    <r>
      <t xml:space="preserve">2012/2013 EXPORT </t>
    </r>
    <r>
      <rPr>
        <b/>
        <sz val="15"/>
        <color indexed="12"/>
        <rFont val="돋움"/>
        <family val="3"/>
        <charset val="129"/>
      </rPr>
      <t>운임비교</t>
    </r>
    <r>
      <rPr>
        <b/>
        <sz val="15"/>
        <color indexed="12"/>
        <rFont val="Arial"/>
        <family val="2"/>
      </rPr>
      <t xml:space="preserve"> </t>
    </r>
    <r>
      <rPr>
        <b/>
        <sz val="15"/>
        <color indexed="12"/>
        <rFont val="돋움"/>
        <family val="3"/>
        <charset val="129"/>
      </rPr>
      <t>내역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</si>
</sst>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₩&quot;#,##0;[Red]\-&quot;₩&quot;#,##0"/>
    <numFmt numFmtId="176" formatCode="&quot;₩&quot;#,##0"/>
    <numFmt numFmtId="177" formatCode="&quot;₩&quot;#,##0_);[Red]\(&quot;₩&quot;#,##0\)"/>
    <numFmt numFmtId="178" formatCode="#,##0_ ;[Red]\-#,##0\ "/>
    <numFmt numFmtId="179" formatCode="0.00&quot;%&quot;"/>
    <numFmt numFmtId="180" formatCode="#,##0_);[Red]\(#,##0\)"/>
    <numFmt numFmtId="181" formatCode="0.00&quot;%&quot;;[Red]\-0.00&quot;%&quot;"/>
    <numFmt numFmtId="182" formatCode="#,##0;[Red]#,##0"/>
  </numFmts>
  <fonts count="1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b/>
      <sz val="11"/>
      <color indexed="12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name val="돋움"/>
      <family val="3"/>
      <charset val="129"/>
    </font>
    <font>
      <b/>
      <sz val="12"/>
      <color indexed="10"/>
      <name val="돋움"/>
      <family val="3"/>
      <charset val="129"/>
    </font>
    <font>
      <b/>
      <sz val="12"/>
      <name val="돋움"/>
      <family val="3"/>
      <charset val="129"/>
    </font>
    <font>
      <b/>
      <sz val="15"/>
      <color indexed="12"/>
      <name val="Arial"/>
      <family val="2"/>
    </font>
    <font>
      <b/>
      <sz val="15"/>
      <color indexed="12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2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78" fontId="7" fillId="0" borderId="2" xfId="0" applyNumberFormat="1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178" fontId="7" fillId="0" borderId="3" xfId="0" applyNumberFormat="1" applyFont="1" applyBorder="1">
      <alignment vertical="center"/>
    </xf>
    <xf numFmtId="0" fontId="10" fillId="3" borderId="1" xfId="0" applyFont="1" applyFill="1" applyBorder="1" applyAlignment="1">
      <alignment horizontal="center" vertical="center"/>
    </xf>
    <xf numFmtId="180" fontId="1" fillId="0" borderId="0" xfId="0" applyNumberFormat="1" applyFont="1">
      <alignment vertical="center"/>
    </xf>
    <xf numFmtId="180" fontId="1" fillId="0" borderId="0" xfId="0" applyNumberFormat="1" applyFont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>
      <alignment vertical="center"/>
    </xf>
    <xf numFmtId="180" fontId="1" fillId="0" borderId="4" xfId="0" applyNumberFormat="1" applyFont="1" applyFill="1" applyBorder="1" applyAlignment="1">
      <alignment horizontal="center" vertical="center"/>
    </xf>
    <xf numFmtId="180" fontId="1" fillId="0" borderId="5" xfId="0" applyNumberFormat="1" applyFont="1" applyBorder="1">
      <alignment vertical="center"/>
    </xf>
    <xf numFmtId="180" fontId="1" fillId="0" borderId="6" xfId="0" applyNumberFormat="1" applyFont="1" applyBorder="1">
      <alignment vertical="center"/>
    </xf>
    <xf numFmtId="180" fontId="4" fillId="0" borderId="7" xfId="0" applyNumberFormat="1" applyFont="1" applyBorder="1" applyAlignment="1">
      <alignment horizontal="center" vertical="center"/>
    </xf>
    <xf numFmtId="180" fontId="4" fillId="0" borderId="0" xfId="0" applyNumberFormat="1" applyFont="1">
      <alignment vertical="center"/>
    </xf>
    <xf numFmtId="180" fontId="1" fillId="0" borderId="8" xfId="0" applyNumberFormat="1" applyFont="1" applyBorder="1">
      <alignment vertical="center"/>
    </xf>
    <xf numFmtId="180" fontId="4" fillId="0" borderId="9" xfId="0" applyNumberFormat="1" applyFont="1" applyBorder="1" applyAlignment="1">
      <alignment horizontal="center" vertical="center"/>
    </xf>
    <xf numFmtId="177" fontId="1" fillId="0" borderId="10" xfId="0" applyNumberFormat="1" applyFont="1" applyFill="1" applyBorder="1">
      <alignment vertical="center"/>
    </xf>
    <xf numFmtId="177" fontId="1" fillId="0" borderId="11" xfId="0" applyNumberFormat="1" applyFont="1" applyFill="1" applyBorder="1">
      <alignment vertical="center"/>
    </xf>
    <xf numFmtId="177" fontId="4" fillId="0" borderId="12" xfId="0" applyNumberFormat="1" applyFont="1" applyFill="1" applyBorder="1">
      <alignment vertical="center"/>
    </xf>
    <xf numFmtId="177" fontId="1" fillId="0" borderId="13" xfId="0" applyNumberFormat="1" applyFont="1" applyFill="1" applyBorder="1">
      <alignment vertical="center"/>
    </xf>
    <xf numFmtId="177" fontId="4" fillId="0" borderId="14" xfId="0" applyNumberFormat="1" applyFont="1" applyFill="1" applyBorder="1">
      <alignment vertical="center"/>
    </xf>
    <xf numFmtId="180" fontId="1" fillId="0" borderId="15" xfId="0" applyNumberFormat="1" applyFont="1" applyFill="1" applyBorder="1" applyAlignment="1">
      <alignment horizontal="center" vertical="center"/>
    </xf>
    <xf numFmtId="177" fontId="4" fillId="5" borderId="16" xfId="0" applyNumberFormat="1" applyFont="1" applyFill="1" applyBorder="1">
      <alignment vertical="center"/>
    </xf>
    <xf numFmtId="177" fontId="4" fillId="5" borderId="17" xfId="0" applyNumberFormat="1" applyFont="1" applyFill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178" fontId="6" fillId="0" borderId="19" xfId="0" applyNumberFormat="1" applyFont="1" applyFill="1" applyBorder="1">
      <alignment vertical="center"/>
    </xf>
    <xf numFmtId="0" fontId="6" fillId="0" borderId="0" xfId="0" applyFont="1">
      <alignment vertical="center"/>
    </xf>
    <xf numFmtId="178" fontId="6" fillId="0" borderId="18" xfId="0" applyNumberFormat="1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178" fontId="6" fillId="0" borderId="19" xfId="0" applyNumberFormat="1" applyFont="1" applyBorder="1">
      <alignment vertical="center"/>
    </xf>
    <xf numFmtId="178" fontId="6" fillId="0" borderId="18" xfId="0" applyNumberFormat="1" applyFont="1" applyFill="1" applyBorder="1">
      <alignment vertical="center"/>
    </xf>
    <xf numFmtId="180" fontId="1" fillId="6" borderId="20" xfId="0" applyNumberFormat="1" applyFont="1" applyFill="1" applyBorder="1" applyAlignment="1">
      <alignment horizontal="center" vertical="center"/>
    </xf>
    <xf numFmtId="180" fontId="1" fillId="6" borderId="4" xfId="0" applyNumberFormat="1" applyFont="1" applyFill="1" applyBorder="1" applyAlignment="1">
      <alignment horizontal="center" vertical="center"/>
    </xf>
    <xf numFmtId="177" fontId="1" fillId="6" borderId="21" xfId="0" applyNumberFormat="1" applyFont="1" applyFill="1" applyBorder="1">
      <alignment vertical="center"/>
    </xf>
    <xf numFmtId="177" fontId="1" fillId="6" borderId="10" xfId="0" applyNumberFormat="1" applyFont="1" applyFill="1" applyBorder="1">
      <alignment vertical="center"/>
    </xf>
    <xf numFmtId="177" fontId="1" fillId="6" borderId="22" xfId="0" applyNumberFormat="1" applyFont="1" applyFill="1" applyBorder="1">
      <alignment vertical="center"/>
    </xf>
    <xf numFmtId="177" fontId="1" fillId="6" borderId="11" xfId="0" applyNumberFormat="1" applyFont="1" applyFill="1" applyBorder="1">
      <alignment vertical="center"/>
    </xf>
    <xf numFmtId="177" fontId="4" fillId="6" borderId="23" xfId="0" applyNumberFormat="1" applyFont="1" applyFill="1" applyBorder="1">
      <alignment vertical="center"/>
    </xf>
    <xf numFmtId="177" fontId="4" fillId="6" borderId="12" xfId="0" applyNumberFormat="1" applyFont="1" applyFill="1" applyBorder="1">
      <alignment vertical="center"/>
    </xf>
    <xf numFmtId="177" fontId="1" fillId="6" borderId="24" xfId="0" applyNumberFormat="1" applyFont="1" applyFill="1" applyBorder="1">
      <alignment vertical="center"/>
    </xf>
    <xf numFmtId="177" fontId="1" fillId="6" borderId="13" xfId="0" applyNumberFormat="1" applyFont="1" applyFill="1" applyBorder="1">
      <alignment vertical="center"/>
    </xf>
    <xf numFmtId="177" fontId="4" fillId="6" borderId="25" xfId="0" applyNumberFormat="1" applyFont="1" applyFill="1" applyBorder="1">
      <alignment vertical="center"/>
    </xf>
    <xf numFmtId="177" fontId="4" fillId="6" borderId="14" xfId="0" applyNumberFormat="1" applyFont="1" applyFill="1" applyBorder="1">
      <alignment vertical="center"/>
    </xf>
    <xf numFmtId="177" fontId="4" fillId="6" borderId="26" xfId="0" applyNumberFormat="1" applyFont="1" applyFill="1" applyBorder="1">
      <alignment vertical="center"/>
    </xf>
    <xf numFmtId="177" fontId="4" fillId="6" borderId="27" xfId="0" applyNumberFormat="1" applyFont="1" applyFill="1" applyBorder="1">
      <alignment vertical="center"/>
    </xf>
    <xf numFmtId="177" fontId="4" fillId="6" borderId="20" xfId="0" applyNumberFormat="1" applyFont="1" applyFill="1" applyBorder="1">
      <alignment vertical="center"/>
    </xf>
    <xf numFmtId="177" fontId="4" fillId="6" borderId="4" xfId="0" applyNumberFormat="1" applyFont="1" applyFill="1" applyBorder="1">
      <alignment vertical="center"/>
    </xf>
    <xf numFmtId="177" fontId="16" fillId="6" borderId="23" xfId="0" applyNumberFormat="1" applyFont="1" applyFill="1" applyBorder="1">
      <alignment vertical="center"/>
    </xf>
    <xf numFmtId="177" fontId="16" fillId="6" borderId="12" xfId="0" applyNumberFormat="1" applyFont="1" applyFill="1" applyBorder="1">
      <alignment vertical="center"/>
    </xf>
    <xf numFmtId="178" fontId="7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6" fontId="1" fillId="0" borderId="0" xfId="0" applyNumberFormat="1" applyFont="1" applyFill="1">
      <alignment vertical="center"/>
    </xf>
    <xf numFmtId="6" fontId="1" fillId="0" borderId="0" xfId="0" applyNumberFormat="1" applyFont="1">
      <alignment vertical="center"/>
    </xf>
    <xf numFmtId="180" fontId="16" fillId="0" borderId="0" xfId="0" applyNumberFormat="1" applyFont="1">
      <alignment vertical="center"/>
    </xf>
    <xf numFmtId="0" fontId="6" fillId="0" borderId="18" xfId="0" applyFont="1" applyFill="1" applyBorder="1" applyAlignment="1">
      <alignment horizontal="center" vertical="center"/>
    </xf>
    <xf numFmtId="178" fontId="6" fillId="0" borderId="19" xfId="0" applyNumberFormat="1" applyFont="1" applyBorder="1" applyAlignment="1">
      <alignment horizontal="right" vertical="center"/>
    </xf>
    <xf numFmtId="178" fontId="7" fillId="0" borderId="2" xfId="0" applyNumberFormat="1" applyFont="1" applyBorder="1" applyAlignment="1">
      <alignment horizontal="right" vertical="center"/>
    </xf>
    <xf numFmtId="178" fontId="6" fillId="0" borderId="19" xfId="0" applyNumberFormat="1" applyFont="1" applyFill="1" applyBorder="1" applyAlignment="1">
      <alignment horizontal="right" vertical="center"/>
    </xf>
    <xf numFmtId="178" fontId="7" fillId="0" borderId="3" xfId="0" applyNumberFormat="1" applyFont="1" applyBorder="1" applyAlignment="1">
      <alignment horizontal="right" vertical="center"/>
    </xf>
    <xf numFmtId="178" fontId="6" fillId="0" borderId="18" xfId="0" applyNumberFormat="1" applyFont="1" applyBorder="1" applyAlignment="1">
      <alignment horizontal="right" vertical="center"/>
    </xf>
    <xf numFmtId="177" fontId="1" fillId="0" borderId="3" xfId="0" applyNumberFormat="1" applyFont="1" applyFill="1" applyBorder="1">
      <alignment vertical="center"/>
    </xf>
    <xf numFmtId="177" fontId="1" fillId="0" borderId="28" xfId="0" applyNumberFormat="1" applyFont="1" applyFill="1" applyBorder="1">
      <alignment vertical="center"/>
    </xf>
    <xf numFmtId="177" fontId="1" fillId="0" borderId="29" xfId="0" applyNumberFormat="1" applyFont="1" applyFill="1" applyBorder="1">
      <alignment vertical="center"/>
    </xf>
    <xf numFmtId="177" fontId="4" fillId="0" borderId="30" xfId="0" applyNumberFormat="1" applyFont="1" applyFill="1" applyBorder="1">
      <alignment vertical="center"/>
    </xf>
    <xf numFmtId="177" fontId="1" fillId="0" borderId="31" xfId="0" applyNumberFormat="1" applyFont="1" applyFill="1" applyBorder="1">
      <alignment vertical="center"/>
    </xf>
    <xf numFmtId="177" fontId="1" fillId="0" borderId="32" xfId="0" applyNumberFormat="1" applyFont="1" applyFill="1" applyBorder="1">
      <alignment vertical="center"/>
    </xf>
    <xf numFmtId="177" fontId="4" fillId="0" borderId="19" xfId="0" applyNumberFormat="1" applyFont="1" applyFill="1" applyBorder="1">
      <alignment vertical="center"/>
    </xf>
    <xf numFmtId="177" fontId="4" fillId="5" borderId="18" xfId="0" applyNumberFormat="1" applyFont="1" applyFill="1" applyBorder="1">
      <alignment vertical="center"/>
    </xf>
    <xf numFmtId="177" fontId="4" fillId="5" borderId="1" xfId="0" applyNumberFormat="1" applyFont="1" applyFill="1" applyBorder="1">
      <alignment vertical="center"/>
    </xf>
    <xf numFmtId="180" fontId="1" fillId="0" borderId="7" xfId="0" applyNumberFormat="1" applyFont="1" applyBorder="1">
      <alignment vertical="center"/>
    </xf>
    <xf numFmtId="177" fontId="1" fillId="0" borderId="30" xfId="0" applyNumberFormat="1" applyFont="1" applyFill="1" applyBorder="1">
      <alignment vertical="center"/>
    </xf>
    <xf numFmtId="177" fontId="1" fillId="0" borderId="12" xfId="0" applyNumberFormat="1" applyFont="1" applyFill="1" applyBorder="1">
      <alignment vertical="center"/>
    </xf>
    <xf numFmtId="177" fontId="1" fillId="6" borderId="23" xfId="0" applyNumberFormat="1" applyFont="1" applyFill="1" applyBorder="1">
      <alignment vertical="center"/>
    </xf>
    <xf numFmtId="177" fontId="1" fillId="6" borderId="12" xfId="0" applyNumberFormat="1" applyFont="1" applyFill="1" applyBorder="1">
      <alignment vertical="center"/>
    </xf>
    <xf numFmtId="6" fontId="4" fillId="2" borderId="33" xfId="0" applyNumberFormat="1" applyFont="1" applyFill="1" applyBorder="1" applyAlignment="1">
      <alignment horizontal="center" vertical="center"/>
    </xf>
    <xf numFmtId="180" fontId="1" fillId="0" borderId="5" xfId="0" applyNumberFormat="1" applyFont="1" applyFill="1" applyBorder="1">
      <alignment vertical="center"/>
    </xf>
    <xf numFmtId="180" fontId="1" fillId="0" borderId="6" xfId="0" applyNumberFormat="1" applyFont="1" applyFill="1" applyBorder="1">
      <alignment vertical="center"/>
    </xf>
    <xf numFmtId="180" fontId="1" fillId="0" borderId="7" xfId="0" applyNumberFormat="1" applyFont="1" applyFill="1" applyBorder="1">
      <alignment vertical="center"/>
    </xf>
    <xf numFmtId="180" fontId="16" fillId="0" borderId="0" xfId="0" applyNumberFormat="1" applyFont="1" applyFill="1">
      <alignment vertical="center"/>
    </xf>
    <xf numFmtId="179" fontId="4" fillId="2" borderId="34" xfId="0" applyNumberFormat="1" applyFont="1" applyFill="1" applyBorder="1" applyAlignment="1">
      <alignment horizontal="center" vertical="center"/>
    </xf>
    <xf numFmtId="179" fontId="4" fillId="2" borderId="35" xfId="0" applyNumberFormat="1" applyFont="1" applyFill="1" applyBorder="1" applyAlignment="1">
      <alignment horizontal="center" vertical="center"/>
    </xf>
    <xf numFmtId="179" fontId="4" fillId="2" borderId="36" xfId="0" applyNumberFormat="1" applyFont="1" applyFill="1" applyBorder="1" applyAlignment="1">
      <alignment horizontal="center" vertical="center"/>
    </xf>
    <xf numFmtId="179" fontId="4" fillId="2" borderId="37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176" fontId="4" fillId="2" borderId="33" xfId="0" applyNumberFormat="1" applyFont="1" applyFill="1" applyBorder="1" applyAlignment="1">
      <alignment horizontal="center" vertical="center"/>
    </xf>
    <xf numFmtId="181" fontId="4" fillId="2" borderId="39" xfId="0" applyNumberFormat="1" applyFont="1" applyFill="1" applyBorder="1" applyAlignment="1">
      <alignment horizontal="center" vertical="center"/>
    </xf>
    <xf numFmtId="181" fontId="4" fillId="2" borderId="38" xfId="0" applyNumberFormat="1" applyFont="1" applyFill="1" applyBorder="1" applyAlignment="1">
      <alignment horizontal="center" vertical="center"/>
    </xf>
    <xf numFmtId="10" fontId="1" fillId="0" borderId="0" xfId="0" applyNumberFormat="1" applyFont="1">
      <alignment vertical="center"/>
    </xf>
    <xf numFmtId="180" fontId="13" fillId="4" borderId="1" xfId="0" applyNumberFormat="1" applyFont="1" applyFill="1" applyBorder="1" applyAlignment="1">
      <alignment horizontal="center" vertical="center"/>
    </xf>
    <xf numFmtId="179" fontId="13" fillId="4" borderId="1" xfId="0" applyNumberFormat="1" applyFont="1" applyFill="1" applyBorder="1" applyAlignment="1">
      <alignment horizontal="center" vertical="center"/>
    </xf>
    <xf numFmtId="180" fontId="1" fillId="5" borderId="1" xfId="0" applyNumberFormat="1" applyFont="1" applyFill="1" applyBorder="1" applyAlignment="1">
      <alignment horizontal="center" vertical="center"/>
    </xf>
    <xf numFmtId="180" fontId="4" fillId="5" borderId="1" xfId="0" applyNumberFormat="1" applyFont="1" applyFill="1" applyBorder="1" applyAlignment="1">
      <alignment horizontal="center" vertical="center"/>
    </xf>
    <xf numFmtId="180" fontId="13" fillId="5" borderId="1" xfId="0" applyNumberFormat="1" applyFont="1" applyFill="1" applyBorder="1">
      <alignment vertical="center"/>
    </xf>
    <xf numFmtId="179" fontId="1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6" fontId="4" fillId="7" borderId="39" xfId="0" applyNumberFormat="1" applyFont="1" applyFill="1" applyBorder="1" applyAlignment="1">
      <alignment horizontal="center" vertical="center"/>
    </xf>
    <xf numFmtId="6" fontId="4" fillId="7" borderId="40" xfId="0" applyNumberFormat="1" applyFont="1" applyFill="1" applyBorder="1" applyAlignment="1">
      <alignment horizontal="center" vertical="center"/>
    </xf>
    <xf numFmtId="181" fontId="4" fillId="7" borderId="39" xfId="0" applyNumberFormat="1" applyFont="1" applyFill="1" applyBorder="1" applyAlignment="1">
      <alignment horizontal="center" vertical="center"/>
    </xf>
    <xf numFmtId="181" fontId="4" fillId="7" borderId="41" xfId="0" applyNumberFormat="1" applyFont="1" applyFill="1" applyBorder="1" applyAlignment="1">
      <alignment horizontal="center" vertical="center"/>
    </xf>
    <xf numFmtId="6" fontId="4" fillId="5" borderId="39" xfId="0" applyNumberFormat="1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/>
    </xf>
    <xf numFmtId="181" fontId="4" fillId="5" borderId="39" xfId="0" applyNumberFormat="1" applyFont="1" applyFill="1" applyBorder="1" applyAlignment="1">
      <alignment horizontal="center" vertical="center"/>
    </xf>
    <xf numFmtId="181" fontId="0" fillId="5" borderId="41" xfId="0" applyNumberFormat="1" applyFill="1" applyBorder="1" applyAlignment="1">
      <alignment horizontal="center" vertical="center"/>
    </xf>
    <xf numFmtId="181" fontId="4" fillId="8" borderId="39" xfId="0" applyNumberFormat="1" applyFont="1" applyFill="1" applyBorder="1" applyAlignment="1">
      <alignment horizontal="center" vertical="center"/>
    </xf>
    <xf numFmtId="181" fontId="0" fillId="8" borderId="41" xfId="0" applyNumberFormat="1" applyFill="1" applyBorder="1" applyAlignment="1">
      <alignment horizontal="center" vertical="center"/>
    </xf>
    <xf numFmtId="181" fontId="4" fillId="2" borderId="42" xfId="0" applyNumberFormat="1" applyFont="1" applyFill="1" applyBorder="1" applyAlignment="1">
      <alignment horizontal="center" vertical="center"/>
    </xf>
    <xf numFmtId="181" fontId="4" fillId="2" borderId="43" xfId="0" applyNumberFormat="1" applyFont="1" applyFill="1" applyBorder="1" applyAlignment="1">
      <alignment horizontal="center" vertical="center"/>
    </xf>
    <xf numFmtId="6" fontId="4" fillId="8" borderId="39" xfId="0" applyNumberFormat="1" applyFont="1" applyFill="1" applyBorder="1" applyAlignment="1">
      <alignment horizontal="center" vertical="center"/>
    </xf>
    <xf numFmtId="0" fontId="17" fillId="8" borderId="40" xfId="0" applyFont="1" applyFill="1" applyBorder="1" applyAlignment="1">
      <alignment horizontal="center" vertical="center"/>
    </xf>
    <xf numFmtId="6" fontId="4" fillId="2" borderId="42" xfId="0" applyNumberFormat="1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177" fontId="5" fillId="6" borderId="42" xfId="0" applyNumberFormat="1" applyFont="1" applyFill="1" applyBorder="1" applyAlignment="1">
      <alignment horizontal="center" vertical="center"/>
    </xf>
    <xf numFmtId="177" fontId="5" fillId="6" borderId="44" xfId="0" applyNumberFormat="1" applyFont="1" applyFill="1" applyBorder="1" applyAlignment="1">
      <alignment horizontal="center" vertical="center"/>
    </xf>
    <xf numFmtId="177" fontId="4" fillId="8" borderId="17" xfId="0" applyNumberFormat="1" applyFont="1" applyFill="1" applyBorder="1" applyAlignment="1">
      <alignment horizontal="center" vertical="center"/>
    </xf>
    <xf numFmtId="177" fontId="4" fillId="8" borderId="15" xfId="0" applyNumberFormat="1" applyFont="1" applyFill="1" applyBorder="1" applyAlignment="1">
      <alignment horizontal="center" vertical="center"/>
    </xf>
    <xf numFmtId="177" fontId="5" fillId="6" borderId="34" xfId="0" applyNumberFormat="1" applyFont="1" applyFill="1" applyBorder="1" applyAlignment="1">
      <alignment horizontal="center" vertical="center"/>
    </xf>
    <xf numFmtId="177" fontId="5" fillId="6" borderId="45" xfId="0" applyNumberFormat="1" applyFont="1" applyFill="1" applyBorder="1" applyAlignment="1">
      <alignment horizontal="center" vertical="center"/>
    </xf>
    <xf numFmtId="177" fontId="5" fillId="0" borderId="46" xfId="0" applyNumberFormat="1" applyFont="1" applyFill="1" applyBorder="1" applyAlignment="1">
      <alignment horizontal="center" vertical="center"/>
    </xf>
    <xf numFmtId="177" fontId="5" fillId="0" borderId="45" xfId="0" applyNumberFormat="1" applyFont="1" applyFill="1" applyBorder="1" applyAlignment="1">
      <alignment horizontal="center" vertical="center"/>
    </xf>
    <xf numFmtId="177" fontId="5" fillId="0" borderId="51" xfId="0" applyNumberFormat="1" applyFont="1" applyFill="1" applyBorder="1" applyAlignment="1">
      <alignment horizontal="center" vertical="center"/>
    </xf>
    <xf numFmtId="177" fontId="5" fillId="0" borderId="44" xfId="0" applyNumberFormat="1" applyFont="1" applyFill="1" applyBorder="1" applyAlignment="1">
      <alignment horizontal="center" vertical="center"/>
    </xf>
    <xf numFmtId="180" fontId="4" fillId="8" borderId="17" xfId="0" applyNumberFormat="1" applyFont="1" applyFill="1" applyBorder="1" applyAlignment="1">
      <alignment horizontal="center" vertical="center"/>
    </xf>
    <xf numFmtId="180" fontId="4" fillId="8" borderId="47" xfId="0" applyNumberFormat="1" applyFont="1" applyFill="1" applyBorder="1" applyAlignment="1">
      <alignment horizontal="center" vertical="center"/>
    </xf>
    <xf numFmtId="180" fontId="1" fillId="0" borderId="48" xfId="0" applyNumberFormat="1" applyFont="1" applyBorder="1" applyAlignment="1">
      <alignment horizontal="center" vertical="center"/>
    </xf>
    <xf numFmtId="180" fontId="1" fillId="0" borderId="46" xfId="0" applyNumberFormat="1" applyFont="1" applyBorder="1" applyAlignment="1">
      <alignment horizontal="center" vertical="center"/>
    </xf>
    <xf numFmtId="180" fontId="4" fillId="0" borderId="49" xfId="0" applyNumberFormat="1" applyFont="1" applyBorder="1" applyAlignment="1">
      <alignment horizontal="center" vertical="center"/>
    </xf>
    <xf numFmtId="180" fontId="4" fillId="0" borderId="50" xfId="0" applyNumberFormat="1" applyFont="1" applyBorder="1" applyAlignment="1">
      <alignment horizontal="center" vertical="center"/>
    </xf>
    <xf numFmtId="180" fontId="4" fillId="0" borderId="52" xfId="0" applyNumberFormat="1" applyFont="1" applyBorder="1" applyAlignment="1">
      <alignment horizontal="center" vertical="center"/>
    </xf>
    <xf numFmtId="180" fontId="4" fillId="0" borderId="53" xfId="0" applyNumberFormat="1" applyFont="1" applyBorder="1" applyAlignment="1">
      <alignment horizontal="center" vertical="center"/>
    </xf>
    <xf numFmtId="180" fontId="1" fillId="0" borderId="16" xfId="0" applyNumberFormat="1" applyFont="1" applyBorder="1" applyAlignment="1">
      <alignment horizontal="center" vertical="center"/>
    </xf>
    <xf numFmtId="180" fontId="4" fillId="0" borderId="54" xfId="0" applyNumberFormat="1" applyFont="1" applyBorder="1" applyAlignment="1">
      <alignment horizontal="center" vertical="center"/>
    </xf>
    <xf numFmtId="180" fontId="4" fillId="0" borderId="55" xfId="0" applyNumberFormat="1" applyFont="1" applyBorder="1" applyAlignment="1">
      <alignment horizontal="center" vertical="center"/>
    </xf>
    <xf numFmtId="180" fontId="4" fillId="0" borderId="56" xfId="0" applyNumberFormat="1" applyFont="1" applyBorder="1" applyAlignment="1">
      <alignment horizontal="center" vertical="center"/>
    </xf>
    <xf numFmtId="180" fontId="4" fillId="0" borderId="18" xfId="0" applyNumberFormat="1" applyFont="1" applyBorder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0" fontId="4" fillId="6" borderId="57" xfId="0" applyNumberFormat="1" applyFont="1" applyFill="1" applyBorder="1" applyAlignment="1">
      <alignment horizontal="center" vertical="center"/>
    </xf>
    <xf numFmtId="0" fontId="4" fillId="6" borderId="58" xfId="0" applyNumberFormat="1" applyFont="1" applyFill="1" applyBorder="1" applyAlignment="1">
      <alignment horizontal="center" vertical="center"/>
    </xf>
    <xf numFmtId="0" fontId="4" fillId="0" borderId="59" xfId="0" applyNumberFormat="1" applyFont="1" applyFill="1" applyBorder="1" applyAlignment="1">
      <alignment horizontal="center" vertical="center"/>
    </xf>
    <xf numFmtId="0" fontId="4" fillId="0" borderId="60" xfId="0" applyNumberFormat="1" applyFont="1" applyFill="1" applyBorder="1" applyAlignment="1">
      <alignment horizontal="center" vertical="center"/>
    </xf>
    <xf numFmtId="177" fontId="5" fillId="0" borderId="48" xfId="0" applyNumberFormat="1" applyFont="1" applyFill="1" applyBorder="1" applyAlignment="1">
      <alignment horizontal="center" vertical="center"/>
    </xf>
    <xf numFmtId="177" fontId="5" fillId="0" borderId="61" xfId="0" applyNumberFormat="1" applyFont="1" applyFill="1" applyBorder="1" applyAlignment="1">
      <alignment horizontal="center" vertical="center"/>
    </xf>
    <xf numFmtId="177" fontId="5" fillId="6" borderId="35" xfId="0" applyNumberFormat="1" applyFont="1" applyFill="1" applyBorder="1" applyAlignment="1">
      <alignment horizontal="center" vertical="center"/>
    </xf>
    <xf numFmtId="177" fontId="5" fillId="6" borderId="61" xfId="0" applyNumberFormat="1" applyFont="1" applyFill="1" applyBorder="1" applyAlignment="1">
      <alignment horizontal="center" vertical="center"/>
    </xf>
    <xf numFmtId="6" fontId="4" fillId="2" borderId="62" xfId="0" applyNumberFormat="1" applyFont="1" applyFill="1" applyBorder="1" applyAlignment="1">
      <alignment horizontal="center" vertical="center" wrapText="1"/>
    </xf>
    <xf numFmtId="0" fontId="0" fillId="0" borderId="63" xfId="0" applyBorder="1" applyAlignment="1">
      <alignment vertical="center"/>
    </xf>
    <xf numFmtId="180" fontId="4" fillId="5" borderId="17" xfId="0" applyNumberFormat="1" applyFont="1" applyFill="1" applyBorder="1" applyAlignment="1">
      <alignment horizontal="center" vertical="center"/>
    </xf>
    <xf numFmtId="180" fontId="4" fillId="5" borderId="47" xfId="0" applyNumberFormat="1" applyFont="1" applyFill="1" applyBorder="1" applyAlignment="1">
      <alignment horizontal="center" vertical="center"/>
    </xf>
    <xf numFmtId="180" fontId="4" fillId="5" borderId="15" xfId="0" applyNumberFormat="1" applyFont="1" applyFill="1" applyBorder="1" applyAlignment="1">
      <alignment horizontal="center" vertical="center"/>
    </xf>
    <xf numFmtId="182" fontId="12" fillId="5" borderId="17" xfId="0" applyNumberFormat="1" applyFont="1" applyFill="1" applyBorder="1" applyAlignment="1">
      <alignment horizontal="center" vertical="center"/>
    </xf>
    <xf numFmtId="182" fontId="12" fillId="5" borderId="47" xfId="0" applyNumberFormat="1" applyFont="1" applyFill="1" applyBorder="1" applyAlignment="1">
      <alignment horizontal="center" vertical="center"/>
    </xf>
    <xf numFmtId="182" fontId="12" fillId="5" borderId="15" xfId="0" applyNumberFormat="1" applyFont="1" applyFill="1" applyBorder="1" applyAlignment="1">
      <alignment horizontal="center" vertical="center"/>
    </xf>
    <xf numFmtId="180" fontId="13" fillId="4" borderId="17" xfId="0" applyNumberFormat="1" applyFont="1" applyFill="1" applyBorder="1" applyAlignment="1">
      <alignment horizontal="center" vertical="center"/>
    </xf>
    <xf numFmtId="180" fontId="13" fillId="4" borderId="47" xfId="0" applyNumberFormat="1" applyFont="1" applyFill="1" applyBorder="1" applyAlignment="1">
      <alignment horizontal="center" vertical="center"/>
    </xf>
    <xf numFmtId="180" fontId="13" fillId="4" borderId="15" xfId="0" applyNumberFormat="1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/>
    </xf>
    <xf numFmtId="177" fontId="4" fillId="8" borderId="47" xfId="0" applyNumberFormat="1" applyFont="1" applyFill="1" applyBorder="1" applyAlignment="1">
      <alignment horizontal="center" vertical="center"/>
    </xf>
    <xf numFmtId="180" fontId="4" fillId="5" borderId="65" xfId="0" applyNumberFormat="1" applyFont="1" applyFill="1" applyBorder="1" applyAlignment="1">
      <alignment horizontal="center" vertical="center"/>
    </xf>
    <xf numFmtId="180" fontId="4" fillId="5" borderId="66" xfId="0" applyNumberFormat="1" applyFont="1" applyFill="1" applyBorder="1" applyAlignment="1">
      <alignment horizontal="center" vertical="center"/>
    </xf>
    <xf numFmtId="177" fontId="5" fillId="5" borderId="67" xfId="0" applyNumberFormat="1" applyFont="1" applyFill="1" applyBorder="1" applyAlignment="1">
      <alignment horizontal="center" vertical="center"/>
    </xf>
    <xf numFmtId="177" fontId="5" fillId="5" borderId="66" xfId="0" applyNumberFormat="1" applyFont="1" applyFill="1" applyBorder="1" applyAlignment="1">
      <alignment horizontal="center" vertical="center"/>
    </xf>
    <xf numFmtId="177" fontId="5" fillId="5" borderId="68" xfId="0" applyNumberFormat="1" applyFont="1" applyFill="1" applyBorder="1" applyAlignment="1">
      <alignment horizontal="center" vertical="center"/>
    </xf>
    <xf numFmtId="177" fontId="5" fillId="5" borderId="69" xfId="0" applyNumberFormat="1" applyFont="1" applyFill="1" applyBorder="1" applyAlignment="1">
      <alignment horizontal="center" vertical="center"/>
    </xf>
    <xf numFmtId="180" fontId="1" fillId="7" borderId="72" xfId="0" applyNumberFormat="1" applyFont="1" applyFill="1" applyBorder="1" applyAlignment="1">
      <alignment horizontal="center" vertical="center"/>
    </xf>
    <xf numFmtId="180" fontId="1" fillId="7" borderId="40" xfId="0" applyNumberFormat="1" applyFont="1" applyFill="1" applyBorder="1" applyAlignment="1">
      <alignment horizontal="center" vertical="center"/>
    </xf>
    <xf numFmtId="177" fontId="4" fillId="7" borderId="39" xfId="0" applyNumberFormat="1" applyFont="1" applyFill="1" applyBorder="1" applyAlignment="1">
      <alignment horizontal="center" vertical="center"/>
    </xf>
    <xf numFmtId="177" fontId="4" fillId="7" borderId="40" xfId="0" applyNumberFormat="1" applyFont="1" applyFill="1" applyBorder="1" applyAlignment="1">
      <alignment horizontal="center" vertical="center"/>
    </xf>
    <xf numFmtId="180" fontId="1" fillId="0" borderId="72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80" fontId="1" fillId="0" borderId="70" xfId="0" applyNumberFormat="1" applyFont="1" applyBorder="1" applyAlignment="1">
      <alignment horizontal="center" vertical="center"/>
    </xf>
    <xf numFmtId="180" fontId="1" fillId="0" borderId="55" xfId="0" applyNumberFormat="1" applyFont="1" applyBorder="1" applyAlignment="1">
      <alignment horizontal="center" vertical="center"/>
    </xf>
    <xf numFmtId="180" fontId="1" fillId="0" borderId="71" xfId="0" applyNumberFormat="1" applyFont="1" applyBorder="1" applyAlignment="1">
      <alignment horizontal="center" vertical="center"/>
    </xf>
    <xf numFmtId="180" fontId="1" fillId="0" borderId="17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78" fontId="6" fillId="4" borderId="17" xfId="0" applyNumberFormat="1" applyFont="1" applyFill="1" applyBorder="1" applyAlignment="1">
      <alignment horizontal="right" vertical="center"/>
    </xf>
    <xf numFmtId="178" fontId="6" fillId="4" borderId="15" xfId="0" applyNumberFormat="1" applyFont="1" applyFill="1" applyBorder="1" applyAlignment="1">
      <alignment horizontal="right" vertical="center"/>
    </xf>
    <xf numFmtId="178" fontId="6" fillId="0" borderId="19" xfId="0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178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6" fillId="3" borderId="17" xfId="0" applyNumberFormat="1" applyFont="1" applyFill="1" applyBorder="1" applyAlignment="1">
      <alignment horizontal="right" vertical="center"/>
    </xf>
    <xf numFmtId="178" fontId="6" fillId="3" borderId="15" xfId="0" applyNumberFormat="1" applyFont="1" applyFill="1" applyBorder="1" applyAlignment="1">
      <alignment horizontal="right" vertical="center"/>
    </xf>
    <xf numFmtId="180" fontId="0" fillId="5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sp macro="" textlink="">
      <xdr:nvSpPr>
        <xdr:cNvPr id="10302" name="Line 1"/>
        <xdr:cNvSpPr>
          <a:spLocks noChangeShapeType="1"/>
        </xdr:cNvSpPr>
      </xdr:nvSpPr>
      <xdr:spPr bwMode="auto">
        <a:xfrm>
          <a:off x="733425" y="154686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68</xdr:row>
      <xdr:rowOff>180975</xdr:rowOff>
    </xdr:from>
    <xdr:ext cx="281680" cy="151836"/>
    <xdr:sp macro="" textlink="">
      <xdr:nvSpPr>
        <xdr:cNvPr id="10242" name="Text Box 2"/>
        <xdr:cNvSpPr txBox="1">
          <a:spLocks noChangeArrowheads="1"/>
        </xdr:cNvSpPr>
      </xdr:nvSpPr>
      <xdr:spPr bwMode="auto">
        <a:xfrm>
          <a:off x="773575" y="15360690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68</xdr:row>
      <xdr:rowOff>38100</xdr:rowOff>
    </xdr:from>
    <xdr:ext cx="383888" cy="151836"/>
    <xdr:sp macro="" textlink="">
      <xdr:nvSpPr>
        <xdr:cNvPr id="10243" name="Text Box 3"/>
        <xdr:cNvSpPr txBox="1">
          <a:spLocks noChangeArrowheads="1"/>
        </xdr:cNvSpPr>
      </xdr:nvSpPr>
      <xdr:spPr bwMode="auto">
        <a:xfrm>
          <a:off x="1068850" y="15217815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sp macro="" textlink="">
      <xdr:nvSpPr>
        <xdr:cNvPr id="10305" name="Line 15"/>
        <xdr:cNvSpPr>
          <a:spLocks noChangeShapeType="1"/>
        </xdr:cNvSpPr>
      </xdr:nvSpPr>
      <xdr:spPr bwMode="auto">
        <a:xfrm>
          <a:off x="733425" y="154686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68</xdr:row>
      <xdr:rowOff>180975</xdr:rowOff>
    </xdr:from>
    <xdr:ext cx="281680" cy="151836"/>
    <xdr:sp macro="" textlink="">
      <xdr:nvSpPr>
        <xdr:cNvPr id="10256" name="Text Box 16"/>
        <xdr:cNvSpPr txBox="1">
          <a:spLocks noChangeArrowheads="1"/>
        </xdr:cNvSpPr>
      </xdr:nvSpPr>
      <xdr:spPr bwMode="auto">
        <a:xfrm>
          <a:off x="773575" y="15360690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68</xdr:row>
      <xdr:rowOff>38100</xdr:rowOff>
    </xdr:from>
    <xdr:ext cx="383888" cy="151836"/>
    <xdr:sp macro="" textlink="">
      <xdr:nvSpPr>
        <xdr:cNvPr id="10257" name="Text Box 17"/>
        <xdr:cNvSpPr txBox="1">
          <a:spLocks noChangeArrowheads="1"/>
        </xdr:cNvSpPr>
      </xdr:nvSpPr>
      <xdr:spPr bwMode="auto">
        <a:xfrm>
          <a:off x="1068850" y="15217815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10308" name="Line 24"/>
        <xdr:cNvSpPr>
          <a:spLocks noChangeShapeType="1"/>
        </xdr:cNvSpPr>
      </xdr:nvSpPr>
      <xdr:spPr bwMode="auto">
        <a:xfrm>
          <a:off x="733425" y="81153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35</xdr:row>
      <xdr:rowOff>180975</xdr:rowOff>
    </xdr:from>
    <xdr:ext cx="281680" cy="151836"/>
    <xdr:sp macro="" textlink="">
      <xdr:nvSpPr>
        <xdr:cNvPr id="10265" name="Text Box 25"/>
        <xdr:cNvSpPr txBox="1">
          <a:spLocks noChangeArrowheads="1"/>
        </xdr:cNvSpPr>
      </xdr:nvSpPr>
      <xdr:spPr bwMode="auto">
        <a:xfrm>
          <a:off x="773575" y="8150627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35</xdr:row>
      <xdr:rowOff>38100</xdr:rowOff>
    </xdr:from>
    <xdr:ext cx="383888" cy="151836"/>
    <xdr:sp macro="" textlink="">
      <xdr:nvSpPr>
        <xdr:cNvPr id="10266" name="Text Box 26"/>
        <xdr:cNvSpPr txBox="1">
          <a:spLocks noChangeArrowheads="1"/>
        </xdr:cNvSpPr>
      </xdr:nvSpPr>
      <xdr:spPr bwMode="auto">
        <a:xfrm>
          <a:off x="1068850" y="8007752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10311" name="Line 27"/>
        <xdr:cNvSpPr>
          <a:spLocks noChangeShapeType="1"/>
        </xdr:cNvSpPr>
      </xdr:nvSpPr>
      <xdr:spPr bwMode="auto">
        <a:xfrm>
          <a:off x="733425" y="81153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35</xdr:row>
      <xdr:rowOff>180975</xdr:rowOff>
    </xdr:from>
    <xdr:ext cx="281680" cy="151836"/>
    <xdr:sp macro="" textlink="">
      <xdr:nvSpPr>
        <xdr:cNvPr id="10268" name="Text Box 28"/>
        <xdr:cNvSpPr txBox="1">
          <a:spLocks noChangeArrowheads="1"/>
        </xdr:cNvSpPr>
      </xdr:nvSpPr>
      <xdr:spPr bwMode="auto">
        <a:xfrm>
          <a:off x="773575" y="8150627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35</xdr:row>
      <xdr:rowOff>38100</xdr:rowOff>
    </xdr:from>
    <xdr:ext cx="383888" cy="151836"/>
    <xdr:sp macro="" textlink="">
      <xdr:nvSpPr>
        <xdr:cNvPr id="10269" name="Text Box 29"/>
        <xdr:cNvSpPr txBox="1">
          <a:spLocks noChangeArrowheads="1"/>
        </xdr:cNvSpPr>
      </xdr:nvSpPr>
      <xdr:spPr bwMode="auto">
        <a:xfrm>
          <a:off x="1068850" y="8007752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0314" name="Line 30"/>
        <xdr:cNvSpPr>
          <a:spLocks noChangeShapeType="1"/>
        </xdr:cNvSpPr>
      </xdr:nvSpPr>
      <xdr:spPr bwMode="auto">
        <a:xfrm>
          <a:off x="733425" y="7620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2</xdr:row>
      <xdr:rowOff>180975</xdr:rowOff>
    </xdr:from>
    <xdr:ext cx="281680" cy="151836"/>
    <xdr:sp macro="" textlink="">
      <xdr:nvSpPr>
        <xdr:cNvPr id="10271" name="Text Box 31"/>
        <xdr:cNvSpPr txBox="1">
          <a:spLocks noChangeArrowheads="1"/>
        </xdr:cNvSpPr>
      </xdr:nvSpPr>
      <xdr:spPr bwMode="auto">
        <a:xfrm>
          <a:off x="773575" y="940564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2</xdr:row>
      <xdr:rowOff>38100</xdr:rowOff>
    </xdr:from>
    <xdr:ext cx="383888" cy="151836"/>
    <xdr:sp macro="" textlink="">
      <xdr:nvSpPr>
        <xdr:cNvPr id="10272" name="Text Box 32"/>
        <xdr:cNvSpPr txBox="1">
          <a:spLocks noChangeArrowheads="1"/>
        </xdr:cNvSpPr>
      </xdr:nvSpPr>
      <xdr:spPr bwMode="auto">
        <a:xfrm>
          <a:off x="1068850" y="797689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0317" name="Line 33"/>
        <xdr:cNvSpPr>
          <a:spLocks noChangeShapeType="1"/>
        </xdr:cNvSpPr>
      </xdr:nvSpPr>
      <xdr:spPr bwMode="auto">
        <a:xfrm>
          <a:off x="733425" y="7620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2</xdr:row>
      <xdr:rowOff>180975</xdr:rowOff>
    </xdr:from>
    <xdr:ext cx="281680" cy="151836"/>
    <xdr:sp macro="" textlink="">
      <xdr:nvSpPr>
        <xdr:cNvPr id="10274" name="Text Box 34"/>
        <xdr:cNvSpPr txBox="1">
          <a:spLocks noChangeArrowheads="1"/>
        </xdr:cNvSpPr>
      </xdr:nvSpPr>
      <xdr:spPr bwMode="auto">
        <a:xfrm>
          <a:off x="773575" y="940564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2</xdr:row>
      <xdr:rowOff>38100</xdr:rowOff>
    </xdr:from>
    <xdr:ext cx="383888" cy="151836"/>
    <xdr:sp macro="" textlink="">
      <xdr:nvSpPr>
        <xdr:cNvPr id="10275" name="Text Box 35"/>
        <xdr:cNvSpPr txBox="1">
          <a:spLocks noChangeArrowheads="1"/>
        </xdr:cNvSpPr>
      </xdr:nvSpPr>
      <xdr:spPr bwMode="auto">
        <a:xfrm>
          <a:off x="1068850" y="797689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oneCellAnchor>
    <xdr:from>
      <xdr:col>1</xdr:col>
      <xdr:colOff>38100</xdr:colOff>
      <xdr:row>35</xdr:row>
      <xdr:rowOff>180975</xdr:rowOff>
    </xdr:from>
    <xdr:ext cx="281680" cy="151836"/>
    <xdr:sp macro="" textlink="">
      <xdr:nvSpPr>
        <xdr:cNvPr id="10276" name="Text Box 36"/>
        <xdr:cNvSpPr txBox="1">
          <a:spLocks noChangeArrowheads="1"/>
        </xdr:cNvSpPr>
      </xdr:nvSpPr>
      <xdr:spPr bwMode="auto">
        <a:xfrm>
          <a:off x="773575" y="8150627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38100</xdr:colOff>
      <xdr:row>35</xdr:row>
      <xdr:rowOff>180975</xdr:rowOff>
    </xdr:from>
    <xdr:ext cx="281680" cy="151836"/>
    <xdr:sp macro="" textlink="">
      <xdr:nvSpPr>
        <xdr:cNvPr id="10277" name="Text Box 37"/>
        <xdr:cNvSpPr txBox="1">
          <a:spLocks noChangeArrowheads="1"/>
        </xdr:cNvSpPr>
      </xdr:nvSpPr>
      <xdr:spPr bwMode="auto">
        <a:xfrm>
          <a:off x="773575" y="8150627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38100</xdr:colOff>
      <xdr:row>68</xdr:row>
      <xdr:rowOff>180975</xdr:rowOff>
    </xdr:from>
    <xdr:ext cx="281680" cy="151836"/>
    <xdr:sp macro="" textlink="">
      <xdr:nvSpPr>
        <xdr:cNvPr id="10278" name="Text Box 38"/>
        <xdr:cNvSpPr txBox="1">
          <a:spLocks noChangeArrowheads="1"/>
        </xdr:cNvSpPr>
      </xdr:nvSpPr>
      <xdr:spPr bwMode="auto">
        <a:xfrm>
          <a:off x="773575" y="15360690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38100</xdr:colOff>
      <xdr:row>68</xdr:row>
      <xdr:rowOff>180975</xdr:rowOff>
    </xdr:from>
    <xdr:ext cx="281680" cy="151836"/>
    <xdr:sp macro="" textlink="">
      <xdr:nvSpPr>
        <xdr:cNvPr id="10279" name="Text Box 39"/>
        <xdr:cNvSpPr txBox="1">
          <a:spLocks noChangeArrowheads="1"/>
        </xdr:cNvSpPr>
      </xdr:nvSpPr>
      <xdr:spPr bwMode="auto">
        <a:xfrm>
          <a:off x="773575" y="15360690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sp macro="" textlink="">
      <xdr:nvSpPr>
        <xdr:cNvPr id="11294" name="Line 1"/>
        <xdr:cNvSpPr>
          <a:spLocks noChangeShapeType="1"/>
        </xdr:cNvSpPr>
      </xdr:nvSpPr>
      <xdr:spPr bwMode="auto">
        <a:xfrm>
          <a:off x="704850" y="154686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68</xdr:row>
      <xdr:rowOff>180975</xdr:rowOff>
    </xdr:from>
    <xdr:ext cx="281680" cy="151836"/>
    <xdr:sp macro="" textlink="">
      <xdr:nvSpPr>
        <xdr:cNvPr id="11266" name="Text Box 2"/>
        <xdr:cNvSpPr txBox="1">
          <a:spLocks noChangeArrowheads="1"/>
        </xdr:cNvSpPr>
      </xdr:nvSpPr>
      <xdr:spPr bwMode="auto">
        <a:xfrm>
          <a:off x="737404" y="15360690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68</xdr:row>
      <xdr:rowOff>38100</xdr:rowOff>
    </xdr:from>
    <xdr:ext cx="383888" cy="151836"/>
    <xdr:sp macro="" textlink="">
      <xdr:nvSpPr>
        <xdr:cNvPr id="11267" name="Text Box 3"/>
        <xdr:cNvSpPr txBox="1">
          <a:spLocks noChangeArrowheads="1"/>
        </xdr:cNvSpPr>
      </xdr:nvSpPr>
      <xdr:spPr bwMode="auto">
        <a:xfrm>
          <a:off x="1032679" y="15217815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sp macro="" textlink="">
      <xdr:nvSpPr>
        <xdr:cNvPr id="11297" name="Line 15"/>
        <xdr:cNvSpPr>
          <a:spLocks noChangeShapeType="1"/>
        </xdr:cNvSpPr>
      </xdr:nvSpPr>
      <xdr:spPr bwMode="auto">
        <a:xfrm>
          <a:off x="704850" y="81153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35</xdr:row>
      <xdr:rowOff>180975</xdr:rowOff>
    </xdr:from>
    <xdr:ext cx="281680" cy="151836"/>
    <xdr:sp macro="" textlink="">
      <xdr:nvSpPr>
        <xdr:cNvPr id="11280" name="Text Box 16"/>
        <xdr:cNvSpPr txBox="1">
          <a:spLocks noChangeArrowheads="1"/>
        </xdr:cNvSpPr>
      </xdr:nvSpPr>
      <xdr:spPr bwMode="auto">
        <a:xfrm>
          <a:off x="737404" y="8150627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35</xdr:row>
      <xdr:rowOff>38100</xdr:rowOff>
    </xdr:from>
    <xdr:ext cx="383888" cy="151836"/>
    <xdr:sp macro="" textlink="">
      <xdr:nvSpPr>
        <xdr:cNvPr id="11281" name="Text Box 17"/>
        <xdr:cNvSpPr txBox="1">
          <a:spLocks noChangeArrowheads="1"/>
        </xdr:cNvSpPr>
      </xdr:nvSpPr>
      <xdr:spPr bwMode="auto">
        <a:xfrm>
          <a:off x="1032679" y="8007752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sp macro="" textlink="">
      <xdr:nvSpPr>
        <xdr:cNvPr id="11300" name="Line 18"/>
        <xdr:cNvSpPr>
          <a:spLocks noChangeShapeType="1"/>
        </xdr:cNvSpPr>
      </xdr:nvSpPr>
      <xdr:spPr bwMode="auto">
        <a:xfrm>
          <a:off x="704850" y="762000"/>
          <a:ext cx="762000" cy="352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38100</xdr:colOff>
      <xdr:row>2</xdr:row>
      <xdr:rowOff>180975</xdr:rowOff>
    </xdr:from>
    <xdr:ext cx="281680" cy="151836"/>
    <xdr:sp macro="" textlink="">
      <xdr:nvSpPr>
        <xdr:cNvPr id="11283" name="Text Box 19"/>
        <xdr:cNvSpPr txBox="1">
          <a:spLocks noChangeArrowheads="1"/>
        </xdr:cNvSpPr>
      </xdr:nvSpPr>
      <xdr:spPr bwMode="auto">
        <a:xfrm>
          <a:off x="737404" y="940564"/>
          <a:ext cx="281680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YEAR</a:t>
          </a:r>
        </a:p>
      </xdr:txBody>
    </xdr:sp>
    <xdr:clientData/>
  </xdr:oneCellAnchor>
  <xdr:oneCellAnchor>
    <xdr:from>
      <xdr:col>1</xdr:col>
      <xdr:colOff>333375</xdr:colOff>
      <xdr:row>2</xdr:row>
      <xdr:rowOff>38100</xdr:rowOff>
    </xdr:from>
    <xdr:ext cx="383888" cy="151836"/>
    <xdr:sp macro="" textlink="">
      <xdr:nvSpPr>
        <xdr:cNvPr id="11284" name="Text Box 20"/>
        <xdr:cNvSpPr txBox="1">
          <a:spLocks noChangeArrowheads="1"/>
        </xdr:cNvSpPr>
      </xdr:nvSpPr>
      <xdr:spPr bwMode="auto">
        <a:xfrm>
          <a:off x="1032679" y="797689"/>
          <a:ext cx="383888" cy="151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돋움"/>
              <a:ea typeface="돋움"/>
            </a:rPr>
            <a:t>MONTH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5"/>
  <sheetViews>
    <sheetView zoomScale="85" workbookViewId="0">
      <pane ySplit="7" topLeftCell="A8" activePane="bottomLeft" state="frozen"/>
      <selection pane="bottomLeft" activeCell="A5" sqref="A5"/>
    </sheetView>
  </sheetViews>
  <sheetFormatPr defaultRowHeight="13.5" x14ac:dyDescent="0.15"/>
  <cols>
    <col min="1" max="1" width="10" style="12" customWidth="1"/>
    <col min="2" max="2" width="13.5546875" style="12" customWidth="1"/>
    <col min="3" max="4" width="14.6640625" style="15" customWidth="1"/>
    <col min="5" max="5" width="16.6640625" style="15" customWidth="1"/>
    <col min="6" max="6" width="16.44140625" style="15" customWidth="1"/>
    <col min="7" max="9" width="13.5546875" style="61" customWidth="1"/>
    <col min="10" max="10" width="17.21875" style="15" customWidth="1"/>
    <col min="11" max="11" width="8.88671875" style="12"/>
    <col min="12" max="12" width="9.6640625" style="12" bestFit="1" customWidth="1"/>
    <col min="13" max="16384" width="8.88671875" style="12"/>
  </cols>
  <sheetData>
    <row r="1" spans="1:11" ht="33.75" customHeight="1" x14ac:dyDescent="0.15">
      <c r="A1" s="146" t="s">
        <v>41</v>
      </c>
      <c r="B1" s="146"/>
      <c r="C1" s="146"/>
      <c r="D1" s="146"/>
      <c r="E1" s="146"/>
      <c r="F1" s="146"/>
      <c r="G1" s="146"/>
      <c r="H1" s="146"/>
      <c r="I1" s="146"/>
      <c r="J1" s="146"/>
    </row>
    <row r="2" spans="1:11" ht="18.75" customHeight="1" x14ac:dyDescent="0.15">
      <c r="A2" s="13"/>
      <c r="B2" s="13"/>
      <c r="C2" s="13"/>
      <c r="D2" s="102" t="s">
        <v>33</v>
      </c>
      <c r="E2" s="201" t="s">
        <v>42</v>
      </c>
      <c r="F2" s="201" t="s">
        <v>43</v>
      </c>
      <c r="G2" s="157" t="s">
        <v>44</v>
      </c>
      <c r="H2" s="158"/>
      <c r="I2" s="159"/>
      <c r="J2" s="103" t="s">
        <v>35</v>
      </c>
    </row>
    <row r="3" spans="1:11" ht="29.25" customHeight="1" x14ac:dyDescent="0.15">
      <c r="D3" s="102" t="s">
        <v>36</v>
      </c>
      <c r="E3" s="104">
        <f>C97</f>
        <v>0</v>
      </c>
      <c r="F3" s="104">
        <f>E3*(1+J4/100)</f>
        <v>0</v>
      </c>
      <c r="G3" s="160">
        <f>F3*(1+J3/100)</f>
        <v>0</v>
      </c>
      <c r="H3" s="161"/>
      <c r="I3" s="162"/>
      <c r="J3" s="105">
        <v>-10</v>
      </c>
      <c r="K3" s="99"/>
    </row>
    <row r="4" spans="1:11" ht="29.25" customHeight="1" x14ac:dyDescent="0.15">
      <c r="A4" s="13"/>
      <c r="B4" s="13"/>
      <c r="C4" s="13"/>
      <c r="D4" s="14" t="s">
        <v>34</v>
      </c>
      <c r="E4" s="100">
        <v>20554668.425880902</v>
      </c>
      <c r="F4" s="100">
        <v>23806034.646216601</v>
      </c>
      <c r="G4" s="163">
        <f>F4</f>
        <v>23806034.646216601</v>
      </c>
      <c r="H4" s="164"/>
      <c r="I4" s="165"/>
      <c r="J4" s="101">
        <f>F4/E4*100-100</f>
        <v>15.818139962023523</v>
      </c>
    </row>
    <row r="5" spans="1:11" ht="14.25" thickBot="1" x14ac:dyDescent="0.2"/>
    <row r="6" spans="1:11" ht="19.5" customHeight="1" x14ac:dyDescent="0.15">
      <c r="A6" s="142" t="s">
        <v>15</v>
      </c>
      <c r="B6" s="144" t="s">
        <v>14</v>
      </c>
      <c r="C6" s="149">
        <v>2012</v>
      </c>
      <c r="D6" s="150"/>
      <c r="E6" s="147">
        <v>2013</v>
      </c>
      <c r="F6" s="148"/>
      <c r="G6" s="155" t="s">
        <v>26</v>
      </c>
      <c r="H6" s="156"/>
      <c r="I6" s="166" t="s">
        <v>29</v>
      </c>
      <c r="J6" s="167"/>
    </row>
    <row r="7" spans="1:11" ht="18.75" customHeight="1" x14ac:dyDescent="0.15">
      <c r="A7" s="143"/>
      <c r="B7" s="145"/>
      <c r="C7" s="28" t="s">
        <v>10</v>
      </c>
      <c r="D7" s="16" t="s">
        <v>11</v>
      </c>
      <c r="E7" s="40" t="s">
        <v>10</v>
      </c>
      <c r="F7" s="41" t="s">
        <v>11</v>
      </c>
      <c r="G7" s="93" t="s">
        <v>28</v>
      </c>
      <c r="H7" s="94" t="s">
        <v>27</v>
      </c>
      <c r="I7" s="93" t="s">
        <v>28</v>
      </c>
      <c r="J7" s="95" t="s">
        <v>27</v>
      </c>
    </row>
    <row r="8" spans="1:11" s="15" customFormat="1" x14ac:dyDescent="0.15">
      <c r="A8" s="85" t="s">
        <v>8</v>
      </c>
      <c r="B8" s="136">
        <v>1</v>
      </c>
      <c r="C8" s="70"/>
      <c r="D8" s="71"/>
      <c r="E8" s="42"/>
      <c r="F8" s="43"/>
      <c r="G8" s="96">
        <f t="shared" ref="G8:H12" si="0">E8-C8</f>
        <v>0</v>
      </c>
      <c r="H8" s="96">
        <f t="shared" si="0"/>
        <v>0</v>
      </c>
      <c r="I8" s="90"/>
      <c r="J8" s="91"/>
    </row>
    <row r="9" spans="1:11" s="15" customFormat="1" x14ac:dyDescent="0.15">
      <c r="A9" s="86" t="s">
        <v>9</v>
      </c>
      <c r="B9" s="136"/>
      <c r="C9" s="72"/>
      <c r="D9" s="24"/>
      <c r="E9" s="44"/>
      <c r="F9" s="45"/>
      <c r="G9" s="96">
        <f t="shared" si="0"/>
        <v>0</v>
      </c>
      <c r="H9" s="96">
        <f t="shared" si="0"/>
        <v>0</v>
      </c>
      <c r="I9" s="89"/>
      <c r="J9" s="92"/>
    </row>
    <row r="10" spans="1:11" s="88" customFormat="1" x14ac:dyDescent="0.15">
      <c r="A10" s="87" t="s">
        <v>18</v>
      </c>
      <c r="B10" s="136"/>
      <c r="C10" s="80"/>
      <c r="D10" s="81"/>
      <c r="E10" s="82"/>
      <c r="F10" s="83"/>
      <c r="G10" s="96">
        <f t="shared" si="0"/>
        <v>0</v>
      </c>
      <c r="H10" s="96">
        <f t="shared" si="0"/>
        <v>0</v>
      </c>
      <c r="I10" s="89"/>
      <c r="J10" s="92"/>
    </row>
    <row r="11" spans="1:11" s="88" customFormat="1" x14ac:dyDescent="0.15">
      <c r="A11" s="87" t="s">
        <v>21</v>
      </c>
      <c r="B11" s="136"/>
      <c r="C11" s="80"/>
      <c r="D11" s="81"/>
      <c r="E11" s="82"/>
      <c r="F11" s="83"/>
      <c r="G11" s="96">
        <f t="shared" si="0"/>
        <v>0</v>
      </c>
      <c r="H11" s="96">
        <f t="shared" si="0"/>
        <v>0</v>
      </c>
      <c r="I11" s="89"/>
      <c r="J11" s="92"/>
    </row>
    <row r="12" spans="1:11" s="20" customFormat="1" x14ac:dyDescent="0.15">
      <c r="A12" s="19" t="s">
        <v>0</v>
      </c>
      <c r="B12" s="136"/>
      <c r="C12" s="73">
        <f>SUM(C8:C11)</f>
        <v>0</v>
      </c>
      <c r="D12" s="25">
        <f>SUM(D8:D11)</f>
        <v>0</v>
      </c>
      <c r="E12" s="46">
        <f>SUM(E8:E11)</f>
        <v>0</v>
      </c>
      <c r="F12" s="47">
        <f>SUM(F8:F11)</f>
        <v>0</v>
      </c>
      <c r="G12" s="84">
        <f t="shared" si="0"/>
        <v>0</v>
      </c>
      <c r="H12" s="84">
        <f t="shared" si="0"/>
        <v>0</v>
      </c>
      <c r="I12" s="97" t="e">
        <f>E12/C12*100-100</f>
        <v>#DIV/0!</v>
      </c>
      <c r="J12" s="98" t="e">
        <f>F12/D12*100-100</f>
        <v>#DIV/0!</v>
      </c>
    </row>
    <row r="13" spans="1:11" s="20" customFormat="1" ht="20.25" customHeight="1" x14ac:dyDescent="0.15">
      <c r="A13" s="133" t="s">
        <v>37</v>
      </c>
      <c r="B13" s="134"/>
      <c r="C13" s="125">
        <f>SUM(C8:D10)</f>
        <v>0</v>
      </c>
      <c r="D13" s="126"/>
      <c r="E13" s="125">
        <f>E8+E9+F8+F9</f>
        <v>0</v>
      </c>
      <c r="F13" s="168"/>
      <c r="G13" s="119">
        <f t="shared" ref="G13:G42" si="1">E13-C13</f>
        <v>0</v>
      </c>
      <c r="H13" s="120"/>
      <c r="I13" s="115" t="e">
        <f>E13/C13*100-100</f>
        <v>#DIV/0!</v>
      </c>
      <c r="J13" s="116"/>
    </row>
    <row r="14" spans="1:11" ht="18" customHeight="1" thickBot="1" x14ac:dyDescent="0.2">
      <c r="A14" s="137" t="s">
        <v>4</v>
      </c>
      <c r="B14" s="138"/>
      <c r="C14" s="151">
        <f>C12+D12</f>
        <v>0</v>
      </c>
      <c r="D14" s="152"/>
      <c r="E14" s="153">
        <f>E12+F12</f>
        <v>0</v>
      </c>
      <c r="F14" s="154"/>
      <c r="G14" s="121">
        <f t="shared" si="1"/>
        <v>0</v>
      </c>
      <c r="H14" s="122"/>
      <c r="I14" s="117" t="e">
        <f>E14/C14*100-100</f>
        <v>#DIV/0!</v>
      </c>
      <c r="J14" s="118"/>
    </row>
    <row r="15" spans="1:11" ht="14.25" thickTop="1" x14ac:dyDescent="0.15">
      <c r="A15" s="21" t="s">
        <v>8</v>
      </c>
      <c r="B15" s="135">
        <v>2</v>
      </c>
      <c r="C15" s="74"/>
      <c r="D15" s="26"/>
      <c r="E15" s="48"/>
      <c r="F15" s="49"/>
      <c r="G15" s="96">
        <f t="shared" si="1"/>
        <v>0</v>
      </c>
      <c r="H15" s="96">
        <f>F15-D15</f>
        <v>0</v>
      </c>
      <c r="I15" s="90"/>
      <c r="J15" s="91"/>
    </row>
    <row r="16" spans="1:11" x14ac:dyDescent="0.15">
      <c r="A16" s="18" t="s">
        <v>9</v>
      </c>
      <c r="B16" s="136"/>
      <c r="C16" s="72"/>
      <c r="D16" s="24"/>
      <c r="E16" s="44"/>
      <c r="F16" s="45"/>
      <c r="G16" s="96">
        <f t="shared" si="1"/>
        <v>0</v>
      </c>
      <c r="H16" s="96">
        <f>F16-D16</f>
        <v>0</v>
      </c>
      <c r="I16" s="89"/>
      <c r="J16" s="92"/>
    </row>
    <row r="17" spans="1:13" x14ac:dyDescent="0.15">
      <c r="A17" s="79" t="s">
        <v>22</v>
      </c>
      <c r="B17" s="136"/>
      <c r="C17" s="80"/>
      <c r="D17" s="81"/>
      <c r="E17" s="82"/>
      <c r="F17" s="83"/>
      <c r="G17" s="96">
        <f t="shared" si="1"/>
        <v>0</v>
      </c>
      <c r="H17" s="96">
        <f>F17-D17</f>
        <v>0</v>
      </c>
      <c r="I17" s="89"/>
      <c r="J17" s="92"/>
    </row>
    <row r="18" spans="1:13" s="63" customFormat="1" x14ac:dyDescent="0.15">
      <c r="A18" s="79" t="s">
        <v>21</v>
      </c>
      <c r="B18" s="136"/>
      <c r="C18" s="80"/>
      <c r="D18" s="81"/>
      <c r="E18" s="56"/>
      <c r="F18" s="83"/>
      <c r="G18" s="96">
        <f t="shared" si="1"/>
        <v>0</v>
      </c>
      <c r="H18" s="96">
        <f>F18-D18</f>
        <v>0</v>
      </c>
      <c r="I18" s="89"/>
      <c r="J18" s="92"/>
    </row>
    <row r="19" spans="1:13" s="20" customFormat="1" x14ac:dyDescent="0.15">
      <c r="A19" s="19" t="s">
        <v>0</v>
      </c>
      <c r="B19" s="136"/>
      <c r="C19" s="73">
        <f>SUM(C15:C18)</f>
        <v>0</v>
      </c>
      <c r="D19" s="25">
        <f>SUM(D15:D18)</f>
        <v>0</v>
      </c>
      <c r="E19" s="46">
        <f>SUM(E15:E18)</f>
        <v>0</v>
      </c>
      <c r="F19" s="47">
        <f>SUM(F15:F18)</f>
        <v>0</v>
      </c>
      <c r="G19" s="84">
        <f t="shared" si="1"/>
        <v>0</v>
      </c>
      <c r="H19" s="84">
        <f>F19-D19</f>
        <v>0</v>
      </c>
      <c r="I19" s="97" t="e">
        <f>E19/C19*100-100</f>
        <v>#DIV/0!</v>
      </c>
      <c r="J19" s="98" t="e">
        <f>F19/D19*100-100</f>
        <v>#DIV/0!</v>
      </c>
    </row>
    <row r="20" spans="1:13" s="20" customFormat="1" ht="20.25" customHeight="1" x14ac:dyDescent="0.15">
      <c r="A20" s="133" t="s">
        <v>37</v>
      </c>
      <c r="B20" s="134"/>
      <c r="C20" s="125">
        <f>SUM(C15:D17)</f>
        <v>0</v>
      </c>
      <c r="D20" s="126"/>
      <c r="E20" s="125">
        <f>SUM(E15:F17)</f>
        <v>0</v>
      </c>
      <c r="F20" s="126"/>
      <c r="G20" s="119">
        <f t="shared" si="1"/>
        <v>0</v>
      </c>
      <c r="H20" s="120"/>
      <c r="I20" s="115" t="e">
        <f>E20/C20*100-100</f>
        <v>#DIV/0!</v>
      </c>
      <c r="J20" s="116"/>
    </row>
    <row r="21" spans="1:13" ht="18" customHeight="1" thickBot="1" x14ac:dyDescent="0.2">
      <c r="A21" s="137" t="s">
        <v>4</v>
      </c>
      <c r="B21" s="138"/>
      <c r="C21" s="131">
        <f>C19+D19</f>
        <v>0</v>
      </c>
      <c r="D21" s="132"/>
      <c r="E21" s="123">
        <f>E19+F19</f>
        <v>0</v>
      </c>
      <c r="F21" s="124"/>
      <c r="G21" s="121">
        <f t="shared" si="1"/>
        <v>0</v>
      </c>
      <c r="H21" s="122"/>
      <c r="I21" s="117" t="e">
        <f>E21/C21*100-100</f>
        <v>#DIV/0!</v>
      </c>
      <c r="J21" s="118"/>
      <c r="M21" s="61"/>
    </row>
    <row r="22" spans="1:13" ht="14.25" thickTop="1" x14ac:dyDescent="0.15">
      <c r="A22" s="17" t="s">
        <v>8</v>
      </c>
      <c r="B22" s="135">
        <v>3</v>
      </c>
      <c r="C22" s="75"/>
      <c r="D22" s="23"/>
      <c r="E22" s="42"/>
      <c r="F22" s="43"/>
      <c r="G22" s="96">
        <f t="shared" si="1"/>
        <v>0</v>
      </c>
      <c r="H22" s="96">
        <f>F22-D22</f>
        <v>0</v>
      </c>
      <c r="I22" s="90"/>
      <c r="J22" s="91"/>
    </row>
    <row r="23" spans="1:13" x14ac:dyDescent="0.15">
      <c r="A23" s="18" t="s">
        <v>9</v>
      </c>
      <c r="B23" s="136"/>
      <c r="C23" s="72"/>
      <c r="D23" s="24"/>
      <c r="E23" s="44"/>
      <c r="F23" s="45"/>
      <c r="G23" s="96">
        <f t="shared" si="1"/>
        <v>0</v>
      </c>
      <c r="H23" s="96">
        <f>F23-D23</f>
        <v>0</v>
      </c>
      <c r="I23" s="89"/>
      <c r="J23" s="92"/>
    </row>
    <row r="24" spans="1:13" x14ac:dyDescent="0.15">
      <c r="A24" s="79" t="s">
        <v>18</v>
      </c>
      <c r="B24" s="136"/>
      <c r="C24" s="80"/>
      <c r="D24" s="81"/>
      <c r="E24" s="82"/>
      <c r="F24" s="83"/>
      <c r="G24" s="96">
        <f t="shared" si="1"/>
        <v>0</v>
      </c>
      <c r="H24" s="96">
        <f>F24-D24</f>
        <v>0</v>
      </c>
      <c r="I24" s="89"/>
      <c r="J24" s="92"/>
    </row>
    <row r="25" spans="1:13" s="63" customFormat="1" x14ac:dyDescent="0.15">
      <c r="A25" s="79" t="s">
        <v>21</v>
      </c>
      <c r="B25" s="136"/>
      <c r="C25" s="80"/>
      <c r="D25" s="81"/>
      <c r="E25" s="56"/>
      <c r="F25" s="83"/>
      <c r="G25" s="96">
        <f t="shared" si="1"/>
        <v>0</v>
      </c>
      <c r="H25" s="96">
        <f>F25-D25</f>
        <v>0</v>
      </c>
      <c r="I25" s="89"/>
      <c r="J25" s="92"/>
    </row>
    <row r="26" spans="1:13" s="20" customFormat="1" x14ac:dyDescent="0.15">
      <c r="A26" s="19" t="s">
        <v>0</v>
      </c>
      <c r="B26" s="136"/>
      <c r="C26" s="73">
        <f>SUM(C22:C25)</f>
        <v>0</v>
      </c>
      <c r="D26" s="25">
        <f>SUM(D22:D25)</f>
        <v>0</v>
      </c>
      <c r="E26" s="46">
        <f>SUM(E22:E25)</f>
        <v>0</v>
      </c>
      <c r="F26" s="47">
        <f>SUM(F22:F25)</f>
        <v>0</v>
      </c>
      <c r="G26" s="84">
        <f t="shared" si="1"/>
        <v>0</v>
      </c>
      <c r="H26" s="84">
        <f>F26-D26</f>
        <v>0</v>
      </c>
      <c r="I26" s="97" t="e">
        <f>E26/C26*100-100</f>
        <v>#DIV/0!</v>
      </c>
      <c r="J26" s="98" t="e">
        <f>F26/D26*100-100</f>
        <v>#DIV/0!</v>
      </c>
    </row>
    <row r="27" spans="1:13" s="20" customFormat="1" ht="20.25" customHeight="1" x14ac:dyDescent="0.15">
      <c r="A27" s="133" t="s">
        <v>37</v>
      </c>
      <c r="B27" s="134"/>
      <c r="C27" s="125">
        <f>SUM(C22:D24)</f>
        <v>0</v>
      </c>
      <c r="D27" s="126"/>
      <c r="E27" s="125">
        <f>SUM(E22:F24)</f>
        <v>0</v>
      </c>
      <c r="F27" s="126"/>
      <c r="G27" s="119">
        <f t="shared" si="1"/>
        <v>0</v>
      </c>
      <c r="H27" s="120"/>
      <c r="I27" s="115" t="e">
        <f>E27/C27*100-100</f>
        <v>#DIV/0!</v>
      </c>
      <c r="J27" s="116"/>
    </row>
    <row r="28" spans="1:13" ht="18" customHeight="1" thickBot="1" x14ac:dyDescent="0.2">
      <c r="A28" s="137" t="s">
        <v>4</v>
      </c>
      <c r="B28" s="138"/>
      <c r="C28" s="131">
        <f>C26+D26</f>
        <v>0</v>
      </c>
      <c r="D28" s="132"/>
      <c r="E28" s="123">
        <f>E26+F26</f>
        <v>0</v>
      </c>
      <c r="F28" s="124"/>
      <c r="G28" s="121">
        <f t="shared" si="1"/>
        <v>0</v>
      </c>
      <c r="H28" s="122"/>
      <c r="I28" s="117" t="e">
        <f>E28/C28*100-100</f>
        <v>#DIV/0!</v>
      </c>
      <c r="J28" s="118"/>
    </row>
    <row r="29" spans="1:13" ht="14.25" thickTop="1" x14ac:dyDescent="0.15">
      <c r="A29" s="21" t="s">
        <v>8</v>
      </c>
      <c r="B29" s="135">
        <v>4</v>
      </c>
      <c r="C29" s="74"/>
      <c r="D29" s="26"/>
      <c r="E29" s="48"/>
      <c r="F29" s="49"/>
      <c r="G29" s="96">
        <f t="shared" ref="G29:H32" si="2">E29-C29</f>
        <v>0</v>
      </c>
      <c r="H29" s="96">
        <f t="shared" si="2"/>
        <v>0</v>
      </c>
      <c r="I29" s="90"/>
      <c r="J29" s="91"/>
    </row>
    <row r="30" spans="1:13" x14ac:dyDescent="0.15">
      <c r="A30" s="18" t="s">
        <v>9</v>
      </c>
      <c r="B30" s="136"/>
      <c r="C30" s="72"/>
      <c r="D30" s="24"/>
      <c r="E30" s="44"/>
      <c r="F30" s="45"/>
      <c r="G30" s="96">
        <f t="shared" si="2"/>
        <v>0</v>
      </c>
      <c r="H30" s="96">
        <f t="shared" si="2"/>
        <v>0</v>
      </c>
      <c r="I30" s="89"/>
      <c r="J30" s="92"/>
    </row>
    <row r="31" spans="1:13" x14ac:dyDescent="0.15">
      <c r="A31" s="79" t="s">
        <v>18</v>
      </c>
      <c r="B31" s="136"/>
      <c r="C31" s="80"/>
      <c r="D31" s="81"/>
      <c r="E31" s="82"/>
      <c r="F31" s="83"/>
      <c r="G31" s="96">
        <f t="shared" si="2"/>
        <v>0</v>
      </c>
      <c r="H31" s="96">
        <f t="shared" si="2"/>
        <v>0</v>
      </c>
      <c r="I31" s="89"/>
      <c r="J31" s="92"/>
    </row>
    <row r="32" spans="1:13" s="63" customFormat="1" x14ac:dyDescent="0.15">
      <c r="A32" s="79" t="s">
        <v>21</v>
      </c>
      <c r="B32" s="136"/>
      <c r="C32" s="80"/>
      <c r="D32" s="81"/>
      <c r="E32" s="56"/>
      <c r="F32" s="57"/>
      <c r="G32" s="96">
        <f t="shared" si="2"/>
        <v>0</v>
      </c>
      <c r="H32" s="96">
        <f t="shared" si="2"/>
        <v>0</v>
      </c>
      <c r="I32" s="89"/>
      <c r="J32" s="92"/>
    </row>
    <row r="33" spans="1:10" s="20" customFormat="1" x14ac:dyDescent="0.15">
      <c r="A33" s="19" t="s">
        <v>0</v>
      </c>
      <c r="B33" s="136"/>
      <c r="C33" s="73">
        <f>SUM(C29:C32)</f>
        <v>0</v>
      </c>
      <c r="D33" s="25">
        <f>SUM(D29:D32)</f>
        <v>0</v>
      </c>
      <c r="E33" s="46">
        <f>SUM(E29:E32)</f>
        <v>0</v>
      </c>
      <c r="F33" s="47">
        <f>SUM(F29:F32)</f>
        <v>0</v>
      </c>
      <c r="G33" s="84">
        <f t="shared" si="1"/>
        <v>0</v>
      </c>
      <c r="H33" s="84">
        <f>F33-D33</f>
        <v>0</v>
      </c>
      <c r="I33" s="97" t="e">
        <f>E33/C33*100-100</f>
        <v>#DIV/0!</v>
      </c>
      <c r="J33" s="98" t="e">
        <f>F33/D33*100-100</f>
        <v>#DIV/0!</v>
      </c>
    </row>
    <row r="34" spans="1:10" s="20" customFormat="1" ht="20.25" customHeight="1" x14ac:dyDescent="0.15">
      <c r="A34" s="133" t="s">
        <v>37</v>
      </c>
      <c r="B34" s="134"/>
      <c r="C34" s="125">
        <f>SUM(C29:D31)</f>
        <v>0</v>
      </c>
      <c r="D34" s="126"/>
      <c r="E34" s="125">
        <f>SUM(E29:F31)</f>
        <v>0</v>
      </c>
      <c r="F34" s="126"/>
      <c r="G34" s="119">
        <f t="shared" si="1"/>
        <v>0</v>
      </c>
      <c r="H34" s="120"/>
      <c r="I34" s="115" t="e">
        <f>E34/C34*100-100</f>
        <v>#DIV/0!</v>
      </c>
      <c r="J34" s="116"/>
    </row>
    <row r="35" spans="1:10" ht="18" customHeight="1" thickBot="1" x14ac:dyDescent="0.2">
      <c r="A35" s="137" t="s">
        <v>4</v>
      </c>
      <c r="B35" s="138"/>
      <c r="C35" s="131">
        <f>C33+D33</f>
        <v>0</v>
      </c>
      <c r="D35" s="132"/>
      <c r="E35" s="123">
        <f>E33+F33</f>
        <v>0</v>
      </c>
      <c r="F35" s="124"/>
      <c r="G35" s="121">
        <f t="shared" si="1"/>
        <v>0</v>
      </c>
      <c r="H35" s="122"/>
      <c r="I35" s="117" t="e">
        <f>E35/C35*100-100</f>
        <v>#DIV/0!</v>
      </c>
      <c r="J35" s="118"/>
    </row>
    <row r="36" spans="1:10" ht="14.25" thickTop="1" x14ac:dyDescent="0.15">
      <c r="A36" s="17" t="s">
        <v>8</v>
      </c>
      <c r="B36" s="135">
        <v>5</v>
      </c>
      <c r="C36" s="75"/>
      <c r="D36" s="23"/>
      <c r="E36" s="42"/>
      <c r="F36" s="43"/>
      <c r="G36" s="96">
        <f t="shared" ref="G36:H39" si="3">E36-C36</f>
        <v>0</v>
      </c>
      <c r="H36" s="96">
        <f t="shared" si="3"/>
        <v>0</v>
      </c>
      <c r="I36" s="90"/>
      <c r="J36" s="91"/>
    </row>
    <row r="37" spans="1:10" x14ac:dyDescent="0.15">
      <c r="A37" s="18" t="s">
        <v>9</v>
      </c>
      <c r="B37" s="136"/>
      <c r="C37" s="72"/>
      <c r="D37" s="24"/>
      <c r="E37" s="44"/>
      <c r="F37" s="45"/>
      <c r="G37" s="96">
        <f t="shared" si="3"/>
        <v>0</v>
      </c>
      <c r="H37" s="96">
        <f t="shared" si="3"/>
        <v>0</v>
      </c>
      <c r="I37" s="89"/>
      <c r="J37" s="92"/>
    </row>
    <row r="38" spans="1:10" x14ac:dyDescent="0.15">
      <c r="A38" s="79" t="s">
        <v>18</v>
      </c>
      <c r="B38" s="136"/>
      <c r="C38" s="80"/>
      <c r="D38" s="81"/>
      <c r="E38" s="82"/>
      <c r="F38" s="83"/>
      <c r="G38" s="96">
        <f t="shared" si="3"/>
        <v>0</v>
      </c>
      <c r="H38" s="96">
        <f t="shared" si="3"/>
        <v>0</v>
      </c>
      <c r="I38" s="89"/>
      <c r="J38" s="92"/>
    </row>
    <row r="39" spans="1:10" s="63" customFormat="1" x14ac:dyDescent="0.15">
      <c r="A39" s="79" t="s">
        <v>21</v>
      </c>
      <c r="B39" s="136"/>
      <c r="C39" s="80"/>
      <c r="D39" s="81"/>
      <c r="E39" s="56"/>
      <c r="F39" s="57"/>
      <c r="G39" s="96">
        <f t="shared" si="3"/>
        <v>0</v>
      </c>
      <c r="H39" s="96">
        <f t="shared" si="3"/>
        <v>0</v>
      </c>
      <c r="I39" s="89"/>
      <c r="J39" s="92"/>
    </row>
    <row r="40" spans="1:10" s="20" customFormat="1" x14ac:dyDescent="0.15">
      <c r="A40" s="22" t="s">
        <v>0</v>
      </c>
      <c r="B40" s="141"/>
      <c r="C40" s="76">
        <f>SUM(C36:C39)</f>
        <v>0</v>
      </c>
      <c r="D40" s="27">
        <f>SUM(D36:D39)</f>
        <v>0</v>
      </c>
      <c r="E40" s="50">
        <f>SUM(E36:E39)</f>
        <v>0</v>
      </c>
      <c r="F40" s="51">
        <f>SUM(F36:F39)</f>
        <v>0</v>
      </c>
      <c r="G40" s="84">
        <f t="shared" si="1"/>
        <v>0</v>
      </c>
      <c r="H40" s="84">
        <f>F40-D40</f>
        <v>0</v>
      </c>
      <c r="I40" s="97" t="e">
        <f>E40/C40*100-100</f>
        <v>#DIV/0!</v>
      </c>
      <c r="J40" s="98" t="e">
        <f>F40/D40*100-100</f>
        <v>#DIV/0!</v>
      </c>
    </row>
    <row r="41" spans="1:10" s="20" customFormat="1" ht="20.25" customHeight="1" x14ac:dyDescent="0.15">
      <c r="A41" s="133" t="s">
        <v>37</v>
      </c>
      <c r="B41" s="134"/>
      <c r="C41" s="125">
        <f>SUM(C36:D38)</f>
        <v>0</v>
      </c>
      <c r="D41" s="126"/>
      <c r="E41" s="125">
        <f>SUM(E36:F38)</f>
        <v>0</v>
      </c>
      <c r="F41" s="126"/>
      <c r="G41" s="119">
        <f t="shared" si="1"/>
        <v>0</v>
      </c>
      <c r="H41" s="120"/>
      <c r="I41" s="115" t="e">
        <f>E41/C41*100-100</f>
        <v>#DIV/0!</v>
      </c>
      <c r="J41" s="116"/>
    </row>
    <row r="42" spans="1:10" ht="18" customHeight="1" thickBot="1" x14ac:dyDescent="0.2">
      <c r="A42" s="139" t="s">
        <v>4</v>
      </c>
      <c r="B42" s="140"/>
      <c r="C42" s="129">
        <f>C40+D40</f>
        <v>0</v>
      </c>
      <c r="D42" s="130"/>
      <c r="E42" s="127">
        <f>E40+F40</f>
        <v>0</v>
      </c>
      <c r="F42" s="128"/>
      <c r="G42" s="121">
        <f t="shared" si="1"/>
        <v>0</v>
      </c>
      <c r="H42" s="122"/>
      <c r="I42" s="117" t="e">
        <f>E42/C42*100-100</f>
        <v>#DIV/0!</v>
      </c>
      <c r="J42" s="118"/>
    </row>
    <row r="43" spans="1:10" ht="14.25" thickTop="1" x14ac:dyDescent="0.15">
      <c r="A43" s="21" t="s">
        <v>8</v>
      </c>
      <c r="B43" s="135">
        <v>6</v>
      </c>
      <c r="C43" s="74"/>
      <c r="D43" s="26"/>
      <c r="E43" s="48"/>
      <c r="F43" s="49"/>
      <c r="G43" s="96">
        <f t="shared" ref="G43:H46" si="4">E43-C43</f>
        <v>0</v>
      </c>
      <c r="H43" s="96">
        <f t="shared" si="4"/>
        <v>0</v>
      </c>
      <c r="I43" s="90"/>
      <c r="J43" s="91"/>
    </row>
    <row r="44" spans="1:10" x14ac:dyDescent="0.15">
      <c r="A44" s="18" t="s">
        <v>9</v>
      </c>
      <c r="B44" s="136"/>
      <c r="C44" s="72"/>
      <c r="D44" s="24"/>
      <c r="E44" s="44"/>
      <c r="F44" s="45"/>
      <c r="G44" s="96">
        <f t="shared" si="4"/>
        <v>0</v>
      </c>
      <c r="H44" s="96">
        <f t="shared" si="4"/>
        <v>0</v>
      </c>
      <c r="I44" s="89"/>
      <c r="J44" s="92"/>
    </row>
    <row r="45" spans="1:10" x14ac:dyDescent="0.15">
      <c r="A45" s="79" t="s">
        <v>18</v>
      </c>
      <c r="B45" s="136"/>
      <c r="C45" s="80"/>
      <c r="D45" s="81"/>
      <c r="E45" s="82"/>
      <c r="F45" s="83"/>
      <c r="G45" s="96">
        <f t="shared" si="4"/>
        <v>0</v>
      </c>
      <c r="H45" s="96">
        <f t="shared" si="4"/>
        <v>0</v>
      </c>
      <c r="I45" s="89"/>
      <c r="J45" s="92"/>
    </row>
    <row r="46" spans="1:10" s="63" customFormat="1" x14ac:dyDescent="0.15">
      <c r="A46" s="79" t="s">
        <v>21</v>
      </c>
      <c r="B46" s="136"/>
      <c r="C46" s="80"/>
      <c r="D46" s="81"/>
      <c r="E46" s="56"/>
      <c r="F46" s="83"/>
      <c r="G46" s="96">
        <f t="shared" si="4"/>
        <v>0</v>
      </c>
      <c r="H46" s="96">
        <f t="shared" si="4"/>
        <v>0</v>
      </c>
      <c r="I46" s="89"/>
      <c r="J46" s="92"/>
    </row>
    <row r="47" spans="1:10" s="20" customFormat="1" x14ac:dyDescent="0.15">
      <c r="A47" s="19" t="s">
        <v>0</v>
      </c>
      <c r="B47" s="136"/>
      <c r="C47" s="73">
        <f>SUM(C43:C46)</f>
        <v>0</v>
      </c>
      <c r="D47" s="25">
        <f>SUM(D43:D46)</f>
        <v>0</v>
      </c>
      <c r="E47" s="46">
        <f>SUM(E43:E46)</f>
        <v>0</v>
      </c>
      <c r="F47" s="47">
        <f>SUM(F43:F46)</f>
        <v>0</v>
      </c>
      <c r="G47" s="84">
        <f t="shared" ref="G47:G76" si="5">E47-C47</f>
        <v>0</v>
      </c>
      <c r="H47" s="84">
        <f>F47-D47</f>
        <v>0</v>
      </c>
      <c r="I47" s="97" t="e">
        <f>E47/C47*100-100</f>
        <v>#DIV/0!</v>
      </c>
      <c r="J47" s="98" t="e">
        <f>F47/D47*100-100</f>
        <v>#DIV/0!</v>
      </c>
    </row>
    <row r="48" spans="1:10" s="20" customFormat="1" ht="20.25" customHeight="1" x14ac:dyDescent="0.15">
      <c r="A48" s="133" t="s">
        <v>37</v>
      </c>
      <c r="B48" s="134"/>
      <c r="C48" s="125">
        <f>SUM(C43:D45)</f>
        <v>0</v>
      </c>
      <c r="D48" s="126"/>
      <c r="E48" s="125">
        <f>SUM(E43:F45)</f>
        <v>0</v>
      </c>
      <c r="F48" s="126"/>
      <c r="G48" s="119">
        <f t="shared" si="5"/>
        <v>0</v>
      </c>
      <c r="H48" s="120"/>
      <c r="I48" s="115" t="e">
        <f>E48/C48*100-100</f>
        <v>#DIV/0!</v>
      </c>
      <c r="J48" s="116"/>
    </row>
    <row r="49" spans="1:10" ht="18" customHeight="1" thickBot="1" x14ac:dyDescent="0.2">
      <c r="A49" s="137" t="s">
        <v>4</v>
      </c>
      <c r="B49" s="138"/>
      <c r="C49" s="131">
        <f>C47+D47</f>
        <v>0</v>
      </c>
      <c r="D49" s="132"/>
      <c r="E49" s="123">
        <f>E47+F47</f>
        <v>0</v>
      </c>
      <c r="F49" s="124"/>
      <c r="G49" s="121">
        <f t="shared" si="5"/>
        <v>0</v>
      </c>
      <c r="H49" s="122"/>
      <c r="I49" s="117" t="e">
        <f>E49/C49*100-100</f>
        <v>#DIV/0!</v>
      </c>
      <c r="J49" s="118"/>
    </row>
    <row r="50" spans="1:10" ht="14.25" thickTop="1" x14ac:dyDescent="0.15">
      <c r="A50" s="17" t="s">
        <v>8</v>
      </c>
      <c r="B50" s="135">
        <v>7</v>
      </c>
      <c r="C50" s="75"/>
      <c r="D50" s="23"/>
      <c r="E50" s="42"/>
      <c r="F50" s="43"/>
      <c r="G50" s="96">
        <f t="shared" si="5"/>
        <v>0</v>
      </c>
      <c r="H50" s="96">
        <f>F50-D50</f>
        <v>0</v>
      </c>
      <c r="I50" s="90"/>
      <c r="J50" s="91"/>
    </row>
    <row r="51" spans="1:10" x14ac:dyDescent="0.15">
      <c r="A51" s="18" t="s">
        <v>9</v>
      </c>
      <c r="B51" s="136"/>
      <c r="C51" s="72"/>
      <c r="D51" s="24"/>
      <c r="E51" s="44"/>
      <c r="F51" s="45"/>
      <c r="G51" s="96">
        <f t="shared" si="5"/>
        <v>0</v>
      </c>
      <c r="H51" s="96">
        <f>F51-D51</f>
        <v>0</v>
      </c>
      <c r="I51" s="89"/>
      <c r="J51" s="92"/>
    </row>
    <row r="52" spans="1:10" x14ac:dyDescent="0.15">
      <c r="A52" s="79" t="s">
        <v>18</v>
      </c>
      <c r="B52" s="136"/>
      <c r="C52" s="80"/>
      <c r="D52" s="81"/>
      <c r="E52" s="82"/>
      <c r="F52" s="83"/>
      <c r="G52" s="96">
        <f t="shared" si="5"/>
        <v>0</v>
      </c>
      <c r="H52" s="96">
        <f>F52-D52</f>
        <v>0</v>
      </c>
      <c r="I52" s="89"/>
      <c r="J52" s="92"/>
    </row>
    <row r="53" spans="1:10" s="63" customFormat="1" x14ac:dyDescent="0.15">
      <c r="A53" s="79" t="s">
        <v>21</v>
      </c>
      <c r="B53" s="136"/>
      <c r="C53" s="80"/>
      <c r="D53" s="81"/>
      <c r="E53" s="56"/>
      <c r="F53" s="83"/>
      <c r="G53" s="96">
        <f t="shared" si="5"/>
        <v>0</v>
      </c>
      <c r="H53" s="96">
        <f>F53-D53</f>
        <v>0</v>
      </c>
      <c r="I53" s="89"/>
      <c r="J53" s="92"/>
    </row>
    <row r="54" spans="1:10" s="20" customFormat="1" x14ac:dyDescent="0.15">
      <c r="A54" s="22" t="s">
        <v>0</v>
      </c>
      <c r="B54" s="141"/>
      <c r="C54" s="76">
        <f>SUM(C50:C53)</f>
        <v>0</v>
      </c>
      <c r="D54" s="27">
        <f>SUM(D50:D53)</f>
        <v>0</v>
      </c>
      <c r="E54" s="50">
        <f>SUM(E50:E53)</f>
        <v>0</v>
      </c>
      <c r="F54" s="51">
        <f>SUM(F50:F53)</f>
        <v>0</v>
      </c>
      <c r="G54" s="84">
        <f t="shared" si="5"/>
        <v>0</v>
      </c>
      <c r="H54" s="84">
        <f>F54-D54</f>
        <v>0</v>
      </c>
      <c r="I54" s="97" t="e">
        <f>E54/C54*100-100</f>
        <v>#DIV/0!</v>
      </c>
      <c r="J54" s="98" t="e">
        <f>F54/D54*100-100</f>
        <v>#DIV/0!</v>
      </c>
    </row>
    <row r="55" spans="1:10" s="20" customFormat="1" ht="20.25" customHeight="1" x14ac:dyDescent="0.15">
      <c r="A55" s="133" t="s">
        <v>37</v>
      </c>
      <c r="B55" s="134"/>
      <c r="C55" s="125">
        <f>SUM(C50:D52)</f>
        <v>0</v>
      </c>
      <c r="D55" s="126"/>
      <c r="E55" s="125">
        <f>SUM(E50:F52)</f>
        <v>0</v>
      </c>
      <c r="F55" s="126"/>
      <c r="G55" s="119">
        <f t="shared" si="5"/>
        <v>0</v>
      </c>
      <c r="H55" s="120"/>
      <c r="I55" s="115" t="e">
        <f>E55/C55*100-100</f>
        <v>#DIV/0!</v>
      </c>
      <c r="J55" s="116"/>
    </row>
    <row r="56" spans="1:10" ht="18" customHeight="1" thickBot="1" x14ac:dyDescent="0.2">
      <c r="A56" s="139" t="s">
        <v>4</v>
      </c>
      <c r="B56" s="140"/>
      <c r="C56" s="129">
        <f>C54+D54</f>
        <v>0</v>
      </c>
      <c r="D56" s="130"/>
      <c r="E56" s="127">
        <f>E54+F54</f>
        <v>0</v>
      </c>
      <c r="F56" s="128"/>
      <c r="G56" s="121">
        <f t="shared" si="5"/>
        <v>0</v>
      </c>
      <c r="H56" s="122"/>
      <c r="I56" s="117" t="e">
        <f>E56/C56*100-100</f>
        <v>#DIV/0!</v>
      </c>
      <c r="J56" s="118"/>
    </row>
    <row r="57" spans="1:10" ht="14.25" thickTop="1" x14ac:dyDescent="0.15">
      <c r="A57" s="21" t="s">
        <v>8</v>
      </c>
      <c r="B57" s="135">
        <v>8</v>
      </c>
      <c r="C57" s="74"/>
      <c r="D57" s="26"/>
      <c r="E57" s="48"/>
      <c r="F57" s="49"/>
      <c r="G57" s="96">
        <f t="shared" si="5"/>
        <v>0</v>
      </c>
      <c r="H57" s="96">
        <f>F57-D57</f>
        <v>0</v>
      </c>
      <c r="I57" s="90"/>
      <c r="J57" s="91"/>
    </row>
    <row r="58" spans="1:10" x14ac:dyDescent="0.15">
      <c r="A58" s="18" t="s">
        <v>9</v>
      </c>
      <c r="B58" s="136"/>
      <c r="C58" s="72"/>
      <c r="D58" s="24"/>
      <c r="E58" s="44"/>
      <c r="F58" s="45"/>
      <c r="G58" s="96">
        <f t="shared" si="5"/>
        <v>0</v>
      </c>
      <c r="H58" s="96">
        <f>F58-D58</f>
        <v>0</v>
      </c>
      <c r="I58" s="89"/>
      <c r="J58" s="92"/>
    </row>
    <row r="59" spans="1:10" x14ac:dyDescent="0.15">
      <c r="A59" s="79" t="s">
        <v>18</v>
      </c>
      <c r="B59" s="136"/>
      <c r="C59" s="80"/>
      <c r="D59" s="81"/>
      <c r="E59" s="82"/>
      <c r="F59" s="83"/>
      <c r="G59" s="96">
        <f t="shared" si="5"/>
        <v>0</v>
      </c>
      <c r="H59" s="96">
        <f>F59-D59</f>
        <v>0</v>
      </c>
      <c r="I59" s="89"/>
      <c r="J59" s="92"/>
    </row>
    <row r="60" spans="1:10" s="63" customFormat="1" x14ac:dyDescent="0.15">
      <c r="A60" s="79" t="s">
        <v>21</v>
      </c>
      <c r="B60" s="136"/>
      <c r="C60" s="80"/>
      <c r="D60" s="81"/>
      <c r="E60" s="56"/>
      <c r="F60" s="83"/>
      <c r="G60" s="96">
        <f t="shared" si="5"/>
        <v>0</v>
      </c>
      <c r="H60" s="96">
        <f>F60-D60</f>
        <v>0</v>
      </c>
      <c r="I60" s="89"/>
      <c r="J60" s="92"/>
    </row>
    <row r="61" spans="1:10" s="20" customFormat="1" x14ac:dyDescent="0.15">
      <c r="A61" s="19" t="s">
        <v>0</v>
      </c>
      <c r="B61" s="136"/>
      <c r="C61" s="73">
        <f>SUM(C57:C60)</f>
        <v>0</v>
      </c>
      <c r="D61" s="25">
        <f>SUM(D57:D60)</f>
        <v>0</v>
      </c>
      <c r="E61" s="46">
        <f>SUM(E57:E60)</f>
        <v>0</v>
      </c>
      <c r="F61" s="47">
        <f>SUM(F57:F60)</f>
        <v>0</v>
      </c>
      <c r="G61" s="84">
        <f t="shared" si="5"/>
        <v>0</v>
      </c>
      <c r="H61" s="84">
        <f>F61-D61</f>
        <v>0</v>
      </c>
      <c r="I61" s="97" t="e">
        <f>E61/C61*100-100</f>
        <v>#DIV/0!</v>
      </c>
      <c r="J61" s="98" t="e">
        <f>F61/D61*100-100</f>
        <v>#DIV/0!</v>
      </c>
    </row>
    <row r="62" spans="1:10" s="20" customFormat="1" ht="20.25" customHeight="1" x14ac:dyDescent="0.15">
      <c r="A62" s="133" t="s">
        <v>37</v>
      </c>
      <c r="B62" s="134"/>
      <c r="C62" s="125">
        <f>SUM(C57:D59)</f>
        <v>0</v>
      </c>
      <c r="D62" s="126"/>
      <c r="E62" s="125">
        <f>SUM(E57:F59)</f>
        <v>0</v>
      </c>
      <c r="F62" s="126"/>
      <c r="G62" s="119">
        <f t="shared" si="5"/>
        <v>0</v>
      </c>
      <c r="H62" s="120"/>
      <c r="I62" s="115" t="e">
        <f>E62/C62*100-100</f>
        <v>#DIV/0!</v>
      </c>
      <c r="J62" s="116"/>
    </row>
    <row r="63" spans="1:10" ht="18" customHeight="1" thickBot="1" x14ac:dyDescent="0.2">
      <c r="A63" s="137" t="s">
        <v>4</v>
      </c>
      <c r="B63" s="138"/>
      <c r="C63" s="131">
        <f>C61+D61</f>
        <v>0</v>
      </c>
      <c r="D63" s="132"/>
      <c r="E63" s="123">
        <f>E61+F61</f>
        <v>0</v>
      </c>
      <c r="F63" s="124"/>
      <c r="G63" s="121">
        <f t="shared" si="5"/>
        <v>0</v>
      </c>
      <c r="H63" s="122"/>
      <c r="I63" s="117" t="e">
        <f>E63/C63*100-100</f>
        <v>#DIV/0!</v>
      </c>
      <c r="J63" s="118"/>
    </row>
    <row r="64" spans="1:10" ht="14.25" thickTop="1" x14ac:dyDescent="0.15">
      <c r="A64" s="17" t="s">
        <v>8</v>
      </c>
      <c r="B64" s="135">
        <v>9</v>
      </c>
      <c r="C64" s="75"/>
      <c r="D64" s="23"/>
      <c r="E64" s="42"/>
      <c r="F64" s="43"/>
      <c r="G64" s="96">
        <f t="shared" si="5"/>
        <v>0</v>
      </c>
      <c r="H64" s="96">
        <f>F64-D64</f>
        <v>0</v>
      </c>
      <c r="I64" s="90"/>
      <c r="J64" s="91"/>
    </row>
    <row r="65" spans="1:10" x14ac:dyDescent="0.15">
      <c r="A65" s="18" t="s">
        <v>9</v>
      </c>
      <c r="B65" s="136"/>
      <c r="C65" s="72"/>
      <c r="D65" s="24"/>
      <c r="E65" s="44"/>
      <c r="F65" s="45"/>
      <c r="G65" s="96">
        <f t="shared" si="5"/>
        <v>0</v>
      </c>
      <c r="H65" s="96">
        <f>F65-D65</f>
        <v>0</v>
      </c>
      <c r="I65" s="89"/>
      <c r="J65" s="92"/>
    </row>
    <row r="66" spans="1:10" x14ac:dyDescent="0.15">
      <c r="A66" s="79" t="s">
        <v>18</v>
      </c>
      <c r="B66" s="136"/>
      <c r="C66" s="80"/>
      <c r="D66" s="81"/>
      <c r="E66" s="82"/>
      <c r="F66" s="83"/>
      <c r="G66" s="96">
        <f t="shared" si="5"/>
        <v>0</v>
      </c>
      <c r="H66" s="96">
        <f>F66-D66</f>
        <v>0</v>
      </c>
      <c r="I66" s="89"/>
      <c r="J66" s="92"/>
    </row>
    <row r="67" spans="1:10" s="63" customFormat="1" x14ac:dyDescent="0.15">
      <c r="A67" s="79" t="s">
        <v>21</v>
      </c>
      <c r="B67" s="136"/>
      <c r="C67" s="80"/>
      <c r="D67" s="81"/>
      <c r="E67" s="56"/>
      <c r="F67" s="57"/>
      <c r="G67" s="96">
        <f t="shared" si="5"/>
        <v>0</v>
      </c>
      <c r="H67" s="96">
        <f>F67-D67</f>
        <v>0</v>
      </c>
      <c r="I67" s="89"/>
      <c r="J67" s="92"/>
    </row>
    <row r="68" spans="1:10" s="20" customFormat="1" x14ac:dyDescent="0.15">
      <c r="A68" s="22" t="s">
        <v>0</v>
      </c>
      <c r="B68" s="141"/>
      <c r="C68" s="76">
        <f>SUM(C64:C67)</f>
        <v>0</v>
      </c>
      <c r="D68" s="27">
        <f>SUM(D64:D67)</f>
        <v>0</v>
      </c>
      <c r="E68" s="50">
        <f>SUM(E64:E67)</f>
        <v>0</v>
      </c>
      <c r="F68" s="51">
        <f>SUM(F64:F67)</f>
        <v>0</v>
      </c>
      <c r="G68" s="84">
        <f t="shared" si="5"/>
        <v>0</v>
      </c>
      <c r="H68" s="84">
        <f>F68-D68</f>
        <v>0</v>
      </c>
      <c r="I68" s="97" t="e">
        <f>E68/C68*100-100</f>
        <v>#DIV/0!</v>
      </c>
      <c r="J68" s="98" t="e">
        <f>F68/D68*100-100</f>
        <v>#DIV/0!</v>
      </c>
    </row>
    <row r="69" spans="1:10" s="20" customFormat="1" ht="20.25" customHeight="1" x14ac:dyDescent="0.15">
      <c r="A69" s="133" t="s">
        <v>37</v>
      </c>
      <c r="B69" s="134"/>
      <c r="C69" s="125">
        <f>SUM(C64:D66)</f>
        <v>0</v>
      </c>
      <c r="D69" s="126"/>
      <c r="E69" s="125">
        <f>SUM(E64:F66)</f>
        <v>0</v>
      </c>
      <c r="F69" s="126"/>
      <c r="G69" s="119">
        <f t="shared" si="5"/>
        <v>0</v>
      </c>
      <c r="H69" s="120"/>
      <c r="I69" s="115" t="e">
        <f>E69/C69*100-100</f>
        <v>#DIV/0!</v>
      </c>
      <c r="J69" s="116"/>
    </row>
    <row r="70" spans="1:10" ht="18" customHeight="1" thickBot="1" x14ac:dyDescent="0.2">
      <c r="A70" s="139" t="s">
        <v>4</v>
      </c>
      <c r="B70" s="140"/>
      <c r="C70" s="129">
        <f>C68+D68</f>
        <v>0</v>
      </c>
      <c r="D70" s="130"/>
      <c r="E70" s="127">
        <f>E68+F68</f>
        <v>0</v>
      </c>
      <c r="F70" s="128"/>
      <c r="G70" s="121">
        <f t="shared" si="5"/>
        <v>0</v>
      </c>
      <c r="H70" s="122"/>
      <c r="I70" s="117" t="e">
        <f>E70/C70*100-100</f>
        <v>#DIV/0!</v>
      </c>
      <c r="J70" s="118"/>
    </row>
    <row r="71" spans="1:10" ht="14.25" thickTop="1" x14ac:dyDescent="0.15">
      <c r="A71" s="21" t="s">
        <v>8</v>
      </c>
      <c r="B71" s="135">
        <v>10</v>
      </c>
      <c r="C71" s="74"/>
      <c r="D71" s="26"/>
      <c r="E71" s="48"/>
      <c r="F71" s="49"/>
      <c r="G71" s="96">
        <f t="shared" si="5"/>
        <v>0</v>
      </c>
      <c r="H71" s="96">
        <f>F71-D71</f>
        <v>0</v>
      </c>
      <c r="I71" s="90"/>
      <c r="J71" s="91"/>
    </row>
    <row r="72" spans="1:10" x14ac:dyDescent="0.15">
      <c r="A72" s="18" t="s">
        <v>9</v>
      </c>
      <c r="B72" s="136"/>
      <c r="C72" s="72"/>
      <c r="D72" s="24"/>
      <c r="E72" s="44"/>
      <c r="F72" s="45"/>
      <c r="G72" s="96">
        <f t="shared" si="5"/>
        <v>0</v>
      </c>
      <c r="H72" s="96">
        <f>F72-D72</f>
        <v>0</v>
      </c>
      <c r="I72" s="89"/>
      <c r="J72" s="92"/>
    </row>
    <row r="73" spans="1:10" x14ac:dyDescent="0.15">
      <c r="A73" s="79" t="s">
        <v>18</v>
      </c>
      <c r="B73" s="136"/>
      <c r="C73" s="80"/>
      <c r="D73" s="81"/>
      <c r="E73" s="82"/>
      <c r="F73" s="83"/>
      <c r="G73" s="96">
        <f t="shared" si="5"/>
        <v>0</v>
      </c>
      <c r="H73" s="96">
        <f>F73-D73</f>
        <v>0</v>
      </c>
      <c r="I73" s="89"/>
      <c r="J73" s="92"/>
    </row>
    <row r="74" spans="1:10" s="63" customFormat="1" x14ac:dyDescent="0.15">
      <c r="A74" s="79" t="s">
        <v>21</v>
      </c>
      <c r="B74" s="136"/>
      <c r="C74" s="80"/>
      <c r="D74" s="81"/>
      <c r="E74" s="56"/>
      <c r="F74" s="83"/>
      <c r="G74" s="96">
        <f t="shared" si="5"/>
        <v>0</v>
      </c>
      <c r="H74" s="96">
        <f>F74-D74</f>
        <v>0</v>
      </c>
      <c r="I74" s="89"/>
      <c r="J74" s="92"/>
    </row>
    <row r="75" spans="1:10" s="20" customFormat="1" x14ac:dyDescent="0.15">
      <c r="A75" s="19" t="s">
        <v>0</v>
      </c>
      <c r="B75" s="136"/>
      <c r="C75" s="73">
        <f>SUM(C71:C74)</f>
        <v>0</v>
      </c>
      <c r="D75" s="25">
        <f>SUM(D71:D74)</f>
        <v>0</v>
      </c>
      <c r="E75" s="46">
        <f>SUM(E71:E74)</f>
        <v>0</v>
      </c>
      <c r="F75" s="47">
        <f>SUM(F71:F74)</f>
        <v>0</v>
      </c>
      <c r="G75" s="84">
        <f t="shared" si="5"/>
        <v>0</v>
      </c>
      <c r="H75" s="84">
        <f>F75-D75</f>
        <v>0</v>
      </c>
      <c r="I75" s="97" t="e">
        <f>E75/C75*100-100</f>
        <v>#DIV/0!</v>
      </c>
      <c r="J75" s="98" t="e">
        <f>F75/D75*100-100</f>
        <v>#DIV/0!</v>
      </c>
    </row>
    <row r="76" spans="1:10" s="20" customFormat="1" ht="20.25" customHeight="1" x14ac:dyDescent="0.15">
      <c r="A76" s="133" t="s">
        <v>37</v>
      </c>
      <c r="B76" s="134"/>
      <c r="C76" s="125">
        <f>SUM(C71:D73)</f>
        <v>0</v>
      </c>
      <c r="D76" s="126"/>
      <c r="E76" s="125">
        <f>SUM(E71:F73)</f>
        <v>0</v>
      </c>
      <c r="F76" s="126"/>
      <c r="G76" s="119">
        <f t="shared" si="5"/>
        <v>0</v>
      </c>
      <c r="H76" s="120"/>
      <c r="I76" s="115" t="e">
        <f>E76/C76*100-100</f>
        <v>#DIV/0!</v>
      </c>
      <c r="J76" s="116"/>
    </row>
    <row r="77" spans="1:10" ht="18" customHeight="1" thickBot="1" x14ac:dyDescent="0.2">
      <c r="A77" s="137" t="s">
        <v>4</v>
      </c>
      <c r="B77" s="138"/>
      <c r="C77" s="131">
        <f>C75+D75</f>
        <v>0</v>
      </c>
      <c r="D77" s="132"/>
      <c r="E77" s="123">
        <f>E75+F75</f>
        <v>0</v>
      </c>
      <c r="F77" s="124"/>
      <c r="G77" s="121">
        <f t="shared" ref="G77:G91" si="6">E77-C77</f>
        <v>0</v>
      </c>
      <c r="H77" s="122"/>
      <c r="I77" s="117" t="e">
        <f>E77/C77*100-100</f>
        <v>#DIV/0!</v>
      </c>
      <c r="J77" s="118"/>
    </row>
    <row r="78" spans="1:10" ht="14.25" thickTop="1" x14ac:dyDescent="0.15">
      <c r="A78" s="17" t="s">
        <v>8</v>
      </c>
      <c r="B78" s="135">
        <v>11</v>
      </c>
      <c r="C78" s="75"/>
      <c r="D78" s="23"/>
      <c r="E78" s="42"/>
      <c r="F78" s="43"/>
      <c r="G78" s="96">
        <f t="shared" si="6"/>
        <v>0</v>
      </c>
      <c r="H78" s="96">
        <f>F78-D78</f>
        <v>0</v>
      </c>
      <c r="I78" s="90"/>
      <c r="J78" s="91"/>
    </row>
    <row r="79" spans="1:10" x14ac:dyDescent="0.15">
      <c r="A79" s="18" t="s">
        <v>9</v>
      </c>
      <c r="B79" s="136"/>
      <c r="C79" s="72"/>
      <c r="D79" s="24"/>
      <c r="E79" s="44"/>
      <c r="F79" s="45"/>
      <c r="G79" s="96">
        <f t="shared" si="6"/>
        <v>0</v>
      </c>
      <c r="H79" s="96">
        <f>F79-D79</f>
        <v>0</v>
      </c>
      <c r="I79" s="89"/>
      <c r="J79" s="92"/>
    </row>
    <row r="80" spans="1:10" x14ac:dyDescent="0.15">
      <c r="A80" s="79" t="s">
        <v>18</v>
      </c>
      <c r="B80" s="136"/>
      <c r="C80" s="80"/>
      <c r="D80" s="81"/>
      <c r="E80" s="82"/>
      <c r="F80" s="83"/>
      <c r="G80" s="96">
        <f t="shared" si="6"/>
        <v>0</v>
      </c>
      <c r="H80" s="96">
        <f>F80-D80</f>
        <v>0</v>
      </c>
      <c r="I80" s="89"/>
      <c r="J80" s="92"/>
    </row>
    <row r="81" spans="1:10" s="63" customFormat="1" x14ac:dyDescent="0.15">
      <c r="A81" s="79" t="s">
        <v>23</v>
      </c>
      <c r="B81" s="136"/>
      <c r="C81" s="80"/>
      <c r="D81" s="81"/>
      <c r="E81" s="82"/>
      <c r="F81" s="83"/>
      <c r="G81" s="96">
        <f t="shared" si="6"/>
        <v>0</v>
      </c>
      <c r="H81" s="96">
        <f>F81-D81</f>
        <v>0</v>
      </c>
      <c r="I81" s="89"/>
      <c r="J81" s="92"/>
    </row>
    <row r="82" spans="1:10" s="20" customFormat="1" x14ac:dyDescent="0.15">
      <c r="A82" s="22" t="s">
        <v>0</v>
      </c>
      <c r="B82" s="141"/>
      <c r="C82" s="76">
        <f>SUM(C78:C81)</f>
        <v>0</v>
      </c>
      <c r="D82" s="27">
        <f>SUM(D78:D81)</f>
        <v>0</v>
      </c>
      <c r="E82" s="50">
        <f>SUM(E78:E81)</f>
        <v>0</v>
      </c>
      <c r="F82" s="51">
        <f>SUM(F78:F81)</f>
        <v>0</v>
      </c>
      <c r="G82" s="84">
        <f t="shared" si="6"/>
        <v>0</v>
      </c>
      <c r="H82" s="84">
        <f>F82-D82</f>
        <v>0</v>
      </c>
      <c r="I82" s="97" t="e">
        <f>E82/C82*100-100</f>
        <v>#DIV/0!</v>
      </c>
      <c r="J82" s="98" t="e">
        <f>F82/D82*100-100</f>
        <v>#DIV/0!</v>
      </c>
    </row>
    <row r="83" spans="1:10" s="20" customFormat="1" ht="20.25" customHeight="1" x14ac:dyDescent="0.15">
      <c r="A83" s="133" t="s">
        <v>37</v>
      </c>
      <c r="B83" s="134"/>
      <c r="C83" s="125">
        <f>SUM(C78:D80)</f>
        <v>0</v>
      </c>
      <c r="D83" s="126"/>
      <c r="E83" s="125">
        <f>SUM(E78:F80)</f>
        <v>0</v>
      </c>
      <c r="F83" s="126"/>
      <c r="G83" s="119">
        <f t="shared" si="6"/>
        <v>0</v>
      </c>
      <c r="H83" s="120"/>
      <c r="I83" s="115" t="e">
        <f>E83/C83*100-100</f>
        <v>#DIV/0!</v>
      </c>
      <c r="J83" s="116"/>
    </row>
    <row r="84" spans="1:10" ht="18" customHeight="1" thickBot="1" x14ac:dyDescent="0.2">
      <c r="A84" s="139" t="s">
        <v>4</v>
      </c>
      <c r="B84" s="140"/>
      <c r="C84" s="129">
        <f>C82+D82</f>
        <v>0</v>
      </c>
      <c r="D84" s="130"/>
      <c r="E84" s="127">
        <f>E82+F82</f>
        <v>0</v>
      </c>
      <c r="F84" s="128"/>
      <c r="G84" s="121">
        <f t="shared" si="6"/>
        <v>0</v>
      </c>
      <c r="H84" s="122"/>
      <c r="I84" s="117" t="e">
        <f>E84/C84*100-100</f>
        <v>#DIV/0!</v>
      </c>
      <c r="J84" s="118"/>
    </row>
    <row r="85" spans="1:10" ht="14.25" thickTop="1" x14ac:dyDescent="0.15">
      <c r="A85" s="21" t="s">
        <v>8</v>
      </c>
      <c r="B85" s="181">
        <v>12</v>
      </c>
      <c r="C85" s="74"/>
      <c r="D85" s="26"/>
      <c r="E85" s="48"/>
      <c r="F85" s="49"/>
      <c r="G85" s="96">
        <f t="shared" si="6"/>
        <v>0</v>
      </c>
      <c r="H85" s="96">
        <f>F85-D85</f>
        <v>0</v>
      </c>
      <c r="I85" s="90"/>
      <c r="J85" s="91"/>
    </row>
    <row r="86" spans="1:10" x14ac:dyDescent="0.15">
      <c r="A86" s="18" t="s">
        <v>9</v>
      </c>
      <c r="B86" s="136"/>
      <c r="C86" s="72"/>
      <c r="D86" s="24"/>
      <c r="E86" s="44"/>
      <c r="F86" s="45"/>
      <c r="G86" s="96">
        <f t="shared" si="6"/>
        <v>0</v>
      </c>
      <c r="H86" s="96">
        <f>F86-D86</f>
        <v>0</v>
      </c>
      <c r="I86" s="89"/>
      <c r="J86" s="92"/>
    </row>
    <row r="87" spans="1:10" x14ac:dyDescent="0.15">
      <c r="A87" s="79" t="s">
        <v>20</v>
      </c>
      <c r="B87" s="136"/>
      <c r="C87" s="80"/>
      <c r="D87" s="81"/>
      <c r="E87" s="82"/>
      <c r="F87" s="83"/>
      <c r="G87" s="96">
        <f t="shared" si="6"/>
        <v>0</v>
      </c>
      <c r="H87" s="96">
        <f>F87-D87</f>
        <v>0</v>
      </c>
      <c r="I87" s="89"/>
      <c r="J87" s="92"/>
    </row>
    <row r="88" spans="1:10" s="63" customFormat="1" x14ac:dyDescent="0.15">
      <c r="A88" s="79" t="s">
        <v>23</v>
      </c>
      <c r="B88" s="136"/>
      <c r="C88" s="80"/>
      <c r="D88" s="81"/>
      <c r="E88" s="82"/>
      <c r="F88" s="83"/>
      <c r="G88" s="96">
        <f t="shared" si="6"/>
        <v>0</v>
      </c>
      <c r="H88" s="96">
        <f>F88-D88</f>
        <v>0</v>
      </c>
      <c r="I88" s="89"/>
      <c r="J88" s="92"/>
    </row>
    <row r="89" spans="1:10" s="20" customFormat="1" x14ac:dyDescent="0.15">
      <c r="A89" s="19" t="s">
        <v>0</v>
      </c>
      <c r="B89" s="136"/>
      <c r="C89" s="73">
        <f>SUM(C85:C88)</f>
        <v>0</v>
      </c>
      <c r="D89" s="25">
        <f>SUM(D85:D88)</f>
        <v>0</v>
      </c>
      <c r="E89" s="46">
        <f>SUM(E85:E88)</f>
        <v>0</v>
      </c>
      <c r="F89" s="47">
        <f>SUM(F85:F88)</f>
        <v>0</v>
      </c>
      <c r="G89" s="84">
        <f t="shared" si="6"/>
        <v>0</v>
      </c>
      <c r="H89" s="84">
        <f>F89-D89</f>
        <v>0</v>
      </c>
      <c r="I89" s="97" t="e">
        <f>E89/C89*100-100</f>
        <v>#DIV/0!</v>
      </c>
      <c r="J89" s="98" t="e">
        <f>F89/D89*100-100</f>
        <v>#DIV/0!</v>
      </c>
    </row>
    <row r="90" spans="1:10" s="20" customFormat="1" ht="20.25" customHeight="1" x14ac:dyDescent="0.15">
      <c r="A90" s="133" t="s">
        <v>37</v>
      </c>
      <c r="B90" s="134"/>
      <c r="C90" s="125">
        <f>SUM(C85:D87)</f>
        <v>0</v>
      </c>
      <c r="D90" s="126"/>
      <c r="E90" s="125">
        <f>SUM(E85:F87)</f>
        <v>0</v>
      </c>
      <c r="F90" s="126"/>
      <c r="G90" s="119">
        <f t="shared" si="6"/>
        <v>0</v>
      </c>
      <c r="H90" s="120"/>
      <c r="I90" s="115" t="e">
        <f>E90/C90*100-100</f>
        <v>#DIV/0!</v>
      </c>
      <c r="J90" s="116"/>
    </row>
    <row r="91" spans="1:10" ht="18" customHeight="1" thickBot="1" x14ac:dyDescent="0.2">
      <c r="A91" s="137" t="s">
        <v>4</v>
      </c>
      <c r="B91" s="138"/>
      <c r="C91" s="131">
        <f>C89+D89</f>
        <v>0</v>
      </c>
      <c r="D91" s="132"/>
      <c r="E91" s="123">
        <f>E89+F89</f>
        <v>0</v>
      </c>
      <c r="F91" s="124"/>
      <c r="G91" s="121">
        <f t="shared" si="6"/>
        <v>0</v>
      </c>
      <c r="H91" s="122"/>
      <c r="I91" s="117" t="e">
        <f>E91/C91*100-100</f>
        <v>#DIV/0!</v>
      </c>
      <c r="J91" s="118"/>
    </row>
    <row r="92" spans="1:10" s="20" customFormat="1" ht="14.25" thickTop="1" x14ac:dyDescent="0.15">
      <c r="A92" s="182" t="s">
        <v>12</v>
      </c>
      <c r="B92" s="141"/>
      <c r="C92" s="77">
        <f t="shared" ref="C92:F95" si="7">C8+C15+C22+C29+C36+C43+C50+C57+C64+C71+C78+C85</f>
        <v>0</v>
      </c>
      <c r="D92" s="29">
        <f t="shared" si="7"/>
        <v>0</v>
      </c>
      <c r="E92" s="52">
        <f t="shared" si="7"/>
        <v>0</v>
      </c>
      <c r="F92" s="53">
        <f t="shared" si="7"/>
        <v>0</v>
      </c>
      <c r="G92" s="96">
        <f t="shared" ref="G92:G97" si="8">E92-C92</f>
        <v>0</v>
      </c>
      <c r="H92" s="96">
        <f>F92-D92</f>
        <v>0</v>
      </c>
      <c r="I92" s="90"/>
      <c r="J92" s="91"/>
    </row>
    <row r="93" spans="1:10" s="20" customFormat="1" x14ac:dyDescent="0.15">
      <c r="A93" s="183" t="s">
        <v>13</v>
      </c>
      <c r="B93" s="184"/>
      <c r="C93" s="78">
        <f t="shared" si="7"/>
        <v>0</v>
      </c>
      <c r="D93" s="30">
        <f t="shared" si="7"/>
        <v>0</v>
      </c>
      <c r="E93" s="54">
        <f t="shared" si="7"/>
        <v>0</v>
      </c>
      <c r="F93" s="55">
        <f t="shared" si="7"/>
        <v>0</v>
      </c>
      <c r="G93" s="96">
        <f t="shared" si="8"/>
        <v>0</v>
      </c>
      <c r="H93" s="96">
        <f>F93-D93</f>
        <v>0</v>
      </c>
      <c r="I93" s="89"/>
      <c r="J93" s="92"/>
    </row>
    <row r="94" spans="1:10" s="20" customFormat="1" x14ac:dyDescent="0.15">
      <c r="A94" s="179" t="s">
        <v>20</v>
      </c>
      <c r="B94" s="180"/>
      <c r="C94" s="78">
        <f t="shared" si="7"/>
        <v>0</v>
      </c>
      <c r="D94" s="30">
        <f t="shared" si="7"/>
        <v>0</v>
      </c>
      <c r="E94" s="54">
        <f t="shared" si="7"/>
        <v>0</v>
      </c>
      <c r="F94" s="55">
        <f t="shared" si="7"/>
        <v>0</v>
      </c>
      <c r="G94" s="96">
        <f t="shared" si="8"/>
        <v>0</v>
      </c>
      <c r="H94" s="96">
        <f>F94-D94</f>
        <v>0</v>
      </c>
      <c r="I94" s="89"/>
      <c r="J94" s="92"/>
    </row>
    <row r="95" spans="1:10" s="20" customFormat="1" x14ac:dyDescent="0.15">
      <c r="A95" s="183" t="s">
        <v>23</v>
      </c>
      <c r="B95" s="184"/>
      <c r="C95" s="78">
        <f t="shared" si="7"/>
        <v>0</v>
      </c>
      <c r="D95" s="30">
        <f t="shared" si="7"/>
        <v>0</v>
      </c>
      <c r="E95" s="54">
        <f t="shared" si="7"/>
        <v>0</v>
      </c>
      <c r="F95" s="55">
        <f t="shared" si="7"/>
        <v>0</v>
      </c>
      <c r="G95" s="96">
        <f t="shared" si="8"/>
        <v>0</v>
      </c>
      <c r="H95" s="96">
        <f>F95-D95</f>
        <v>0</v>
      </c>
      <c r="I95" s="89"/>
      <c r="J95" s="92"/>
    </row>
    <row r="96" spans="1:10" s="20" customFormat="1" ht="23.25" customHeight="1" x14ac:dyDescent="0.15">
      <c r="A96" s="175" t="s">
        <v>38</v>
      </c>
      <c r="B96" s="176"/>
      <c r="C96" s="177">
        <f>C13+C20+C27+C34+C41+C48+C55+C62+C69+C76+C83+C90</f>
        <v>0</v>
      </c>
      <c r="D96" s="178"/>
      <c r="E96" s="177">
        <f>E13+E20+E27+E34+E41+E48+E55+E62+E69+E76+E83+E90</f>
        <v>0</v>
      </c>
      <c r="F96" s="178"/>
      <c r="G96" s="107">
        <f t="shared" si="8"/>
        <v>0</v>
      </c>
      <c r="H96" s="108"/>
      <c r="I96" s="109" t="e">
        <f>E96/C96*100-100</f>
        <v>#DIV/0!</v>
      </c>
      <c r="J96" s="110"/>
    </row>
    <row r="97" spans="1:10" ht="28.5" customHeight="1" thickBot="1" x14ac:dyDescent="0.2">
      <c r="A97" s="169" t="s">
        <v>4</v>
      </c>
      <c r="B97" s="170"/>
      <c r="C97" s="171">
        <f>C14+C21+C28+C35+C42+C49+C56+C63+C70+C77+C84+C91</f>
        <v>0</v>
      </c>
      <c r="D97" s="172"/>
      <c r="E97" s="173">
        <f>E14+E21+E28+E35+E42+E49+E56+E63+E70+E77+E84+E91</f>
        <v>0</v>
      </c>
      <c r="F97" s="174"/>
      <c r="G97" s="111">
        <f t="shared" si="8"/>
        <v>0</v>
      </c>
      <c r="H97" s="112"/>
      <c r="I97" s="113" t="e">
        <f>E97/C97*100-100</f>
        <v>#DIV/0!</v>
      </c>
      <c r="J97" s="114"/>
    </row>
    <row r="108" spans="1:10" x14ac:dyDescent="0.15">
      <c r="G108" s="62"/>
      <c r="H108" s="62"/>
      <c r="I108" s="62"/>
      <c r="J108" s="12"/>
    </row>
    <row r="109" spans="1:10" x14ac:dyDescent="0.15">
      <c r="A109" s="15"/>
      <c r="B109" s="15"/>
      <c r="F109" s="12"/>
      <c r="G109" s="62"/>
      <c r="H109" s="62"/>
      <c r="I109" s="62"/>
      <c r="J109" s="12"/>
    </row>
    <row r="110" spans="1:10" x14ac:dyDescent="0.15">
      <c r="A110" s="15"/>
      <c r="B110" s="15"/>
      <c r="F110" s="12"/>
      <c r="G110" s="62"/>
      <c r="H110" s="62"/>
      <c r="I110" s="62"/>
      <c r="J110" s="12"/>
    </row>
    <row r="111" spans="1:10" x14ac:dyDescent="0.15">
      <c r="A111" s="15"/>
      <c r="B111" s="15"/>
      <c r="F111" s="12"/>
      <c r="G111" s="62"/>
      <c r="H111" s="62"/>
      <c r="I111" s="62"/>
      <c r="J111" s="12"/>
    </row>
    <row r="112" spans="1:10" x14ac:dyDescent="0.15">
      <c r="A112" s="15"/>
      <c r="B112" s="15"/>
      <c r="F112" s="12"/>
      <c r="G112" s="62"/>
      <c r="H112" s="62"/>
      <c r="I112" s="62"/>
      <c r="J112" s="12"/>
    </row>
    <row r="113" spans="1:15" x14ac:dyDescent="0.15">
      <c r="A113" s="15"/>
      <c r="B113" s="15"/>
      <c r="F113" s="12"/>
    </row>
    <row r="114" spans="1:15" x14ac:dyDescent="0.15">
      <c r="A114" s="15"/>
      <c r="B114" s="15"/>
      <c r="K114" s="15"/>
      <c r="L114" s="15"/>
      <c r="M114" s="15"/>
      <c r="N114" s="15"/>
      <c r="O114" s="15"/>
    </row>
    <row r="115" spans="1:15" x14ac:dyDescent="0.15">
      <c r="A115" s="15"/>
      <c r="B115" s="15"/>
      <c r="K115" s="15"/>
      <c r="L115" s="15"/>
      <c r="M115" s="15"/>
    </row>
  </sheetData>
  <mergeCells count="156">
    <mergeCell ref="A95:B95"/>
    <mergeCell ref="A90:B90"/>
    <mergeCell ref="A91:B91"/>
    <mergeCell ref="A49:B49"/>
    <mergeCell ref="A97:B97"/>
    <mergeCell ref="E69:F69"/>
    <mergeCell ref="C76:D76"/>
    <mergeCell ref="A84:B84"/>
    <mergeCell ref="B78:B82"/>
    <mergeCell ref="C84:D84"/>
    <mergeCell ref="A83:B83"/>
    <mergeCell ref="C83:D83"/>
    <mergeCell ref="E70:F70"/>
    <mergeCell ref="A77:B77"/>
    <mergeCell ref="C90:D90"/>
    <mergeCell ref="E90:F90"/>
    <mergeCell ref="C97:D97"/>
    <mergeCell ref="E97:F97"/>
    <mergeCell ref="C91:D91"/>
    <mergeCell ref="E91:F91"/>
    <mergeCell ref="A96:B96"/>
    <mergeCell ref="C96:D96"/>
    <mergeCell ref="E96:F96"/>
    <mergeCell ref="A94:B94"/>
    <mergeCell ref="B85:B89"/>
    <mergeCell ref="A92:B92"/>
    <mergeCell ref="A93:B93"/>
    <mergeCell ref="A1:J1"/>
    <mergeCell ref="A14:B14"/>
    <mergeCell ref="E6:F6"/>
    <mergeCell ref="C6:D6"/>
    <mergeCell ref="B8:B12"/>
    <mergeCell ref="C14:D14"/>
    <mergeCell ref="E14:F14"/>
    <mergeCell ref="G6:H6"/>
    <mergeCell ref="G2:I2"/>
    <mergeCell ref="G3:I3"/>
    <mergeCell ref="G4:I4"/>
    <mergeCell ref="I6:J6"/>
    <mergeCell ref="I13:J13"/>
    <mergeCell ref="I14:J14"/>
    <mergeCell ref="G14:H14"/>
    <mergeCell ref="G13:H13"/>
    <mergeCell ref="C13:D13"/>
    <mergeCell ref="E13:F13"/>
    <mergeCell ref="E84:F84"/>
    <mergeCell ref="E83:F83"/>
    <mergeCell ref="E76:F76"/>
    <mergeCell ref="E77:F77"/>
    <mergeCell ref="B71:B75"/>
    <mergeCell ref="C69:D69"/>
    <mergeCell ref="A69:B69"/>
    <mergeCell ref="C70:D70"/>
    <mergeCell ref="A6:A7"/>
    <mergeCell ref="B6:B7"/>
    <mergeCell ref="C20:D20"/>
    <mergeCell ref="E20:F20"/>
    <mergeCell ref="E21:F21"/>
    <mergeCell ref="C28:D28"/>
    <mergeCell ref="E28:F28"/>
    <mergeCell ref="C21:D21"/>
    <mergeCell ref="C27:D27"/>
    <mergeCell ref="E27:F27"/>
    <mergeCell ref="A35:B35"/>
    <mergeCell ref="C35:D35"/>
    <mergeCell ref="B22:B26"/>
    <mergeCell ref="B29:B33"/>
    <mergeCell ref="A21:B21"/>
    <mergeCell ref="B36:B40"/>
    <mergeCell ref="A13:B13"/>
    <mergeCell ref="A20:B20"/>
    <mergeCell ref="A27:B27"/>
    <mergeCell ref="A34:B34"/>
    <mergeCell ref="B15:B19"/>
    <mergeCell ref="A28:B28"/>
    <mergeCell ref="C77:D77"/>
    <mergeCell ref="A76:B76"/>
    <mergeCell ref="B57:B61"/>
    <mergeCell ref="A63:B63"/>
    <mergeCell ref="A70:B70"/>
    <mergeCell ref="A56:B56"/>
    <mergeCell ref="B64:B68"/>
    <mergeCell ref="B50:B54"/>
    <mergeCell ref="B43:B47"/>
    <mergeCell ref="A41:B41"/>
    <mergeCell ref="A48:B48"/>
    <mergeCell ref="C48:D48"/>
    <mergeCell ref="C42:D42"/>
    <mergeCell ref="C49:D49"/>
    <mergeCell ref="A42:B42"/>
    <mergeCell ref="A55:B55"/>
    <mergeCell ref="A62:B62"/>
    <mergeCell ref="C62:D62"/>
    <mergeCell ref="C55:D55"/>
    <mergeCell ref="E55:F55"/>
    <mergeCell ref="E62:F62"/>
    <mergeCell ref="E56:F56"/>
    <mergeCell ref="C56:D56"/>
    <mergeCell ref="C63:D63"/>
    <mergeCell ref="E34:F34"/>
    <mergeCell ref="C34:D34"/>
    <mergeCell ref="C41:D41"/>
    <mergeCell ref="E41:F41"/>
    <mergeCell ref="E35:F35"/>
    <mergeCell ref="E42:F42"/>
    <mergeCell ref="E49:F49"/>
    <mergeCell ref="I28:J28"/>
    <mergeCell ref="G20:H20"/>
    <mergeCell ref="G21:H21"/>
    <mergeCell ref="G27:H27"/>
    <mergeCell ref="G28:H28"/>
    <mergeCell ref="I27:J27"/>
    <mergeCell ref="I20:J20"/>
    <mergeCell ref="I21:J21"/>
    <mergeCell ref="E63:F63"/>
    <mergeCell ref="E48:F48"/>
    <mergeCell ref="G69:H69"/>
    <mergeCell ref="G70:H70"/>
    <mergeCell ref="G76:H76"/>
    <mergeCell ref="G77:H77"/>
    <mergeCell ref="G55:H55"/>
    <mergeCell ref="G56:H56"/>
    <mergeCell ref="G62:H62"/>
    <mergeCell ref="G63:H63"/>
    <mergeCell ref="G34:H34"/>
    <mergeCell ref="G35:H35"/>
    <mergeCell ref="G41:H41"/>
    <mergeCell ref="G42:H42"/>
    <mergeCell ref="G48:H48"/>
    <mergeCell ref="G49:H49"/>
    <mergeCell ref="I62:J62"/>
    <mergeCell ref="I63:J63"/>
    <mergeCell ref="I69:J69"/>
    <mergeCell ref="I70:J70"/>
    <mergeCell ref="I48:J48"/>
    <mergeCell ref="I49:J49"/>
    <mergeCell ref="I55:J55"/>
    <mergeCell ref="I56:J56"/>
    <mergeCell ref="I34:J34"/>
    <mergeCell ref="I35:J35"/>
    <mergeCell ref="I41:J41"/>
    <mergeCell ref="I42:J42"/>
    <mergeCell ref="G96:H96"/>
    <mergeCell ref="I96:J96"/>
    <mergeCell ref="G97:H97"/>
    <mergeCell ref="I97:J97"/>
    <mergeCell ref="I90:J90"/>
    <mergeCell ref="I91:J91"/>
    <mergeCell ref="I76:J76"/>
    <mergeCell ref="I77:J77"/>
    <mergeCell ref="I83:J83"/>
    <mergeCell ref="I84:J84"/>
    <mergeCell ref="G83:H83"/>
    <mergeCell ref="G84:H84"/>
    <mergeCell ref="G90:H90"/>
    <mergeCell ref="G91:H91"/>
  </mergeCells>
  <phoneticPr fontId="2" type="noConversion"/>
  <pageMargins left="0.41" right="0.16" top="0.68" bottom="0.59" header="0.5" footer="0.5"/>
  <pageSetup paperSize="9" scale="4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"/>
  <sheetViews>
    <sheetView tabSelected="1" zoomScale="79" workbookViewId="0">
      <selection sqref="A1:AB1"/>
    </sheetView>
  </sheetViews>
  <sheetFormatPr defaultRowHeight="12.75" x14ac:dyDescent="0.15"/>
  <cols>
    <col min="1" max="1" width="8.5546875" style="1" customWidth="1"/>
    <col min="2" max="2" width="8.88671875" style="1"/>
    <col min="3" max="3" width="4" style="1" customWidth="1"/>
    <col min="4" max="4" width="9.21875" style="1" customWidth="1"/>
    <col min="5" max="5" width="4" style="1" customWidth="1"/>
    <col min="6" max="6" width="9.21875" style="1" customWidth="1"/>
    <col min="7" max="7" width="4" style="1" customWidth="1"/>
    <col min="8" max="8" width="9.21875" style="1" customWidth="1"/>
    <col min="9" max="9" width="3.88671875" style="1" customWidth="1"/>
    <col min="10" max="10" width="9.21875" style="1" customWidth="1"/>
    <col min="11" max="11" width="3.88671875" style="1" customWidth="1"/>
    <col min="12" max="12" width="9.21875" style="1" customWidth="1"/>
    <col min="13" max="13" width="3.88671875" style="1" customWidth="1"/>
    <col min="14" max="14" width="9.21875" style="1" customWidth="1"/>
    <col min="15" max="15" width="3.88671875" style="1" customWidth="1"/>
    <col min="16" max="16" width="9.21875" style="1" customWidth="1"/>
    <col min="17" max="17" width="3.88671875" style="1" customWidth="1"/>
    <col min="18" max="18" width="9.21875" style="1" customWidth="1"/>
    <col min="19" max="19" width="3.88671875" style="1" customWidth="1"/>
    <col min="20" max="20" width="9.21875" style="1" customWidth="1"/>
    <col min="21" max="21" width="3.88671875" style="1" customWidth="1"/>
    <col min="22" max="22" width="9.21875" style="1" customWidth="1"/>
    <col min="23" max="23" width="3.88671875" style="1" customWidth="1"/>
    <col min="24" max="24" width="9.21875" style="1" customWidth="1"/>
    <col min="25" max="25" width="3.88671875" style="1" customWidth="1"/>
    <col min="26" max="26" width="9.21875" style="1" customWidth="1"/>
    <col min="27" max="27" width="4" style="1" customWidth="1"/>
    <col min="28" max="16384" width="8.88671875" style="1"/>
  </cols>
  <sheetData>
    <row r="1" spans="1:29" ht="39" customHeight="1" x14ac:dyDescent="0.15">
      <c r="A1" s="198" t="s">
        <v>45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</row>
    <row r="2" spans="1:29" ht="21" customHeight="1" x14ac:dyDescent="0.15">
      <c r="A2" s="197" t="s">
        <v>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5"/>
    </row>
    <row r="3" spans="1:29" s="3" customFormat="1" ht="27.75" customHeight="1" x14ac:dyDescent="0.15">
      <c r="A3" s="106" t="s">
        <v>39</v>
      </c>
      <c r="B3" s="2"/>
      <c r="C3" s="195" t="s">
        <v>19</v>
      </c>
      <c r="D3" s="196"/>
      <c r="E3" s="195">
        <v>1</v>
      </c>
      <c r="F3" s="196"/>
      <c r="G3" s="195">
        <v>2</v>
      </c>
      <c r="H3" s="196"/>
      <c r="I3" s="195">
        <v>3</v>
      </c>
      <c r="J3" s="196"/>
      <c r="K3" s="195">
        <v>4</v>
      </c>
      <c r="L3" s="196"/>
      <c r="M3" s="195">
        <v>5</v>
      </c>
      <c r="N3" s="196"/>
      <c r="O3" s="195">
        <v>6</v>
      </c>
      <c r="P3" s="196"/>
      <c r="Q3" s="195">
        <v>7</v>
      </c>
      <c r="R3" s="196"/>
      <c r="S3" s="195">
        <v>8</v>
      </c>
      <c r="T3" s="196"/>
      <c r="U3" s="195">
        <v>9</v>
      </c>
      <c r="V3" s="196"/>
      <c r="W3" s="195">
        <v>10</v>
      </c>
      <c r="X3" s="196"/>
      <c r="Y3" s="195">
        <v>11</v>
      </c>
      <c r="Z3" s="196"/>
      <c r="AA3" s="195">
        <v>12</v>
      </c>
      <c r="AB3" s="196"/>
    </row>
    <row r="4" spans="1:29" s="59" customFormat="1" ht="24" customHeight="1" x14ac:dyDescent="0.15">
      <c r="A4" s="194" t="s">
        <v>0</v>
      </c>
      <c r="B4" s="7">
        <v>2012</v>
      </c>
      <c r="C4" s="192">
        <f>SUM(E4:AB4)</f>
        <v>0</v>
      </c>
      <c r="D4" s="193"/>
      <c r="E4" s="192">
        <f>SUM(F7,F10,F13,F16,F19,F22,F25,F28,F31)</f>
        <v>0</v>
      </c>
      <c r="F4" s="193"/>
      <c r="G4" s="192">
        <f>SUM(H7,H10,H13,H16,H19,H22,H25,H28,H31)</f>
        <v>0</v>
      </c>
      <c r="H4" s="193"/>
      <c r="I4" s="192">
        <f>SUM(J7,J10,J13,J16,J19,J22,J25,J28,J31)</f>
        <v>0</v>
      </c>
      <c r="J4" s="193"/>
      <c r="K4" s="192">
        <f>SUM(L7,L10,L13,L16,L19,L22,L25,L28,L31)</f>
        <v>0</v>
      </c>
      <c r="L4" s="193"/>
      <c r="M4" s="192">
        <f>SUM(N7,N10,N13,N16,N19,N22,N25,N28,N31)</f>
        <v>0</v>
      </c>
      <c r="N4" s="193"/>
      <c r="O4" s="192">
        <f>SUM(P7,P10,P13,P16,P19,P22,P25,P28,P31)</f>
        <v>0</v>
      </c>
      <c r="P4" s="193"/>
      <c r="Q4" s="192">
        <f>SUM(R7,R10,R13,R16,R19,R22,R25,R28,R31)</f>
        <v>0</v>
      </c>
      <c r="R4" s="193"/>
      <c r="S4" s="192">
        <f>SUM(T7,T10,T13,T16,T19,T22,T25,T28,T31)</f>
        <v>0</v>
      </c>
      <c r="T4" s="193"/>
      <c r="U4" s="192">
        <f>SUM(V7,V10,V13,V16,V19,V22,V25,V28,V31)</f>
        <v>0</v>
      </c>
      <c r="V4" s="193"/>
      <c r="W4" s="192">
        <f>SUM(X7,X10,X13,X16,X19,X22,X25,X28,X31)</f>
        <v>0</v>
      </c>
      <c r="X4" s="193"/>
      <c r="Y4" s="192">
        <f>SUM(Z7,Z10,Z13,Z16,Z19,Z22,Z25,Z28,Z31)</f>
        <v>0</v>
      </c>
      <c r="Z4" s="193"/>
      <c r="AA4" s="192">
        <f>SUM(AB7,AB10,AB13,AB16,AB19,AB22,AB25,AB28,AB31)</f>
        <v>0</v>
      </c>
      <c r="AB4" s="193"/>
    </row>
    <row r="5" spans="1:29" s="60" customFormat="1" ht="24" customHeight="1" x14ac:dyDescent="0.15">
      <c r="A5" s="194"/>
      <c r="B5" s="37">
        <v>2013</v>
      </c>
      <c r="C5" s="190">
        <f>SUM(E5:AB5)</f>
        <v>0</v>
      </c>
      <c r="D5" s="191"/>
      <c r="E5" s="190">
        <f>SUM(F8,F11,F14,F17,F20,F23,F26,F29,F32)</f>
        <v>0</v>
      </c>
      <c r="F5" s="191"/>
      <c r="G5" s="190">
        <f>SUM(H8,H11,H14,H17,H20,H23,H26,H29,H32)</f>
        <v>0</v>
      </c>
      <c r="H5" s="191"/>
      <c r="I5" s="190">
        <f>SUM(J8,J11,J14,J17,J20,J23,J26,J29,J32)</f>
        <v>0</v>
      </c>
      <c r="J5" s="191"/>
      <c r="K5" s="190">
        <f>SUM(L8,L11,L14,L17,L20,L23,L26,L29,L32)</f>
        <v>0</v>
      </c>
      <c r="L5" s="191"/>
      <c r="M5" s="190">
        <f>SUM(N8,N11,N14,N17,N20,N23,N26,N29,N32)</f>
        <v>0</v>
      </c>
      <c r="N5" s="191"/>
      <c r="O5" s="190">
        <f>SUM(P8,P11,P14,P17,P20,P23,P26,P29,P32)</f>
        <v>0</v>
      </c>
      <c r="P5" s="191"/>
      <c r="Q5" s="190">
        <f>SUM(R8,R11,R14,R17,R20,R23,R26,R29,R32)</f>
        <v>0</v>
      </c>
      <c r="R5" s="191"/>
      <c r="S5" s="190">
        <f>SUM(T8,T11,T14,T17,T20,T23,T26,T29,T32)</f>
        <v>0</v>
      </c>
      <c r="T5" s="191"/>
      <c r="U5" s="190">
        <f>SUM(V8,V11,V14,V17,V20,V23,V26,V29,V32)</f>
        <v>0</v>
      </c>
      <c r="V5" s="191"/>
      <c r="W5" s="190">
        <f>SUM(X8,X11,X14,X17,X20,X23,X26,X29,X32)</f>
        <v>0</v>
      </c>
      <c r="X5" s="191"/>
      <c r="Y5" s="190">
        <f>SUM(Z8,Z11,Z14,Z17,Z20,Z23,Z26,Z29,Z32)</f>
        <v>0</v>
      </c>
      <c r="Z5" s="191"/>
      <c r="AA5" s="190">
        <f>SUM(AB8,AB11,AB14,AB17,AB20,AB23,AB26,AB29,AB32)</f>
        <v>0</v>
      </c>
      <c r="AB5" s="191"/>
    </row>
    <row r="6" spans="1:29" s="59" customFormat="1" ht="24" customHeight="1" x14ac:dyDescent="0.15">
      <c r="A6" s="194"/>
      <c r="B6" s="31" t="s">
        <v>6</v>
      </c>
      <c r="C6" s="188">
        <f>C5-C4</f>
        <v>0</v>
      </c>
      <c r="D6" s="189"/>
      <c r="E6" s="188">
        <f>E5-E4</f>
        <v>0</v>
      </c>
      <c r="F6" s="189"/>
      <c r="G6" s="188">
        <f>G5-G4</f>
        <v>0</v>
      </c>
      <c r="H6" s="189"/>
      <c r="I6" s="188">
        <f>I5-I4</f>
        <v>0</v>
      </c>
      <c r="J6" s="189"/>
      <c r="K6" s="188">
        <f>K5-K4</f>
        <v>0</v>
      </c>
      <c r="L6" s="189"/>
      <c r="M6" s="188">
        <f>M5-M4</f>
        <v>0</v>
      </c>
      <c r="N6" s="189"/>
      <c r="O6" s="188">
        <f>O5-O4</f>
        <v>0</v>
      </c>
      <c r="P6" s="189"/>
      <c r="Q6" s="188">
        <f>Q5-Q4</f>
        <v>0</v>
      </c>
      <c r="R6" s="189"/>
      <c r="S6" s="188">
        <f>S5-S4</f>
        <v>0</v>
      </c>
      <c r="T6" s="189"/>
      <c r="U6" s="188">
        <f>U5-U4</f>
        <v>0</v>
      </c>
      <c r="V6" s="189"/>
      <c r="W6" s="188">
        <f>W5-W4</f>
        <v>0</v>
      </c>
      <c r="X6" s="189"/>
      <c r="Y6" s="188">
        <f>Y5-Y4</f>
        <v>0</v>
      </c>
      <c r="Z6" s="189"/>
      <c r="AA6" s="188">
        <f>AA5-AA4</f>
        <v>0</v>
      </c>
      <c r="AB6" s="189"/>
    </row>
    <row r="7" spans="1:29" ht="16.5" customHeight="1" x14ac:dyDescent="0.15">
      <c r="A7" s="185" t="s">
        <v>1</v>
      </c>
      <c r="B7" s="7">
        <v>2012</v>
      </c>
      <c r="C7" s="66">
        <f>SUM(E7,G7,I7,K7,M7,O7,Q7,S7,U7,W7,Y7,AA7)</f>
        <v>0</v>
      </c>
      <c r="D7" s="66">
        <f>SUM(F7,H7,J7,L7,N7,P7,R7,T7,V7,X7,Z7,AB7)</f>
        <v>0</v>
      </c>
      <c r="E7" s="7"/>
      <c r="F7" s="8"/>
      <c r="G7" s="7"/>
      <c r="H7" s="8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9" s="35" customFormat="1" ht="16.5" customHeight="1" x14ac:dyDescent="0.15">
      <c r="A8" s="186"/>
      <c r="B8" s="33">
        <v>2013</v>
      </c>
      <c r="C8" s="67">
        <f>SUM(E8,G8,I8,K8,M8,O8,Q8,S8,U8,W8,Y8,AA8)</f>
        <v>0</v>
      </c>
      <c r="D8" s="67">
        <f>SUM(F8,H8,J8,L8,N8,P8,R8,T8,V8,X8,Z8,AB8)</f>
        <v>0</v>
      </c>
      <c r="E8" s="33"/>
      <c r="F8" s="34"/>
      <c r="G8" s="33"/>
      <c r="H8" s="34"/>
      <c r="I8" s="3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9" s="59" customFormat="1" ht="16.5" customHeight="1" x14ac:dyDescent="0.15">
      <c r="A9" s="187"/>
      <c r="B9" s="4" t="s">
        <v>6</v>
      </c>
      <c r="C9" s="58">
        <f t="shared" ref="C9:AB9" si="0">C8-C7</f>
        <v>0</v>
      </c>
      <c r="D9" s="58">
        <f t="shared" si="0"/>
        <v>0</v>
      </c>
      <c r="E9" s="58">
        <f t="shared" si="0"/>
        <v>0</v>
      </c>
      <c r="F9" s="58">
        <f t="shared" si="0"/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 t="shared" si="0"/>
        <v>0</v>
      </c>
      <c r="O9" s="58">
        <f t="shared" si="0"/>
        <v>0</v>
      </c>
      <c r="P9" s="58">
        <f t="shared" si="0"/>
        <v>0</v>
      </c>
      <c r="Q9" s="58">
        <f t="shared" si="0"/>
        <v>0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 t="shared" si="0"/>
        <v>0</v>
      </c>
      <c r="W9" s="58">
        <f t="shared" si="0"/>
        <v>0</v>
      </c>
      <c r="X9" s="58">
        <f t="shared" si="0"/>
        <v>0</v>
      </c>
      <c r="Y9" s="58">
        <f t="shared" si="0"/>
        <v>0</v>
      </c>
      <c r="Z9" s="58">
        <f t="shared" si="0"/>
        <v>0</v>
      </c>
      <c r="AA9" s="58">
        <f t="shared" si="0"/>
        <v>0</v>
      </c>
      <c r="AB9" s="58">
        <f t="shared" si="0"/>
        <v>0</v>
      </c>
    </row>
    <row r="10" spans="1:29" ht="16.5" customHeight="1" x14ac:dyDescent="0.15">
      <c r="A10" s="185" t="s">
        <v>2</v>
      </c>
      <c r="B10" s="7">
        <v>2012</v>
      </c>
      <c r="C10" s="68">
        <f>SUM(E10,G10,I10,K10,M10,O10,Q10,S10,U10,W10,Y10,AA10)</f>
        <v>0</v>
      </c>
      <c r="D10" s="68">
        <f>SUM(F10,H10,J10,L10,N10,P10,R10,T10,V10,X10,Z10,AB10)</f>
        <v>0</v>
      </c>
      <c r="E10" s="9"/>
      <c r="F10" s="10"/>
      <c r="G10" s="9"/>
      <c r="H10" s="10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9" s="35" customFormat="1" ht="16.5" customHeight="1" x14ac:dyDescent="0.15">
      <c r="A11" s="186"/>
      <c r="B11" s="33">
        <v>2013</v>
      </c>
      <c r="C11" s="69">
        <f>SUM(E11,G11,I11,K11,M11,O11,Q11,S11,U11,W11,Y11,AA11)</f>
        <v>0</v>
      </c>
      <c r="D11" s="69">
        <f>SUM(F11,H11,J11,L11,N11,P11,R11,T11,V11,X11,Z11,AB11)</f>
        <v>0</v>
      </c>
      <c r="E11" s="32"/>
      <c r="F11" s="36"/>
      <c r="G11" s="32"/>
      <c r="H11" s="36"/>
      <c r="I11" s="64"/>
      <c r="J11" s="39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spans="1:29" s="59" customFormat="1" ht="16.5" customHeight="1" x14ac:dyDescent="0.15">
      <c r="A12" s="187"/>
      <c r="B12" s="4" t="s">
        <v>6</v>
      </c>
      <c r="C12" s="58">
        <f t="shared" ref="C12:AB12" si="1">C11-C10</f>
        <v>0</v>
      </c>
      <c r="D12" s="58">
        <f t="shared" si="1"/>
        <v>0</v>
      </c>
      <c r="E12" s="58">
        <f t="shared" si="1"/>
        <v>0</v>
      </c>
      <c r="F12" s="58">
        <f t="shared" si="1"/>
        <v>0</v>
      </c>
      <c r="G12" s="58">
        <f t="shared" si="1"/>
        <v>0</v>
      </c>
      <c r="H12" s="58">
        <f t="shared" si="1"/>
        <v>0</v>
      </c>
      <c r="I12" s="58">
        <f t="shared" si="1"/>
        <v>0</v>
      </c>
      <c r="J12" s="58">
        <f t="shared" si="1"/>
        <v>0</v>
      </c>
      <c r="K12" s="58">
        <f t="shared" si="1"/>
        <v>0</v>
      </c>
      <c r="L12" s="58">
        <f t="shared" si="1"/>
        <v>0</v>
      </c>
      <c r="M12" s="58">
        <f t="shared" si="1"/>
        <v>0</v>
      </c>
      <c r="N12" s="58">
        <f t="shared" si="1"/>
        <v>0</v>
      </c>
      <c r="O12" s="58">
        <f t="shared" si="1"/>
        <v>0</v>
      </c>
      <c r="P12" s="58">
        <f t="shared" si="1"/>
        <v>0</v>
      </c>
      <c r="Q12" s="58">
        <f t="shared" si="1"/>
        <v>0</v>
      </c>
      <c r="R12" s="58">
        <f t="shared" si="1"/>
        <v>0</v>
      </c>
      <c r="S12" s="58">
        <f t="shared" si="1"/>
        <v>0</v>
      </c>
      <c r="T12" s="58">
        <f t="shared" si="1"/>
        <v>0</v>
      </c>
      <c r="U12" s="58">
        <f t="shared" si="1"/>
        <v>0</v>
      </c>
      <c r="V12" s="58">
        <f t="shared" si="1"/>
        <v>0</v>
      </c>
      <c r="W12" s="58">
        <f t="shared" si="1"/>
        <v>0</v>
      </c>
      <c r="X12" s="58">
        <f t="shared" si="1"/>
        <v>0</v>
      </c>
      <c r="Y12" s="58">
        <f t="shared" si="1"/>
        <v>0</v>
      </c>
      <c r="Z12" s="58">
        <f t="shared" si="1"/>
        <v>0</v>
      </c>
      <c r="AA12" s="58">
        <f t="shared" si="1"/>
        <v>0</v>
      </c>
      <c r="AB12" s="58">
        <f t="shared" si="1"/>
        <v>0</v>
      </c>
    </row>
    <row r="13" spans="1:29" ht="16.5" customHeight="1" x14ac:dyDescent="0.15">
      <c r="A13" s="185" t="s">
        <v>3</v>
      </c>
      <c r="B13" s="7">
        <v>2012</v>
      </c>
      <c r="C13" s="66">
        <f>SUM(E13,G13,I13,K13,M13,O13,Q13,S13,U13,W13,Y13,AA13)</f>
        <v>0</v>
      </c>
      <c r="D13" s="66">
        <f>SUM(F13,H13,J13,L13,N13,P13,R13,T13,V13,X13,Z13,AB13)</f>
        <v>0</v>
      </c>
      <c r="E13" s="7"/>
      <c r="F13" s="8"/>
      <c r="G13" s="7"/>
      <c r="H13" s="8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9" s="35" customFormat="1" ht="16.5" customHeight="1" x14ac:dyDescent="0.15">
      <c r="A14" s="186"/>
      <c r="B14" s="33">
        <v>2013</v>
      </c>
      <c r="C14" s="65">
        <f>SUM(E14,G14,I14,K14,M14,O14,Q14,S14,U14,W14,Y14,AA14)</f>
        <v>0</v>
      </c>
      <c r="D14" s="65">
        <f>SUM(F14,H14,J14,L14,N14,P14,R14,T14,V14,X14,Z14,AB14)</f>
        <v>0</v>
      </c>
      <c r="E14" s="37"/>
      <c r="F14" s="38"/>
      <c r="G14" s="37"/>
      <c r="H14" s="38"/>
      <c r="I14" s="3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9" s="59" customFormat="1" ht="16.5" customHeight="1" x14ac:dyDescent="0.15">
      <c r="A15" s="187"/>
      <c r="B15" s="4" t="s">
        <v>6</v>
      </c>
      <c r="C15" s="58">
        <f t="shared" ref="C15:AB15" si="2">C14-C13</f>
        <v>0</v>
      </c>
      <c r="D15" s="58">
        <f t="shared" si="2"/>
        <v>0</v>
      </c>
      <c r="E15" s="58">
        <f t="shared" si="2"/>
        <v>0</v>
      </c>
      <c r="F15" s="58">
        <f t="shared" si="2"/>
        <v>0</v>
      </c>
      <c r="G15" s="58">
        <f t="shared" si="2"/>
        <v>0</v>
      </c>
      <c r="H15" s="58">
        <f t="shared" si="2"/>
        <v>0</v>
      </c>
      <c r="I15" s="58">
        <f t="shared" si="2"/>
        <v>0</v>
      </c>
      <c r="J15" s="58">
        <f t="shared" si="2"/>
        <v>0</v>
      </c>
      <c r="K15" s="58">
        <f t="shared" si="2"/>
        <v>0</v>
      </c>
      <c r="L15" s="58">
        <f t="shared" si="2"/>
        <v>0</v>
      </c>
      <c r="M15" s="58">
        <f t="shared" si="2"/>
        <v>0</v>
      </c>
      <c r="N15" s="58">
        <f t="shared" si="2"/>
        <v>0</v>
      </c>
      <c r="O15" s="58">
        <f t="shared" si="2"/>
        <v>0</v>
      </c>
      <c r="P15" s="58">
        <f t="shared" si="2"/>
        <v>0</v>
      </c>
      <c r="Q15" s="58">
        <f t="shared" si="2"/>
        <v>0</v>
      </c>
      <c r="R15" s="58">
        <f t="shared" si="2"/>
        <v>0</v>
      </c>
      <c r="S15" s="58">
        <f t="shared" si="2"/>
        <v>0</v>
      </c>
      <c r="T15" s="58">
        <f t="shared" si="2"/>
        <v>0</v>
      </c>
      <c r="U15" s="58">
        <f t="shared" si="2"/>
        <v>0</v>
      </c>
      <c r="V15" s="58">
        <f t="shared" si="2"/>
        <v>0</v>
      </c>
      <c r="W15" s="58">
        <f t="shared" si="2"/>
        <v>0</v>
      </c>
      <c r="X15" s="58">
        <f t="shared" si="2"/>
        <v>0</v>
      </c>
      <c r="Y15" s="58">
        <f t="shared" si="2"/>
        <v>0</v>
      </c>
      <c r="Z15" s="58">
        <f t="shared" si="2"/>
        <v>0</v>
      </c>
      <c r="AA15" s="58">
        <f t="shared" si="2"/>
        <v>0</v>
      </c>
      <c r="AB15" s="58">
        <f t="shared" si="2"/>
        <v>0</v>
      </c>
    </row>
    <row r="16" spans="1:29" ht="16.5" customHeight="1" x14ac:dyDescent="0.15">
      <c r="A16" s="185" t="s">
        <v>16</v>
      </c>
      <c r="B16" s="7">
        <v>2012</v>
      </c>
      <c r="C16" s="66">
        <f>SUM(E16,G16,I16,K16,M16,O16,Q16,S16,U16,W16,Y16,AA16)</f>
        <v>0</v>
      </c>
      <c r="D16" s="66">
        <f>SUM(F16,H16,J16,L16,N16,P16,R16,T16,V16,X16,Z16,AB16)</f>
        <v>0</v>
      </c>
      <c r="E16" s="7"/>
      <c r="F16" s="8"/>
      <c r="G16" s="7"/>
      <c r="H16" s="8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s="35" customFormat="1" ht="16.5" customHeight="1" x14ac:dyDescent="0.15">
      <c r="A17" s="186"/>
      <c r="B17" s="33">
        <v>2013</v>
      </c>
      <c r="C17" s="67">
        <f>SUM(E17,G17,I17,K17,M17,O17,Q17,S17,U17,W17,Y17,AA17)</f>
        <v>0</v>
      </c>
      <c r="D17" s="67">
        <f>SUM(F17,H17,J17,L17,N17,P17,R17,T17,V17,X17,Z17,AB17)</f>
        <v>0</v>
      </c>
      <c r="E17" s="33"/>
      <c r="F17" s="34"/>
      <c r="G17" s="33"/>
      <c r="H17" s="34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s="59" customFormat="1" ht="16.5" customHeight="1" x14ac:dyDescent="0.15">
      <c r="A18" s="187"/>
      <c r="B18" s="4" t="s">
        <v>6</v>
      </c>
      <c r="C18" s="58">
        <f t="shared" ref="C18:AB18" si="3">C17-C16</f>
        <v>0</v>
      </c>
      <c r="D18" s="58">
        <f t="shared" si="3"/>
        <v>0</v>
      </c>
      <c r="E18" s="58">
        <f t="shared" si="3"/>
        <v>0</v>
      </c>
      <c r="F18" s="58">
        <f t="shared" si="3"/>
        <v>0</v>
      </c>
      <c r="G18" s="58">
        <f t="shared" si="3"/>
        <v>0</v>
      </c>
      <c r="H18" s="58">
        <f t="shared" si="3"/>
        <v>0</v>
      </c>
      <c r="I18" s="58">
        <f t="shared" si="3"/>
        <v>0</v>
      </c>
      <c r="J18" s="58">
        <f t="shared" si="3"/>
        <v>0</v>
      </c>
      <c r="K18" s="58">
        <f t="shared" si="3"/>
        <v>0</v>
      </c>
      <c r="L18" s="58">
        <f t="shared" si="3"/>
        <v>0</v>
      </c>
      <c r="M18" s="58">
        <f t="shared" si="3"/>
        <v>0</v>
      </c>
      <c r="N18" s="58">
        <f t="shared" si="3"/>
        <v>0</v>
      </c>
      <c r="O18" s="58">
        <f t="shared" si="3"/>
        <v>0</v>
      </c>
      <c r="P18" s="58">
        <f t="shared" si="3"/>
        <v>0</v>
      </c>
      <c r="Q18" s="58">
        <f t="shared" si="3"/>
        <v>0</v>
      </c>
      <c r="R18" s="58">
        <f t="shared" si="3"/>
        <v>0</v>
      </c>
      <c r="S18" s="58">
        <f t="shared" si="3"/>
        <v>0</v>
      </c>
      <c r="T18" s="58">
        <f t="shared" si="3"/>
        <v>0</v>
      </c>
      <c r="U18" s="58">
        <f t="shared" si="3"/>
        <v>0</v>
      </c>
      <c r="V18" s="58">
        <f t="shared" si="3"/>
        <v>0</v>
      </c>
      <c r="W18" s="58">
        <f t="shared" si="3"/>
        <v>0</v>
      </c>
      <c r="X18" s="58">
        <f t="shared" si="3"/>
        <v>0</v>
      </c>
      <c r="Y18" s="58">
        <f t="shared" si="3"/>
        <v>0</v>
      </c>
      <c r="Z18" s="58">
        <f t="shared" si="3"/>
        <v>0</v>
      </c>
      <c r="AA18" s="58">
        <f t="shared" si="3"/>
        <v>0</v>
      </c>
      <c r="AB18" s="58">
        <f t="shared" si="3"/>
        <v>0</v>
      </c>
    </row>
    <row r="19" spans="1:28" ht="16.5" customHeight="1" x14ac:dyDescent="0.15">
      <c r="A19" s="185" t="s">
        <v>17</v>
      </c>
      <c r="B19" s="7">
        <v>2012</v>
      </c>
      <c r="C19" s="68">
        <f>SUM(E19,G19,I19,K19,M19,O19,Q19,S19,U19,W19,Y19,AA19)</f>
        <v>0</v>
      </c>
      <c r="D19" s="68">
        <f>SUM(F19,H19,J19,L19,N19,P19,R19,T19,V19,X19,Z19,AB19)</f>
        <v>0</v>
      </c>
      <c r="E19" s="9"/>
      <c r="F19" s="10"/>
      <c r="G19" s="9"/>
      <c r="H19" s="10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s="35" customFormat="1" ht="16.5" customHeight="1" x14ac:dyDescent="0.15">
      <c r="A20" s="186"/>
      <c r="B20" s="33">
        <v>2013</v>
      </c>
      <c r="C20" s="69">
        <f>SUM(E20,G20,I20,K20,M20,O20,Q20,S20,U20,W20,Y20,AA20)</f>
        <v>0</v>
      </c>
      <c r="D20" s="69">
        <f>SUM(F20,H20,J20,L20,N20,P20,R20,T20,V20,X20,Z20,AB20)</f>
        <v>0</v>
      </c>
      <c r="E20" s="32"/>
      <c r="F20" s="36"/>
      <c r="G20" s="32"/>
      <c r="H20" s="36"/>
      <c r="I20" s="64"/>
      <c r="J20" s="39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1:28" s="59" customFormat="1" ht="16.5" customHeight="1" x14ac:dyDescent="0.15">
      <c r="A21" s="187"/>
      <c r="B21" s="4" t="s">
        <v>6</v>
      </c>
      <c r="C21" s="58">
        <f t="shared" ref="C21:AB21" si="4">C20-C19</f>
        <v>0</v>
      </c>
      <c r="D21" s="58">
        <f t="shared" si="4"/>
        <v>0</v>
      </c>
      <c r="E21" s="58">
        <f t="shared" si="4"/>
        <v>0</v>
      </c>
      <c r="F21" s="58">
        <f t="shared" si="4"/>
        <v>0</v>
      </c>
      <c r="G21" s="58">
        <f t="shared" si="4"/>
        <v>0</v>
      </c>
      <c r="H21" s="58">
        <f t="shared" si="4"/>
        <v>0</v>
      </c>
      <c r="I21" s="58">
        <f t="shared" si="4"/>
        <v>0</v>
      </c>
      <c r="J21" s="58">
        <f t="shared" si="4"/>
        <v>0</v>
      </c>
      <c r="K21" s="58">
        <f t="shared" si="4"/>
        <v>0</v>
      </c>
      <c r="L21" s="58">
        <f t="shared" si="4"/>
        <v>0</v>
      </c>
      <c r="M21" s="58">
        <f t="shared" si="4"/>
        <v>0</v>
      </c>
      <c r="N21" s="58">
        <f t="shared" si="4"/>
        <v>0</v>
      </c>
      <c r="O21" s="58">
        <f t="shared" si="4"/>
        <v>0</v>
      </c>
      <c r="P21" s="58">
        <f t="shared" si="4"/>
        <v>0</v>
      </c>
      <c r="Q21" s="58">
        <f t="shared" si="4"/>
        <v>0</v>
      </c>
      <c r="R21" s="58">
        <f t="shared" si="4"/>
        <v>0</v>
      </c>
      <c r="S21" s="58">
        <f t="shared" si="4"/>
        <v>0</v>
      </c>
      <c r="T21" s="58">
        <f t="shared" si="4"/>
        <v>0</v>
      </c>
      <c r="U21" s="58">
        <f t="shared" si="4"/>
        <v>0</v>
      </c>
      <c r="V21" s="58">
        <f t="shared" si="4"/>
        <v>0</v>
      </c>
      <c r="W21" s="58">
        <f t="shared" si="4"/>
        <v>0</v>
      </c>
      <c r="X21" s="58">
        <f t="shared" si="4"/>
        <v>0</v>
      </c>
      <c r="Y21" s="58">
        <f t="shared" si="4"/>
        <v>0</v>
      </c>
      <c r="Z21" s="58">
        <f t="shared" si="4"/>
        <v>0</v>
      </c>
      <c r="AA21" s="58">
        <f t="shared" si="4"/>
        <v>0</v>
      </c>
      <c r="AB21" s="58">
        <f t="shared" si="4"/>
        <v>0</v>
      </c>
    </row>
    <row r="22" spans="1:28" ht="16.5" customHeight="1" x14ac:dyDescent="0.15">
      <c r="A22" s="185" t="s">
        <v>30</v>
      </c>
      <c r="B22" s="7">
        <v>2012</v>
      </c>
      <c r="C22" s="68">
        <f>SUM(E22,G22,I22,K22,M22,O22,Q22,S22,U22,W22,Y22,AA22)</f>
        <v>0</v>
      </c>
      <c r="D22" s="68">
        <f>SUM(F22,H22,J22,L22,N22,P22,R22,T22,V22,X22,Z22,AB22)</f>
        <v>0</v>
      </c>
      <c r="E22" s="9"/>
      <c r="F22" s="10"/>
      <c r="G22" s="9"/>
      <c r="H22" s="10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s="35" customFormat="1" ht="16.5" customHeight="1" x14ac:dyDescent="0.15">
      <c r="A23" s="186"/>
      <c r="B23" s="33">
        <v>2013</v>
      </c>
      <c r="C23" s="69">
        <f>SUM(E23,G23,I23,K23,M23,O23,Q23,S23,U23,W23,Y23,AA23)</f>
        <v>0</v>
      </c>
      <c r="D23" s="69">
        <f>SUM(F23,H23,J23,L23,N23,P23,R23,T23,V23,X23,Z23,AB23)</f>
        <v>0</v>
      </c>
      <c r="E23" s="32"/>
      <c r="F23" s="36"/>
      <c r="G23" s="32"/>
      <c r="H23" s="36"/>
      <c r="I23" s="64"/>
      <c r="J23" s="39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28" s="59" customFormat="1" ht="16.5" customHeight="1" x14ac:dyDescent="0.15">
      <c r="A24" s="187"/>
      <c r="B24" s="4" t="s">
        <v>6</v>
      </c>
      <c r="C24" s="58">
        <f t="shared" ref="C24:AB24" si="5">C23-C22</f>
        <v>0</v>
      </c>
      <c r="D24" s="58">
        <f t="shared" si="5"/>
        <v>0</v>
      </c>
      <c r="E24" s="58">
        <f t="shared" si="5"/>
        <v>0</v>
      </c>
      <c r="F24" s="58">
        <f t="shared" si="5"/>
        <v>0</v>
      </c>
      <c r="G24" s="58">
        <f t="shared" si="5"/>
        <v>0</v>
      </c>
      <c r="H24" s="58">
        <f t="shared" si="5"/>
        <v>0</v>
      </c>
      <c r="I24" s="58">
        <f t="shared" si="5"/>
        <v>0</v>
      </c>
      <c r="J24" s="58">
        <f t="shared" si="5"/>
        <v>0</v>
      </c>
      <c r="K24" s="58">
        <f t="shared" si="5"/>
        <v>0</v>
      </c>
      <c r="L24" s="58">
        <f t="shared" si="5"/>
        <v>0</v>
      </c>
      <c r="M24" s="58">
        <f t="shared" si="5"/>
        <v>0</v>
      </c>
      <c r="N24" s="58">
        <f t="shared" si="5"/>
        <v>0</v>
      </c>
      <c r="O24" s="58">
        <f t="shared" si="5"/>
        <v>0</v>
      </c>
      <c r="P24" s="58">
        <f t="shared" si="5"/>
        <v>0</v>
      </c>
      <c r="Q24" s="58">
        <f t="shared" si="5"/>
        <v>0</v>
      </c>
      <c r="R24" s="58">
        <f t="shared" si="5"/>
        <v>0</v>
      </c>
      <c r="S24" s="58">
        <f t="shared" si="5"/>
        <v>0</v>
      </c>
      <c r="T24" s="58">
        <f t="shared" si="5"/>
        <v>0</v>
      </c>
      <c r="U24" s="58">
        <f t="shared" si="5"/>
        <v>0</v>
      </c>
      <c r="V24" s="58">
        <f t="shared" si="5"/>
        <v>0</v>
      </c>
      <c r="W24" s="58">
        <f t="shared" si="5"/>
        <v>0</v>
      </c>
      <c r="X24" s="58">
        <f t="shared" si="5"/>
        <v>0</v>
      </c>
      <c r="Y24" s="58">
        <f t="shared" si="5"/>
        <v>0</v>
      </c>
      <c r="Z24" s="58">
        <f t="shared" si="5"/>
        <v>0</v>
      </c>
      <c r="AA24" s="58">
        <f t="shared" si="5"/>
        <v>0</v>
      </c>
      <c r="AB24" s="58">
        <f t="shared" si="5"/>
        <v>0</v>
      </c>
    </row>
    <row r="25" spans="1:28" ht="16.5" customHeight="1" x14ac:dyDescent="0.15">
      <c r="A25" s="185" t="s">
        <v>31</v>
      </c>
      <c r="B25" s="7">
        <v>2012</v>
      </c>
      <c r="C25" s="68">
        <f>SUM(E25,G25,I25,K25,M25,O25,Q25,S25,U25,W25,Y25,AA25)</f>
        <v>0</v>
      </c>
      <c r="D25" s="68">
        <f>SUM(F25,H25,J25,L25,N25,P25,R25,T25,V25,X25,Z25,AB25)</f>
        <v>0</v>
      </c>
      <c r="E25" s="9"/>
      <c r="F25" s="10"/>
      <c r="G25" s="9"/>
      <c r="H25" s="10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s="35" customFormat="1" ht="16.5" customHeight="1" x14ac:dyDescent="0.15">
      <c r="A26" s="186"/>
      <c r="B26" s="33">
        <v>2013</v>
      </c>
      <c r="C26" s="69">
        <f>SUM(E26,G26,I26,K26,M26,O26,Q26,S26,U26,W26,Y26,AA26)</f>
        <v>0</v>
      </c>
      <c r="D26" s="69">
        <f>SUM(F26,H26,J26,L26,N26,P26,R26,T26,V26,X26,Z26,AB26)</f>
        <v>0</v>
      </c>
      <c r="E26" s="32"/>
      <c r="F26" s="36"/>
      <c r="G26" s="32"/>
      <c r="H26" s="36"/>
      <c r="I26" s="64"/>
      <c r="J26" s="39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:28" s="59" customFormat="1" ht="16.5" customHeight="1" x14ac:dyDescent="0.15">
      <c r="A27" s="187"/>
      <c r="B27" s="4" t="s">
        <v>6</v>
      </c>
      <c r="C27" s="58">
        <f t="shared" ref="C27:AB27" si="6">C26-C25</f>
        <v>0</v>
      </c>
      <c r="D27" s="58">
        <f t="shared" si="6"/>
        <v>0</v>
      </c>
      <c r="E27" s="58">
        <f t="shared" si="6"/>
        <v>0</v>
      </c>
      <c r="F27" s="58">
        <f t="shared" si="6"/>
        <v>0</v>
      </c>
      <c r="G27" s="58">
        <f t="shared" si="6"/>
        <v>0</v>
      </c>
      <c r="H27" s="58">
        <f t="shared" si="6"/>
        <v>0</v>
      </c>
      <c r="I27" s="58">
        <f t="shared" si="6"/>
        <v>0</v>
      </c>
      <c r="J27" s="58">
        <f t="shared" si="6"/>
        <v>0</v>
      </c>
      <c r="K27" s="58">
        <f t="shared" si="6"/>
        <v>0</v>
      </c>
      <c r="L27" s="58">
        <f t="shared" si="6"/>
        <v>0</v>
      </c>
      <c r="M27" s="58">
        <f t="shared" si="6"/>
        <v>0</v>
      </c>
      <c r="N27" s="58">
        <f t="shared" si="6"/>
        <v>0</v>
      </c>
      <c r="O27" s="58">
        <f t="shared" si="6"/>
        <v>0</v>
      </c>
      <c r="P27" s="58">
        <f t="shared" si="6"/>
        <v>0</v>
      </c>
      <c r="Q27" s="58">
        <f t="shared" si="6"/>
        <v>0</v>
      </c>
      <c r="R27" s="58">
        <f t="shared" si="6"/>
        <v>0</v>
      </c>
      <c r="S27" s="58">
        <f t="shared" si="6"/>
        <v>0</v>
      </c>
      <c r="T27" s="58">
        <f t="shared" si="6"/>
        <v>0</v>
      </c>
      <c r="U27" s="58">
        <f t="shared" si="6"/>
        <v>0</v>
      </c>
      <c r="V27" s="58">
        <f t="shared" si="6"/>
        <v>0</v>
      </c>
      <c r="W27" s="58">
        <f t="shared" si="6"/>
        <v>0</v>
      </c>
      <c r="X27" s="58">
        <f t="shared" si="6"/>
        <v>0</v>
      </c>
      <c r="Y27" s="58">
        <f t="shared" si="6"/>
        <v>0</v>
      </c>
      <c r="Z27" s="58">
        <f t="shared" si="6"/>
        <v>0</v>
      </c>
      <c r="AA27" s="58">
        <f t="shared" si="6"/>
        <v>0</v>
      </c>
      <c r="AB27" s="58">
        <f t="shared" si="6"/>
        <v>0</v>
      </c>
    </row>
    <row r="28" spans="1:28" ht="16.5" customHeight="1" x14ac:dyDescent="0.15">
      <c r="A28" s="185" t="s">
        <v>32</v>
      </c>
      <c r="B28" s="7">
        <v>2012</v>
      </c>
      <c r="C28" s="68">
        <f>SUM(E28,G28,I28,K28,M28,O28,Q28,S28,U28,W28,Y28,AA28)</f>
        <v>0</v>
      </c>
      <c r="D28" s="68">
        <f>SUM(F28,H28,J28,L28,N28,P28,R28,T28,V28,X28,Z28,AB28)</f>
        <v>0</v>
      </c>
      <c r="E28" s="9"/>
      <c r="F28" s="10"/>
      <c r="G28" s="9"/>
      <c r="H28" s="10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s="35" customFormat="1" ht="16.5" customHeight="1" x14ac:dyDescent="0.15">
      <c r="A29" s="186"/>
      <c r="B29" s="33">
        <v>2013</v>
      </c>
      <c r="C29" s="69">
        <f>SUM(E29,G29,I29,K29,M29,O29,Q29,S29,U29,W29,Y29,AA29)</f>
        <v>0</v>
      </c>
      <c r="D29" s="69">
        <f>SUM(F29,H29,J29,L29,N29,P29,R29,T29,V29,X29,Z29,AB29)</f>
        <v>0</v>
      </c>
      <c r="E29" s="32"/>
      <c r="F29" s="36"/>
      <c r="G29" s="32"/>
      <c r="H29" s="36"/>
      <c r="I29" s="64"/>
      <c r="J29" s="39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28" s="59" customFormat="1" ht="16.5" customHeight="1" x14ac:dyDescent="0.15">
      <c r="A30" s="187"/>
      <c r="B30" s="4" t="s">
        <v>6</v>
      </c>
      <c r="C30" s="58">
        <f t="shared" ref="C30:AB30" si="7">C29-C28</f>
        <v>0</v>
      </c>
      <c r="D30" s="58">
        <f t="shared" si="7"/>
        <v>0</v>
      </c>
      <c r="E30" s="58">
        <f t="shared" si="7"/>
        <v>0</v>
      </c>
      <c r="F30" s="58">
        <f t="shared" si="7"/>
        <v>0</v>
      </c>
      <c r="G30" s="58">
        <f t="shared" si="7"/>
        <v>0</v>
      </c>
      <c r="H30" s="58">
        <f t="shared" si="7"/>
        <v>0</v>
      </c>
      <c r="I30" s="58">
        <f t="shared" si="7"/>
        <v>0</v>
      </c>
      <c r="J30" s="58">
        <f t="shared" si="7"/>
        <v>0</v>
      </c>
      <c r="K30" s="58">
        <f t="shared" si="7"/>
        <v>0</v>
      </c>
      <c r="L30" s="58">
        <f t="shared" si="7"/>
        <v>0</v>
      </c>
      <c r="M30" s="58">
        <f t="shared" si="7"/>
        <v>0</v>
      </c>
      <c r="N30" s="58">
        <f t="shared" si="7"/>
        <v>0</v>
      </c>
      <c r="O30" s="58">
        <f t="shared" si="7"/>
        <v>0</v>
      </c>
      <c r="P30" s="58">
        <f t="shared" si="7"/>
        <v>0</v>
      </c>
      <c r="Q30" s="58">
        <f t="shared" si="7"/>
        <v>0</v>
      </c>
      <c r="R30" s="58">
        <f t="shared" si="7"/>
        <v>0</v>
      </c>
      <c r="S30" s="58">
        <f t="shared" si="7"/>
        <v>0</v>
      </c>
      <c r="T30" s="58">
        <f t="shared" si="7"/>
        <v>0</v>
      </c>
      <c r="U30" s="58">
        <f t="shared" si="7"/>
        <v>0</v>
      </c>
      <c r="V30" s="58">
        <f t="shared" si="7"/>
        <v>0</v>
      </c>
      <c r="W30" s="58">
        <f t="shared" si="7"/>
        <v>0</v>
      </c>
      <c r="X30" s="58">
        <f t="shared" si="7"/>
        <v>0</v>
      </c>
      <c r="Y30" s="58">
        <f t="shared" si="7"/>
        <v>0</v>
      </c>
      <c r="Z30" s="58">
        <f t="shared" si="7"/>
        <v>0</v>
      </c>
      <c r="AA30" s="58">
        <f t="shared" si="7"/>
        <v>0</v>
      </c>
      <c r="AB30" s="58">
        <f t="shared" si="7"/>
        <v>0</v>
      </c>
    </row>
    <row r="31" spans="1:28" ht="16.5" customHeight="1" x14ac:dyDescent="0.15">
      <c r="A31" s="185" t="s">
        <v>18</v>
      </c>
      <c r="B31" s="7">
        <v>2012</v>
      </c>
      <c r="C31" s="66">
        <f>SUM(E31,G31,I31,K31,M31,O31,Q31,S31,U31,W31,Y31,AA31)</f>
        <v>0</v>
      </c>
      <c r="D31" s="66">
        <f>SUM(F31,H31,J31,L31,N31,P31,R31,T31,V31,X31,Z31,AB31)</f>
        <v>0</v>
      </c>
      <c r="E31" s="7"/>
      <c r="F31" s="8"/>
      <c r="G31" s="7"/>
      <c r="H31" s="8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35" customFormat="1" ht="16.5" customHeight="1" x14ac:dyDescent="0.15">
      <c r="A32" s="186"/>
      <c r="B32" s="33">
        <v>2013</v>
      </c>
      <c r="C32" s="65">
        <f>SUM(E32,G32,I32,K32,M32,O32,Q32,S32,U32,W32,Y32,AA32)</f>
        <v>0</v>
      </c>
      <c r="D32" s="65">
        <f>SUM(F32,H32,J32,L32,N32,P32,R32,T32,V32,X32,Z32,AB32)</f>
        <v>0</v>
      </c>
      <c r="E32" s="37"/>
      <c r="F32" s="38"/>
      <c r="G32" s="37"/>
      <c r="H32" s="38"/>
      <c r="I32" s="3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9" s="59" customFormat="1" ht="16.5" customHeight="1" x14ac:dyDescent="0.15">
      <c r="A33" s="187"/>
      <c r="B33" s="4" t="s">
        <v>6</v>
      </c>
      <c r="C33" s="58">
        <f t="shared" ref="C33:AB33" si="8">C32-C31</f>
        <v>0</v>
      </c>
      <c r="D33" s="58">
        <f t="shared" si="8"/>
        <v>0</v>
      </c>
      <c r="E33" s="58">
        <f t="shared" si="8"/>
        <v>0</v>
      </c>
      <c r="F33" s="58">
        <f t="shared" si="8"/>
        <v>0</v>
      </c>
      <c r="G33" s="58">
        <f t="shared" si="8"/>
        <v>0</v>
      </c>
      <c r="H33" s="58">
        <f t="shared" si="8"/>
        <v>0</v>
      </c>
      <c r="I33" s="58">
        <f t="shared" si="8"/>
        <v>0</v>
      </c>
      <c r="J33" s="58">
        <f t="shared" si="8"/>
        <v>0</v>
      </c>
      <c r="K33" s="58">
        <f t="shared" si="8"/>
        <v>0</v>
      </c>
      <c r="L33" s="58">
        <f t="shared" si="8"/>
        <v>0</v>
      </c>
      <c r="M33" s="58">
        <f t="shared" si="8"/>
        <v>0</v>
      </c>
      <c r="N33" s="58">
        <f t="shared" si="8"/>
        <v>0</v>
      </c>
      <c r="O33" s="58">
        <f t="shared" si="8"/>
        <v>0</v>
      </c>
      <c r="P33" s="58">
        <f t="shared" si="8"/>
        <v>0</v>
      </c>
      <c r="Q33" s="58">
        <f t="shared" si="8"/>
        <v>0</v>
      </c>
      <c r="R33" s="58">
        <f t="shared" si="8"/>
        <v>0</v>
      </c>
      <c r="S33" s="58">
        <f t="shared" si="8"/>
        <v>0</v>
      </c>
      <c r="T33" s="58">
        <f t="shared" si="8"/>
        <v>0</v>
      </c>
      <c r="U33" s="58">
        <f t="shared" si="8"/>
        <v>0</v>
      </c>
      <c r="V33" s="58">
        <f t="shared" si="8"/>
        <v>0</v>
      </c>
      <c r="W33" s="58">
        <f t="shared" si="8"/>
        <v>0</v>
      </c>
      <c r="X33" s="58">
        <f t="shared" si="8"/>
        <v>0</v>
      </c>
      <c r="Y33" s="58">
        <f t="shared" si="8"/>
        <v>0</v>
      </c>
      <c r="Z33" s="58">
        <f t="shared" si="8"/>
        <v>0</v>
      </c>
      <c r="AA33" s="58">
        <f t="shared" si="8"/>
        <v>0</v>
      </c>
      <c r="AB33" s="58">
        <f t="shared" si="8"/>
        <v>0</v>
      </c>
    </row>
    <row r="34" spans="1:29" ht="12.75" customHeight="1" x14ac:dyDescent="0.15">
      <c r="AB34" s="6" t="s">
        <v>7</v>
      </c>
    </row>
    <row r="35" spans="1:29" ht="21" customHeight="1" x14ac:dyDescent="0.15">
      <c r="A35" s="197" t="s">
        <v>24</v>
      </c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5"/>
    </row>
    <row r="36" spans="1:29" s="3" customFormat="1" ht="27.75" customHeight="1" x14ac:dyDescent="0.15">
      <c r="A36" s="2"/>
      <c r="B36" s="2"/>
      <c r="C36" s="195" t="s">
        <v>19</v>
      </c>
      <c r="D36" s="196"/>
      <c r="E36" s="195">
        <v>1</v>
      </c>
      <c r="F36" s="196"/>
      <c r="G36" s="195">
        <v>2</v>
      </c>
      <c r="H36" s="196"/>
      <c r="I36" s="195">
        <v>3</v>
      </c>
      <c r="J36" s="196"/>
      <c r="K36" s="195">
        <v>4</v>
      </c>
      <c r="L36" s="196"/>
      <c r="M36" s="195">
        <v>5</v>
      </c>
      <c r="N36" s="196"/>
      <c r="O36" s="195">
        <v>6</v>
      </c>
      <c r="P36" s="196"/>
      <c r="Q36" s="195">
        <v>7</v>
      </c>
      <c r="R36" s="196"/>
      <c r="S36" s="195">
        <v>8</v>
      </c>
      <c r="T36" s="196"/>
      <c r="U36" s="195">
        <v>9</v>
      </c>
      <c r="V36" s="196"/>
      <c r="W36" s="195">
        <v>10</v>
      </c>
      <c r="X36" s="196"/>
      <c r="Y36" s="195">
        <v>11</v>
      </c>
      <c r="Z36" s="196"/>
      <c r="AA36" s="195">
        <v>12</v>
      </c>
      <c r="AB36" s="196"/>
    </row>
    <row r="37" spans="1:29" s="59" customFormat="1" ht="24" customHeight="1" x14ac:dyDescent="0.15">
      <c r="A37" s="194" t="s">
        <v>0</v>
      </c>
      <c r="B37" s="7">
        <v>2012</v>
      </c>
      <c r="C37" s="192">
        <f>SUM(E37:AB37)</f>
        <v>0</v>
      </c>
      <c r="D37" s="193"/>
      <c r="E37" s="192">
        <f>SUM(F40,F43,F46,F49,F52,F55,F58,F61,F64)</f>
        <v>0</v>
      </c>
      <c r="F37" s="193"/>
      <c r="G37" s="192">
        <f>SUM(H40,H43,H46,H49,H52,H55,H58,H61,H64)</f>
        <v>0</v>
      </c>
      <c r="H37" s="193"/>
      <c r="I37" s="192">
        <f>SUM(J40,J43,J46,J49,J52,J55,J58,J61,J64)</f>
        <v>0</v>
      </c>
      <c r="J37" s="193"/>
      <c r="K37" s="192">
        <f>SUM(L40,L43,L46,L49,L52,L55,L58,L61,L64)</f>
        <v>0</v>
      </c>
      <c r="L37" s="193"/>
      <c r="M37" s="192">
        <f>SUM(N40,N43,N46,N49,N52,N55,N58,N61,N64)</f>
        <v>0</v>
      </c>
      <c r="N37" s="193"/>
      <c r="O37" s="192">
        <f>SUM(P40,P43,P46,P49,P52,P55,P58,P61,P64)</f>
        <v>0</v>
      </c>
      <c r="P37" s="193"/>
      <c r="Q37" s="192">
        <f>SUM(R40,R43,R46,R49,R52,R55,R58,R61,R64)</f>
        <v>0</v>
      </c>
      <c r="R37" s="193"/>
      <c r="S37" s="192">
        <f>SUM(T40,T43,T46,T49,T52,T55,T58,T61,T64)</f>
        <v>0</v>
      </c>
      <c r="T37" s="193"/>
      <c r="U37" s="192">
        <f>SUM(V40,V43,V46,V49,V52,V55,V58,V61,V64)</f>
        <v>0</v>
      </c>
      <c r="V37" s="193"/>
      <c r="W37" s="192">
        <f>SUM(X40,X43,X46,X49,X52,X55,X58,X61,X64)</f>
        <v>0</v>
      </c>
      <c r="X37" s="193"/>
      <c r="Y37" s="192">
        <f>SUM(Z40,Z43,Z46,Z49,Z52,Z55,Z58,Z61,Z64)</f>
        <v>0</v>
      </c>
      <c r="Z37" s="193"/>
      <c r="AA37" s="192">
        <f>SUM(AB40,AB43,AB46,AB49,AB52,AB55,AB58,AB61,AB64)</f>
        <v>0</v>
      </c>
      <c r="AB37" s="193"/>
    </row>
    <row r="38" spans="1:29" s="60" customFormat="1" ht="24" customHeight="1" x14ac:dyDescent="0.15">
      <c r="A38" s="194"/>
      <c r="B38" s="37">
        <v>2013</v>
      </c>
      <c r="C38" s="190">
        <f>SUM(E38:AB38)</f>
        <v>0</v>
      </c>
      <c r="D38" s="191"/>
      <c r="E38" s="190">
        <f>SUM(F41,F44,F47,F50,F53,F56,F59,F62,F65)</f>
        <v>0</v>
      </c>
      <c r="F38" s="191"/>
      <c r="G38" s="190">
        <f>SUM(H41,H44,H47,H50,H53,H56,H59,H62,H65)</f>
        <v>0</v>
      </c>
      <c r="H38" s="191"/>
      <c r="I38" s="190">
        <f>SUM(J41,J44,J47,J50,J53,J56,J59,J62,J65)</f>
        <v>0</v>
      </c>
      <c r="J38" s="191"/>
      <c r="K38" s="190">
        <f>SUM(L41,L44,L47,L50,L53,L56,L59,L62,L65)</f>
        <v>0</v>
      </c>
      <c r="L38" s="191"/>
      <c r="M38" s="190">
        <f>SUM(N41,N44,N47,N50,N53,N56,N59,N62,N65)</f>
        <v>0</v>
      </c>
      <c r="N38" s="191"/>
      <c r="O38" s="190">
        <f>SUM(P41,P44,P47,P50,P53,P56,P59,P62,P65)</f>
        <v>0</v>
      </c>
      <c r="P38" s="191"/>
      <c r="Q38" s="190">
        <f>SUM(R41,R44,R47,R50,R53,R56,R59,R62,R65)</f>
        <v>0</v>
      </c>
      <c r="R38" s="191"/>
      <c r="S38" s="190">
        <f>SUM(T41,T44,T47,T50,T53,T56,T59,T62,T65)</f>
        <v>0</v>
      </c>
      <c r="T38" s="191"/>
      <c r="U38" s="190">
        <f>SUM(V41,V44,V47,V50,V53,V56,V59,V62,V65)</f>
        <v>0</v>
      </c>
      <c r="V38" s="191"/>
      <c r="W38" s="190">
        <f>SUM(X41,X44,X47,X50,X53,X56,X59,X62,X65)</f>
        <v>0</v>
      </c>
      <c r="X38" s="191"/>
      <c r="Y38" s="190">
        <f>SUM(Z41,Z44,Z47,Z50,Z53,Z56,Z59,Z62,Z65)</f>
        <v>0</v>
      </c>
      <c r="Z38" s="191"/>
      <c r="AA38" s="190">
        <f>SUM(AB41,AB44,AB47,AB50,AB53,AB56,AB59,AB62,AB65)</f>
        <v>0</v>
      </c>
      <c r="AB38" s="191"/>
    </row>
    <row r="39" spans="1:29" s="59" customFormat="1" ht="24" customHeight="1" x14ac:dyDescent="0.15">
      <c r="A39" s="194"/>
      <c r="B39" s="31" t="s">
        <v>6</v>
      </c>
      <c r="C39" s="188">
        <f>C38-C37</f>
        <v>0</v>
      </c>
      <c r="D39" s="189"/>
      <c r="E39" s="188">
        <f>E38-E37</f>
        <v>0</v>
      </c>
      <c r="F39" s="189"/>
      <c r="G39" s="188">
        <f>G38-G37</f>
        <v>0</v>
      </c>
      <c r="H39" s="189"/>
      <c r="I39" s="188">
        <f>I38-I37</f>
        <v>0</v>
      </c>
      <c r="J39" s="189"/>
      <c r="K39" s="188">
        <f>K38-K37</f>
        <v>0</v>
      </c>
      <c r="L39" s="189"/>
      <c r="M39" s="188">
        <f>M38-M37</f>
        <v>0</v>
      </c>
      <c r="N39" s="189"/>
      <c r="O39" s="188">
        <f>O38-O37</f>
        <v>0</v>
      </c>
      <c r="P39" s="189"/>
      <c r="Q39" s="188">
        <f>Q38-Q37</f>
        <v>0</v>
      </c>
      <c r="R39" s="189"/>
      <c r="S39" s="188">
        <f>S38-S37</f>
        <v>0</v>
      </c>
      <c r="T39" s="189"/>
      <c r="U39" s="188">
        <f>U38-U37</f>
        <v>0</v>
      </c>
      <c r="V39" s="189"/>
      <c r="W39" s="188">
        <f>W38-W37</f>
        <v>0</v>
      </c>
      <c r="X39" s="189"/>
      <c r="Y39" s="188">
        <f>Y38-Y37</f>
        <v>0</v>
      </c>
      <c r="Z39" s="189"/>
      <c r="AA39" s="188">
        <f>AA38-AA37</f>
        <v>0</v>
      </c>
      <c r="AB39" s="189"/>
    </row>
    <row r="40" spans="1:29" ht="16.5" customHeight="1" x14ac:dyDescent="0.15">
      <c r="A40" s="185" t="s">
        <v>1</v>
      </c>
      <c r="B40" s="7">
        <v>2012</v>
      </c>
      <c r="C40" s="66">
        <f>SUM(E40,G40,I40,K40,M40,O40,Q40,S40,U40,W40,Y40,AA40)</f>
        <v>0</v>
      </c>
      <c r="D40" s="66">
        <f>SUM(F40,H40,J40,L40,N40,P40,R40,T40,V40,X40,Z40,AB40)</f>
        <v>0</v>
      </c>
      <c r="E40" s="7"/>
      <c r="F40" s="8"/>
      <c r="G40" s="7"/>
      <c r="H40" s="8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9" s="35" customFormat="1" ht="16.5" customHeight="1" x14ac:dyDescent="0.15">
      <c r="A41" s="186"/>
      <c r="B41" s="33">
        <v>2013</v>
      </c>
      <c r="C41" s="67">
        <f>SUM(E41,G41,I41,K41,M41,O41,Q41,S41,U41,W41,Y41,AA41)</f>
        <v>0</v>
      </c>
      <c r="D41" s="67">
        <f>SUM(F41,H41,J41,L41,N41,P41,R41,T41,V41,X41,Z41,AB41)</f>
        <v>0</v>
      </c>
      <c r="E41" s="33"/>
      <c r="F41" s="34"/>
      <c r="G41" s="33"/>
      <c r="H41" s="34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9" s="59" customFormat="1" ht="16.5" customHeight="1" x14ac:dyDescent="0.15">
      <c r="A42" s="187"/>
      <c r="B42" s="4" t="s">
        <v>6</v>
      </c>
      <c r="C42" s="58">
        <f t="shared" ref="C42:AB42" si="9">C41-C40</f>
        <v>0</v>
      </c>
      <c r="D42" s="58">
        <f t="shared" si="9"/>
        <v>0</v>
      </c>
      <c r="E42" s="58">
        <f t="shared" si="9"/>
        <v>0</v>
      </c>
      <c r="F42" s="58">
        <f t="shared" si="9"/>
        <v>0</v>
      </c>
      <c r="G42" s="58">
        <f t="shared" si="9"/>
        <v>0</v>
      </c>
      <c r="H42" s="58">
        <f t="shared" si="9"/>
        <v>0</v>
      </c>
      <c r="I42" s="58">
        <f t="shared" si="9"/>
        <v>0</v>
      </c>
      <c r="J42" s="58">
        <f t="shared" si="9"/>
        <v>0</v>
      </c>
      <c r="K42" s="58">
        <f t="shared" si="9"/>
        <v>0</v>
      </c>
      <c r="L42" s="58">
        <f t="shared" si="9"/>
        <v>0</v>
      </c>
      <c r="M42" s="58">
        <f t="shared" si="9"/>
        <v>0</v>
      </c>
      <c r="N42" s="58">
        <f t="shared" si="9"/>
        <v>0</v>
      </c>
      <c r="O42" s="58">
        <f t="shared" si="9"/>
        <v>0</v>
      </c>
      <c r="P42" s="58">
        <f t="shared" si="9"/>
        <v>0</v>
      </c>
      <c r="Q42" s="58">
        <f t="shared" si="9"/>
        <v>0</v>
      </c>
      <c r="R42" s="58">
        <f t="shared" si="9"/>
        <v>0</v>
      </c>
      <c r="S42" s="58">
        <f t="shared" si="9"/>
        <v>0</v>
      </c>
      <c r="T42" s="58">
        <f t="shared" si="9"/>
        <v>0</v>
      </c>
      <c r="U42" s="58">
        <f t="shared" si="9"/>
        <v>0</v>
      </c>
      <c r="V42" s="58">
        <f t="shared" si="9"/>
        <v>0</v>
      </c>
      <c r="W42" s="58">
        <f t="shared" si="9"/>
        <v>0</v>
      </c>
      <c r="X42" s="58">
        <f t="shared" si="9"/>
        <v>0</v>
      </c>
      <c r="Y42" s="58">
        <f t="shared" si="9"/>
        <v>0</v>
      </c>
      <c r="Z42" s="58">
        <f t="shared" si="9"/>
        <v>0</v>
      </c>
      <c r="AA42" s="58">
        <f t="shared" si="9"/>
        <v>0</v>
      </c>
      <c r="AB42" s="58">
        <f t="shared" si="9"/>
        <v>0</v>
      </c>
    </row>
    <row r="43" spans="1:29" ht="16.5" customHeight="1" x14ac:dyDescent="0.15">
      <c r="A43" s="185" t="s">
        <v>2</v>
      </c>
      <c r="B43" s="7">
        <v>2012</v>
      </c>
      <c r="C43" s="68">
        <f>SUM(E43,G43,I43,K43,M43,O43,Q43,S43,U43,W43,Y43,AA43)</f>
        <v>0</v>
      </c>
      <c r="D43" s="68">
        <f>SUM(F43,H43,J43,L43,N43,P43,R43,T43,V43,X43,Z43,AB43)</f>
        <v>0</v>
      </c>
      <c r="E43" s="9"/>
      <c r="F43" s="10"/>
      <c r="G43" s="9"/>
      <c r="H43" s="10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9" s="35" customFormat="1" ht="16.5" customHeight="1" x14ac:dyDescent="0.15">
      <c r="A44" s="186"/>
      <c r="B44" s="33">
        <v>2013</v>
      </c>
      <c r="C44" s="69">
        <f>SUM(E44,G44,I44,K44,M44,O44,Q44,S44,U44,W44,Y44,AA44)</f>
        <v>0</v>
      </c>
      <c r="D44" s="69">
        <f>SUM(F44,H44,J44,L44,N44,P44,R44,T44,V44,X44,Z44,AB44)</f>
        <v>0</v>
      </c>
      <c r="E44" s="32"/>
      <c r="F44" s="36"/>
      <c r="G44" s="32"/>
      <c r="H44" s="36"/>
      <c r="I44" s="64"/>
      <c r="J44" s="39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29" s="59" customFormat="1" ht="16.5" customHeight="1" x14ac:dyDescent="0.15">
      <c r="A45" s="187"/>
      <c r="B45" s="4" t="s">
        <v>6</v>
      </c>
      <c r="C45" s="58">
        <f t="shared" ref="C45:AB45" si="10">C44-C43</f>
        <v>0</v>
      </c>
      <c r="D45" s="58">
        <f t="shared" si="10"/>
        <v>0</v>
      </c>
      <c r="E45" s="58">
        <f t="shared" si="10"/>
        <v>0</v>
      </c>
      <c r="F45" s="58">
        <f t="shared" si="10"/>
        <v>0</v>
      </c>
      <c r="G45" s="58">
        <f t="shared" si="10"/>
        <v>0</v>
      </c>
      <c r="H45" s="58">
        <f t="shared" si="10"/>
        <v>0</v>
      </c>
      <c r="I45" s="58">
        <f t="shared" si="10"/>
        <v>0</v>
      </c>
      <c r="J45" s="58">
        <f t="shared" si="10"/>
        <v>0</v>
      </c>
      <c r="K45" s="58">
        <f t="shared" si="10"/>
        <v>0</v>
      </c>
      <c r="L45" s="58">
        <f t="shared" si="10"/>
        <v>0</v>
      </c>
      <c r="M45" s="58">
        <f t="shared" si="10"/>
        <v>0</v>
      </c>
      <c r="N45" s="58">
        <f t="shared" si="10"/>
        <v>0</v>
      </c>
      <c r="O45" s="58">
        <f t="shared" si="10"/>
        <v>0</v>
      </c>
      <c r="P45" s="58">
        <f t="shared" si="10"/>
        <v>0</v>
      </c>
      <c r="Q45" s="58">
        <f t="shared" si="10"/>
        <v>0</v>
      </c>
      <c r="R45" s="58">
        <f t="shared" si="10"/>
        <v>0</v>
      </c>
      <c r="S45" s="58">
        <f t="shared" si="10"/>
        <v>0</v>
      </c>
      <c r="T45" s="58">
        <f t="shared" si="10"/>
        <v>0</v>
      </c>
      <c r="U45" s="58">
        <f t="shared" si="10"/>
        <v>0</v>
      </c>
      <c r="V45" s="58">
        <f t="shared" si="10"/>
        <v>0</v>
      </c>
      <c r="W45" s="58">
        <f t="shared" si="10"/>
        <v>0</v>
      </c>
      <c r="X45" s="58">
        <f t="shared" si="10"/>
        <v>0</v>
      </c>
      <c r="Y45" s="58">
        <f t="shared" si="10"/>
        <v>0</v>
      </c>
      <c r="Z45" s="58">
        <f t="shared" si="10"/>
        <v>0</v>
      </c>
      <c r="AA45" s="58">
        <f t="shared" si="10"/>
        <v>0</v>
      </c>
      <c r="AB45" s="58">
        <f t="shared" si="10"/>
        <v>0</v>
      </c>
    </row>
    <row r="46" spans="1:29" ht="16.5" customHeight="1" x14ac:dyDescent="0.15">
      <c r="A46" s="185" t="s">
        <v>3</v>
      </c>
      <c r="B46" s="7">
        <v>2012</v>
      </c>
      <c r="C46" s="66">
        <f>SUM(E46,G46,I46,K46,M46,O46,Q46,S46,U46,W46,Y46,AA46)</f>
        <v>0</v>
      </c>
      <c r="D46" s="66">
        <f>SUM(F46,H46,J46,L46,N46,P46,R46,T46,V46,X46,Z46,AB46)</f>
        <v>0</v>
      </c>
      <c r="E46" s="7"/>
      <c r="F46" s="8"/>
      <c r="G46" s="7"/>
      <c r="H46" s="8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9" s="35" customFormat="1" ht="16.5" customHeight="1" x14ac:dyDescent="0.15">
      <c r="A47" s="186"/>
      <c r="B47" s="33">
        <v>2013</v>
      </c>
      <c r="C47" s="65">
        <f>SUM(E47,G47,I47,K47,M47,O47,Q47,S47,U47,W47,Y47,AA47)</f>
        <v>0</v>
      </c>
      <c r="D47" s="65">
        <f>SUM(F47,H47,J47,L47,N47,P47,R47,T47,V47,X47,Z47,AB47)</f>
        <v>0</v>
      </c>
      <c r="E47" s="37"/>
      <c r="F47" s="38"/>
      <c r="G47" s="37"/>
      <c r="H47" s="38"/>
      <c r="I47" s="37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pans="1:29" s="59" customFormat="1" ht="16.5" customHeight="1" x14ac:dyDescent="0.15">
      <c r="A48" s="187"/>
      <c r="B48" s="4" t="s">
        <v>6</v>
      </c>
      <c r="C48" s="58">
        <f t="shared" ref="C48:AB48" si="11">C47-C46</f>
        <v>0</v>
      </c>
      <c r="D48" s="58">
        <f t="shared" si="11"/>
        <v>0</v>
      </c>
      <c r="E48" s="58">
        <f t="shared" si="11"/>
        <v>0</v>
      </c>
      <c r="F48" s="58">
        <f t="shared" si="11"/>
        <v>0</v>
      </c>
      <c r="G48" s="58">
        <f t="shared" si="11"/>
        <v>0</v>
      </c>
      <c r="H48" s="58">
        <f t="shared" si="11"/>
        <v>0</v>
      </c>
      <c r="I48" s="58">
        <f t="shared" si="11"/>
        <v>0</v>
      </c>
      <c r="J48" s="58">
        <f t="shared" si="11"/>
        <v>0</v>
      </c>
      <c r="K48" s="58">
        <f t="shared" si="11"/>
        <v>0</v>
      </c>
      <c r="L48" s="58">
        <f t="shared" si="11"/>
        <v>0</v>
      </c>
      <c r="M48" s="58">
        <f t="shared" si="11"/>
        <v>0</v>
      </c>
      <c r="N48" s="58">
        <f t="shared" si="11"/>
        <v>0</v>
      </c>
      <c r="O48" s="58">
        <f t="shared" si="11"/>
        <v>0</v>
      </c>
      <c r="P48" s="58">
        <f t="shared" si="11"/>
        <v>0</v>
      </c>
      <c r="Q48" s="58">
        <f t="shared" si="11"/>
        <v>0</v>
      </c>
      <c r="R48" s="58">
        <f t="shared" si="11"/>
        <v>0</v>
      </c>
      <c r="S48" s="58">
        <f t="shared" si="11"/>
        <v>0</v>
      </c>
      <c r="T48" s="58">
        <f t="shared" si="11"/>
        <v>0</v>
      </c>
      <c r="U48" s="58">
        <f t="shared" si="11"/>
        <v>0</v>
      </c>
      <c r="V48" s="58">
        <f t="shared" si="11"/>
        <v>0</v>
      </c>
      <c r="W48" s="58">
        <f t="shared" si="11"/>
        <v>0</v>
      </c>
      <c r="X48" s="58">
        <f t="shared" si="11"/>
        <v>0</v>
      </c>
      <c r="Y48" s="58">
        <f t="shared" si="11"/>
        <v>0</v>
      </c>
      <c r="Z48" s="58">
        <f t="shared" si="11"/>
        <v>0</v>
      </c>
      <c r="AA48" s="58">
        <f t="shared" si="11"/>
        <v>0</v>
      </c>
      <c r="AB48" s="58">
        <f t="shared" si="11"/>
        <v>0</v>
      </c>
    </row>
    <row r="49" spans="1:28" ht="16.5" customHeight="1" x14ac:dyDescent="0.15">
      <c r="A49" s="185" t="s">
        <v>16</v>
      </c>
      <c r="B49" s="7">
        <v>2012</v>
      </c>
      <c r="C49" s="66">
        <f>SUM(E49,G49,I49,K49,M49,O49,Q49,S49,U49,W49,Y49,AA49)</f>
        <v>0</v>
      </c>
      <c r="D49" s="66">
        <f>SUM(F49,H49,J49,L49,N49,P49,R49,T49,V49,X49,Z49,AB49)</f>
        <v>0</v>
      </c>
      <c r="E49" s="7"/>
      <c r="F49" s="8"/>
      <c r="G49" s="7"/>
      <c r="H49" s="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35" customFormat="1" ht="16.5" customHeight="1" x14ac:dyDescent="0.15">
      <c r="A50" s="186"/>
      <c r="B50" s="33">
        <v>2013</v>
      </c>
      <c r="C50" s="67">
        <f>SUM(E50,G50,I50,K50,M50,O50,Q50,S50,U50,W50,Y50,AA50)</f>
        <v>0</v>
      </c>
      <c r="D50" s="67">
        <f>SUM(F50,H50,J50,L50,N50,P50,R50,T50,V50,X50,Z50,AB50)</f>
        <v>0</v>
      </c>
      <c r="E50" s="33"/>
      <c r="F50" s="34"/>
      <c r="G50" s="33"/>
      <c r="H50" s="34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s="59" customFormat="1" ht="16.5" customHeight="1" x14ac:dyDescent="0.15">
      <c r="A51" s="187"/>
      <c r="B51" s="4" t="s">
        <v>6</v>
      </c>
      <c r="C51" s="58">
        <f t="shared" ref="C51:AB51" si="12">C50-C49</f>
        <v>0</v>
      </c>
      <c r="D51" s="58">
        <f t="shared" si="12"/>
        <v>0</v>
      </c>
      <c r="E51" s="58">
        <f t="shared" si="12"/>
        <v>0</v>
      </c>
      <c r="F51" s="58">
        <f t="shared" si="12"/>
        <v>0</v>
      </c>
      <c r="G51" s="58">
        <f t="shared" si="12"/>
        <v>0</v>
      </c>
      <c r="H51" s="58">
        <f t="shared" si="12"/>
        <v>0</v>
      </c>
      <c r="I51" s="58">
        <f t="shared" si="12"/>
        <v>0</v>
      </c>
      <c r="J51" s="58">
        <f t="shared" si="12"/>
        <v>0</v>
      </c>
      <c r="K51" s="58">
        <f t="shared" si="12"/>
        <v>0</v>
      </c>
      <c r="L51" s="58">
        <f t="shared" si="12"/>
        <v>0</v>
      </c>
      <c r="M51" s="58">
        <f t="shared" si="12"/>
        <v>0</v>
      </c>
      <c r="N51" s="58">
        <f t="shared" si="12"/>
        <v>0</v>
      </c>
      <c r="O51" s="58">
        <f t="shared" si="12"/>
        <v>0</v>
      </c>
      <c r="P51" s="58">
        <f t="shared" si="12"/>
        <v>0</v>
      </c>
      <c r="Q51" s="58">
        <f t="shared" si="12"/>
        <v>0</v>
      </c>
      <c r="R51" s="58">
        <f t="shared" si="12"/>
        <v>0</v>
      </c>
      <c r="S51" s="58">
        <f t="shared" si="12"/>
        <v>0</v>
      </c>
      <c r="T51" s="58">
        <f t="shared" si="12"/>
        <v>0</v>
      </c>
      <c r="U51" s="58">
        <f t="shared" si="12"/>
        <v>0</v>
      </c>
      <c r="V51" s="58">
        <f t="shared" si="12"/>
        <v>0</v>
      </c>
      <c r="W51" s="58">
        <f t="shared" si="12"/>
        <v>0</v>
      </c>
      <c r="X51" s="58">
        <f t="shared" si="12"/>
        <v>0</v>
      </c>
      <c r="Y51" s="58">
        <f t="shared" si="12"/>
        <v>0</v>
      </c>
      <c r="Z51" s="58">
        <f t="shared" si="12"/>
        <v>0</v>
      </c>
      <c r="AA51" s="58">
        <f t="shared" si="12"/>
        <v>0</v>
      </c>
      <c r="AB51" s="58">
        <f t="shared" si="12"/>
        <v>0</v>
      </c>
    </row>
    <row r="52" spans="1:28" ht="16.5" customHeight="1" x14ac:dyDescent="0.15">
      <c r="A52" s="185" t="s">
        <v>17</v>
      </c>
      <c r="B52" s="7">
        <v>2012</v>
      </c>
      <c r="C52" s="68">
        <f>SUM(E52,G52,I52,K52,M52,O52,Q52,S52,U52,W52,Y52,AA52)</f>
        <v>0</v>
      </c>
      <c r="D52" s="68">
        <f>SUM(F52,H52,J52,L52,N52,P52,R52,T52,V52,X52,Z52,AB52)</f>
        <v>0</v>
      </c>
      <c r="E52" s="9"/>
      <c r="F52" s="10"/>
      <c r="G52" s="9"/>
      <c r="H52" s="10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s="35" customFormat="1" ht="16.5" customHeight="1" x14ac:dyDescent="0.15">
      <c r="A53" s="186"/>
      <c r="B53" s="33">
        <v>2013</v>
      </c>
      <c r="C53" s="69">
        <f>SUM(E53,G53,I53,K53,M53,O53,Q53,S53,U53,W53,Y53,AA53)</f>
        <v>0</v>
      </c>
      <c r="D53" s="69">
        <f>SUM(F53,H53,J53,L53,N53,P53,R53,T53,V53,X53,Z53,AB53)</f>
        <v>0</v>
      </c>
      <c r="E53" s="32"/>
      <c r="F53" s="36"/>
      <c r="G53" s="32"/>
      <c r="H53" s="36"/>
      <c r="I53" s="64"/>
      <c r="J53" s="39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1:28" s="59" customFormat="1" ht="16.5" customHeight="1" x14ac:dyDescent="0.15">
      <c r="A54" s="187"/>
      <c r="B54" s="4" t="s">
        <v>6</v>
      </c>
      <c r="C54" s="58">
        <f t="shared" ref="C54:AB54" si="13">C53-C52</f>
        <v>0</v>
      </c>
      <c r="D54" s="58">
        <f t="shared" si="13"/>
        <v>0</v>
      </c>
      <c r="E54" s="58">
        <f t="shared" si="13"/>
        <v>0</v>
      </c>
      <c r="F54" s="58">
        <f t="shared" si="13"/>
        <v>0</v>
      </c>
      <c r="G54" s="58">
        <f t="shared" si="13"/>
        <v>0</v>
      </c>
      <c r="H54" s="58">
        <f t="shared" si="13"/>
        <v>0</v>
      </c>
      <c r="I54" s="58">
        <f t="shared" si="13"/>
        <v>0</v>
      </c>
      <c r="J54" s="58">
        <f t="shared" si="13"/>
        <v>0</v>
      </c>
      <c r="K54" s="58">
        <f t="shared" si="13"/>
        <v>0</v>
      </c>
      <c r="L54" s="58">
        <f t="shared" si="13"/>
        <v>0</v>
      </c>
      <c r="M54" s="58">
        <f t="shared" si="13"/>
        <v>0</v>
      </c>
      <c r="N54" s="58">
        <f t="shared" si="13"/>
        <v>0</v>
      </c>
      <c r="O54" s="58">
        <f t="shared" si="13"/>
        <v>0</v>
      </c>
      <c r="P54" s="58">
        <f t="shared" si="13"/>
        <v>0</v>
      </c>
      <c r="Q54" s="58">
        <f t="shared" si="13"/>
        <v>0</v>
      </c>
      <c r="R54" s="58">
        <f t="shared" si="13"/>
        <v>0</v>
      </c>
      <c r="S54" s="58">
        <f t="shared" si="13"/>
        <v>0</v>
      </c>
      <c r="T54" s="58">
        <f t="shared" si="13"/>
        <v>0</v>
      </c>
      <c r="U54" s="58">
        <f t="shared" si="13"/>
        <v>0</v>
      </c>
      <c r="V54" s="58">
        <f t="shared" si="13"/>
        <v>0</v>
      </c>
      <c r="W54" s="58">
        <f t="shared" si="13"/>
        <v>0</v>
      </c>
      <c r="X54" s="58">
        <f t="shared" si="13"/>
        <v>0</v>
      </c>
      <c r="Y54" s="58">
        <f t="shared" si="13"/>
        <v>0</v>
      </c>
      <c r="Z54" s="58">
        <f t="shared" si="13"/>
        <v>0</v>
      </c>
      <c r="AA54" s="58">
        <f t="shared" si="13"/>
        <v>0</v>
      </c>
      <c r="AB54" s="58">
        <f t="shared" si="13"/>
        <v>0</v>
      </c>
    </row>
    <row r="55" spans="1:28" ht="16.5" customHeight="1" x14ac:dyDescent="0.15">
      <c r="A55" s="185" t="s">
        <v>30</v>
      </c>
      <c r="B55" s="7">
        <v>2012</v>
      </c>
      <c r="C55" s="68">
        <f>SUM(E55,G55,I55,K55,M55,O55,Q55,S55,U55,W55,Y55,AA55)</f>
        <v>0</v>
      </c>
      <c r="D55" s="68">
        <f>SUM(F55,H55,J55,L55,N55,P55,R55,T55,V55,X55,Z55,AB55)</f>
        <v>0</v>
      </c>
      <c r="E55" s="9"/>
      <c r="F55" s="10"/>
      <c r="G55" s="9"/>
      <c r="H55" s="10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s="35" customFormat="1" ht="16.5" customHeight="1" x14ac:dyDescent="0.15">
      <c r="A56" s="186"/>
      <c r="B56" s="33">
        <v>2013</v>
      </c>
      <c r="C56" s="69">
        <f>SUM(E56,G56,I56,K56,M56,O56,Q56,S56,U56,W56,Y56,AA56)</f>
        <v>0</v>
      </c>
      <c r="D56" s="69">
        <f>SUM(F56,H56,J56,L56,N56,P56,R56,T56,V56,X56,Z56,AB56)</f>
        <v>0</v>
      </c>
      <c r="E56" s="32"/>
      <c r="F56" s="36"/>
      <c r="G56" s="32"/>
      <c r="H56" s="36"/>
      <c r="I56" s="64"/>
      <c r="J56" s="39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:28" s="59" customFormat="1" ht="16.5" customHeight="1" x14ac:dyDescent="0.15">
      <c r="A57" s="187"/>
      <c r="B57" s="4" t="s">
        <v>6</v>
      </c>
      <c r="C57" s="58">
        <f t="shared" ref="C57:AB57" si="14">C56-C55</f>
        <v>0</v>
      </c>
      <c r="D57" s="58">
        <f t="shared" si="14"/>
        <v>0</v>
      </c>
      <c r="E57" s="58">
        <f t="shared" si="14"/>
        <v>0</v>
      </c>
      <c r="F57" s="58">
        <f t="shared" si="14"/>
        <v>0</v>
      </c>
      <c r="G57" s="58">
        <f t="shared" si="14"/>
        <v>0</v>
      </c>
      <c r="H57" s="58">
        <f t="shared" si="14"/>
        <v>0</v>
      </c>
      <c r="I57" s="58">
        <f t="shared" si="14"/>
        <v>0</v>
      </c>
      <c r="J57" s="58">
        <f t="shared" si="14"/>
        <v>0</v>
      </c>
      <c r="K57" s="58">
        <f t="shared" si="14"/>
        <v>0</v>
      </c>
      <c r="L57" s="58">
        <f t="shared" si="14"/>
        <v>0</v>
      </c>
      <c r="M57" s="58">
        <f t="shared" si="14"/>
        <v>0</v>
      </c>
      <c r="N57" s="58">
        <f t="shared" si="14"/>
        <v>0</v>
      </c>
      <c r="O57" s="58">
        <f t="shared" si="14"/>
        <v>0</v>
      </c>
      <c r="P57" s="58">
        <f t="shared" si="14"/>
        <v>0</v>
      </c>
      <c r="Q57" s="58">
        <f t="shared" si="14"/>
        <v>0</v>
      </c>
      <c r="R57" s="58">
        <f t="shared" si="14"/>
        <v>0</v>
      </c>
      <c r="S57" s="58">
        <f t="shared" si="14"/>
        <v>0</v>
      </c>
      <c r="T57" s="58">
        <f t="shared" si="14"/>
        <v>0</v>
      </c>
      <c r="U57" s="58">
        <f t="shared" si="14"/>
        <v>0</v>
      </c>
      <c r="V57" s="58">
        <f t="shared" si="14"/>
        <v>0</v>
      </c>
      <c r="W57" s="58">
        <f t="shared" si="14"/>
        <v>0</v>
      </c>
      <c r="X57" s="58">
        <f t="shared" si="14"/>
        <v>0</v>
      </c>
      <c r="Y57" s="58">
        <f t="shared" si="14"/>
        <v>0</v>
      </c>
      <c r="Z57" s="58">
        <f t="shared" si="14"/>
        <v>0</v>
      </c>
      <c r="AA57" s="58">
        <f t="shared" si="14"/>
        <v>0</v>
      </c>
      <c r="AB57" s="58">
        <f t="shared" si="14"/>
        <v>0</v>
      </c>
    </row>
    <row r="58" spans="1:28" ht="16.5" customHeight="1" x14ac:dyDescent="0.15">
      <c r="A58" s="185" t="s">
        <v>31</v>
      </c>
      <c r="B58" s="7">
        <v>2012</v>
      </c>
      <c r="C58" s="68">
        <f>SUM(E58,G58,I58,K58,M58,O58,Q58,S58,U58,W58,Y58,AA58)</f>
        <v>0</v>
      </c>
      <c r="D58" s="68">
        <f>SUM(F58,H58,J58,L58,N58,P58,R58,T58,V58,X58,Z58,AB58)</f>
        <v>0</v>
      </c>
      <c r="E58" s="9"/>
      <c r="F58" s="10"/>
      <c r="G58" s="9"/>
      <c r="H58" s="10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s="35" customFormat="1" ht="16.5" customHeight="1" x14ac:dyDescent="0.15">
      <c r="A59" s="186"/>
      <c r="B59" s="33">
        <v>2013</v>
      </c>
      <c r="C59" s="69">
        <f>SUM(E59,G59,I59,K59,M59,O59,Q59,S59,U59,W59,Y59,AA59)</f>
        <v>0</v>
      </c>
      <c r="D59" s="69">
        <f>SUM(F59,H59,J59,L59,N59,P59,R59,T59,V59,X59,Z59,AB59)</f>
        <v>0</v>
      </c>
      <c r="E59" s="32"/>
      <c r="F59" s="36"/>
      <c r="G59" s="32"/>
      <c r="H59" s="36"/>
      <c r="I59" s="64"/>
      <c r="J59" s="39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spans="1:28" s="59" customFormat="1" ht="16.5" customHeight="1" x14ac:dyDescent="0.15">
      <c r="A60" s="187"/>
      <c r="B60" s="4" t="s">
        <v>6</v>
      </c>
      <c r="C60" s="58">
        <f t="shared" ref="C60:AB60" si="15">C59-C58</f>
        <v>0</v>
      </c>
      <c r="D60" s="58">
        <f t="shared" si="15"/>
        <v>0</v>
      </c>
      <c r="E60" s="58">
        <f t="shared" si="15"/>
        <v>0</v>
      </c>
      <c r="F60" s="58">
        <f t="shared" si="15"/>
        <v>0</v>
      </c>
      <c r="G60" s="58">
        <f t="shared" si="15"/>
        <v>0</v>
      </c>
      <c r="H60" s="58">
        <f t="shared" si="15"/>
        <v>0</v>
      </c>
      <c r="I60" s="58">
        <f t="shared" si="15"/>
        <v>0</v>
      </c>
      <c r="J60" s="58">
        <f t="shared" si="15"/>
        <v>0</v>
      </c>
      <c r="K60" s="58">
        <f t="shared" si="15"/>
        <v>0</v>
      </c>
      <c r="L60" s="58">
        <f t="shared" si="15"/>
        <v>0</v>
      </c>
      <c r="M60" s="58">
        <f t="shared" si="15"/>
        <v>0</v>
      </c>
      <c r="N60" s="58">
        <f t="shared" si="15"/>
        <v>0</v>
      </c>
      <c r="O60" s="58">
        <f t="shared" si="15"/>
        <v>0</v>
      </c>
      <c r="P60" s="58">
        <f t="shared" si="15"/>
        <v>0</v>
      </c>
      <c r="Q60" s="58">
        <f t="shared" si="15"/>
        <v>0</v>
      </c>
      <c r="R60" s="58">
        <f t="shared" si="15"/>
        <v>0</v>
      </c>
      <c r="S60" s="58">
        <f t="shared" si="15"/>
        <v>0</v>
      </c>
      <c r="T60" s="58">
        <f t="shared" si="15"/>
        <v>0</v>
      </c>
      <c r="U60" s="58">
        <f t="shared" si="15"/>
        <v>0</v>
      </c>
      <c r="V60" s="58">
        <f t="shared" si="15"/>
        <v>0</v>
      </c>
      <c r="W60" s="58">
        <f t="shared" si="15"/>
        <v>0</v>
      </c>
      <c r="X60" s="58">
        <f t="shared" si="15"/>
        <v>0</v>
      </c>
      <c r="Y60" s="58">
        <f t="shared" si="15"/>
        <v>0</v>
      </c>
      <c r="Z60" s="58">
        <f t="shared" si="15"/>
        <v>0</v>
      </c>
      <c r="AA60" s="58">
        <f t="shared" si="15"/>
        <v>0</v>
      </c>
      <c r="AB60" s="58">
        <f t="shared" si="15"/>
        <v>0</v>
      </c>
    </row>
    <row r="61" spans="1:28" ht="16.5" customHeight="1" x14ac:dyDescent="0.15">
      <c r="A61" s="185" t="s">
        <v>32</v>
      </c>
      <c r="B61" s="7">
        <v>2012</v>
      </c>
      <c r="C61" s="68">
        <f>SUM(E61,G61,I61,K61,M61,O61,Q61,S61,U61,W61,Y61,AA61)</f>
        <v>0</v>
      </c>
      <c r="D61" s="68">
        <f>SUM(F61,H61,J61,L61,N61,P61,R61,T61,V61,X61,Z61,AB61)</f>
        <v>0</v>
      </c>
      <c r="E61" s="9"/>
      <c r="F61" s="10"/>
      <c r="G61" s="9"/>
      <c r="H61" s="10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s="35" customFormat="1" ht="16.5" customHeight="1" x14ac:dyDescent="0.15">
      <c r="A62" s="186"/>
      <c r="B62" s="33">
        <v>2013</v>
      </c>
      <c r="C62" s="69">
        <f>SUM(E62,G62,I62,K62,M62,O62,Q62,S62,U62,W62,Y62,AA62)</f>
        <v>0</v>
      </c>
      <c r="D62" s="69">
        <f>SUM(F62,H62,J62,L62,N62,P62,R62,T62,V62,X62,Z62,AB62)</f>
        <v>0</v>
      </c>
      <c r="E62" s="32"/>
      <c r="F62" s="36"/>
      <c r="G62" s="32"/>
      <c r="H62" s="36"/>
      <c r="I62" s="64"/>
      <c r="J62" s="39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1:28" s="59" customFormat="1" ht="16.5" customHeight="1" x14ac:dyDescent="0.15">
      <c r="A63" s="187"/>
      <c r="B63" s="4" t="s">
        <v>6</v>
      </c>
      <c r="C63" s="58">
        <f t="shared" ref="C63:AB63" si="16">C62-C61</f>
        <v>0</v>
      </c>
      <c r="D63" s="58">
        <f t="shared" si="16"/>
        <v>0</v>
      </c>
      <c r="E63" s="58">
        <f t="shared" si="16"/>
        <v>0</v>
      </c>
      <c r="F63" s="58">
        <f t="shared" si="16"/>
        <v>0</v>
      </c>
      <c r="G63" s="58">
        <f t="shared" si="16"/>
        <v>0</v>
      </c>
      <c r="H63" s="58">
        <f t="shared" si="16"/>
        <v>0</v>
      </c>
      <c r="I63" s="58">
        <f t="shared" si="16"/>
        <v>0</v>
      </c>
      <c r="J63" s="58">
        <f t="shared" si="16"/>
        <v>0</v>
      </c>
      <c r="K63" s="58">
        <f t="shared" si="16"/>
        <v>0</v>
      </c>
      <c r="L63" s="58">
        <f t="shared" si="16"/>
        <v>0</v>
      </c>
      <c r="M63" s="58">
        <f t="shared" si="16"/>
        <v>0</v>
      </c>
      <c r="N63" s="58">
        <f t="shared" si="16"/>
        <v>0</v>
      </c>
      <c r="O63" s="58">
        <f t="shared" si="16"/>
        <v>0</v>
      </c>
      <c r="P63" s="58">
        <f t="shared" si="16"/>
        <v>0</v>
      </c>
      <c r="Q63" s="58">
        <f t="shared" si="16"/>
        <v>0</v>
      </c>
      <c r="R63" s="58">
        <f t="shared" si="16"/>
        <v>0</v>
      </c>
      <c r="S63" s="58">
        <f t="shared" si="16"/>
        <v>0</v>
      </c>
      <c r="T63" s="58">
        <f t="shared" si="16"/>
        <v>0</v>
      </c>
      <c r="U63" s="58">
        <f t="shared" si="16"/>
        <v>0</v>
      </c>
      <c r="V63" s="58">
        <f t="shared" si="16"/>
        <v>0</v>
      </c>
      <c r="W63" s="58">
        <f t="shared" si="16"/>
        <v>0</v>
      </c>
      <c r="X63" s="58">
        <f t="shared" si="16"/>
        <v>0</v>
      </c>
      <c r="Y63" s="58">
        <f t="shared" si="16"/>
        <v>0</v>
      </c>
      <c r="Z63" s="58">
        <f t="shared" si="16"/>
        <v>0</v>
      </c>
      <c r="AA63" s="58">
        <f t="shared" si="16"/>
        <v>0</v>
      </c>
      <c r="AB63" s="58">
        <f t="shared" si="16"/>
        <v>0</v>
      </c>
    </row>
    <row r="64" spans="1:28" ht="16.5" customHeight="1" x14ac:dyDescent="0.15">
      <c r="A64" s="185" t="s">
        <v>18</v>
      </c>
      <c r="B64" s="7">
        <v>2012</v>
      </c>
      <c r="C64" s="66">
        <f>SUM(E64,G64,I64,K64,M64,O64,Q64,S64,U64,W64,Y64,AA64)</f>
        <v>0</v>
      </c>
      <c r="D64" s="66">
        <f>SUM(F64,H64,J64,L64,N64,P64,R64,T64,V64,X64,Z64,AB64)</f>
        <v>0</v>
      </c>
      <c r="E64" s="7"/>
      <c r="F64" s="8"/>
      <c r="G64" s="7"/>
      <c r="H64" s="8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9" s="35" customFormat="1" ht="16.5" customHeight="1" x14ac:dyDescent="0.15">
      <c r="A65" s="186"/>
      <c r="B65" s="33">
        <v>2013</v>
      </c>
      <c r="C65" s="65">
        <f>SUM(E65,G65,I65,K65,M65,O65,Q65,S65,U65,W65,Y65,AA65)</f>
        <v>0</v>
      </c>
      <c r="D65" s="65">
        <f>SUM(F65,H65,J65,L65,N65,P65,R65,T65,V65,X65,Z65,AB65)</f>
        <v>0</v>
      </c>
      <c r="E65" s="37"/>
      <c r="F65" s="38"/>
      <c r="G65" s="37"/>
      <c r="H65" s="38"/>
      <c r="I65" s="37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 spans="1:29" s="59" customFormat="1" ht="16.5" customHeight="1" x14ac:dyDescent="0.15">
      <c r="A66" s="187"/>
      <c r="B66" s="4" t="s">
        <v>6</v>
      </c>
      <c r="C66" s="58">
        <f t="shared" ref="C66:AB66" si="17">C65-C64</f>
        <v>0</v>
      </c>
      <c r="D66" s="58">
        <f t="shared" si="17"/>
        <v>0</v>
      </c>
      <c r="E66" s="58">
        <f t="shared" si="17"/>
        <v>0</v>
      </c>
      <c r="F66" s="58">
        <f t="shared" si="17"/>
        <v>0</v>
      </c>
      <c r="G66" s="58">
        <f t="shared" si="17"/>
        <v>0</v>
      </c>
      <c r="H66" s="58">
        <f t="shared" si="17"/>
        <v>0</v>
      </c>
      <c r="I66" s="58">
        <f t="shared" si="17"/>
        <v>0</v>
      </c>
      <c r="J66" s="58">
        <f t="shared" si="17"/>
        <v>0</v>
      </c>
      <c r="K66" s="58">
        <f t="shared" si="17"/>
        <v>0</v>
      </c>
      <c r="L66" s="58">
        <f t="shared" si="17"/>
        <v>0</v>
      </c>
      <c r="M66" s="58">
        <f t="shared" si="17"/>
        <v>0</v>
      </c>
      <c r="N66" s="58">
        <f t="shared" si="17"/>
        <v>0</v>
      </c>
      <c r="O66" s="58">
        <f t="shared" si="17"/>
        <v>0</v>
      </c>
      <c r="P66" s="58">
        <f t="shared" si="17"/>
        <v>0</v>
      </c>
      <c r="Q66" s="58">
        <f t="shared" si="17"/>
        <v>0</v>
      </c>
      <c r="R66" s="58">
        <f t="shared" si="17"/>
        <v>0</v>
      </c>
      <c r="S66" s="58">
        <f t="shared" si="17"/>
        <v>0</v>
      </c>
      <c r="T66" s="58">
        <f t="shared" si="17"/>
        <v>0</v>
      </c>
      <c r="U66" s="58">
        <f t="shared" si="17"/>
        <v>0</v>
      </c>
      <c r="V66" s="58">
        <f t="shared" si="17"/>
        <v>0</v>
      </c>
      <c r="W66" s="58">
        <f t="shared" si="17"/>
        <v>0</v>
      </c>
      <c r="X66" s="58">
        <f t="shared" si="17"/>
        <v>0</v>
      </c>
      <c r="Y66" s="58">
        <f t="shared" si="17"/>
        <v>0</v>
      </c>
      <c r="Z66" s="58">
        <f t="shared" si="17"/>
        <v>0</v>
      </c>
      <c r="AA66" s="58">
        <f t="shared" si="17"/>
        <v>0</v>
      </c>
      <c r="AB66" s="58">
        <f t="shared" si="17"/>
        <v>0</v>
      </c>
    </row>
    <row r="67" spans="1:29" ht="12.75" customHeight="1" x14ac:dyDescent="0.15">
      <c r="AB67" s="6" t="s">
        <v>7</v>
      </c>
    </row>
    <row r="68" spans="1:29" ht="21" customHeight="1" x14ac:dyDescent="0.15">
      <c r="A68" s="197" t="s">
        <v>20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5"/>
    </row>
    <row r="69" spans="1:29" s="3" customFormat="1" ht="27.75" customHeight="1" x14ac:dyDescent="0.15">
      <c r="A69" s="2"/>
      <c r="B69" s="2"/>
      <c r="C69" s="195" t="s">
        <v>19</v>
      </c>
      <c r="D69" s="196"/>
      <c r="E69" s="195">
        <v>1</v>
      </c>
      <c r="F69" s="196"/>
      <c r="G69" s="195">
        <v>2</v>
      </c>
      <c r="H69" s="196"/>
      <c r="I69" s="195">
        <v>3</v>
      </c>
      <c r="J69" s="196"/>
      <c r="K69" s="195">
        <v>4</v>
      </c>
      <c r="L69" s="196"/>
      <c r="M69" s="195">
        <v>5</v>
      </c>
      <c r="N69" s="196"/>
      <c r="O69" s="195">
        <v>6</v>
      </c>
      <c r="P69" s="196"/>
      <c r="Q69" s="195">
        <v>7</v>
      </c>
      <c r="R69" s="196"/>
      <c r="S69" s="195">
        <v>8</v>
      </c>
      <c r="T69" s="196"/>
      <c r="U69" s="195">
        <v>9</v>
      </c>
      <c r="V69" s="196"/>
      <c r="W69" s="195">
        <v>10</v>
      </c>
      <c r="X69" s="196"/>
      <c r="Y69" s="195">
        <v>11</v>
      </c>
      <c r="Z69" s="196"/>
      <c r="AA69" s="195">
        <v>12</v>
      </c>
      <c r="AB69" s="196"/>
    </row>
    <row r="70" spans="1:29" s="59" customFormat="1" ht="24" customHeight="1" x14ac:dyDescent="0.15">
      <c r="A70" s="194" t="s">
        <v>0</v>
      </c>
      <c r="B70" s="7">
        <v>2012</v>
      </c>
      <c r="C70" s="192">
        <f>SUM(E70:AB70)</f>
        <v>0</v>
      </c>
      <c r="D70" s="193"/>
      <c r="E70" s="192">
        <f>SUM(F73,F76,F79,F82,F85,F88,F91,F94,F97)</f>
        <v>0</v>
      </c>
      <c r="F70" s="193"/>
      <c r="G70" s="192">
        <f>SUM(H73,H76,H79,H82,H85,H88,H91,H94,H97)</f>
        <v>0</v>
      </c>
      <c r="H70" s="193"/>
      <c r="I70" s="192">
        <f>SUM(J73,J76,J79,J82,J85,J88,J91,J94,J97)</f>
        <v>0</v>
      </c>
      <c r="J70" s="193"/>
      <c r="K70" s="192">
        <f>SUM(L73,L76,L79,L82,L85,L88,L91,L94,L97)</f>
        <v>0</v>
      </c>
      <c r="L70" s="193"/>
      <c r="M70" s="192">
        <f>SUM(N73,N76,N79,N82,N85,N88,N91,N94,N97)</f>
        <v>0</v>
      </c>
      <c r="N70" s="193"/>
      <c r="O70" s="192">
        <f>SUM(P73,P76,P79,P82,P85,P88,P91,P94,P97)</f>
        <v>0</v>
      </c>
      <c r="P70" s="193"/>
      <c r="Q70" s="192">
        <f>SUM(R73,R76,R79,R82,R85,R88,R91,R94,R97)</f>
        <v>0</v>
      </c>
      <c r="R70" s="193"/>
      <c r="S70" s="192">
        <f>SUM(T73,T76,T79,T82,T85,T88,T91,T94,T97)</f>
        <v>0</v>
      </c>
      <c r="T70" s="193"/>
      <c r="U70" s="192">
        <f>SUM(V73,V76,V79,V82,V85,V88,V91,V94,V97)</f>
        <v>0</v>
      </c>
      <c r="V70" s="193"/>
      <c r="W70" s="192">
        <f>SUM(X73,X76,X79,X82,X85,X88,X91,X94,X97)</f>
        <v>0</v>
      </c>
      <c r="X70" s="193"/>
      <c r="Y70" s="192">
        <f>SUM(Z73,Z76,Z79,Z82,Z85,Z88,Z91,Z94,Z97)</f>
        <v>0</v>
      </c>
      <c r="Z70" s="193"/>
      <c r="AA70" s="192">
        <f>SUM(AB73,AB76,AB79,AB82,AB85,AB88,AB91,AB94,AB97)</f>
        <v>0</v>
      </c>
      <c r="AB70" s="193"/>
    </row>
    <row r="71" spans="1:29" s="60" customFormat="1" ht="24" customHeight="1" x14ac:dyDescent="0.15">
      <c r="A71" s="194"/>
      <c r="B71" s="37">
        <v>2013</v>
      </c>
      <c r="C71" s="190">
        <f>SUM(E71:AB71)</f>
        <v>0</v>
      </c>
      <c r="D71" s="191"/>
      <c r="E71" s="190">
        <f>SUM(F74,F77,F80,F83,F86,F89,F92,F95,F98)</f>
        <v>0</v>
      </c>
      <c r="F71" s="191"/>
      <c r="G71" s="190">
        <f>SUM(H74,H77,H80,H83,H86,H89,H92,H95,H98)</f>
        <v>0</v>
      </c>
      <c r="H71" s="191"/>
      <c r="I71" s="190">
        <f>SUM(J74,J77,J80,J83,J86,J89,J92,J95,J98)</f>
        <v>0</v>
      </c>
      <c r="J71" s="191"/>
      <c r="K71" s="190">
        <f>SUM(L74,L77,L80,L83,L86,L89,L92,L95,L98)</f>
        <v>0</v>
      </c>
      <c r="L71" s="191"/>
      <c r="M71" s="190">
        <f>SUM(N74,N77,N80,N83,N86,N89,N92,N95,N98)</f>
        <v>0</v>
      </c>
      <c r="N71" s="191"/>
      <c r="O71" s="190">
        <f>SUM(P74,P77,P80,P83,P86,P89,P92,P95,P98)</f>
        <v>0</v>
      </c>
      <c r="P71" s="191"/>
      <c r="Q71" s="190">
        <f>SUM(R74,R77,R80,R83,R86,R89,R92,R95,R98)</f>
        <v>0</v>
      </c>
      <c r="R71" s="191"/>
      <c r="S71" s="190">
        <f>SUM(T74,T77,T80,T83,T86,T89,T92,T95,T98)</f>
        <v>0</v>
      </c>
      <c r="T71" s="191"/>
      <c r="U71" s="190">
        <f>SUM(V74,V77,V80,V83,V86,V89,V92,V95,V98)</f>
        <v>0</v>
      </c>
      <c r="V71" s="191"/>
      <c r="W71" s="190">
        <f>SUM(X74,X77,X80,X83,X86,X89,X92,X95,X98)</f>
        <v>0</v>
      </c>
      <c r="X71" s="191"/>
      <c r="Y71" s="190">
        <f>SUM(Z74,Z77,Z80,Z83,Z86,Z89,Z92,Z95,Z98)</f>
        <v>0</v>
      </c>
      <c r="Z71" s="191"/>
      <c r="AA71" s="190">
        <f>SUM(AB74,AB77,AB80,AB83,AB86,AB89,AB92,AB95,AB98)</f>
        <v>0</v>
      </c>
      <c r="AB71" s="191"/>
    </row>
    <row r="72" spans="1:29" s="59" customFormat="1" ht="24" customHeight="1" x14ac:dyDescent="0.15">
      <c r="A72" s="194"/>
      <c r="B72" s="31" t="s">
        <v>6</v>
      </c>
      <c r="C72" s="188">
        <f>C71-C70</f>
        <v>0</v>
      </c>
      <c r="D72" s="189"/>
      <c r="E72" s="188">
        <f>E71-E70</f>
        <v>0</v>
      </c>
      <c r="F72" s="189"/>
      <c r="G72" s="188">
        <f>G71-G70</f>
        <v>0</v>
      </c>
      <c r="H72" s="189"/>
      <c r="I72" s="188">
        <f>I71-I70</f>
        <v>0</v>
      </c>
      <c r="J72" s="189"/>
      <c r="K72" s="188">
        <f>K71-K70</f>
        <v>0</v>
      </c>
      <c r="L72" s="189"/>
      <c r="M72" s="188">
        <f>M71-M70</f>
        <v>0</v>
      </c>
      <c r="N72" s="189"/>
      <c r="O72" s="188">
        <f>O71-O70</f>
        <v>0</v>
      </c>
      <c r="P72" s="189"/>
      <c r="Q72" s="188">
        <f>Q71-Q70</f>
        <v>0</v>
      </c>
      <c r="R72" s="189"/>
      <c r="S72" s="188">
        <f>S71-S70</f>
        <v>0</v>
      </c>
      <c r="T72" s="189"/>
      <c r="U72" s="188">
        <f>U71-U70</f>
        <v>0</v>
      </c>
      <c r="V72" s="189"/>
      <c r="W72" s="188">
        <f>W71-W70</f>
        <v>0</v>
      </c>
      <c r="X72" s="189"/>
      <c r="Y72" s="188">
        <f>Y71-Y70</f>
        <v>0</v>
      </c>
      <c r="Z72" s="189"/>
      <c r="AA72" s="188">
        <f>AA71-AA70</f>
        <v>0</v>
      </c>
      <c r="AB72" s="189"/>
    </row>
    <row r="73" spans="1:29" ht="16.5" customHeight="1" x14ac:dyDescent="0.15">
      <c r="A73" s="185" t="s">
        <v>1</v>
      </c>
      <c r="B73" s="7">
        <v>2012</v>
      </c>
      <c r="C73" s="66">
        <f>SUM(E73,G73,I73,K73,M73,O73,Q73,S73,U73,W73,Y73,AA73)</f>
        <v>0</v>
      </c>
      <c r="D73" s="66">
        <f>SUM(F73,H73,J73,L73,N73,P73,R73,T73,V73,X73,Z73,AB73)</f>
        <v>0</v>
      </c>
      <c r="E73" s="7"/>
      <c r="F73" s="8"/>
      <c r="G73" s="7"/>
      <c r="H73" s="8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9" s="35" customFormat="1" ht="16.5" customHeight="1" x14ac:dyDescent="0.15">
      <c r="A74" s="186"/>
      <c r="B74" s="33">
        <v>2013</v>
      </c>
      <c r="C74" s="67">
        <f>SUM(E74,G74,I74,K74,M74,O74,Q74,S74,U74,W74,Y74,AA74)</f>
        <v>0</v>
      </c>
      <c r="D74" s="67">
        <f>SUM(F74,H74,J74,L74,N74,P74,R74,T74,V74,X74,Z74,AB74)</f>
        <v>0</v>
      </c>
      <c r="E74" s="33"/>
      <c r="F74" s="34"/>
      <c r="G74" s="33"/>
      <c r="H74" s="34"/>
      <c r="I74" s="33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9" s="59" customFormat="1" ht="16.5" customHeight="1" x14ac:dyDescent="0.15">
      <c r="A75" s="187"/>
      <c r="B75" s="4" t="s">
        <v>6</v>
      </c>
      <c r="C75" s="58">
        <f t="shared" ref="C75:AB75" si="18">C74-C73</f>
        <v>0</v>
      </c>
      <c r="D75" s="58">
        <f t="shared" si="18"/>
        <v>0</v>
      </c>
      <c r="E75" s="58">
        <f t="shared" si="18"/>
        <v>0</v>
      </c>
      <c r="F75" s="58">
        <f t="shared" si="18"/>
        <v>0</v>
      </c>
      <c r="G75" s="58">
        <f t="shared" si="18"/>
        <v>0</v>
      </c>
      <c r="H75" s="58">
        <f t="shared" si="18"/>
        <v>0</v>
      </c>
      <c r="I75" s="58">
        <f t="shared" si="18"/>
        <v>0</v>
      </c>
      <c r="J75" s="58">
        <f t="shared" si="18"/>
        <v>0</v>
      </c>
      <c r="K75" s="58">
        <f t="shared" si="18"/>
        <v>0</v>
      </c>
      <c r="L75" s="58">
        <f t="shared" si="18"/>
        <v>0</v>
      </c>
      <c r="M75" s="58">
        <f t="shared" si="18"/>
        <v>0</v>
      </c>
      <c r="N75" s="58">
        <f t="shared" si="18"/>
        <v>0</v>
      </c>
      <c r="O75" s="58">
        <f t="shared" si="18"/>
        <v>0</v>
      </c>
      <c r="P75" s="58">
        <f t="shared" si="18"/>
        <v>0</v>
      </c>
      <c r="Q75" s="58">
        <f t="shared" si="18"/>
        <v>0</v>
      </c>
      <c r="R75" s="58">
        <f t="shared" si="18"/>
        <v>0</v>
      </c>
      <c r="S75" s="58">
        <f t="shared" si="18"/>
        <v>0</v>
      </c>
      <c r="T75" s="58">
        <f t="shared" si="18"/>
        <v>0</v>
      </c>
      <c r="U75" s="58">
        <f t="shared" si="18"/>
        <v>0</v>
      </c>
      <c r="V75" s="58">
        <f t="shared" si="18"/>
        <v>0</v>
      </c>
      <c r="W75" s="58">
        <f t="shared" si="18"/>
        <v>0</v>
      </c>
      <c r="X75" s="58">
        <f t="shared" si="18"/>
        <v>0</v>
      </c>
      <c r="Y75" s="58">
        <f t="shared" si="18"/>
        <v>0</v>
      </c>
      <c r="Z75" s="58">
        <f t="shared" si="18"/>
        <v>0</v>
      </c>
      <c r="AA75" s="58">
        <f t="shared" si="18"/>
        <v>0</v>
      </c>
      <c r="AB75" s="58">
        <f t="shared" si="18"/>
        <v>0</v>
      </c>
    </row>
    <row r="76" spans="1:29" ht="16.5" customHeight="1" x14ac:dyDescent="0.15">
      <c r="A76" s="185" t="s">
        <v>2</v>
      </c>
      <c r="B76" s="7">
        <v>2012</v>
      </c>
      <c r="C76" s="68">
        <f>SUM(E76,G76,I76,K76,M76,O76,Q76,S76,U76,W76,Y76,AA76)</f>
        <v>0</v>
      </c>
      <c r="D76" s="68">
        <f>SUM(F76,H76,J76,L76,N76,P76,R76,T76,V76,X76,Z76,AB76)</f>
        <v>0</v>
      </c>
      <c r="E76" s="9"/>
      <c r="F76" s="10"/>
      <c r="G76" s="9"/>
      <c r="H76" s="10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9" s="35" customFormat="1" ht="16.5" customHeight="1" x14ac:dyDescent="0.15">
      <c r="A77" s="186"/>
      <c r="B77" s="33">
        <v>2013</v>
      </c>
      <c r="C77" s="69">
        <f>SUM(E77,G77,I77,K77,M77,O77,Q77,S77,U77,W77,Y77,AA77)</f>
        <v>0</v>
      </c>
      <c r="D77" s="69">
        <f>SUM(F77,H77,J77,L77,N77,P77,R77,T77,V77,X77,Z77,AB77)</f>
        <v>0</v>
      </c>
      <c r="E77" s="32"/>
      <c r="F77" s="36"/>
      <c r="G77" s="32"/>
      <c r="H77" s="36"/>
      <c r="I77" s="64"/>
      <c r="J77" s="39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1:29" s="59" customFormat="1" ht="16.5" customHeight="1" x14ac:dyDescent="0.15">
      <c r="A78" s="187"/>
      <c r="B78" s="4" t="s">
        <v>6</v>
      </c>
      <c r="C78" s="58">
        <f t="shared" ref="C78:AB78" si="19">C77-C76</f>
        <v>0</v>
      </c>
      <c r="D78" s="58">
        <f t="shared" si="19"/>
        <v>0</v>
      </c>
      <c r="E78" s="58">
        <f t="shared" si="19"/>
        <v>0</v>
      </c>
      <c r="F78" s="58">
        <f t="shared" si="19"/>
        <v>0</v>
      </c>
      <c r="G78" s="58">
        <f t="shared" si="19"/>
        <v>0</v>
      </c>
      <c r="H78" s="58">
        <f t="shared" si="19"/>
        <v>0</v>
      </c>
      <c r="I78" s="58">
        <f t="shared" si="19"/>
        <v>0</v>
      </c>
      <c r="J78" s="58">
        <f t="shared" si="19"/>
        <v>0</v>
      </c>
      <c r="K78" s="58">
        <f t="shared" si="19"/>
        <v>0</v>
      </c>
      <c r="L78" s="58">
        <f t="shared" si="19"/>
        <v>0</v>
      </c>
      <c r="M78" s="58">
        <f t="shared" si="19"/>
        <v>0</v>
      </c>
      <c r="N78" s="58">
        <f t="shared" si="19"/>
        <v>0</v>
      </c>
      <c r="O78" s="58">
        <f t="shared" si="19"/>
        <v>0</v>
      </c>
      <c r="P78" s="58">
        <f t="shared" si="19"/>
        <v>0</v>
      </c>
      <c r="Q78" s="58">
        <f t="shared" si="19"/>
        <v>0</v>
      </c>
      <c r="R78" s="58">
        <f t="shared" si="19"/>
        <v>0</v>
      </c>
      <c r="S78" s="58">
        <f t="shared" si="19"/>
        <v>0</v>
      </c>
      <c r="T78" s="58">
        <f t="shared" si="19"/>
        <v>0</v>
      </c>
      <c r="U78" s="58">
        <f t="shared" si="19"/>
        <v>0</v>
      </c>
      <c r="V78" s="58">
        <f t="shared" si="19"/>
        <v>0</v>
      </c>
      <c r="W78" s="58">
        <f t="shared" si="19"/>
        <v>0</v>
      </c>
      <c r="X78" s="58">
        <f t="shared" si="19"/>
        <v>0</v>
      </c>
      <c r="Y78" s="58">
        <f t="shared" si="19"/>
        <v>0</v>
      </c>
      <c r="Z78" s="58">
        <f t="shared" si="19"/>
        <v>0</v>
      </c>
      <c r="AA78" s="58">
        <f t="shared" si="19"/>
        <v>0</v>
      </c>
      <c r="AB78" s="58">
        <f t="shared" si="19"/>
        <v>0</v>
      </c>
    </row>
    <row r="79" spans="1:29" ht="16.5" customHeight="1" x14ac:dyDescent="0.15">
      <c r="A79" s="185" t="s">
        <v>3</v>
      </c>
      <c r="B79" s="7">
        <v>2012</v>
      </c>
      <c r="C79" s="66">
        <f>SUM(E79,G79,I79,K79,M79,O79,Q79,S79,U79,W79,Y79,AA79)</f>
        <v>0</v>
      </c>
      <c r="D79" s="66">
        <f>SUM(F79,H79,J79,L79,N79,P79,R79,T79,V79,X79,Z79,AB79)</f>
        <v>0</v>
      </c>
      <c r="E79" s="7"/>
      <c r="F79" s="8"/>
      <c r="G79" s="7"/>
      <c r="H79" s="8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9" s="35" customFormat="1" ht="16.5" customHeight="1" x14ac:dyDescent="0.15">
      <c r="A80" s="186"/>
      <c r="B80" s="33">
        <v>2013</v>
      </c>
      <c r="C80" s="65">
        <f>SUM(E80,G80,I80,K80,M80,O80,Q80,S80,U80,W80,Y80,AA80)</f>
        <v>0</v>
      </c>
      <c r="D80" s="65">
        <f>SUM(F80,H80,J80,L80,N80,P80,R80,T80,V80,X80,Z80,AB80)</f>
        <v>0</v>
      </c>
      <c r="E80" s="37"/>
      <c r="F80" s="38"/>
      <c r="G80" s="37"/>
      <c r="H80" s="38"/>
      <c r="I80" s="37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1:28" s="59" customFormat="1" ht="16.5" customHeight="1" x14ac:dyDescent="0.15">
      <c r="A81" s="187"/>
      <c r="B81" s="4" t="s">
        <v>6</v>
      </c>
      <c r="C81" s="58">
        <f t="shared" ref="C81:AB81" si="20">C80-C79</f>
        <v>0</v>
      </c>
      <c r="D81" s="58">
        <f t="shared" si="20"/>
        <v>0</v>
      </c>
      <c r="E81" s="58">
        <f t="shared" si="20"/>
        <v>0</v>
      </c>
      <c r="F81" s="58">
        <f t="shared" si="20"/>
        <v>0</v>
      </c>
      <c r="G81" s="58">
        <f t="shared" si="20"/>
        <v>0</v>
      </c>
      <c r="H81" s="58">
        <f t="shared" si="20"/>
        <v>0</v>
      </c>
      <c r="I81" s="58">
        <f t="shared" si="20"/>
        <v>0</v>
      </c>
      <c r="J81" s="58">
        <f t="shared" si="20"/>
        <v>0</v>
      </c>
      <c r="K81" s="58">
        <f t="shared" si="20"/>
        <v>0</v>
      </c>
      <c r="L81" s="58">
        <f t="shared" si="20"/>
        <v>0</v>
      </c>
      <c r="M81" s="58">
        <f t="shared" si="20"/>
        <v>0</v>
      </c>
      <c r="N81" s="58">
        <f t="shared" si="20"/>
        <v>0</v>
      </c>
      <c r="O81" s="58">
        <f t="shared" si="20"/>
        <v>0</v>
      </c>
      <c r="P81" s="58">
        <f t="shared" si="20"/>
        <v>0</v>
      </c>
      <c r="Q81" s="58">
        <f t="shared" si="20"/>
        <v>0</v>
      </c>
      <c r="R81" s="58">
        <f t="shared" si="20"/>
        <v>0</v>
      </c>
      <c r="S81" s="58">
        <f t="shared" si="20"/>
        <v>0</v>
      </c>
      <c r="T81" s="58">
        <f t="shared" si="20"/>
        <v>0</v>
      </c>
      <c r="U81" s="58">
        <f t="shared" si="20"/>
        <v>0</v>
      </c>
      <c r="V81" s="58">
        <f t="shared" si="20"/>
        <v>0</v>
      </c>
      <c r="W81" s="58">
        <f t="shared" si="20"/>
        <v>0</v>
      </c>
      <c r="X81" s="58">
        <f t="shared" si="20"/>
        <v>0</v>
      </c>
      <c r="Y81" s="58">
        <f t="shared" si="20"/>
        <v>0</v>
      </c>
      <c r="Z81" s="58">
        <f t="shared" si="20"/>
        <v>0</v>
      </c>
      <c r="AA81" s="58">
        <f t="shared" si="20"/>
        <v>0</v>
      </c>
      <c r="AB81" s="58">
        <f t="shared" si="20"/>
        <v>0</v>
      </c>
    </row>
    <row r="82" spans="1:28" ht="16.5" customHeight="1" x14ac:dyDescent="0.15">
      <c r="A82" s="185" t="s">
        <v>16</v>
      </c>
      <c r="B82" s="7">
        <v>2012</v>
      </c>
      <c r="C82" s="66">
        <f>SUM(E82,G82,I82,K82,M82,O82,Q82,S82,U82,W82,Y82,AA82)</f>
        <v>0</v>
      </c>
      <c r="D82" s="66">
        <f>SUM(F82,H82,J82,L82,N82,P82,R82,T82,V82,X82,Z82,AB82)</f>
        <v>0</v>
      </c>
      <c r="E82" s="7"/>
      <c r="F82" s="8"/>
      <c r="G82" s="7"/>
      <c r="H82" s="8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35" customFormat="1" ht="16.5" customHeight="1" x14ac:dyDescent="0.15">
      <c r="A83" s="186"/>
      <c r="B83" s="33">
        <v>2013</v>
      </c>
      <c r="C83" s="67">
        <f>SUM(E83,G83,I83,K83,M83,O83,Q83,S83,U83,W83,Y83,AA83)</f>
        <v>0</v>
      </c>
      <c r="D83" s="67">
        <f>SUM(F83,H83,J83,L83,N83,P83,R83,T83,V83,X83,Z83,AB83)</f>
        <v>0</v>
      </c>
      <c r="E83" s="33"/>
      <c r="F83" s="34"/>
      <c r="G83" s="33"/>
      <c r="H83" s="34"/>
      <c r="I83" s="33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s="59" customFormat="1" ht="16.5" customHeight="1" x14ac:dyDescent="0.15">
      <c r="A84" s="187"/>
      <c r="B84" s="4" t="s">
        <v>6</v>
      </c>
      <c r="C84" s="58">
        <f t="shared" ref="C84:AB84" si="21">C83-C82</f>
        <v>0</v>
      </c>
      <c r="D84" s="58">
        <f t="shared" si="21"/>
        <v>0</v>
      </c>
      <c r="E84" s="58">
        <f t="shared" si="21"/>
        <v>0</v>
      </c>
      <c r="F84" s="58">
        <f t="shared" si="21"/>
        <v>0</v>
      </c>
      <c r="G84" s="58">
        <f t="shared" si="21"/>
        <v>0</v>
      </c>
      <c r="H84" s="58">
        <f t="shared" si="21"/>
        <v>0</v>
      </c>
      <c r="I84" s="58">
        <f t="shared" si="21"/>
        <v>0</v>
      </c>
      <c r="J84" s="58">
        <f t="shared" si="21"/>
        <v>0</v>
      </c>
      <c r="K84" s="58">
        <f t="shared" si="21"/>
        <v>0</v>
      </c>
      <c r="L84" s="58">
        <f t="shared" si="21"/>
        <v>0</v>
      </c>
      <c r="M84" s="58">
        <f t="shared" si="21"/>
        <v>0</v>
      </c>
      <c r="N84" s="58">
        <f t="shared" si="21"/>
        <v>0</v>
      </c>
      <c r="O84" s="58">
        <f t="shared" si="21"/>
        <v>0</v>
      </c>
      <c r="P84" s="58">
        <f t="shared" si="21"/>
        <v>0</v>
      </c>
      <c r="Q84" s="58">
        <f t="shared" si="21"/>
        <v>0</v>
      </c>
      <c r="R84" s="58">
        <f t="shared" si="21"/>
        <v>0</v>
      </c>
      <c r="S84" s="58">
        <f t="shared" si="21"/>
        <v>0</v>
      </c>
      <c r="T84" s="58">
        <f t="shared" si="21"/>
        <v>0</v>
      </c>
      <c r="U84" s="58">
        <f t="shared" si="21"/>
        <v>0</v>
      </c>
      <c r="V84" s="58">
        <f t="shared" si="21"/>
        <v>0</v>
      </c>
      <c r="W84" s="58">
        <f t="shared" si="21"/>
        <v>0</v>
      </c>
      <c r="X84" s="58">
        <f t="shared" si="21"/>
        <v>0</v>
      </c>
      <c r="Y84" s="58">
        <f t="shared" si="21"/>
        <v>0</v>
      </c>
      <c r="Z84" s="58">
        <f t="shared" si="21"/>
        <v>0</v>
      </c>
      <c r="AA84" s="58">
        <f t="shared" si="21"/>
        <v>0</v>
      </c>
      <c r="AB84" s="58">
        <f t="shared" si="21"/>
        <v>0</v>
      </c>
    </row>
    <row r="85" spans="1:28" ht="16.5" customHeight="1" x14ac:dyDescent="0.15">
      <c r="A85" s="185" t="s">
        <v>17</v>
      </c>
      <c r="B85" s="7">
        <v>2012</v>
      </c>
      <c r="C85" s="68">
        <f>SUM(E85,G85,I85,K85,M85,O85,Q85,S85,U85,W85,Y85,AA85)</f>
        <v>0</v>
      </c>
      <c r="D85" s="68">
        <f>SUM(F85,H85,J85,L85,N85,P85,R85,T85,V85,X85,Z85,AB85)</f>
        <v>0</v>
      </c>
      <c r="E85" s="9"/>
      <c r="F85" s="10"/>
      <c r="G85" s="9"/>
      <c r="H85" s="10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s="35" customFormat="1" ht="16.5" customHeight="1" x14ac:dyDescent="0.15">
      <c r="A86" s="186"/>
      <c r="B86" s="33">
        <v>2013</v>
      </c>
      <c r="C86" s="69">
        <f>SUM(E86,G86,I86,K86,M86,O86,Q86,S86,U86,W86,Y86,AA86)</f>
        <v>0</v>
      </c>
      <c r="D86" s="69">
        <f>SUM(F86,H86,J86,L86,N86,P86,R86,T86,V86,X86,Z86,AB86)</f>
        <v>0</v>
      </c>
      <c r="E86" s="32"/>
      <c r="F86" s="36"/>
      <c r="G86" s="32"/>
      <c r="H86" s="36"/>
      <c r="I86" s="64"/>
      <c r="J86" s="39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spans="1:28" s="59" customFormat="1" ht="16.5" customHeight="1" x14ac:dyDescent="0.15">
      <c r="A87" s="187"/>
      <c r="B87" s="4" t="s">
        <v>6</v>
      </c>
      <c r="C87" s="58">
        <f t="shared" ref="C87:AB87" si="22">C86-C85</f>
        <v>0</v>
      </c>
      <c r="D87" s="58">
        <f t="shared" si="22"/>
        <v>0</v>
      </c>
      <c r="E87" s="58">
        <f t="shared" si="22"/>
        <v>0</v>
      </c>
      <c r="F87" s="58">
        <f t="shared" si="22"/>
        <v>0</v>
      </c>
      <c r="G87" s="58">
        <f t="shared" si="22"/>
        <v>0</v>
      </c>
      <c r="H87" s="58">
        <f t="shared" si="22"/>
        <v>0</v>
      </c>
      <c r="I87" s="58">
        <f t="shared" si="22"/>
        <v>0</v>
      </c>
      <c r="J87" s="58">
        <f t="shared" si="22"/>
        <v>0</v>
      </c>
      <c r="K87" s="58">
        <f t="shared" si="22"/>
        <v>0</v>
      </c>
      <c r="L87" s="58">
        <f t="shared" si="22"/>
        <v>0</v>
      </c>
      <c r="M87" s="58">
        <f t="shared" si="22"/>
        <v>0</v>
      </c>
      <c r="N87" s="58">
        <f t="shared" si="22"/>
        <v>0</v>
      </c>
      <c r="O87" s="58">
        <f t="shared" si="22"/>
        <v>0</v>
      </c>
      <c r="P87" s="58">
        <f t="shared" si="22"/>
        <v>0</v>
      </c>
      <c r="Q87" s="58">
        <f t="shared" si="22"/>
        <v>0</v>
      </c>
      <c r="R87" s="58">
        <f t="shared" si="22"/>
        <v>0</v>
      </c>
      <c r="S87" s="58">
        <f t="shared" si="22"/>
        <v>0</v>
      </c>
      <c r="T87" s="58">
        <f t="shared" si="22"/>
        <v>0</v>
      </c>
      <c r="U87" s="58">
        <f t="shared" si="22"/>
        <v>0</v>
      </c>
      <c r="V87" s="58">
        <f t="shared" si="22"/>
        <v>0</v>
      </c>
      <c r="W87" s="58">
        <f t="shared" si="22"/>
        <v>0</v>
      </c>
      <c r="X87" s="58">
        <f t="shared" si="22"/>
        <v>0</v>
      </c>
      <c r="Y87" s="58">
        <f t="shared" si="22"/>
        <v>0</v>
      </c>
      <c r="Z87" s="58">
        <f t="shared" si="22"/>
        <v>0</v>
      </c>
      <c r="AA87" s="58">
        <f t="shared" si="22"/>
        <v>0</v>
      </c>
      <c r="AB87" s="58">
        <f t="shared" si="22"/>
        <v>0</v>
      </c>
    </row>
    <row r="88" spans="1:28" ht="16.5" customHeight="1" x14ac:dyDescent="0.15">
      <c r="A88" s="185" t="s">
        <v>30</v>
      </c>
      <c r="B88" s="7">
        <v>2012</v>
      </c>
      <c r="C88" s="68">
        <f>SUM(E88,G88,I88,K88,M88,O88,Q88,S88,U88,W88,Y88,AA88)</f>
        <v>0</v>
      </c>
      <c r="D88" s="68">
        <f>SUM(F88,H88,J88,L88,N88,P88,R88,T88,V88,X88,Z88,AB88)</f>
        <v>0</v>
      </c>
      <c r="E88" s="9"/>
      <c r="F88" s="10"/>
      <c r="G88" s="9"/>
      <c r="H88" s="10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s="35" customFormat="1" ht="16.5" customHeight="1" x14ac:dyDescent="0.15">
      <c r="A89" s="186"/>
      <c r="B89" s="33">
        <v>2013</v>
      </c>
      <c r="C89" s="69">
        <f>SUM(E89,G89,I89,K89,M89,O89,Q89,S89,U89,W89,Y89,AA89)</f>
        <v>0</v>
      </c>
      <c r="D89" s="69">
        <f>SUM(F89,H89,J89,L89,N89,P89,R89,T89,V89,X89,Z89,AB89)</f>
        <v>0</v>
      </c>
      <c r="E89" s="32"/>
      <c r="F89" s="36"/>
      <c r="G89" s="32"/>
      <c r="H89" s="36"/>
      <c r="I89" s="64"/>
      <c r="J89" s="39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spans="1:28" s="59" customFormat="1" ht="16.5" customHeight="1" x14ac:dyDescent="0.15">
      <c r="A90" s="187"/>
      <c r="B90" s="4" t="s">
        <v>6</v>
      </c>
      <c r="C90" s="58">
        <f t="shared" ref="C90:AB90" si="23">C89-C88</f>
        <v>0</v>
      </c>
      <c r="D90" s="58">
        <f t="shared" si="23"/>
        <v>0</v>
      </c>
      <c r="E90" s="58">
        <f t="shared" si="23"/>
        <v>0</v>
      </c>
      <c r="F90" s="58">
        <f t="shared" si="23"/>
        <v>0</v>
      </c>
      <c r="G90" s="58">
        <f t="shared" si="23"/>
        <v>0</v>
      </c>
      <c r="H90" s="58">
        <f t="shared" si="23"/>
        <v>0</v>
      </c>
      <c r="I90" s="58">
        <f t="shared" si="23"/>
        <v>0</v>
      </c>
      <c r="J90" s="58">
        <f t="shared" si="23"/>
        <v>0</v>
      </c>
      <c r="K90" s="58">
        <f t="shared" si="23"/>
        <v>0</v>
      </c>
      <c r="L90" s="58">
        <f t="shared" si="23"/>
        <v>0</v>
      </c>
      <c r="M90" s="58">
        <f t="shared" si="23"/>
        <v>0</v>
      </c>
      <c r="N90" s="58">
        <f t="shared" si="23"/>
        <v>0</v>
      </c>
      <c r="O90" s="58">
        <f t="shared" si="23"/>
        <v>0</v>
      </c>
      <c r="P90" s="58">
        <f t="shared" si="23"/>
        <v>0</v>
      </c>
      <c r="Q90" s="58">
        <f t="shared" si="23"/>
        <v>0</v>
      </c>
      <c r="R90" s="58">
        <f t="shared" si="23"/>
        <v>0</v>
      </c>
      <c r="S90" s="58">
        <f t="shared" si="23"/>
        <v>0</v>
      </c>
      <c r="T90" s="58">
        <f t="shared" si="23"/>
        <v>0</v>
      </c>
      <c r="U90" s="58">
        <f t="shared" si="23"/>
        <v>0</v>
      </c>
      <c r="V90" s="58">
        <f t="shared" si="23"/>
        <v>0</v>
      </c>
      <c r="W90" s="58">
        <f t="shared" si="23"/>
        <v>0</v>
      </c>
      <c r="X90" s="58">
        <f t="shared" si="23"/>
        <v>0</v>
      </c>
      <c r="Y90" s="58">
        <f t="shared" si="23"/>
        <v>0</v>
      </c>
      <c r="Z90" s="58">
        <f t="shared" si="23"/>
        <v>0</v>
      </c>
      <c r="AA90" s="58">
        <f t="shared" si="23"/>
        <v>0</v>
      </c>
      <c r="AB90" s="58">
        <f t="shared" si="23"/>
        <v>0</v>
      </c>
    </row>
    <row r="91" spans="1:28" ht="16.5" customHeight="1" x14ac:dyDescent="0.15">
      <c r="A91" s="185" t="s">
        <v>31</v>
      </c>
      <c r="B91" s="7">
        <v>2012</v>
      </c>
      <c r="C91" s="68">
        <f>SUM(E91,G91,I91,K91,M91,O91,Q91,S91,U91,W91,Y91,AA91)</f>
        <v>0</v>
      </c>
      <c r="D91" s="68">
        <f>SUM(F91,H91,J91,L91,N91,P91,R91,T91,V91,X91,Z91,AB91)</f>
        <v>0</v>
      </c>
      <c r="E91" s="9"/>
      <c r="F91" s="10"/>
      <c r="G91" s="9"/>
      <c r="H91" s="10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s="35" customFormat="1" ht="16.5" customHeight="1" x14ac:dyDescent="0.15">
      <c r="A92" s="186"/>
      <c r="B92" s="33">
        <v>2013</v>
      </c>
      <c r="C92" s="69">
        <f>SUM(E92,G92,I92,K92,M92,O92,Q92,S92,U92,W92,Y92,AA92)</f>
        <v>0</v>
      </c>
      <c r="D92" s="69">
        <f>SUM(F92,H92,J92,L92,N92,P92,R92,T92,V92,X92,Z92,AB92)</f>
        <v>0</v>
      </c>
      <c r="E92" s="32"/>
      <c r="F92" s="36"/>
      <c r="G92" s="32"/>
      <c r="H92" s="36"/>
      <c r="I92" s="64"/>
      <c r="J92" s="39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1:28" s="59" customFormat="1" ht="16.5" customHeight="1" x14ac:dyDescent="0.15">
      <c r="A93" s="187"/>
      <c r="B93" s="4" t="s">
        <v>6</v>
      </c>
      <c r="C93" s="58">
        <f t="shared" ref="C93:AB93" si="24">C92-C91</f>
        <v>0</v>
      </c>
      <c r="D93" s="58">
        <f t="shared" si="24"/>
        <v>0</v>
      </c>
      <c r="E93" s="58">
        <f t="shared" si="24"/>
        <v>0</v>
      </c>
      <c r="F93" s="58">
        <f t="shared" si="24"/>
        <v>0</v>
      </c>
      <c r="G93" s="58">
        <f t="shared" si="24"/>
        <v>0</v>
      </c>
      <c r="H93" s="58">
        <f t="shared" si="24"/>
        <v>0</v>
      </c>
      <c r="I93" s="58">
        <f t="shared" si="24"/>
        <v>0</v>
      </c>
      <c r="J93" s="58">
        <f t="shared" si="24"/>
        <v>0</v>
      </c>
      <c r="K93" s="58">
        <f t="shared" si="24"/>
        <v>0</v>
      </c>
      <c r="L93" s="58">
        <f t="shared" si="24"/>
        <v>0</v>
      </c>
      <c r="M93" s="58">
        <f t="shared" si="24"/>
        <v>0</v>
      </c>
      <c r="N93" s="58">
        <f t="shared" si="24"/>
        <v>0</v>
      </c>
      <c r="O93" s="58">
        <f t="shared" si="24"/>
        <v>0</v>
      </c>
      <c r="P93" s="58">
        <f t="shared" si="24"/>
        <v>0</v>
      </c>
      <c r="Q93" s="58">
        <f t="shared" si="24"/>
        <v>0</v>
      </c>
      <c r="R93" s="58">
        <f t="shared" si="24"/>
        <v>0</v>
      </c>
      <c r="S93" s="58">
        <f t="shared" si="24"/>
        <v>0</v>
      </c>
      <c r="T93" s="58">
        <f t="shared" si="24"/>
        <v>0</v>
      </c>
      <c r="U93" s="58">
        <f t="shared" si="24"/>
        <v>0</v>
      </c>
      <c r="V93" s="58">
        <f t="shared" si="24"/>
        <v>0</v>
      </c>
      <c r="W93" s="58">
        <f t="shared" si="24"/>
        <v>0</v>
      </c>
      <c r="X93" s="58">
        <f t="shared" si="24"/>
        <v>0</v>
      </c>
      <c r="Y93" s="58">
        <f t="shared" si="24"/>
        <v>0</v>
      </c>
      <c r="Z93" s="58">
        <f t="shared" si="24"/>
        <v>0</v>
      </c>
      <c r="AA93" s="58">
        <f t="shared" si="24"/>
        <v>0</v>
      </c>
      <c r="AB93" s="58">
        <f t="shared" si="24"/>
        <v>0</v>
      </c>
    </row>
    <row r="94" spans="1:28" ht="16.5" customHeight="1" x14ac:dyDescent="0.15">
      <c r="A94" s="185" t="s">
        <v>32</v>
      </c>
      <c r="B94" s="7">
        <v>2012</v>
      </c>
      <c r="C94" s="68">
        <f>SUM(E94,G94,I94,K94,M94,O94,Q94,S94,U94,W94,Y94,AA94)</f>
        <v>0</v>
      </c>
      <c r="D94" s="68">
        <f>SUM(F94,H94,J94,L94,N94,P94,R94,T94,V94,X94,Z94,AB94)</f>
        <v>0</v>
      </c>
      <c r="E94" s="9"/>
      <c r="F94" s="10"/>
      <c r="G94" s="9"/>
      <c r="H94" s="10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s="35" customFormat="1" ht="16.5" customHeight="1" x14ac:dyDescent="0.15">
      <c r="A95" s="186"/>
      <c r="B95" s="33">
        <v>2013</v>
      </c>
      <c r="C95" s="69">
        <f>SUM(E95,G95,I95,K95,M95,O95,Q95,S95,U95,W95,Y95,AA95)</f>
        <v>0</v>
      </c>
      <c r="D95" s="69">
        <f>SUM(F95,H95,J95,L95,N95,P95,R95,T95,V95,X95,Z95,AB95)</f>
        <v>0</v>
      </c>
      <c r="E95" s="32"/>
      <c r="F95" s="36"/>
      <c r="G95" s="32"/>
      <c r="H95" s="36"/>
      <c r="I95" s="64"/>
      <c r="J95" s="39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1:28" s="59" customFormat="1" ht="16.5" customHeight="1" x14ac:dyDescent="0.15">
      <c r="A96" s="187"/>
      <c r="B96" s="4" t="s">
        <v>6</v>
      </c>
      <c r="C96" s="58">
        <f t="shared" ref="C96:AB96" si="25">C95-C94</f>
        <v>0</v>
      </c>
      <c r="D96" s="58">
        <f t="shared" si="25"/>
        <v>0</v>
      </c>
      <c r="E96" s="58">
        <f t="shared" si="25"/>
        <v>0</v>
      </c>
      <c r="F96" s="58">
        <f t="shared" si="25"/>
        <v>0</v>
      </c>
      <c r="G96" s="58">
        <f t="shared" si="25"/>
        <v>0</v>
      </c>
      <c r="H96" s="58">
        <f t="shared" si="25"/>
        <v>0</v>
      </c>
      <c r="I96" s="58">
        <f t="shared" si="25"/>
        <v>0</v>
      </c>
      <c r="J96" s="58">
        <f t="shared" si="25"/>
        <v>0</v>
      </c>
      <c r="K96" s="58">
        <f t="shared" si="25"/>
        <v>0</v>
      </c>
      <c r="L96" s="58">
        <f t="shared" si="25"/>
        <v>0</v>
      </c>
      <c r="M96" s="58">
        <f t="shared" si="25"/>
        <v>0</v>
      </c>
      <c r="N96" s="58">
        <f t="shared" si="25"/>
        <v>0</v>
      </c>
      <c r="O96" s="58">
        <f t="shared" si="25"/>
        <v>0</v>
      </c>
      <c r="P96" s="58">
        <f t="shared" si="25"/>
        <v>0</v>
      </c>
      <c r="Q96" s="58">
        <f t="shared" si="25"/>
        <v>0</v>
      </c>
      <c r="R96" s="58">
        <f t="shared" si="25"/>
        <v>0</v>
      </c>
      <c r="S96" s="58">
        <f t="shared" si="25"/>
        <v>0</v>
      </c>
      <c r="T96" s="58">
        <f t="shared" si="25"/>
        <v>0</v>
      </c>
      <c r="U96" s="58">
        <f t="shared" si="25"/>
        <v>0</v>
      </c>
      <c r="V96" s="58">
        <f t="shared" si="25"/>
        <v>0</v>
      </c>
      <c r="W96" s="58">
        <f t="shared" si="25"/>
        <v>0</v>
      </c>
      <c r="X96" s="58">
        <f t="shared" si="25"/>
        <v>0</v>
      </c>
      <c r="Y96" s="58">
        <f t="shared" si="25"/>
        <v>0</v>
      </c>
      <c r="Z96" s="58">
        <f t="shared" si="25"/>
        <v>0</v>
      </c>
      <c r="AA96" s="58">
        <f t="shared" si="25"/>
        <v>0</v>
      </c>
      <c r="AB96" s="58">
        <f t="shared" si="25"/>
        <v>0</v>
      </c>
    </row>
    <row r="97" spans="1:28" ht="16.5" customHeight="1" x14ac:dyDescent="0.15">
      <c r="A97" s="185" t="s">
        <v>18</v>
      </c>
      <c r="B97" s="7">
        <v>2012</v>
      </c>
      <c r="C97" s="66">
        <f>SUM(E97,G97,I97,K97,M97,O97,Q97,S97,U97,W97,Y97,AA97)</f>
        <v>0</v>
      </c>
      <c r="D97" s="66">
        <f>SUM(F97,H97,J97,L97,N97,P97,R97,T97,V97,X97,Z97,AB97)</f>
        <v>0</v>
      </c>
      <c r="E97" s="7"/>
      <c r="F97" s="8"/>
      <c r="G97" s="7"/>
      <c r="H97" s="8"/>
      <c r="I97" s="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35" customFormat="1" ht="16.5" customHeight="1" x14ac:dyDescent="0.15">
      <c r="A98" s="186"/>
      <c r="B98" s="33">
        <v>2013</v>
      </c>
      <c r="C98" s="65">
        <f>SUM(E98,G98,I98,K98,M98,O98,Q98,S98,U98,W98,Y98,AA98)</f>
        <v>0</v>
      </c>
      <c r="D98" s="65">
        <f>SUM(F98,H98,J98,L98,N98,P98,R98,T98,V98,X98,Z98,AB98)</f>
        <v>0</v>
      </c>
      <c r="E98" s="37"/>
      <c r="F98" s="38"/>
      <c r="G98" s="37"/>
      <c r="H98" s="38"/>
      <c r="I98" s="37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1:28" s="59" customFormat="1" ht="16.5" customHeight="1" x14ac:dyDescent="0.15">
      <c r="A99" s="187"/>
      <c r="B99" s="4" t="s">
        <v>6</v>
      </c>
      <c r="C99" s="58">
        <f t="shared" ref="C99:AB99" si="26">C98-C97</f>
        <v>0</v>
      </c>
      <c r="D99" s="58">
        <f t="shared" si="26"/>
        <v>0</v>
      </c>
      <c r="E99" s="58">
        <f t="shared" si="26"/>
        <v>0</v>
      </c>
      <c r="F99" s="58">
        <f t="shared" si="26"/>
        <v>0</v>
      </c>
      <c r="G99" s="58">
        <f t="shared" si="26"/>
        <v>0</v>
      </c>
      <c r="H99" s="58">
        <f t="shared" si="26"/>
        <v>0</v>
      </c>
      <c r="I99" s="58">
        <f t="shared" si="26"/>
        <v>0</v>
      </c>
      <c r="J99" s="58">
        <f t="shared" si="26"/>
        <v>0</v>
      </c>
      <c r="K99" s="58">
        <f t="shared" si="26"/>
        <v>0</v>
      </c>
      <c r="L99" s="58">
        <f t="shared" si="26"/>
        <v>0</v>
      </c>
      <c r="M99" s="58">
        <f t="shared" si="26"/>
        <v>0</v>
      </c>
      <c r="N99" s="58">
        <f t="shared" si="26"/>
        <v>0</v>
      </c>
      <c r="O99" s="58">
        <f t="shared" si="26"/>
        <v>0</v>
      </c>
      <c r="P99" s="58">
        <f t="shared" si="26"/>
        <v>0</v>
      </c>
      <c r="Q99" s="58">
        <f t="shared" si="26"/>
        <v>0</v>
      </c>
      <c r="R99" s="58">
        <f t="shared" si="26"/>
        <v>0</v>
      </c>
      <c r="S99" s="58">
        <f t="shared" si="26"/>
        <v>0</v>
      </c>
      <c r="T99" s="58">
        <f t="shared" si="26"/>
        <v>0</v>
      </c>
      <c r="U99" s="58">
        <f t="shared" si="26"/>
        <v>0</v>
      </c>
      <c r="V99" s="58">
        <f t="shared" si="26"/>
        <v>0</v>
      </c>
      <c r="W99" s="58">
        <f t="shared" si="26"/>
        <v>0</v>
      </c>
      <c r="X99" s="58">
        <f t="shared" si="26"/>
        <v>0</v>
      </c>
      <c r="Y99" s="58">
        <f t="shared" si="26"/>
        <v>0</v>
      </c>
      <c r="Z99" s="58">
        <f t="shared" si="26"/>
        <v>0</v>
      </c>
      <c r="AA99" s="58">
        <f t="shared" si="26"/>
        <v>0</v>
      </c>
      <c r="AB99" s="58">
        <f t="shared" si="26"/>
        <v>0</v>
      </c>
    </row>
    <row r="100" spans="1:28" ht="12.75" customHeight="1" x14ac:dyDescent="0.15">
      <c r="AB100" s="6" t="s">
        <v>7</v>
      </c>
    </row>
  </sheetData>
  <mergeCells count="190">
    <mergeCell ref="AA71:AB71"/>
    <mergeCell ref="AA72:AB72"/>
    <mergeCell ref="Y70:Z70"/>
    <mergeCell ref="Y71:Z71"/>
    <mergeCell ref="S71:T71"/>
    <mergeCell ref="U70:V70"/>
    <mergeCell ref="U71:V71"/>
    <mergeCell ref="A1:AB1"/>
    <mergeCell ref="A68:AB68"/>
    <mergeCell ref="AA69:AB69"/>
    <mergeCell ref="AA70:AB70"/>
    <mergeCell ref="Y72:Z72"/>
    <mergeCell ref="Q72:R72"/>
    <mergeCell ref="S72:T72"/>
    <mergeCell ref="U72:V72"/>
    <mergeCell ref="W72:X72"/>
    <mergeCell ref="I72:J72"/>
    <mergeCell ref="W70:X70"/>
    <mergeCell ref="W71:X71"/>
    <mergeCell ref="W69:X69"/>
    <mergeCell ref="Y69:Z69"/>
    <mergeCell ref="O70:P70"/>
    <mergeCell ref="O71:P71"/>
    <mergeCell ref="Q70:R70"/>
    <mergeCell ref="Q71:R71"/>
    <mergeCell ref="S70:T70"/>
    <mergeCell ref="S69:T69"/>
    <mergeCell ref="U69:V69"/>
    <mergeCell ref="O69:P69"/>
    <mergeCell ref="Q69:R69"/>
    <mergeCell ref="A82:A84"/>
    <mergeCell ref="I70:J70"/>
    <mergeCell ref="I71:J71"/>
    <mergeCell ref="K70:L70"/>
    <mergeCell ref="K71:L71"/>
    <mergeCell ref="A70:A72"/>
    <mergeCell ref="C72:D72"/>
    <mergeCell ref="K72:L72"/>
    <mergeCell ref="M72:N72"/>
    <mergeCell ref="O72:P72"/>
    <mergeCell ref="I69:J69"/>
    <mergeCell ref="K69:L69"/>
    <mergeCell ref="A73:A75"/>
    <mergeCell ref="G69:H69"/>
    <mergeCell ref="M69:N69"/>
    <mergeCell ref="A85:A87"/>
    <mergeCell ref="M70:N70"/>
    <mergeCell ref="M71:N71"/>
    <mergeCell ref="G72:H72"/>
    <mergeCell ref="G70:H70"/>
    <mergeCell ref="G71:H71"/>
    <mergeCell ref="C71:D71"/>
    <mergeCell ref="A97:A99"/>
    <mergeCell ref="C69:D69"/>
    <mergeCell ref="E69:F69"/>
    <mergeCell ref="A76:A78"/>
    <mergeCell ref="A79:A81"/>
    <mergeCell ref="E72:F72"/>
    <mergeCell ref="E70:F70"/>
    <mergeCell ref="E71:F71"/>
    <mergeCell ref="C70:D70"/>
    <mergeCell ref="A94:A96"/>
    <mergeCell ref="U36:V36"/>
    <mergeCell ref="W36:X36"/>
    <mergeCell ref="Y36:Z36"/>
    <mergeCell ref="AA36:AB36"/>
    <mergeCell ref="A35:AB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Y37:Z37"/>
    <mergeCell ref="AA37:AB37"/>
    <mergeCell ref="Q38:R38"/>
    <mergeCell ref="Q37:R37"/>
    <mergeCell ref="S37:T37"/>
    <mergeCell ref="U37:V37"/>
    <mergeCell ref="W37:X37"/>
    <mergeCell ref="C38:D38"/>
    <mergeCell ref="E38:F38"/>
    <mergeCell ref="G38:H38"/>
    <mergeCell ref="I38:J38"/>
    <mergeCell ref="K38:L38"/>
    <mergeCell ref="I37:J37"/>
    <mergeCell ref="K37:L37"/>
    <mergeCell ref="M37:N37"/>
    <mergeCell ref="O37:P37"/>
    <mergeCell ref="C37:D37"/>
    <mergeCell ref="E37:F37"/>
    <mergeCell ref="G37:H37"/>
    <mergeCell ref="O38:P38"/>
    <mergeCell ref="M38:N38"/>
    <mergeCell ref="U39:V39"/>
    <mergeCell ref="W39:X39"/>
    <mergeCell ref="Y39:Z39"/>
    <mergeCell ref="S39:T39"/>
    <mergeCell ref="AA39:AB39"/>
    <mergeCell ref="AA38:AB38"/>
    <mergeCell ref="C39:D39"/>
    <mergeCell ref="E39:F39"/>
    <mergeCell ref="G39:H39"/>
    <mergeCell ref="I39:J39"/>
    <mergeCell ref="K39:L39"/>
    <mergeCell ref="M39:N39"/>
    <mergeCell ref="O39:P39"/>
    <mergeCell ref="Q39:R39"/>
    <mergeCell ref="S38:T38"/>
    <mergeCell ref="U38:V38"/>
    <mergeCell ref="W38:X38"/>
    <mergeCell ref="Y38:Z38"/>
    <mergeCell ref="Q3:R3"/>
    <mergeCell ref="S3:T3"/>
    <mergeCell ref="U3:V3"/>
    <mergeCell ref="W3:X3"/>
    <mergeCell ref="Q4:R4"/>
    <mergeCell ref="S4:T4"/>
    <mergeCell ref="U4:V4"/>
    <mergeCell ref="W4:X4"/>
    <mergeCell ref="A2:AB2"/>
    <mergeCell ref="C3:D3"/>
    <mergeCell ref="E3:F3"/>
    <mergeCell ref="G3:H3"/>
    <mergeCell ref="I3:J3"/>
    <mergeCell ref="K3:L3"/>
    <mergeCell ref="M3:N3"/>
    <mergeCell ref="O3:P3"/>
    <mergeCell ref="Y3:Z3"/>
    <mergeCell ref="AA3:AB3"/>
    <mergeCell ref="Y4:Z4"/>
    <mergeCell ref="AA4:AB4"/>
    <mergeCell ref="C5:D5"/>
    <mergeCell ref="E5:F5"/>
    <mergeCell ref="G5:H5"/>
    <mergeCell ref="I5:J5"/>
    <mergeCell ref="K5:L5"/>
    <mergeCell ref="M5:N5"/>
    <mergeCell ref="A4:A6"/>
    <mergeCell ref="C4:D4"/>
    <mergeCell ref="E4:F4"/>
    <mergeCell ref="G4:H4"/>
    <mergeCell ref="I4:J4"/>
    <mergeCell ref="K4:L4"/>
    <mergeCell ref="M4:N4"/>
    <mergeCell ref="O4:P4"/>
    <mergeCell ref="AA6:AB6"/>
    <mergeCell ref="AA5:AB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S5:T5"/>
    <mergeCell ref="U5:V5"/>
    <mergeCell ref="O5:P5"/>
    <mergeCell ref="Q5:R5"/>
    <mergeCell ref="U6:V6"/>
    <mergeCell ref="W5:X5"/>
    <mergeCell ref="Y5:Z5"/>
    <mergeCell ref="A7:A9"/>
    <mergeCell ref="A10:A12"/>
    <mergeCell ref="A13:A15"/>
    <mergeCell ref="A16:A18"/>
    <mergeCell ref="A22:A24"/>
    <mergeCell ref="A28:A30"/>
    <mergeCell ref="A25:A27"/>
    <mergeCell ref="W6:X6"/>
    <mergeCell ref="Y6:Z6"/>
    <mergeCell ref="A55:A57"/>
    <mergeCell ref="A58:A60"/>
    <mergeCell ref="A88:A90"/>
    <mergeCell ref="A91:A93"/>
    <mergeCell ref="A61:A63"/>
    <mergeCell ref="A19:A21"/>
    <mergeCell ref="A31:A33"/>
    <mergeCell ref="A52:A54"/>
    <mergeCell ref="A64:A66"/>
    <mergeCell ref="A40:A42"/>
    <mergeCell ref="A43:A45"/>
    <mergeCell ref="A46:A48"/>
    <mergeCell ref="A49:A51"/>
    <mergeCell ref="A37:A39"/>
  </mergeCells>
  <phoneticPr fontId="2" type="noConversion"/>
  <pageMargins left="0.47" right="0.21" top="0.3" bottom="0.71" header="0.27" footer="0.36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"/>
  <sheetViews>
    <sheetView zoomScale="79" workbookViewId="0">
      <selection activeCell="F14" sqref="F14"/>
    </sheetView>
  </sheetViews>
  <sheetFormatPr defaultRowHeight="12.75" x14ac:dyDescent="0.15"/>
  <cols>
    <col min="1" max="1" width="8.21875" style="1" customWidth="1"/>
    <col min="2" max="2" width="8.88671875" style="1"/>
    <col min="3" max="3" width="4" style="1" customWidth="1"/>
    <col min="4" max="4" width="9.21875" style="1" customWidth="1"/>
    <col min="5" max="5" width="4" style="1" customWidth="1"/>
    <col min="6" max="6" width="9.21875" style="1" customWidth="1"/>
    <col min="7" max="7" width="4" style="1" customWidth="1"/>
    <col min="8" max="8" width="9.21875" style="1" customWidth="1"/>
    <col min="9" max="9" width="4" style="1" customWidth="1"/>
    <col min="10" max="10" width="9.21875" style="1" customWidth="1"/>
    <col min="11" max="11" width="3.88671875" style="1" customWidth="1"/>
    <col min="12" max="12" width="9.21875" style="1" customWidth="1"/>
    <col min="13" max="13" width="3.88671875" style="1" customWidth="1"/>
    <col min="14" max="14" width="9.21875" style="1" customWidth="1"/>
    <col min="15" max="15" width="3.88671875" style="1" customWidth="1"/>
    <col min="16" max="16" width="9.21875" style="1" customWidth="1"/>
    <col min="17" max="17" width="3.88671875" style="1" customWidth="1"/>
    <col min="18" max="18" width="9.21875" style="1" customWidth="1"/>
    <col min="19" max="19" width="3.88671875" style="1" customWidth="1"/>
    <col min="20" max="20" width="9.21875" style="1" customWidth="1"/>
    <col min="21" max="21" width="3.88671875" style="1" customWidth="1"/>
    <col min="22" max="22" width="9.21875" style="1" customWidth="1"/>
    <col min="23" max="23" width="3.88671875" style="1" customWidth="1"/>
    <col min="24" max="24" width="9.21875" style="1" customWidth="1"/>
    <col min="25" max="25" width="3.88671875" style="1" customWidth="1"/>
    <col min="26" max="26" width="9.21875" style="1" customWidth="1"/>
    <col min="27" max="27" width="3.88671875" style="1" customWidth="1"/>
    <col min="28" max="28" width="9.21875" style="1" customWidth="1"/>
    <col min="29" max="16384" width="8.88671875" style="1"/>
  </cols>
  <sheetData>
    <row r="1" spans="1:29" ht="39" customHeight="1" x14ac:dyDescent="0.15">
      <c r="A1" s="198" t="s">
        <v>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</row>
    <row r="2" spans="1:29" ht="21" customHeight="1" x14ac:dyDescent="0.15">
      <c r="A2" s="197" t="s">
        <v>5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5"/>
    </row>
    <row r="3" spans="1:29" s="3" customFormat="1" ht="27.75" customHeight="1" x14ac:dyDescent="0.15">
      <c r="A3" s="106" t="s">
        <v>39</v>
      </c>
      <c r="B3" s="2"/>
      <c r="C3" s="195" t="s">
        <v>19</v>
      </c>
      <c r="D3" s="196"/>
      <c r="E3" s="195">
        <v>1</v>
      </c>
      <c r="F3" s="196"/>
      <c r="G3" s="195">
        <v>2</v>
      </c>
      <c r="H3" s="196"/>
      <c r="I3" s="195">
        <v>3</v>
      </c>
      <c r="J3" s="196"/>
      <c r="K3" s="195">
        <v>4</v>
      </c>
      <c r="L3" s="196"/>
      <c r="M3" s="195">
        <v>5</v>
      </c>
      <c r="N3" s="196"/>
      <c r="O3" s="195">
        <v>6</v>
      </c>
      <c r="P3" s="196"/>
      <c r="Q3" s="195">
        <v>7</v>
      </c>
      <c r="R3" s="196"/>
      <c r="S3" s="195">
        <v>8</v>
      </c>
      <c r="T3" s="196"/>
      <c r="U3" s="195">
        <v>9</v>
      </c>
      <c r="V3" s="196"/>
      <c r="W3" s="195">
        <v>10</v>
      </c>
      <c r="X3" s="196"/>
      <c r="Y3" s="195">
        <v>11</v>
      </c>
      <c r="Z3" s="196"/>
      <c r="AA3" s="195">
        <v>12</v>
      </c>
      <c r="AB3" s="196"/>
    </row>
    <row r="4" spans="1:29" s="59" customFormat="1" ht="24" customHeight="1" x14ac:dyDescent="0.15">
      <c r="A4" s="194" t="s">
        <v>0</v>
      </c>
      <c r="B4" s="7">
        <v>2012</v>
      </c>
      <c r="C4" s="192">
        <f>SUM(E4:AB4)</f>
        <v>0</v>
      </c>
      <c r="D4" s="193"/>
      <c r="E4" s="192">
        <f>SUM(F7,F10,F13,F16,F19,F22,F25,F28,F31)</f>
        <v>0</v>
      </c>
      <c r="F4" s="193"/>
      <c r="G4" s="192">
        <f>SUM(H7,H10,H13,H16,H19,H22,H25,H28,H31)</f>
        <v>0</v>
      </c>
      <c r="H4" s="193"/>
      <c r="I4" s="192">
        <f>SUM(J7,J10,J13,J16,J19,J22,J25,J28,J31)</f>
        <v>0</v>
      </c>
      <c r="J4" s="193"/>
      <c r="K4" s="192">
        <f>SUM(L7,L10,L13,L16,L19,L22,L25,L28,L31)</f>
        <v>0</v>
      </c>
      <c r="L4" s="193"/>
      <c r="M4" s="192">
        <f>SUM(N7,N10,N13,N16,N19,N22,N25,N28,N31)</f>
        <v>0</v>
      </c>
      <c r="N4" s="193"/>
      <c r="O4" s="192">
        <f>SUM(P7,P10,P13,P16,P19,P22,P25,P28,P31)</f>
        <v>0</v>
      </c>
      <c r="P4" s="193"/>
      <c r="Q4" s="192">
        <f>SUM(R7,R10,R13,R16,R19,R22,R25,R28,R31)</f>
        <v>0</v>
      </c>
      <c r="R4" s="193"/>
      <c r="S4" s="192">
        <f>SUM(T7,T10,T13,T16,T19,T22,T25,T28,T31)</f>
        <v>0</v>
      </c>
      <c r="T4" s="193"/>
      <c r="U4" s="192">
        <f>SUM(V7,V10,V13,V16,V19,V22,V25,V28,V31)</f>
        <v>0</v>
      </c>
      <c r="V4" s="193"/>
      <c r="W4" s="192">
        <f>SUM(X7,X10,X13,X16,X19,X22,X25,X28,X31)</f>
        <v>0</v>
      </c>
      <c r="X4" s="193"/>
      <c r="Y4" s="192">
        <f>SUM(Z7,Z10,Z13,Z16,Z19,Z22,Z25,Z28,Z31)</f>
        <v>0</v>
      </c>
      <c r="Z4" s="193"/>
      <c r="AA4" s="192">
        <f>SUM(AB7,AB10,AB13,AB16,AB19,AB22,AB25,AB28,AB31)</f>
        <v>0</v>
      </c>
      <c r="AB4" s="193"/>
    </row>
    <row r="5" spans="1:29" s="60" customFormat="1" ht="24" customHeight="1" x14ac:dyDescent="0.15">
      <c r="A5" s="194"/>
      <c r="B5" s="37">
        <v>2013</v>
      </c>
      <c r="C5" s="190">
        <f>SUM(E5:AB5)</f>
        <v>0</v>
      </c>
      <c r="D5" s="191"/>
      <c r="E5" s="190">
        <f>SUM(F8,F11,F14,F17,F20,F23,F26,F29,F32)</f>
        <v>0</v>
      </c>
      <c r="F5" s="191"/>
      <c r="G5" s="190">
        <f>SUM(H8,H11,H14,H17,H20,H23,H26,H29,H32)</f>
        <v>0</v>
      </c>
      <c r="H5" s="191"/>
      <c r="I5" s="190">
        <f>SUM(J8,J11,J14,J17,J20,J23,J26,J29,J32)</f>
        <v>0</v>
      </c>
      <c r="J5" s="191"/>
      <c r="K5" s="190">
        <f>SUM(L8,L11,L14,L17,L20,L23,L26,L29,L32)</f>
        <v>0</v>
      </c>
      <c r="L5" s="191"/>
      <c r="M5" s="190">
        <f>SUM(N8,N11,N14,N17,N20,N23,N26,N29,N32)</f>
        <v>0</v>
      </c>
      <c r="N5" s="191"/>
      <c r="O5" s="190">
        <f>SUM(P8,P11,P14,P17,P20,P23,P26,P29,P32)</f>
        <v>0</v>
      </c>
      <c r="P5" s="191"/>
      <c r="Q5" s="190">
        <f>SUM(R8,R11,R14,R17,R20,R23,R26,R29,R32)</f>
        <v>0</v>
      </c>
      <c r="R5" s="191"/>
      <c r="S5" s="190">
        <f>SUM(T8,T11,T14,T17,T20,T23,T26,T29,T32)</f>
        <v>0</v>
      </c>
      <c r="T5" s="191"/>
      <c r="U5" s="190">
        <f>SUM(V8,V11,V14,V17,V20,V23,V26,V29,V32)</f>
        <v>0</v>
      </c>
      <c r="V5" s="191"/>
      <c r="W5" s="190">
        <f>SUM(X8,X11,X14,X17,X20,X23,X26,X29,X32)</f>
        <v>0</v>
      </c>
      <c r="X5" s="191"/>
      <c r="Y5" s="190">
        <f>SUM(Z8,Z11,Z14,Z17,Z20,Z23,Z26,Z29,Z32)</f>
        <v>0</v>
      </c>
      <c r="Z5" s="191"/>
      <c r="AA5" s="190">
        <f>SUM(AB8,AB11,AB14,AB17,AB20,AB23,AB26,AB29,AB32)</f>
        <v>0</v>
      </c>
      <c r="AB5" s="191"/>
    </row>
    <row r="6" spans="1:29" s="59" customFormat="1" ht="24" customHeight="1" x14ac:dyDescent="0.15">
      <c r="A6" s="194"/>
      <c r="B6" s="11" t="s">
        <v>6</v>
      </c>
      <c r="C6" s="199">
        <f>C5-C4</f>
        <v>0</v>
      </c>
      <c r="D6" s="200"/>
      <c r="E6" s="199">
        <f>E5-E4</f>
        <v>0</v>
      </c>
      <c r="F6" s="200"/>
      <c r="G6" s="199">
        <f>G5-G4</f>
        <v>0</v>
      </c>
      <c r="H6" s="200"/>
      <c r="I6" s="199">
        <f>I5-I4</f>
        <v>0</v>
      </c>
      <c r="J6" s="200"/>
      <c r="K6" s="199">
        <f>K5-K4</f>
        <v>0</v>
      </c>
      <c r="L6" s="200"/>
      <c r="M6" s="199">
        <f>M5-M4</f>
        <v>0</v>
      </c>
      <c r="N6" s="200"/>
      <c r="O6" s="199">
        <f>O5-O4</f>
        <v>0</v>
      </c>
      <c r="P6" s="200"/>
      <c r="Q6" s="199">
        <f>Q5-Q4</f>
        <v>0</v>
      </c>
      <c r="R6" s="200"/>
      <c r="S6" s="199">
        <f>S5-S4</f>
        <v>0</v>
      </c>
      <c r="T6" s="200"/>
      <c r="U6" s="199">
        <f>U5-U4</f>
        <v>0</v>
      </c>
      <c r="V6" s="200"/>
      <c r="W6" s="199">
        <f>W5-W4</f>
        <v>0</v>
      </c>
      <c r="X6" s="200"/>
      <c r="Y6" s="199">
        <f>Y5-Y4</f>
        <v>0</v>
      </c>
      <c r="Z6" s="200"/>
      <c r="AA6" s="199">
        <f>AA5-AA4</f>
        <v>0</v>
      </c>
      <c r="AB6" s="200"/>
    </row>
    <row r="7" spans="1:29" ht="16.5" customHeight="1" x14ac:dyDescent="0.15">
      <c r="A7" s="185" t="s">
        <v>1</v>
      </c>
      <c r="B7" s="7">
        <v>2012</v>
      </c>
      <c r="C7" s="66">
        <f>SUM(E7,G7,I7,K7,M7,O7,Q7,S7,U7,W7,Y7,AA7)</f>
        <v>0</v>
      </c>
      <c r="D7" s="66">
        <f>SUM(F7,H7,J7,L7,N7,P7,R7,T7,V7,X7,Z7,AB7)</f>
        <v>0</v>
      </c>
      <c r="E7" s="7"/>
      <c r="F7" s="8"/>
      <c r="G7" s="7"/>
      <c r="H7" s="8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9" s="35" customFormat="1" ht="16.5" customHeight="1" x14ac:dyDescent="0.15">
      <c r="A8" s="186"/>
      <c r="B8" s="33">
        <v>2013</v>
      </c>
      <c r="C8" s="67">
        <f>SUM(E8,G8,I8,K8,M8,O8,Q8,S8,U8,W8,Y8,AA8)</f>
        <v>0</v>
      </c>
      <c r="D8" s="67">
        <f>SUM(F8,H8,J8,L8,N8,P8,R8,T8,V8,X8,Z8,AB8)</f>
        <v>0</v>
      </c>
      <c r="E8" s="33"/>
      <c r="F8" s="34"/>
      <c r="G8" s="33"/>
      <c r="H8" s="34"/>
      <c r="I8" s="3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pans="1:29" s="59" customFormat="1" ht="16.5" customHeight="1" x14ac:dyDescent="0.15">
      <c r="A9" s="187"/>
      <c r="B9" s="4" t="s">
        <v>6</v>
      </c>
      <c r="C9" s="58">
        <f t="shared" ref="C9:AB9" si="0">C8-C7</f>
        <v>0</v>
      </c>
      <c r="D9" s="58">
        <f t="shared" si="0"/>
        <v>0</v>
      </c>
      <c r="E9" s="58">
        <f t="shared" si="0"/>
        <v>0</v>
      </c>
      <c r="F9" s="58">
        <f t="shared" si="0"/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>
        <f t="shared" si="0"/>
        <v>0</v>
      </c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 t="shared" si="0"/>
        <v>0</v>
      </c>
      <c r="O9" s="58">
        <f t="shared" si="0"/>
        <v>0</v>
      </c>
      <c r="P9" s="58">
        <f t="shared" si="0"/>
        <v>0</v>
      </c>
      <c r="Q9" s="58">
        <f t="shared" si="0"/>
        <v>0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 t="shared" si="0"/>
        <v>0</v>
      </c>
      <c r="W9" s="58">
        <f t="shared" si="0"/>
        <v>0</v>
      </c>
      <c r="X9" s="58">
        <f t="shared" si="0"/>
        <v>0</v>
      </c>
      <c r="Y9" s="58">
        <f t="shared" si="0"/>
        <v>0</v>
      </c>
      <c r="Z9" s="58">
        <f t="shared" si="0"/>
        <v>0</v>
      </c>
      <c r="AA9" s="58">
        <f t="shared" si="0"/>
        <v>0</v>
      </c>
      <c r="AB9" s="58">
        <f t="shared" si="0"/>
        <v>0</v>
      </c>
    </row>
    <row r="10" spans="1:29" ht="16.5" customHeight="1" x14ac:dyDescent="0.15">
      <c r="A10" s="185" t="s">
        <v>2</v>
      </c>
      <c r="B10" s="9">
        <v>2012</v>
      </c>
      <c r="C10" s="68">
        <f>SUM(E10,G10,I10,K10,M10,O10,Q10,S10,U10,W10,Y10,AA10)</f>
        <v>0</v>
      </c>
      <c r="D10" s="68">
        <f>SUM(F10,H10,J10,L10,N10,P10,R10,T10,V10,X10,Z10,AB10)</f>
        <v>0</v>
      </c>
      <c r="E10" s="9"/>
      <c r="F10" s="10"/>
      <c r="G10" s="9"/>
      <c r="H10" s="10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9" s="35" customFormat="1" ht="16.5" customHeight="1" x14ac:dyDescent="0.15">
      <c r="A11" s="186"/>
      <c r="B11" s="32">
        <v>2013</v>
      </c>
      <c r="C11" s="69">
        <f>SUM(E11,G11,I11,K11,M11,O11,Q11,S11,U11,W11,Y11,AA11)</f>
        <v>0</v>
      </c>
      <c r="D11" s="69">
        <f>SUM(F11,H11,J11,L11,N11,P11,R11,T11,V11,X11,Z11,AB11)</f>
        <v>0</v>
      </c>
      <c r="E11" s="32"/>
      <c r="F11" s="36"/>
      <c r="G11" s="32"/>
      <c r="H11" s="36"/>
      <c r="I11" s="64"/>
      <c r="J11" s="39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spans="1:29" s="59" customFormat="1" ht="16.5" customHeight="1" x14ac:dyDescent="0.15">
      <c r="A12" s="187"/>
      <c r="B12" s="4" t="s">
        <v>6</v>
      </c>
      <c r="C12" s="58">
        <f t="shared" ref="C12:AB12" si="1">C11-C10</f>
        <v>0</v>
      </c>
      <c r="D12" s="58">
        <f t="shared" si="1"/>
        <v>0</v>
      </c>
      <c r="E12" s="58">
        <f t="shared" si="1"/>
        <v>0</v>
      </c>
      <c r="F12" s="58">
        <f t="shared" si="1"/>
        <v>0</v>
      </c>
      <c r="G12" s="58">
        <f t="shared" si="1"/>
        <v>0</v>
      </c>
      <c r="H12" s="58">
        <f t="shared" si="1"/>
        <v>0</v>
      </c>
      <c r="I12" s="58">
        <f t="shared" si="1"/>
        <v>0</v>
      </c>
      <c r="J12" s="58">
        <f t="shared" si="1"/>
        <v>0</v>
      </c>
      <c r="K12" s="58">
        <f t="shared" si="1"/>
        <v>0</v>
      </c>
      <c r="L12" s="58">
        <f t="shared" si="1"/>
        <v>0</v>
      </c>
      <c r="M12" s="58">
        <f t="shared" si="1"/>
        <v>0</v>
      </c>
      <c r="N12" s="58">
        <f t="shared" si="1"/>
        <v>0</v>
      </c>
      <c r="O12" s="58">
        <f t="shared" si="1"/>
        <v>0</v>
      </c>
      <c r="P12" s="58">
        <f t="shared" si="1"/>
        <v>0</v>
      </c>
      <c r="Q12" s="58">
        <f t="shared" si="1"/>
        <v>0</v>
      </c>
      <c r="R12" s="58">
        <f t="shared" si="1"/>
        <v>0</v>
      </c>
      <c r="S12" s="58">
        <f t="shared" si="1"/>
        <v>0</v>
      </c>
      <c r="T12" s="58">
        <f t="shared" si="1"/>
        <v>0</v>
      </c>
      <c r="U12" s="58">
        <f t="shared" si="1"/>
        <v>0</v>
      </c>
      <c r="V12" s="58">
        <f t="shared" si="1"/>
        <v>0</v>
      </c>
      <c r="W12" s="58">
        <f t="shared" si="1"/>
        <v>0</v>
      </c>
      <c r="X12" s="58">
        <f t="shared" si="1"/>
        <v>0</v>
      </c>
      <c r="Y12" s="58">
        <f t="shared" si="1"/>
        <v>0</v>
      </c>
      <c r="Z12" s="58">
        <f t="shared" si="1"/>
        <v>0</v>
      </c>
      <c r="AA12" s="58">
        <f t="shared" si="1"/>
        <v>0</v>
      </c>
      <c r="AB12" s="58">
        <f t="shared" si="1"/>
        <v>0</v>
      </c>
    </row>
    <row r="13" spans="1:29" ht="16.5" customHeight="1" x14ac:dyDescent="0.15">
      <c r="A13" s="185" t="s">
        <v>3</v>
      </c>
      <c r="B13" s="7">
        <v>2012</v>
      </c>
      <c r="C13" s="66">
        <f>SUM(E13,G13,I13,K13,M13,O13,Q13,S13,U13,W13,Y13,AA13)</f>
        <v>0</v>
      </c>
      <c r="D13" s="66">
        <f>SUM(F13,H13,J13,L13,N13,P13,R13,T13,V13,X13,Z13,AB13)</f>
        <v>0</v>
      </c>
      <c r="E13" s="7"/>
      <c r="F13" s="8"/>
      <c r="G13" s="7"/>
      <c r="H13" s="8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9" s="35" customFormat="1" ht="16.5" customHeight="1" x14ac:dyDescent="0.15">
      <c r="A14" s="186"/>
      <c r="B14" s="37">
        <v>2013</v>
      </c>
      <c r="C14" s="65">
        <f>SUM(E14,G14,I14,K14,M14,O14,Q14,S14,U14,W14,Y14,AA14)</f>
        <v>0</v>
      </c>
      <c r="D14" s="65">
        <f>SUM(F14,H14,J14,L14,N14,P14,R14,T14,V14,X14,Z14,AB14)</f>
        <v>0</v>
      </c>
      <c r="E14" s="37"/>
      <c r="F14" s="38"/>
      <c r="G14" s="37"/>
      <c r="H14" s="38"/>
      <c r="I14" s="37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9" s="59" customFormat="1" ht="16.5" customHeight="1" x14ac:dyDescent="0.15">
      <c r="A15" s="187"/>
      <c r="B15" s="4" t="s">
        <v>6</v>
      </c>
      <c r="C15" s="58">
        <f t="shared" ref="C15:AB15" si="2">C14-C13</f>
        <v>0</v>
      </c>
      <c r="D15" s="58">
        <f t="shared" si="2"/>
        <v>0</v>
      </c>
      <c r="E15" s="58">
        <f t="shared" si="2"/>
        <v>0</v>
      </c>
      <c r="F15" s="58">
        <f t="shared" si="2"/>
        <v>0</v>
      </c>
      <c r="G15" s="58">
        <f t="shared" si="2"/>
        <v>0</v>
      </c>
      <c r="H15" s="58">
        <f t="shared" si="2"/>
        <v>0</v>
      </c>
      <c r="I15" s="58">
        <f t="shared" si="2"/>
        <v>0</v>
      </c>
      <c r="J15" s="58">
        <f t="shared" si="2"/>
        <v>0</v>
      </c>
      <c r="K15" s="58">
        <f t="shared" si="2"/>
        <v>0</v>
      </c>
      <c r="L15" s="58">
        <f t="shared" si="2"/>
        <v>0</v>
      </c>
      <c r="M15" s="58">
        <f t="shared" si="2"/>
        <v>0</v>
      </c>
      <c r="N15" s="58">
        <f t="shared" si="2"/>
        <v>0</v>
      </c>
      <c r="O15" s="58">
        <f t="shared" si="2"/>
        <v>0</v>
      </c>
      <c r="P15" s="58">
        <f t="shared" si="2"/>
        <v>0</v>
      </c>
      <c r="Q15" s="58">
        <f t="shared" si="2"/>
        <v>0</v>
      </c>
      <c r="R15" s="58">
        <f t="shared" si="2"/>
        <v>0</v>
      </c>
      <c r="S15" s="58">
        <f t="shared" si="2"/>
        <v>0</v>
      </c>
      <c r="T15" s="58">
        <f t="shared" si="2"/>
        <v>0</v>
      </c>
      <c r="U15" s="58">
        <f t="shared" si="2"/>
        <v>0</v>
      </c>
      <c r="V15" s="58">
        <f t="shared" si="2"/>
        <v>0</v>
      </c>
      <c r="W15" s="58">
        <f t="shared" si="2"/>
        <v>0</v>
      </c>
      <c r="X15" s="58">
        <f t="shared" si="2"/>
        <v>0</v>
      </c>
      <c r="Y15" s="58">
        <f t="shared" si="2"/>
        <v>0</v>
      </c>
      <c r="Z15" s="58">
        <f t="shared" si="2"/>
        <v>0</v>
      </c>
      <c r="AA15" s="58">
        <f t="shared" si="2"/>
        <v>0</v>
      </c>
      <c r="AB15" s="58">
        <f t="shared" si="2"/>
        <v>0</v>
      </c>
    </row>
    <row r="16" spans="1:29" ht="16.5" customHeight="1" x14ac:dyDescent="0.15">
      <c r="A16" s="185" t="s">
        <v>16</v>
      </c>
      <c r="B16" s="7">
        <v>2012</v>
      </c>
      <c r="C16" s="66">
        <f>SUM(E16,G16,I16,K16,M16,O16,Q16,S16,U16,W16,Y16,AA16)</f>
        <v>0</v>
      </c>
      <c r="D16" s="66">
        <f>SUM(F16,H16,J16,L16,N16,P16,R16,T16,V16,X16,Z16,AB16)</f>
        <v>0</v>
      </c>
      <c r="E16" s="7"/>
      <c r="F16" s="8"/>
      <c r="G16" s="7"/>
      <c r="H16" s="8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s="35" customFormat="1" ht="16.5" customHeight="1" x14ac:dyDescent="0.15">
      <c r="A17" s="186"/>
      <c r="B17" s="33">
        <v>2013</v>
      </c>
      <c r="C17" s="67">
        <f>SUM(E17,G17,I17,K17,M17,O17,Q17,S17,U17,W17,Y17,AA17)</f>
        <v>0</v>
      </c>
      <c r="D17" s="67">
        <f>SUM(F17,H17,J17,L17,N17,P17,R17,T17,V17,X17,Z17,AB17)</f>
        <v>0</v>
      </c>
      <c r="E17" s="33"/>
      <c r="F17" s="34"/>
      <c r="G17" s="33"/>
      <c r="H17" s="34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 spans="1:28" s="59" customFormat="1" ht="16.5" customHeight="1" x14ac:dyDescent="0.15">
      <c r="A18" s="187"/>
      <c r="B18" s="4" t="s">
        <v>6</v>
      </c>
      <c r="C18" s="58">
        <f t="shared" ref="C18:AB18" si="3">C17-C16</f>
        <v>0</v>
      </c>
      <c r="D18" s="58">
        <f t="shared" si="3"/>
        <v>0</v>
      </c>
      <c r="E18" s="58">
        <f t="shared" si="3"/>
        <v>0</v>
      </c>
      <c r="F18" s="58">
        <f t="shared" si="3"/>
        <v>0</v>
      </c>
      <c r="G18" s="58">
        <f t="shared" si="3"/>
        <v>0</v>
      </c>
      <c r="H18" s="58">
        <f t="shared" si="3"/>
        <v>0</v>
      </c>
      <c r="I18" s="58">
        <f t="shared" si="3"/>
        <v>0</v>
      </c>
      <c r="J18" s="58">
        <f t="shared" si="3"/>
        <v>0</v>
      </c>
      <c r="K18" s="58">
        <f t="shared" si="3"/>
        <v>0</v>
      </c>
      <c r="L18" s="58">
        <f t="shared" si="3"/>
        <v>0</v>
      </c>
      <c r="M18" s="58">
        <f t="shared" si="3"/>
        <v>0</v>
      </c>
      <c r="N18" s="58">
        <f t="shared" si="3"/>
        <v>0</v>
      </c>
      <c r="O18" s="58">
        <f t="shared" si="3"/>
        <v>0</v>
      </c>
      <c r="P18" s="58">
        <f t="shared" si="3"/>
        <v>0</v>
      </c>
      <c r="Q18" s="58">
        <f t="shared" si="3"/>
        <v>0</v>
      </c>
      <c r="R18" s="58">
        <f t="shared" si="3"/>
        <v>0</v>
      </c>
      <c r="S18" s="58">
        <f t="shared" si="3"/>
        <v>0</v>
      </c>
      <c r="T18" s="58">
        <f t="shared" si="3"/>
        <v>0</v>
      </c>
      <c r="U18" s="58">
        <f t="shared" si="3"/>
        <v>0</v>
      </c>
      <c r="V18" s="58">
        <f t="shared" si="3"/>
        <v>0</v>
      </c>
      <c r="W18" s="58">
        <f t="shared" si="3"/>
        <v>0</v>
      </c>
      <c r="X18" s="58">
        <f t="shared" si="3"/>
        <v>0</v>
      </c>
      <c r="Y18" s="58">
        <f t="shared" si="3"/>
        <v>0</v>
      </c>
      <c r="Z18" s="58">
        <f t="shared" si="3"/>
        <v>0</v>
      </c>
      <c r="AA18" s="58">
        <f t="shared" si="3"/>
        <v>0</v>
      </c>
      <c r="AB18" s="58">
        <f t="shared" si="3"/>
        <v>0</v>
      </c>
    </row>
    <row r="19" spans="1:28" ht="16.5" customHeight="1" x14ac:dyDescent="0.15">
      <c r="A19" s="185" t="s">
        <v>17</v>
      </c>
      <c r="B19" s="9">
        <v>2012</v>
      </c>
      <c r="C19" s="68">
        <f>SUM(E19,G19,I19,K19,M19,O19,Q19,S19,U19,W19,Y19,AA19)</f>
        <v>0</v>
      </c>
      <c r="D19" s="68">
        <f>SUM(F19,H19,J19,L19,N19,P19,R19,T19,V19,X19,Z19,AB19)</f>
        <v>0</v>
      </c>
      <c r="E19" s="9"/>
      <c r="F19" s="10"/>
      <c r="G19" s="9"/>
      <c r="H19" s="10"/>
      <c r="I19" s="9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s="35" customFormat="1" ht="16.5" customHeight="1" x14ac:dyDescent="0.15">
      <c r="A20" s="186"/>
      <c r="B20" s="32">
        <v>2013</v>
      </c>
      <c r="C20" s="69">
        <f>SUM(E20,G20,I20,K20,M20,O20,Q20,S20,U20,W20,Y20,AA20)</f>
        <v>0</v>
      </c>
      <c r="D20" s="69">
        <f>SUM(F20,H20,J20,L20,N20,P20,R20,T20,V20,X20,Z20,AB20)</f>
        <v>0</v>
      </c>
      <c r="E20" s="32"/>
      <c r="F20" s="36"/>
      <c r="G20" s="32"/>
      <c r="H20" s="36"/>
      <c r="I20" s="64"/>
      <c r="J20" s="39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1:28" s="59" customFormat="1" ht="16.5" customHeight="1" x14ac:dyDescent="0.15">
      <c r="A21" s="187"/>
      <c r="B21" s="4" t="s">
        <v>6</v>
      </c>
      <c r="C21" s="58">
        <f t="shared" ref="C21:AB21" si="4">C20-C19</f>
        <v>0</v>
      </c>
      <c r="D21" s="58">
        <f t="shared" si="4"/>
        <v>0</v>
      </c>
      <c r="E21" s="58">
        <f t="shared" si="4"/>
        <v>0</v>
      </c>
      <c r="F21" s="58">
        <f t="shared" si="4"/>
        <v>0</v>
      </c>
      <c r="G21" s="58">
        <f t="shared" si="4"/>
        <v>0</v>
      </c>
      <c r="H21" s="58">
        <f t="shared" si="4"/>
        <v>0</v>
      </c>
      <c r="I21" s="58">
        <f t="shared" si="4"/>
        <v>0</v>
      </c>
      <c r="J21" s="58">
        <f t="shared" si="4"/>
        <v>0</v>
      </c>
      <c r="K21" s="58">
        <f t="shared" si="4"/>
        <v>0</v>
      </c>
      <c r="L21" s="58">
        <f t="shared" si="4"/>
        <v>0</v>
      </c>
      <c r="M21" s="58">
        <f t="shared" si="4"/>
        <v>0</v>
      </c>
      <c r="N21" s="58">
        <f t="shared" si="4"/>
        <v>0</v>
      </c>
      <c r="O21" s="58">
        <f t="shared" si="4"/>
        <v>0</v>
      </c>
      <c r="P21" s="58">
        <f t="shared" si="4"/>
        <v>0</v>
      </c>
      <c r="Q21" s="58">
        <f t="shared" si="4"/>
        <v>0</v>
      </c>
      <c r="R21" s="58">
        <f t="shared" si="4"/>
        <v>0</v>
      </c>
      <c r="S21" s="58">
        <f t="shared" si="4"/>
        <v>0</v>
      </c>
      <c r="T21" s="58">
        <f t="shared" si="4"/>
        <v>0</v>
      </c>
      <c r="U21" s="58">
        <f t="shared" si="4"/>
        <v>0</v>
      </c>
      <c r="V21" s="58">
        <f t="shared" si="4"/>
        <v>0</v>
      </c>
      <c r="W21" s="58">
        <f t="shared" si="4"/>
        <v>0</v>
      </c>
      <c r="X21" s="58">
        <f t="shared" si="4"/>
        <v>0</v>
      </c>
      <c r="Y21" s="58">
        <f t="shared" si="4"/>
        <v>0</v>
      </c>
      <c r="Z21" s="58">
        <f t="shared" si="4"/>
        <v>0</v>
      </c>
      <c r="AA21" s="58">
        <f t="shared" si="4"/>
        <v>0</v>
      </c>
      <c r="AB21" s="58">
        <f t="shared" si="4"/>
        <v>0</v>
      </c>
    </row>
    <row r="22" spans="1:28" ht="16.5" customHeight="1" x14ac:dyDescent="0.15">
      <c r="A22" s="185" t="s">
        <v>30</v>
      </c>
      <c r="B22" s="9">
        <v>2012</v>
      </c>
      <c r="C22" s="68">
        <f>SUM(E22,G22,I22,K22,M22,O22,Q22,S22,U22,W22,Y22,AA22)</f>
        <v>0</v>
      </c>
      <c r="D22" s="68">
        <f>SUM(F22,H22,J22,L22,N22,P22,R22,T22,V22,X22,Z22,AB22)</f>
        <v>0</v>
      </c>
      <c r="E22" s="9"/>
      <c r="F22" s="10"/>
      <c r="G22" s="9"/>
      <c r="H22" s="10"/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s="35" customFormat="1" ht="16.5" customHeight="1" x14ac:dyDescent="0.15">
      <c r="A23" s="186"/>
      <c r="B23" s="32">
        <v>2013</v>
      </c>
      <c r="C23" s="69">
        <f>SUM(E23,G23,I23,K23,M23,O23,Q23,S23,U23,W23,Y23,AA23)</f>
        <v>0</v>
      </c>
      <c r="D23" s="69">
        <f>SUM(F23,H23,J23,L23,N23,P23,R23,T23,V23,X23,Z23,AB23)</f>
        <v>0</v>
      </c>
      <c r="E23" s="32"/>
      <c r="F23" s="36"/>
      <c r="G23" s="32"/>
      <c r="H23" s="36"/>
      <c r="I23" s="64"/>
      <c r="J23" s="39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28" s="59" customFormat="1" ht="16.5" customHeight="1" x14ac:dyDescent="0.15">
      <c r="A24" s="187"/>
      <c r="B24" s="4" t="s">
        <v>6</v>
      </c>
      <c r="C24" s="58">
        <f t="shared" ref="C24:AB24" si="5">C23-C22</f>
        <v>0</v>
      </c>
      <c r="D24" s="58">
        <f t="shared" si="5"/>
        <v>0</v>
      </c>
      <c r="E24" s="58">
        <f t="shared" si="5"/>
        <v>0</v>
      </c>
      <c r="F24" s="58">
        <f t="shared" si="5"/>
        <v>0</v>
      </c>
      <c r="G24" s="58">
        <f t="shared" si="5"/>
        <v>0</v>
      </c>
      <c r="H24" s="58">
        <f t="shared" si="5"/>
        <v>0</v>
      </c>
      <c r="I24" s="58">
        <f t="shared" si="5"/>
        <v>0</v>
      </c>
      <c r="J24" s="58">
        <f t="shared" si="5"/>
        <v>0</v>
      </c>
      <c r="K24" s="58">
        <f t="shared" si="5"/>
        <v>0</v>
      </c>
      <c r="L24" s="58">
        <f t="shared" si="5"/>
        <v>0</v>
      </c>
      <c r="M24" s="58">
        <f t="shared" si="5"/>
        <v>0</v>
      </c>
      <c r="N24" s="58">
        <f t="shared" si="5"/>
        <v>0</v>
      </c>
      <c r="O24" s="58">
        <f t="shared" si="5"/>
        <v>0</v>
      </c>
      <c r="P24" s="58">
        <f t="shared" si="5"/>
        <v>0</v>
      </c>
      <c r="Q24" s="58">
        <f t="shared" si="5"/>
        <v>0</v>
      </c>
      <c r="R24" s="58">
        <f t="shared" si="5"/>
        <v>0</v>
      </c>
      <c r="S24" s="58">
        <f t="shared" si="5"/>
        <v>0</v>
      </c>
      <c r="T24" s="58">
        <f t="shared" si="5"/>
        <v>0</v>
      </c>
      <c r="U24" s="58">
        <f t="shared" si="5"/>
        <v>0</v>
      </c>
      <c r="V24" s="58">
        <f t="shared" si="5"/>
        <v>0</v>
      </c>
      <c r="W24" s="58">
        <f t="shared" si="5"/>
        <v>0</v>
      </c>
      <c r="X24" s="58">
        <f t="shared" si="5"/>
        <v>0</v>
      </c>
      <c r="Y24" s="58">
        <f t="shared" si="5"/>
        <v>0</v>
      </c>
      <c r="Z24" s="58">
        <f t="shared" si="5"/>
        <v>0</v>
      </c>
      <c r="AA24" s="58">
        <f t="shared" si="5"/>
        <v>0</v>
      </c>
      <c r="AB24" s="58">
        <f t="shared" si="5"/>
        <v>0</v>
      </c>
    </row>
    <row r="25" spans="1:28" ht="16.5" customHeight="1" x14ac:dyDescent="0.15">
      <c r="A25" s="185" t="s">
        <v>31</v>
      </c>
      <c r="B25" s="9">
        <v>2012</v>
      </c>
      <c r="C25" s="68">
        <f>SUM(E25,G25,I25,K25,M25,O25,Q25,S25,U25,W25,Y25,AA25)</f>
        <v>0</v>
      </c>
      <c r="D25" s="68">
        <f>SUM(F25,H25,J25,L25,N25,P25,R25,T25,V25,X25,Z25,AB25)</f>
        <v>0</v>
      </c>
      <c r="E25" s="9"/>
      <c r="F25" s="10"/>
      <c r="G25" s="9"/>
      <c r="H25" s="10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s="35" customFormat="1" ht="16.5" customHeight="1" x14ac:dyDescent="0.15">
      <c r="A26" s="186"/>
      <c r="B26" s="32">
        <v>2013</v>
      </c>
      <c r="C26" s="69">
        <f>SUM(E26,G26,I26,K26,M26,O26,Q26,S26,U26,W26,Y26,AA26)</f>
        <v>0</v>
      </c>
      <c r="D26" s="69">
        <f>SUM(F26,H26,J26,L26,N26,P26,R26,T26,V26,X26,Z26,AB26)</f>
        <v>0</v>
      </c>
      <c r="E26" s="32"/>
      <c r="F26" s="36"/>
      <c r="G26" s="32"/>
      <c r="H26" s="36"/>
      <c r="I26" s="64"/>
      <c r="J26" s="39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:28" s="59" customFormat="1" ht="16.5" customHeight="1" x14ac:dyDescent="0.15">
      <c r="A27" s="187"/>
      <c r="B27" s="4" t="s">
        <v>6</v>
      </c>
      <c r="C27" s="58">
        <f t="shared" ref="C27:AB27" si="6">C26-C25</f>
        <v>0</v>
      </c>
      <c r="D27" s="58">
        <f t="shared" si="6"/>
        <v>0</v>
      </c>
      <c r="E27" s="58">
        <f t="shared" si="6"/>
        <v>0</v>
      </c>
      <c r="F27" s="58">
        <f t="shared" si="6"/>
        <v>0</v>
      </c>
      <c r="G27" s="58">
        <f t="shared" si="6"/>
        <v>0</v>
      </c>
      <c r="H27" s="58">
        <f t="shared" si="6"/>
        <v>0</v>
      </c>
      <c r="I27" s="58">
        <f t="shared" si="6"/>
        <v>0</v>
      </c>
      <c r="J27" s="58">
        <f t="shared" si="6"/>
        <v>0</v>
      </c>
      <c r="K27" s="58">
        <f t="shared" si="6"/>
        <v>0</v>
      </c>
      <c r="L27" s="58">
        <f t="shared" si="6"/>
        <v>0</v>
      </c>
      <c r="M27" s="58">
        <f t="shared" si="6"/>
        <v>0</v>
      </c>
      <c r="N27" s="58">
        <f t="shared" si="6"/>
        <v>0</v>
      </c>
      <c r="O27" s="58">
        <f t="shared" si="6"/>
        <v>0</v>
      </c>
      <c r="P27" s="58">
        <f t="shared" si="6"/>
        <v>0</v>
      </c>
      <c r="Q27" s="58">
        <f t="shared" si="6"/>
        <v>0</v>
      </c>
      <c r="R27" s="58">
        <f t="shared" si="6"/>
        <v>0</v>
      </c>
      <c r="S27" s="58">
        <f t="shared" si="6"/>
        <v>0</v>
      </c>
      <c r="T27" s="58">
        <f t="shared" si="6"/>
        <v>0</v>
      </c>
      <c r="U27" s="58">
        <f t="shared" si="6"/>
        <v>0</v>
      </c>
      <c r="V27" s="58">
        <f t="shared" si="6"/>
        <v>0</v>
      </c>
      <c r="W27" s="58">
        <f t="shared" si="6"/>
        <v>0</v>
      </c>
      <c r="X27" s="58">
        <f t="shared" si="6"/>
        <v>0</v>
      </c>
      <c r="Y27" s="58">
        <f t="shared" si="6"/>
        <v>0</v>
      </c>
      <c r="Z27" s="58">
        <f t="shared" si="6"/>
        <v>0</v>
      </c>
      <c r="AA27" s="58">
        <f t="shared" si="6"/>
        <v>0</v>
      </c>
      <c r="AB27" s="58">
        <f t="shared" si="6"/>
        <v>0</v>
      </c>
    </row>
    <row r="28" spans="1:28" ht="16.5" customHeight="1" x14ac:dyDescent="0.15">
      <c r="A28" s="185" t="s">
        <v>32</v>
      </c>
      <c r="B28" s="9">
        <v>2012</v>
      </c>
      <c r="C28" s="68">
        <f>SUM(E28,G28,I28,K28,M28,O28,Q28,S28,U28,W28,Y28,AA28)</f>
        <v>0</v>
      </c>
      <c r="D28" s="68">
        <f>SUM(F28,H28,J28,L28,N28,P28,R28,T28,V28,X28,Z28,AB28)</f>
        <v>0</v>
      </c>
      <c r="E28" s="9"/>
      <c r="F28" s="10"/>
      <c r="G28" s="9"/>
      <c r="H28" s="10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s="35" customFormat="1" ht="16.5" customHeight="1" x14ac:dyDescent="0.15">
      <c r="A29" s="186"/>
      <c r="B29" s="32">
        <v>2013</v>
      </c>
      <c r="C29" s="69">
        <f>SUM(E29,G29,I29,K29,M29,O29,Q29,S29,U29,W29,Y29,AA29)</f>
        <v>0</v>
      </c>
      <c r="D29" s="69">
        <f>SUM(F29,H29,J29,L29,N29,P29,R29,T29,V29,X29,Z29,AB29)</f>
        <v>0</v>
      </c>
      <c r="E29" s="32"/>
      <c r="F29" s="36"/>
      <c r="G29" s="32"/>
      <c r="H29" s="36"/>
      <c r="I29" s="64"/>
      <c r="J29" s="39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28" s="59" customFormat="1" ht="16.5" customHeight="1" x14ac:dyDescent="0.15">
      <c r="A30" s="187"/>
      <c r="B30" s="4" t="s">
        <v>6</v>
      </c>
      <c r="C30" s="58">
        <f t="shared" ref="C30:AB30" si="7">C29-C28</f>
        <v>0</v>
      </c>
      <c r="D30" s="58">
        <f t="shared" si="7"/>
        <v>0</v>
      </c>
      <c r="E30" s="58">
        <f t="shared" si="7"/>
        <v>0</v>
      </c>
      <c r="F30" s="58">
        <f t="shared" si="7"/>
        <v>0</v>
      </c>
      <c r="G30" s="58">
        <f t="shared" si="7"/>
        <v>0</v>
      </c>
      <c r="H30" s="58">
        <f t="shared" si="7"/>
        <v>0</v>
      </c>
      <c r="I30" s="58">
        <f t="shared" si="7"/>
        <v>0</v>
      </c>
      <c r="J30" s="58">
        <f t="shared" si="7"/>
        <v>0</v>
      </c>
      <c r="K30" s="58">
        <f t="shared" si="7"/>
        <v>0</v>
      </c>
      <c r="L30" s="58">
        <f t="shared" si="7"/>
        <v>0</v>
      </c>
      <c r="M30" s="58">
        <f t="shared" si="7"/>
        <v>0</v>
      </c>
      <c r="N30" s="58">
        <f t="shared" si="7"/>
        <v>0</v>
      </c>
      <c r="O30" s="58">
        <f t="shared" si="7"/>
        <v>0</v>
      </c>
      <c r="P30" s="58">
        <f t="shared" si="7"/>
        <v>0</v>
      </c>
      <c r="Q30" s="58">
        <f t="shared" si="7"/>
        <v>0</v>
      </c>
      <c r="R30" s="58">
        <f t="shared" si="7"/>
        <v>0</v>
      </c>
      <c r="S30" s="58">
        <f t="shared" si="7"/>
        <v>0</v>
      </c>
      <c r="T30" s="58">
        <f t="shared" si="7"/>
        <v>0</v>
      </c>
      <c r="U30" s="58">
        <f t="shared" si="7"/>
        <v>0</v>
      </c>
      <c r="V30" s="58">
        <f t="shared" si="7"/>
        <v>0</v>
      </c>
      <c r="W30" s="58">
        <f t="shared" si="7"/>
        <v>0</v>
      </c>
      <c r="X30" s="58">
        <f t="shared" si="7"/>
        <v>0</v>
      </c>
      <c r="Y30" s="58">
        <f t="shared" si="7"/>
        <v>0</v>
      </c>
      <c r="Z30" s="58">
        <f t="shared" si="7"/>
        <v>0</v>
      </c>
      <c r="AA30" s="58">
        <f t="shared" si="7"/>
        <v>0</v>
      </c>
      <c r="AB30" s="58">
        <f t="shared" si="7"/>
        <v>0</v>
      </c>
    </row>
    <row r="31" spans="1:28" ht="16.5" customHeight="1" x14ac:dyDescent="0.15">
      <c r="A31" s="185" t="s">
        <v>18</v>
      </c>
      <c r="B31" s="7">
        <v>2012</v>
      </c>
      <c r="C31" s="66">
        <f>SUM(E31,G31,I31,K31,M31,O31,Q31,S31,U31,W31,Y31,AA31)</f>
        <v>0</v>
      </c>
      <c r="D31" s="66">
        <f>SUM(F31,H31,J31,L31,N31,P31,R31,T31,V31,X31,Z31,AB31)</f>
        <v>0</v>
      </c>
      <c r="E31" s="7"/>
      <c r="F31" s="8"/>
      <c r="G31" s="7"/>
      <c r="H31" s="8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35" customFormat="1" ht="16.5" customHeight="1" x14ac:dyDescent="0.15">
      <c r="A32" s="186"/>
      <c r="B32" s="37">
        <v>2013</v>
      </c>
      <c r="C32" s="65">
        <f>SUM(E32,G32,I32,K32,M32,O32,Q32,S32,U32,W32,Y32,AA32)</f>
        <v>0</v>
      </c>
      <c r="D32" s="65">
        <f>SUM(F32,H32,J32,L32,N32,P32,R32,T32,V32,X32,Z32,AB32)</f>
        <v>0</v>
      </c>
      <c r="E32" s="37"/>
      <c r="F32" s="38"/>
      <c r="G32" s="37"/>
      <c r="H32" s="38"/>
      <c r="I32" s="3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1:29" s="59" customFormat="1" ht="16.5" customHeight="1" x14ac:dyDescent="0.15">
      <c r="A33" s="187"/>
      <c r="B33" s="4" t="s">
        <v>6</v>
      </c>
      <c r="C33" s="58">
        <f t="shared" ref="C33:AB33" si="8">C32-C31</f>
        <v>0</v>
      </c>
      <c r="D33" s="58">
        <f t="shared" si="8"/>
        <v>0</v>
      </c>
      <c r="E33" s="58">
        <f t="shared" si="8"/>
        <v>0</v>
      </c>
      <c r="F33" s="58">
        <f t="shared" si="8"/>
        <v>0</v>
      </c>
      <c r="G33" s="58">
        <f t="shared" si="8"/>
        <v>0</v>
      </c>
      <c r="H33" s="58">
        <f t="shared" si="8"/>
        <v>0</v>
      </c>
      <c r="I33" s="58">
        <f t="shared" si="8"/>
        <v>0</v>
      </c>
      <c r="J33" s="58">
        <f t="shared" si="8"/>
        <v>0</v>
      </c>
      <c r="K33" s="58">
        <f t="shared" si="8"/>
        <v>0</v>
      </c>
      <c r="L33" s="58">
        <f t="shared" si="8"/>
        <v>0</v>
      </c>
      <c r="M33" s="58">
        <f t="shared" si="8"/>
        <v>0</v>
      </c>
      <c r="N33" s="58">
        <f t="shared" si="8"/>
        <v>0</v>
      </c>
      <c r="O33" s="58">
        <f t="shared" si="8"/>
        <v>0</v>
      </c>
      <c r="P33" s="58">
        <f t="shared" si="8"/>
        <v>0</v>
      </c>
      <c r="Q33" s="58">
        <f t="shared" si="8"/>
        <v>0</v>
      </c>
      <c r="R33" s="58">
        <f t="shared" si="8"/>
        <v>0</v>
      </c>
      <c r="S33" s="58">
        <f t="shared" si="8"/>
        <v>0</v>
      </c>
      <c r="T33" s="58">
        <f t="shared" si="8"/>
        <v>0</v>
      </c>
      <c r="U33" s="58">
        <f t="shared" si="8"/>
        <v>0</v>
      </c>
      <c r="V33" s="58">
        <f t="shared" si="8"/>
        <v>0</v>
      </c>
      <c r="W33" s="58">
        <f t="shared" si="8"/>
        <v>0</v>
      </c>
      <c r="X33" s="58">
        <f t="shared" si="8"/>
        <v>0</v>
      </c>
      <c r="Y33" s="58">
        <f t="shared" si="8"/>
        <v>0</v>
      </c>
      <c r="Z33" s="58">
        <f t="shared" si="8"/>
        <v>0</v>
      </c>
      <c r="AA33" s="58">
        <f t="shared" si="8"/>
        <v>0</v>
      </c>
      <c r="AB33" s="58">
        <f t="shared" si="8"/>
        <v>0</v>
      </c>
    </row>
    <row r="34" spans="1:29" ht="12.75" customHeight="1" x14ac:dyDescent="0.15">
      <c r="AB34" s="6" t="s">
        <v>7</v>
      </c>
    </row>
    <row r="35" spans="1:29" ht="21" customHeight="1" x14ac:dyDescent="0.15">
      <c r="A35" s="197" t="s">
        <v>25</v>
      </c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5"/>
    </row>
    <row r="36" spans="1:29" s="3" customFormat="1" ht="27.75" customHeight="1" x14ac:dyDescent="0.15">
      <c r="A36" s="2"/>
      <c r="B36" s="2"/>
      <c r="C36" s="195" t="s">
        <v>19</v>
      </c>
      <c r="D36" s="196"/>
      <c r="E36" s="195">
        <v>1</v>
      </c>
      <c r="F36" s="196"/>
      <c r="G36" s="195">
        <v>2</v>
      </c>
      <c r="H36" s="196"/>
      <c r="I36" s="195">
        <v>3</v>
      </c>
      <c r="J36" s="196"/>
      <c r="K36" s="195">
        <v>4</v>
      </c>
      <c r="L36" s="196"/>
      <c r="M36" s="195">
        <v>5</v>
      </c>
      <c r="N36" s="196"/>
      <c r="O36" s="195">
        <v>6</v>
      </c>
      <c r="P36" s="196"/>
      <c r="Q36" s="195">
        <v>7</v>
      </c>
      <c r="R36" s="196"/>
      <c r="S36" s="195">
        <v>8</v>
      </c>
      <c r="T36" s="196"/>
      <c r="U36" s="195">
        <v>9</v>
      </c>
      <c r="V36" s="196"/>
      <c r="W36" s="195">
        <v>10</v>
      </c>
      <c r="X36" s="196"/>
      <c r="Y36" s="195">
        <v>11</v>
      </c>
      <c r="Z36" s="196"/>
      <c r="AA36" s="195">
        <v>12</v>
      </c>
      <c r="AB36" s="196"/>
    </row>
    <row r="37" spans="1:29" s="59" customFormat="1" ht="24" customHeight="1" x14ac:dyDescent="0.15">
      <c r="A37" s="194" t="s">
        <v>0</v>
      </c>
      <c r="B37" s="7">
        <v>2012</v>
      </c>
      <c r="C37" s="192">
        <f>SUM(E37:AB37)</f>
        <v>0</v>
      </c>
      <c r="D37" s="193"/>
      <c r="E37" s="192">
        <f>SUM(F40,F43,F46,F49,F52,F55,F58,F61,F64)</f>
        <v>0</v>
      </c>
      <c r="F37" s="193"/>
      <c r="G37" s="192">
        <f>SUM(H40,H43,H46,H49,H52,H55,H58,H61,H64)</f>
        <v>0</v>
      </c>
      <c r="H37" s="193"/>
      <c r="I37" s="192">
        <f>SUM(J40,J43,J46,J49,J52,J55,J58,J61,J64)</f>
        <v>0</v>
      </c>
      <c r="J37" s="193"/>
      <c r="K37" s="192">
        <f>SUM(L40,L43,L46,L49,L52,L55,L58,L61,L64)</f>
        <v>0</v>
      </c>
      <c r="L37" s="193"/>
      <c r="M37" s="192">
        <f>SUM(N40,N43,N46,N49,N52,N55,N58,N61,N64)</f>
        <v>0</v>
      </c>
      <c r="N37" s="193"/>
      <c r="O37" s="192">
        <f>SUM(P40,P43,P46,P49,P52,P55,P58,P61,P64)</f>
        <v>0</v>
      </c>
      <c r="P37" s="193"/>
      <c r="Q37" s="192">
        <f>SUM(R40,R43,R46,R49,R52,R55,R58,R61,R64)</f>
        <v>0</v>
      </c>
      <c r="R37" s="193"/>
      <c r="S37" s="192">
        <f>SUM(T40,T43,T46,T49,T52,T55,T58,T61,T64)</f>
        <v>0</v>
      </c>
      <c r="T37" s="193"/>
      <c r="U37" s="192">
        <f>SUM(V40,V43,V46,V49,V52,V55,V58,V61,V64)</f>
        <v>0</v>
      </c>
      <c r="V37" s="193"/>
      <c r="W37" s="192">
        <f>SUM(X40,X43,X46,X49,X52,X55,X58,X61,X64)</f>
        <v>0</v>
      </c>
      <c r="X37" s="193"/>
      <c r="Y37" s="192">
        <f>SUM(Z40,Z43,Z46,Z49,Z52,Z55,Z58,Z61,Z64)</f>
        <v>0</v>
      </c>
      <c r="Z37" s="193"/>
      <c r="AA37" s="192">
        <f>SUM(AB40,AB43,AB46,AB49,AB52,AB55,AB58,AB61,AB64)</f>
        <v>0</v>
      </c>
      <c r="AB37" s="193"/>
    </row>
    <row r="38" spans="1:29" s="60" customFormat="1" ht="24" customHeight="1" x14ac:dyDescent="0.15">
      <c r="A38" s="194"/>
      <c r="B38" s="37">
        <v>2013</v>
      </c>
      <c r="C38" s="190">
        <f>SUM(E38:AB38)</f>
        <v>0</v>
      </c>
      <c r="D38" s="191"/>
      <c r="E38" s="190">
        <f>SUM(F41,F44,F47,F50,F53,F56,F59,F62,F65)</f>
        <v>0</v>
      </c>
      <c r="F38" s="191"/>
      <c r="G38" s="190">
        <f>SUM(H41,H44,H47,H50,H53,H56,H59,H62,H65)</f>
        <v>0</v>
      </c>
      <c r="H38" s="191"/>
      <c r="I38" s="190">
        <f>SUM(J41,J44,J47,J50,J53,J56,J59,J62,J65)</f>
        <v>0</v>
      </c>
      <c r="J38" s="191"/>
      <c r="K38" s="190">
        <f>SUM(L41,L44,L47,L50,L53,L56,L59,L62,L65)</f>
        <v>0</v>
      </c>
      <c r="L38" s="191"/>
      <c r="M38" s="190">
        <f>SUM(N41,N44,N47,N50,N53,N56,N59,N62,N65)</f>
        <v>0</v>
      </c>
      <c r="N38" s="191"/>
      <c r="O38" s="190">
        <f>SUM(P41,P44,P47,P50,P53,P56,P59,P62,P65)</f>
        <v>0</v>
      </c>
      <c r="P38" s="191"/>
      <c r="Q38" s="190">
        <f>SUM(R41,R44,R47,R50,R53,R56,R59,R62,R65)</f>
        <v>0</v>
      </c>
      <c r="R38" s="191"/>
      <c r="S38" s="190">
        <f>SUM(T41,T44,T47,T50,T53,T56,T59,T62,T65)</f>
        <v>0</v>
      </c>
      <c r="T38" s="191"/>
      <c r="U38" s="190">
        <f>SUM(V41,V44,V47,V50,V53,V56,V59,V62,V65)</f>
        <v>0</v>
      </c>
      <c r="V38" s="191"/>
      <c r="W38" s="190">
        <f>SUM(X41,X44,X47,X50,X53,X56,X59,X62,X65)</f>
        <v>0</v>
      </c>
      <c r="X38" s="191"/>
      <c r="Y38" s="190">
        <f>SUM(Z41,Z44,Z47,Z50,Z53,Z56,Z59,Z62,Z65)</f>
        <v>0</v>
      </c>
      <c r="Z38" s="191"/>
      <c r="AA38" s="190">
        <f>SUM(AB41,AB44,AB47,AB50,AB53,AB56,AB59,AB62,AB65)</f>
        <v>0</v>
      </c>
      <c r="AB38" s="191"/>
    </row>
    <row r="39" spans="1:29" s="59" customFormat="1" ht="24" customHeight="1" x14ac:dyDescent="0.15">
      <c r="A39" s="194"/>
      <c r="B39" s="11" t="s">
        <v>6</v>
      </c>
      <c r="C39" s="199">
        <f>C38-C37</f>
        <v>0</v>
      </c>
      <c r="D39" s="200"/>
      <c r="E39" s="199">
        <f>E38-E37</f>
        <v>0</v>
      </c>
      <c r="F39" s="200"/>
      <c r="G39" s="199">
        <f>G38-G37</f>
        <v>0</v>
      </c>
      <c r="H39" s="200"/>
      <c r="I39" s="199">
        <f>I38-I37</f>
        <v>0</v>
      </c>
      <c r="J39" s="200"/>
      <c r="K39" s="199">
        <f>K38-K37</f>
        <v>0</v>
      </c>
      <c r="L39" s="200"/>
      <c r="M39" s="199">
        <f>M38-M37</f>
        <v>0</v>
      </c>
      <c r="N39" s="200"/>
      <c r="O39" s="199">
        <f>O38-O37</f>
        <v>0</v>
      </c>
      <c r="P39" s="200"/>
      <c r="Q39" s="199">
        <f>Q38-Q37</f>
        <v>0</v>
      </c>
      <c r="R39" s="200"/>
      <c r="S39" s="199">
        <f>S38-S37</f>
        <v>0</v>
      </c>
      <c r="T39" s="200"/>
      <c r="U39" s="199">
        <f>U38-U37</f>
        <v>0</v>
      </c>
      <c r="V39" s="200"/>
      <c r="W39" s="199">
        <f>W38-W37</f>
        <v>0</v>
      </c>
      <c r="X39" s="200"/>
      <c r="Y39" s="199">
        <f>Y38-Y37</f>
        <v>0</v>
      </c>
      <c r="Z39" s="200"/>
      <c r="AA39" s="199">
        <f>AA38-AA37</f>
        <v>0</v>
      </c>
      <c r="AB39" s="200"/>
    </row>
    <row r="40" spans="1:29" ht="16.5" customHeight="1" x14ac:dyDescent="0.15">
      <c r="A40" s="185" t="s">
        <v>1</v>
      </c>
      <c r="B40" s="7">
        <v>2012</v>
      </c>
      <c r="C40" s="66">
        <f>SUM(E40,G40,I40,K40,M40,O40,Q40,S40,U40,W40,Y40,AA40)</f>
        <v>0</v>
      </c>
      <c r="D40" s="66">
        <f>SUM(F40,H40,J40,L40,N40,P40,R40,T40,V40,X40,Z40,AB40)</f>
        <v>0</v>
      </c>
      <c r="E40" s="7"/>
      <c r="F40" s="8"/>
      <c r="G40" s="7"/>
      <c r="H40" s="8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9" s="35" customFormat="1" ht="16.5" customHeight="1" x14ac:dyDescent="0.15">
      <c r="A41" s="186"/>
      <c r="B41" s="33">
        <v>2013</v>
      </c>
      <c r="C41" s="67">
        <f>SUM(E41,G41,I41,K41,M41,O41,Q41,S41,U41,W41,Y41,AA41)</f>
        <v>0</v>
      </c>
      <c r="D41" s="67">
        <f>SUM(F41,H41,J41,L41,N41,P41,R41,T41,V41,X41,Z41,AB41)</f>
        <v>0</v>
      </c>
      <c r="E41" s="33"/>
      <c r="F41" s="34"/>
      <c r="G41" s="33"/>
      <c r="H41" s="34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9" s="59" customFormat="1" ht="16.5" customHeight="1" x14ac:dyDescent="0.15">
      <c r="A42" s="187"/>
      <c r="B42" s="4" t="s">
        <v>6</v>
      </c>
      <c r="C42" s="58">
        <f t="shared" ref="C42:AB42" si="9">C41-C40</f>
        <v>0</v>
      </c>
      <c r="D42" s="58">
        <f t="shared" si="9"/>
        <v>0</v>
      </c>
      <c r="E42" s="58">
        <f t="shared" si="9"/>
        <v>0</v>
      </c>
      <c r="F42" s="58">
        <f t="shared" si="9"/>
        <v>0</v>
      </c>
      <c r="G42" s="58">
        <f t="shared" si="9"/>
        <v>0</v>
      </c>
      <c r="H42" s="58">
        <f t="shared" si="9"/>
        <v>0</v>
      </c>
      <c r="I42" s="58">
        <f t="shared" si="9"/>
        <v>0</v>
      </c>
      <c r="J42" s="58">
        <f t="shared" si="9"/>
        <v>0</v>
      </c>
      <c r="K42" s="58">
        <f t="shared" si="9"/>
        <v>0</v>
      </c>
      <c r="L42" s="58">
        <f t="shared" si="9"/>
        <v>0</v>
      </c>
      <c r="M42" s="58">
        <f t="shared" si="9"/>
        <v>0</v>
      </c>
      <c r="N42" s="58">
        <f t="shared" si="9"/>
        <v>0</v>
      </c>
      <c r="O42" s="58">
        <f t="shared" si="9"/>
        <v>0</v>
      </c>
      <c r="P42" s="58">
        <f t="shared" si="9"/>
        <v>0</v>
      </c>
      <c r="Q42" s="58">
        <f t="shared" si="9"/>
        <v>0</v>
      </c>
      <c r="R42" s="58">
        <f t="shared" si="9"/>
        <v>0</v>
      </c>
      <c r="S42" s="58">
        <f t="shared" si="9"/>
        <v>0</v>
      </c>
      <c r="T42" s="58">
        <f t="shared" si="9"/>
        <v>0</v>
      </c>
      <c r="U42" s="58">
        <f t="shared" si="9"/>
        <v>0</v>
      </c>
      <c r="V42" s="58">
        <f t="shared" si="9"/>
        <v>0</v>
      </c>
      <c r="W42" s="58">
        <f t="shared" si="9"/>
        <v>0</v>
      </c>
      <c r="X42" s="58">
        <f t="shared" si="9"/>
        <v>0</v>
      </c>
      <c r="Y42" s="58">
        <f t="shared" si="9"/>
        <v>0</v>
      </c>
      <c r="Z42" s="58">
        <f t="shared" si="9"/>
        <v>0</v>
      </c>
      <c r="AA42" s="58">
        <f t="shared" si="9"/>
        <v>0</v>
      </c>
      <c r="AB42" s="58">
        <f t="shared" si="9"/>
        <v>0</v>
      </c>
    </row>
    <row r="43" spans="1:29" ht="16.5" customHeight="1" x14ac:dyDescent="0.15">
      <c r="A43" s="185" t="s">
        <v>2</v>
      </c>
      <c r="B43" s="9">
        <v>2012</v>
      </c>
      <c r="C43" s="68">
        <f>SUM(E43,G43,I43,K43,M43,O43,Q43,S43,U43,W43,Y43,AA43)</f>
        <v>0</v>
      </c>
      <c r="D43" s="68">
        <f>SUM(F43,H43,J43,L43,N43,P43,R43,T43,V43,X43,Z43,AB43)</f>
        <v>0</v>
      </c>
      <c r="E43" s="9"/>
      <c r="F43" s="10"/>
      <c r="G43" s="9"/>
      <c r="H43" s="10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9" s="35" customFormat="1" ht="16.5" customHeight="1" x14ac:dyDescent="0.15">
      <c r="A44" s="186"/>
      <c r="B44" s="32">
        <v>2013</v>
      </c>
      <c r="C44" s="69">
        <f>SUM(E44,G44,I44,K44,M44,O44,Q44,S44,U44,W44,Y44,AA44)</f>
        <v>0</v>
      </c>
      <c r="D44" s="69">
        <f>SUM(F44,H44,J44,L44,N44,P44,R44,T44,V44,X44,Z44,AB44)</f>
        <v>0</v>
      </c>
      <c r="E44" s="32"/>
      <c r="F44" s="36"/>
      <c r="G44" s="32"/>
      <c r="H44" s="36"/>
      <c r="I44" s="64"/>
      <c r="J44" s="39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29" s="59" customFormat="1" ht="16.5" customHeight="1" x14ac:dyDescent="0.15">
      <c r="A45" s="187"/>
      <c r="B45" s="4" t="s">
        <v>6</v>
      </c>
      <c r="C45" s="58">
        <f t="shared" ref="C45:AB45" si="10">C44-C43</f>
        <v>0</v>
      </c>
      <c r="D45" s="58">
        <f t="shared" si="10"/>
        <v>0</v>
      </c>
      <c r="E45" s="58">
        <f t="shared" si="10"/>
        <v>0</v>
      </c>
      <c r="F45" s="58">
        <f t="shared" si="10"/>
        <v>0</v>
      </c>
      <c r="G45" s="58">
        <f t="shared" si="10"/>
        <v>0</v>
      </c>
      <c r="H45" s="58">
        <f t="shared" si="10"/>
        <v>0</v>
      </c>
      <c r="I45" s="58">
        <f t="shared" si="10"/>
        <v>0</v>
      </c>
      <c r="J45" s="58">
        <f t="shared" si="10"/>
        <v>0</v>
      </c>
      <c r="K45" s="58">
        <f t="shared" si="10"/>
        <v>0</v>
      </c>
      <c r="L45" s="58">
        <f t="shared" si="10"/>
        <v>0</v>
      </c>
      <c r="M45" s="58">
        <f t="shared" si="10"/>
        <v>0</v>
      </c>
      <c r="N45" s="58">
        <f t="shared" si="10"/>
        <v>0</v>
      </c>
      <c r="O45" s="58">
        <f t="shared" si="10"/>
        <v>0</v>
      </c>
      <c r="P45" s="58">
        <f t="shared" si="10"/>
        <v>0</v>
      </c>
      <c r="Q45" s="58">
        <f t="shared" si="10"/>
        <v>0</v>
      </c>
      <c r="R45" s="58">
        <f t="shared" si="10"/>
        <v>0</v>
      </c>
      <c r="S45" s="58">
        <f t="shared" si="10"/>
        <v>0</v>
      </c>
      <c r="T45" s="58">
        <f t="shared" si="10"/>
        <v>0</v>
      </c>
      <c r="U45" s="58">
        <f t="shared" si="10"/>
        <v>0</v>
      </c>
      <c r="V45" s="58">
        <f t="shared" si="10"/>
        <v>0</v>
      </c>
      <c r="W45" s="58">
        <f t="shared" si="10"/>
        <v>0</v>
      </c>
      <c r="X45" s="58">
        <f t="shared" si="10"/>
        <v>0</v>
      </c>
      <c r="Y45" s="58">
        <f t="shared" si="10"/>
        <v>0</v>
      </c>
      <c r="Z45" s="58">
        <f t="shared" si="10"/>
        <v>0</v>
      </c>
      <c r="AA45" s="58">
        <f t="shared" si="10"/>
        <v>0</v>
      </c>
      <c r="AB45" s="58">
        <f t="shared" si="10"/>
        <v>0</v>
      </c>
    </row>
    <row r="46" spans="1:29" ht="16.5" customHeight="1" x14ac:dyDescent="0.15">
      <c r="A46" s="185" t="s">
        <v>3</v>
      </c>
      <c r="B46" s="7">
        <v>2012</v>
      </c>
      <c r="C46" s="66">
        <f>SUM(E46,G46,I46,K46,M46,O46,Q46,S46,U46,W46,Y46,AA46)</f>
        <v>0</v>
      </c>
      <c r="D46" s="66">
        <f>SUM(F46,H46,J46,L46,N46,P46,R46,T46,V46,X46,Z46,AB46)</f>
        <v>0</v>
      </c>
      <c r="E46" s="7"/>
      <c r="F46" s="8"/>
      <c r="G46" s="7"/>
      <c r="H46" s="8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9" s="35" customFormat="1" ht="16.5" customHeight="1" x14ac:dyDescent="0.15">
      <c r="A47" s="186"/>
      <c r="B47" s="37">
        <v>2013</v>
      </c>
      <c r="C47" s="65">
        <f>SUM(E47,G47,I47,K47,M47,O47,Q47,S47,U47,W47,Y47,AA47)</f>
        <v>0</v>
      </c>
      <c r="D47" s="65">
        <f>SUM(F47,H47,J47,L47,N47,P47,R47,T47,V47,X47,Z47,AB47)</f>
        <v>0</v>
      </c>
      <c r="E47" s="37"/>
      <c r="F47" s="38"/>
      <c r="G47" s="37"/>
      <c r="H47" s="38"/>
      <c r="I47" s="37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spans="1:29" s="59" customFormat="1" ht="16.5" customHeight="1" x14ac:dyDescent="0.15">
      <c r="A48" s="187"/>
      <c r="B48" s="4" t="s">
        <v>6</v>
      </c>
      <c r="C48" s="58">
        <f t="shared" ref="C48:AB48" si="11">C47-C46</f>
        <v>0</v>
      </c>
      <c r="D48" s="58">
        <f t="shared" si="11"/>
        <v>0</v>
      </c>
      <c r="E48" s="58">
        <f t="shared" si="11"/>
        <v>0</v>
      </c>
      <c r="F48" s="58">
        <f t="shared" si="11"/>
        <v>0</v>
      </c>
      <c r="G48" s="58">
        <f t="shared" si="11"/>
        <v>0</v>
      </c>
      <c r="H48" s="58">
        <f t="shared" si="11"/>
        <v>0</v>
      </c>
      <c r="I48" s="58">
        <f t="shared" si="11"/>
        <v>0</v>
      </c>
      <c r="J48" s="58">
        <f t="shared" si="11"/>
        <v>0</v>
      </c>
      <c r="K48" s="58">
        <f t="shared" si="11"/>
        <v>0</v>
      </c>
      <c r="L48" s="58">
        <f t="shared" si="11"/>
        <v>0</v>
      </c>
      <c r="M48" s="58">
        <f t="shared" si="11"/>
        <v>0</v>
      </c>
      <c r="N48" s="58">
        <f t="shared" si="11"/>
        <v>0</v>
      </c>
      <c r="O48" s="58">
        <f t="shared" si="11"/>
        <v>0</v>
      </c>
      <c r="P48" s="58">
        <f t="shared" si="11"/>
        <v>0</v>
      </c>
      <c r="Q48" s="58">
        <f t="shared" si="11"/>
        <v>0</v>
      </c>
      <c r="R48" s="58">
        <f t="shared" si="11"/>
        <v>0</v>
      </c>
      <c r="S48" s="58">
        <f t="shared" si="11"/>
        <v>0</v>
      </c>
      <c r="T48" s="58">
        <f t="shared" si="11"/>
        <v>0</v>
      </c>
      <c r="U48" s="58">
        <f t="shared" si="11"/>
        <v>0</v>
      </c>
      <c r="V48" s="58">
        <f t="shared" si="11"/>
        <v>0</v>
      </c>
      <c r="W48" s="58">
        <f t="shared" si="11"/>
        <v>0</v>
      </c>
      <c r="X48" s="58">
        <f t="shared" si="11"/>
        <v>0</v>
      </c>
      <c r="Y48" s="58">
        <f t="shared" si="11"/>
        <v>0</v>
      </c>
      <c r="Z48" s="58">
        <f t="shared" si="11"/>
        <v>0</v>
      </c>
      <c r="AA48" s="58">
        <f t="shared" si="11"/>
        <v>0</v>
      </c>
      <c r="AB48" s="58">
        <f t="shared" si="11"/>
        <v>0</v>
      </c>
    </row>
    <row r="49" spans="1:28" ht="16.5" customHeight="1" x14ac:dyDescent="0.15">
      <c r="A49" s="185" t="s">
        <v>16</v>
      </c>
      <c r="B49" s="7">
        <v>2012</v>
      </c>
      <c r="C49" s="66">
        <f>SUM(E49,G49,I49,K49,M49,O49,Q49,S49,U49,W49,Y49,AA49)</f>
        <v>0</v>
      </c>
      <c r="D49" s="66">
        <f>SUM(F49,H49,J49,L49,N49,P49,R49,T49,V49,X49,Z49,AB49)</f>
        <v>0</v>
      </c>
      <c r="E49" s="7"/>
      <c r="F49" s="8"/>
      <c r="G49" s="7"/>
      <c r="H49" s="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35" customFormat="1" ht="16.5" customHeight="1" x14ac:dyDescent="0.15">
      <c r="A50" s="186"/>
      <c r="B50" s="33">
        <v>2013</v>
      </c>
      <c r="C50" s="67">
        <f>SUM(E50,G50,I50,K50,M50,O50,Q50,S50,U50,W50,Y50,AA50)</f>
        <v>0</v>
      </c>
      <c r="D50" s="67">
        <f>SUM(F50,H50,J50,L50,N50,P50,R50,T50,V50,X50,Z50,AB50)</f>
        <v>0</v>
      </c>
      <c r="E50" s="33"/>
      <c r="F50" s="34"/>
      <c r="G50" s="33"/>
      <c r="H50" s="34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 spans="1:28" s="59" customFormat="1" ht="16.5" customHeight="1" x14ac:dyDescent="0.15">
      <c r="A51" s="187"/>
      <c r="B51" s="4" t="s">
        <v>6</v>
      </c>
      <c r="C51" s="58">
        <f t="shared" ref="C51:AB51" si="12">C50-C49</f>
        <v>0</v>
      </c>
      <c r="D51" s="58">
        <f t="shared" si="12"/>
        <v>0</v>
      </c>
      <c r="E51" s="58">
        <f t="shared" si="12"/>
        <v>0</v>
      </c>
      <c r="F51" s="58">
        <f t="shared" si="12"/>
        <v>0</v>
      </c>
      <c r="G51" s="58">
        <f t="shared" si="12"/>
        <v>0</v>
      </c>
      <c r="H51" s="58">
        <f t="shared" si="12"/>
        <v>0</v>
      </c>
      <c r="I51" s="58">
        <f t="shared" si="12"/>
        <v>0</v>
      </c>
      <c r="J51" s="58">
        <f t="shared" si="12"/>
        <v>0</v>
      </c>
      <c r="K51" s="58">
        <f t="shared" si="12"/>
        <v>0</v>
      </c>
      <c r="L51" s="58">
        <f t="shared" si="12"/>
        <v>0</v>
      </c>
      <c r="M51" s="58">
        <f t="shared" si="12"/>
        <v>0</v>
      </c>
      <c r="N51" s="58">
        <f t="shared" si="12"/>
        <v>0</v>
      </c>
      <c r="O51" s="58">
        <f t="shared" si="12"/>
        <v>0</v>
      </c>
      <c r="P51" s="58">
        <f t="shared" si="12"/>
        <v>0</v>
      </c>
      <c r="Q51" s="58">
        <f t="shared" si="12"/>
        <v>0</v>
      </c>
      <c r="R51" s="58">
        <f t="shared" si="12"/>
        <v>0</v>
      </c>
      <c r="S51" s="58">
        <f t="shared" si="12"/>
        <v>0</v>
      </c>
      <c r="T51" s="58">
        <f t="shared" si="12"/>
        <v>0</v>
      </c>
      <c r="U51" s="58">
        <f t="shared" si="12"/>
        <v>0</v>
      </c>
      <c r="V51" s="58">
        <f t="shared" si="12"/>
        <v>0</v>
      </c>
      <c r="W51" s="58">
        <f t="shared" si="12"/>
        <v>0</v>
      </c>
      <c r="X51" s="58">
        <f t="shared" si="12"/>
        <v>0</v>
      </c>
      <c r="Y51" s="58">
        <f t="shared" si="12"/>
        <v>0</v>
      </c>
      <c r="Z51" s="58">
        <f t="shared" si="12"/>
        <v>0</v>
      </c>
      <c r="AA51" s="58">
        <f t="shared" si="12"/>
        <v>0</v>
      </c>
      <c r="AB51" s="58">
        <f t="shared" si="12"/>
        <v>0</v>
      </c>
    </row>
    <row r="52" spans="1:28" ht="16.5" customHeight="1" x14ac:dyDescent="0.15">
      <c r="A52" s="185" t="s">
        <v>17</v>
      </c>
      <c r="B52" s="9">
        <v>2012</v>
      </c>
      <c r="C52" s="68">
        <f>SUM(E52,G52,I52,K52,M52,O52,Q52,S52,U52,W52,Y52,AA52)</f>
        <v>0</v>
      </c>
      <c r="D52" s="68">
        <f>SUM(F52,H52,J52,L52,N52,P52,R52,T52,V52,X52,Z52,AB52)</f>
        <v>0</v>
      </c>
      <c r="E52" s="9"/>
      <c r="F52" s="10"/>
      <c r="G52" s="9"/>
      <c r="H52" s="10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s="35" customFormat="1" ht="16.5" customHeight="1" x14ac:dyDescent="0.15">
      <c r="A53" s="186"/>
      <c r="B53" s="32">
        <v>2013</v>
      </c>
      <c r="C53" s="69">
        <f>SUM(E53,G53,I53,K53,M53,O53,Q53,S53,U53,W53,Y53,AA53)</f>
        <v>0</v>
      </c>
      <c r="D53" s="69">
        <f>SUM(F53,H53,J53,L53,N53,P53,R53,T53,V53,X53,Z53,AB53)</f>
        <v>0</v>
      </c>
      <c r="E53" s="32"/>
      <c r="F53" s="36"/>
      <c r="G53" s="32"/>
      <c r="H53" s="36"/>
      <c r="I53" s="64"/>
      <c r="J53" s="39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1:28" s="59" customFormat="1" ht="16.5" customHeight="1" x14ac:dyDescent="0.15">
      <c r="A54" s="187"/>
      <c r="B54" s="4" t="s">
        <v>6</v>
      </c>
      <c r="C54" s="58">
        <f t="shared" ref="C54:AB54" si="13">C53-C52</f>
        <v>0</v>
      </c>
      <c r="D54" s="58">
        <f t="shared" si="13"/>
        <v>0</v>
      </c>
      <c r="E54" s="58">
        <f t="shared" si="13"/>
        <v>0</v>
      </c>
      <c r="F54" s="58">
        <f t="shared" si="13"/>
        <v>0</v>
      </c>
      <c r="G54" s="58">
        <f t="shared" si="13"/>
        <v>0</v>
      </c>
      <c r="H54" s="58">
        <f t="shared" si="13"/>
        <v>0</v>
      </c>
      <c r="I54" s="58">
        <f t="shared" si="13"/>
        <v>0</v>
      </c>
      <c r="J54" s="58">
        <f t="shared" si="13"/>
        <v>0</v>
      </c>
      <c r="K54" s="58">
        <f t="shared" si="13"/>
        <v>0</v>
      </c>
      <c r="L54" s="58">
        <f t="shared" si="13"/>
        <v>0</v>
      </c>
      <c r="M54" s="58">
        <f t="shared" si="13"/>
        <v>0</v>
      </c>
      <c r="N54" s="58">
        <f t="shared" si="13"/>
        <v>0</v>
      </c>
      <c r="O54" s="58">
        <f t="shared" si="13"/>
        <v>0</v>
      </c>
      <c r="P54" s="58">
        <f t="shared" si="13"/>
        <v>0</v>
      </c>
      <c r="Q54" s="58">
        <f t="shared" si="13"/>
        <v>0</v>
      </c>
      <c r="R54" s="58">
        <f t="shared" si="13"/>
        <v>0</v>
      </c>
      <c r="S54" s="58">
        <f t="shared" si="13"/>
        <v>0</v>
      </c>
      <c r="T54" s="58">
        <f t="shared" si="13"/>
        <v>0</v>
      </c>
      <c r="U54" s="58">
        <f t="shared" si="13"/>
        <v>0</v>
      </c>
      <c r="V54" s="58">
        <f t="shared" si="13"/>
        <v>0</v>
      </c>
      <c r="W54" s="58">
        <f t="shared" si="13"/>
        <v>0</v>
      </c>
      <c r="X54" s="58">
        <f t="shared" si="13"/>
        <v>0</v>
      </c>
      <c r="Y54" s="58">
        <f t="shared" si="13"/>
        <v>0</v>
      </c>
      <c r="Z54" s="58">
        <f t="shared" si="13"/>
        <v>0</v>
      </c>
      <c r="AA54" s="58">
        <f t="shared" si="13"/>
        <v>0</v>
      </c>
      <c r="AB54" s="58">
        <f t="shared" si="13"/>
        <v>0</v>
      </c>
    </row>
    <row r="55" spans="1:28" ht="16.5" customHeight="1" x14ac:dyDescent="0.15">
      <c r="A55" s="185" t="s">
        <v>30</v>
      </c>
      <c r="B55" s="9">
        <v>2012</v>
      </c>
      <c r="C55" s="68">
        <f>SUM(E55,G55,I55,K55,M55,O55,Q55,S55,U55,W55,Y55,AA55)</f>
        <v>0</v>
      </c>
      <c r="D55" s="68">
        <f>SUM(F55,H55,J55,L55,N55,P55,R55,T55,V55,X55,Z55,AB55)</f>
        <v>0</v>
      </c>
      <c r="E55" s="9"/>
      <c r="F55" s="10"/>
      <c r="G55" s="9"/>
      <c r="H55" s="10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s="35" customFormat="1" ht="16.5" customHeight="1" x14ac:dyDescent="0.15">
      <c r="A56" s="186"/>
      <c r="B56" s="32">
        <v>2013</v>
      </c>
      <c r="C56" s="69">
        <f>SUM(E56,G56,I56,K56,M56,O56,Q56,S56,U56,W56,Y56,AA56)</f>
        <v>0</v>
      </c>
      <c r="D56" s="69">
        <f>SUM(F56,H56,J56,L56,N56,P56,R56,T56,V56,X56,Z56,AB56)</f>
        <v>0</v>
      </c>
      <c r="E56" s="32"/>
      <c r="F56" s="36"/>
      <c r="G56" s="32"/>
      <c r="H56" s="36"/>
      <c r="I56" s="64"/>
      <c r="J56" s="39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:28" s="59" customFormat="1" ht="16.5" customHeight="1" x14ac:dyDescent="0.15">
      <c r="A57" s="187"/>
      <c r="B57" s="4" t="s">
        <v>6</v>
      </c>
      <c r="C57" s="58">
        <f t="shared" ref="C57:AB57" si="14">C56-C55</f>
        <v>0</v>
      </c>
      <c r="D57" s="58">
        <f t="shared" si="14"/>
        <v>0</v>
      </c>
      <c r="E57" s="58">
        <f t="shared" si="14"/>
        <v>0</v>
      </c>
      <c r="F57" s="58">
        <f t="shared" si="14"/>
        <v>0</v>
      </c>
      <c r="G57" s="58">
        <f t="shared" si="14"/>
        <v>0</v>
      </c>
      <c r="H57" s="58">
        <f t="shared" si="14"/>
        <v>0</v>
      </c>
      <c r="I57" s="58">
        <f t="shared" si="14"/>
        <v>0</v>
      </c>
      <c r="J57" s="58">
        <f t="shared" si="14"/>
        <v>0</v>
      </c>
      <c r="K57" s="58">
        <f t="shared" si="14"/>
        <v>0</v>
      </c>
      <c r="L57" s="58">
        <f t="shared" si="14"/>
        <v>0</v>
      </c>
      <c r="M57" s="58">
        <f t="shared" si="14"/>
        <v>0</v>
      </c>
      <c r="N57" s="58">
        <f t="shared" si="14"/>
        <v>0</v>
      </c>
      <c r="O57" s="58">
        <f t="shared" si="14"/>
        <v>0</v>
      </c>
      <c r="P57" s="58">
        <f t="shared" si="14"/>
        <v>0</v>
      </c>
      <c r="Q57" s="58">
        <f t="shared" si="14"/>
        <v>0</v>
      </c>
      <c r="R57" s="58">
        <f t="shared" si="14"/>
        <v>0</v>
      </c>
      <c r="S57" s="58">
        <f t="shared" si="14"/>
        <v>0</v>
      </c>
      <c r="T57" s="58">
        <f t="shared" si="14"/>
        <v>0</v>
      </c>
      <c r="U57" s="58">
        <f t="shared" si="14"/>
        <v>0</v>
      </c>
      <c r="V57" s="58">
        <f t="shared" si="14"/>
        <v>0</v>
      </c>
      <c r="W57" s="58">
        <f t="shared" si="14"/>
        <v>0</v>
      </c>
      <c r="X57" s="58">
        <f t="shared" si="14"/>
        <v>0</v>
      </c>
      <c r="Y57" s="58">
        <f t="shared" si="14"/>
        <v>0</v>
      </c>
      <c r="Z57" s="58">
        <f t="shared" si="14"/>
        <v>0</v>
      </c>
      <c r="AA57" s="58">
        <f t="shared" si="14"/>
        <v>0</v>
      </c>
      <c r="AB57" s="58">
        <f t="shared" si="14"/>
        <v>0</v>
      </c>
    </row>
    <row r="58" spans="1:28" ht="16.5" customHeight="1" x14ac:dyDescent="0.15">
      <c r="A58" s="185" t="s">
        <v>31</v>
      </c>
      <c r="B58" s="9">
        <v>2012</v>
      </c>
      <c r="C58" s="68">
        <f>SUM(E58,G58,I58,K58,M58,O58,Q58,S58,U58,W58,Y58,AA58)</f>
        <v>0</v>
      </c>
      <c r="D58" s="68">
        <f>SUM(F58,H58,J58,L58,N58,P58,R58,T58,V58,X58,Z58,AB58)</f>
        <v>0</v>
      </c>
      <c r="E58" s="9"/>
      <c r="F58" s="10"/>
      <c r="G58" s="9"/>
      <c r="H58" s="10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s="35" customFormat="1" ht="16.5" customHeight="1" x14ac:dyDescent="0.15">
      <c r="A59" s="186"/>
      <c r="B59" s="32">
        <v>2013</v>
      </c>
      <c r="C59" s="69">
        <f>SUM(E59,G59,I59,K59,M59,O59,Q59,S59,U59,W59,Y59,AA59)</f>
        <v>0</v>
      </c>
      <c r="D59" s="69">
        <f>SUM(F59,H59,J59,L59,N59,P59,R59,T59,V59,X59,Z59,AB59)</f>
        <v>0</v>
      </c>
      <c r="E59" s="32"/>
      <c r="F59" s="36"/>
      <c r="G59" s="32"/>
      <c r="H59" s="36"/>
      <c r="I59" s="64"/>
      <c r="J59" s="39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spans="1:28" s="59" customFormat="1" ht="16.5" customHeight="1" x14ac:dyDescent="0.15">
      <c r="A60" s="187"/>
      <c r="B60" s="4" t="s">
        <v>6</v>
      </c>
      <c r="C60" s="58">
        <f t="shared" ref="C60:AB60" si="15">C59-C58</f>
        <v>0</v>
      </c>
      <c r="D60" s="58">
        <f t="shared" si="15"/>
        <v>0</v>
      </c>
      <c r="E60" s="58">
        <f t="shared" si="15"/>
        <v>0</v>
      </c>
      <c r="F60" s="58">
        <f t="shared" si="15"/>
        <v>0</v>
      </c>
      <c r="G60" s="58">
        <f t="shared" si="15"/>
        <v>0</v>
      </c>
      <c r="H60" s="58">
        <f t="shared" si="15"/>
        <v>0</v>
      </c>
      <c r="I60" s="58">
        <f t="shared" si="15"/>
        <v>0</v>
      </c>
      <c r="J60" s="58">
        <f t="shared" si="15"/>
        <v>0</v>
      </c>
      <c r="K60" s="58">
        <f t="shared" si="15"/>
        <v>0</v>
      </c>
      <c r="L60" s="58">
        <f t="shared" si="15"/>
        <v>0</v>
      </c>
      <c r="M60" s="58">
        <f t="shared" si="15"/>
        <v>0</v>
      </c>
      <c r="N60" s="58">
        <f t="shared" si="15"/>
        <v>0</v>
      </c>
      <c r="O60" s="58">
        <f t="shared" si="15"/>
        <v>0</v>
      </c>
      <c r="P60" s="58">
        <f t="shared" si="15"/>
        <v>0</v>
      </c>
      <c r="Q60" s="58">
        <f t="shared" si="15"/>
        <v>0</v>
      </c>
      <c r="R60" s="58">
        <f t="shared" si="15"/>
        <v>0</v>
      </c>
      <c r="S60" s="58">
        <f t="shared" si="15"/>
        <v>0</v>
      </c>
      <c r="T60" s="58">
        <f t="shared" si="15"/>
        <v>0</v>
      </c>
      <c r="U60" s="58">
        <f t="shared" si="15"/>
        <v>0</v>
      </c>
      <c r="V60" s="58">
        <f t="shared" si="15"/>
        <v>0</v>
      </c>
      <c r="W60" s="58">
        <f t="shared" si="15"/>
        <v>0</v>
      </c>
      <c r="X60" s="58">
        <f t="shared" si="15"/>
        <v>0</v>
      </c>
      <c r="Y60" s="58">
        <f t="shared" si="15"/>
        <v>0</v>
      </c>
      <c r="Z60" s="58">
        <f t="shared" si="15"/>
        <v>0</v>
      </c>
      <c r="AA60" s="58">
        <f t="shared" si="15"/>
        <v>0</v>
      </c>
      <c r="AB60" s="58">
        <f t="shared" si="15"/>
        <v>0</v>
      </c>
    </row>
    <row r="61" spans="1:28" ht="16.5" customHeight="1" x14ac:dyDescent="0.15">
      <c r="A61" s="185" t="s">
        <v>32</v>
      </c>
      <c r="B61" s="9">
        <v>2012</v>
      </c>
      <c r="C61" s="68">
        <f>SUM(E61,G61,I61,K61,M61,O61,Q61,S61,U61,W61,Y61,AA61)</f>
        <v>0</v>
      </c>
      <c r="D61" s="68">
        <f>SUM(F61,H61,J61,L61,N61,P61,R61,T61,V61,X61,Z61,AB61)</f>
        <v>0</v>
      </c>
      <c r="E61" s="9"/>
      <c r="F61" s="10"/>
      <c r="G61" s="9"/>
      <c r="H61" s="10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s="35" customFormat="1" ht="16.5" customHeight="1" x14ac:dyDescent="0.15">
      <c r="A62" s="186"/>
      <c r="B62" s="32">
        <v>2013</v>
      </c>
      <c r="C62" s="69">
        <f>SUM(E62,G62,I62,K62,M62,O62,Q62,S62,U62,W62,Y62,AA62)</f>
        <v>0</v>
      </c>
      <c r="D62" s="69">
        <f>SUM(F62,H62,J62,L62,N62,P62,R62,T62,V62,X62,Z62,AB62)</f>
        <v>0</v>
      </c>
      <c r="E62" s="32"/>
      <c r="F62" s="36"/>
      <c r="G62" s="32"/>
      <c r="H62" s="36"/>
      <c r="I62" s="64"/>
      <c r="J62" s="39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1:28" s="59" customFormat="1" ht="16.5" customHeight="1" x14ac:dyDescent="0.15">
      <c r="A63" s="187"/>
      <c r="B63" s="4" t="s">
        <v>6</v>
      </c>
      <c r="C63" s="58">
        <f t="shared" ref="C63:AB63" si="16">C62-C61</f>
        <v>0</v>
      </c>
      <c r="D63" s="58">
        <f t="shared" si="16"/>
        <v>0</v>
      </c>
      <c r="E63" s="58">
        <f t="shared" si="16"/>
        <v>0</v>
      </c>
      <c r="F63" s="58">
        <f t="shared" si="16"/>
        <v>0</v>
      </c>
      <c r="G63" s="58">
        <f t="shared" si="16"/>
        <v>0</v>
      </c>
      <c r="H63" s="58">
        <f t="shared" si="16"/>
        <v>0</v>
      </c>
      <c r="I63" s="58">
        <f t="shared" si="16"/>
        <v>0</v>
      </c>
      <c r="J63" s="58">
        <f t="shared" si="16"/>
        <v>0</v>
      </c>
      <c r="K63" s="58">
        <f t="shared" si="16"/>
        <v>0</v>
      </c>
      <c r="L63" s="58">
        <f t="shared" si="16"/>
        <v>0</v>
      </c>
      <c r="M63" s="58">
        <f t="shared" si="16"/>
        <v>0</v>
      </c>
      <c r="N63" s="58">
        <f t="shared" si="16"/>
        <v>0</v>
      </c>
      <c r="O63" s="58">
        <f t="shared" si="16"/>
        <v>0</v>
      </c>
      <c r="P63" s="58">
        <f t="shared" si="16"/>
        <v>0</v>
      </c>
      <c r="Q63" s="58">
        <f t="shared" si="16"/>
        <v>0</v>
      </c>
      <c r="R63" s="58">
        <f t="shared" si="16"/>
        <v>0</v>
      </c>
      <c r="S63" s="58">
        <f t="shared" si="16"/>
        <v>0</v>
      </c>
      <c r="T63" s="58">
        <f t="shared" si="16"/>
        <v>0</v>
      </c>
      <c r="U63" s="58">
        <f t="shared" si="16"/>
        <v>0</v>
      </c>
      <c r="V63" s="58">
        <f t="shared" si="16"/>
        <v>0</v>
      </c>
      <c r="W63" s="58">
        <f t="shared" si="16"/>
        <v>0</v>
      </c>
      <c r="X63" s="58">
        <f t="shared" si="16"/>
        <v>0</v>
      </c>
      <c r="Y63" s="58">
        <f t="shared" si="16"/>
        <v>0</v>
      </c>
      <c r="Z63" s="58">
        <f t="shared" si="16"/>
        <v>0</v>
      </c>
      <c r="AA63" s="58">
        <f t="shared" si="16"/>
        <v>0</v>
      </c>
      <c r="AB63" s="58">
        <f t="shared" si="16"/>
        <v>0</v>
      </c>
    </row>
    <row r="64" spans="1:28" ht="16.5" customHeight="1" x14ac:dyDescent="0.15">
      <c r="A64" s="185" t="s">
        <v>18</v>
      </c>
      <c r="B64" s="7">
        <v>2012</v>
      </c>
      <c r="C64" s="66">
        <f>SUM(E64,G64,I64,K64,M64,O64,Q64,S64,U64,W64,Y64,AA64)</f>
        <v>0</v>
      </c>
      <c r="D64" s="66">
        <f>SUM(F64,H64,J64,L64,N64,P64,R64,T64,V64,X64,Z64,AB64)</f>
        <v>0</v>
      </c>
      <c r="E64" s="7"/>
      <c r="F64" s="8"/>
      <c r="G64" s="7"/>
      <c r="H64" s="8"/>
      <c r="I64" s="7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9" s="35" customFormat="1" ht="16.5" customHeight="1" x14ac:dyDescent="0.15">
      <c r="A65" s="186"/>
      <c r="B65" s="37">
        <v>2013</v>
      </c>
      <c r="C65" s="65">
        <f>SUM(E65,G65,I65,K65,M65,O65,Q65,S65,U65,W65,Y65,AA65)</f>
        <v>0</v>
      </c>
      <c r="D65" s="65">
        <f>SUM(F65,H65,J65,L65,N65,P65,R65,T65,V65,X65,Z65,AB65)</f>
        <v>0</v>
      </c>
      <c r="E65" s="37"/>
      <c r="F65" s="38"/>
      <c r="G65" s="37"/>
      <c r="H65" s="38"/>
      <c r="I65" s="37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 spans="1:29" s="59" customFormat="1" ht="16.5" customHeight="1" x14ac:dyDescent="0.15">
      <c r="A66" s="187"/>
      <c r="B66" s="4" t="s">
        <v>6</v>
      </c>
      <c r="C66" s="58">
        <f t="shared" ref="C66:AB66" si="17">C65-C64</f>
        <v>0</v>
      </c>
      <c r="D66" s="58">
        <f t="shared" si="17"/>
        <v>0</v>
      </c>
      <c r="E66" s="58">
        <f t="shared" si="17"/>
        <v>0</v>
      </c>
      <c r="F66" s="58">
        <f t="shared" si="17"/>
        <v>0</v>
      </c>
      <c r="G66" s="58">
        <f t="shared" si="17"/>
        <v>0</v>
      </c>
      <c r="H66" s="58">
        <f t="shared" si="17"/>
        <v>0</v>
      </c>
      <c r="I66" s="58">
        <f t="shared" si="17"/>
        <v>0</v>
      </c>
      <c r="J66" s="58">
        <f t="shared" si="17"/>
        <v>0</v>
      </c>
      <c r="K66" s="58">
        <f t="shared" si="17"/>
        <v>0</v>
      </c>
      <c r="L66" s="58">
        <f t="shared" si="17"/>
        <v>0</v>
      </c>
      <c r="M66" s="58">
        <f t="shared" si="17"/>
        <v>0</v>
      </c>
      <c r="N66" s="58">
        <f t="shared" si="17"/>
        <v>0</v>
      </c>
      <c r="O66" s="58">
        <f t="shared" si="17"/>
        <v>0</v>
      </c>
      <c r="P66" s="58">
        <f t="shared" si="17"/>
        <v>0</v>
      </c>
      <c r="Q66" s="58">
        <f t="shared" si="17"/>
        <v>0</v>
      </c>
      <c r="R66" s="58">
        <f t="shared" si="17"/>
        <v>0</v>
      </c>
      <c r="S66" s="58">
        <f t="shared" si="17"/>
        <v>0</v>
      </c>
      <c r="T66" s="58">
        <f t="shared" si="17"/>
        <v>0</v>
      </c>
      <c r="U66" s="58">
        <f t="shared" si="17"/>
        <v>0</v>
      </c>
      <c r="V66" s="58">
        <f t="shared" si="17"/>
        <v>0</v>
      </c>
      <c r="W66" s="58">
        <f t="shared" si="17"/>
        <v>0</v>
      </c>
      <c r="X66" s="58">
        <f t="shared" si="17"/>
        <v>0</v>
      </c>
      <c r="Y66" s="58">
        <f t="shared" si="17"/>
        <v>0</v>
      </c>
      <c r="Z66" s="58">
        <f t="shared" si="17"/>
        <v>0</v>
      </c>
      <c r="AA66" s="58">
        <f t="shared" si="17"/>
        <v>0</v>
      </c>
      <c r="AB66" s="58">
        <f t="shared" si="17"/>
        <v>0</v>
      </c>
    </row>
    <row r="67" spans="1:29" ht="12.75" customHeight="1" x14ac:dyDescent="0.15">
      <c r="AB67" s="6" t="s">
        <v>7</v>
      </c>
    </row>
    <row r="68" spans="1:29" ht="21" customHeight="1" x14ac:dyDescent="0.15">
      <c r="A68" s="197" t="s">
        <v>18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5"/>
    </row>
    <row r="69" spans="1:29" s="3" customFormat="1" ht="27.75" customHeight="1" x14ac:dyDescent="0.15">
      <c r="A69" s="2"/>
      <c r="B69" s="2"/>
      <c r="C69" s="195" t="s">
        <v>19</v>
      </c>
      <c r="D69" s="196"/>
      <c r="E69" s="195">
        <v>1</v>
      </c>
      <c r="F69" s="196"/>
      <c r="G69" s="195">
        <v>2</v>
      </c>
      <c r="H69" s="196"/>
      <c r="I69" s="195">
        <v>3</v>
      </c>
      <c r="J69" s="196"/>
      <c r="K69" s="195">
        <v>4</v>
      </c>
      <c r="L69" s="196"/>
      <c r="M69" s="195">
        <v>5</v>
      </c>
      <c r="N69" s="196"/>
      <c r="O69" s="195">
        <v>6</v>
      </c>
      <c r="P69" s="196"/>
      <c r="Q69" s="195">
        <v>7</v>
      </c>
      <c r="R69" s="196"/>
      <c r="S69" s="195">
        <v>8</v>
      </c>
      <c r="T69" s="196"/>
      <c r="U69" s="195">
        <v>9</v>
      </c>
      <c r="V69" s="196"/>
      <c r="W69" s="195">
        <v>10</v>
      </c>
      <c r="X69" s="196"/>
      <c r="Y69" s="195">
        <v>11</v>
      </c>
      <c r="Z69" s="196"/>
      <c r="AA69" s="195">
        <v>12</v>
      </c>
      <c r="AB69" s="196"/>
    </row>
    <row r="70" spans="1:29" s="59" customFormat="1" ht="24" customHeight="1" x14ac:dyDescent="0.15">
      <c r="A70" s="194" t="s">
        <v>0</v>
      </c>
      <c r="B70" s="7">
        <v>2012</v>
      </c>
      <c r="C70" s="192">
        <f>SUM(E70:AB70)</f>
        <v>0</v>
      </c>
      <c r="D70" s="193"/>
      <c r="E70" s="192">
        <f>SUM(F73,F76,F79,F82,F85,F88,F91,F94,F97)</f>
        <v>0</v>
      </c>
      <c r="F70" s="193"/>
      <c r="G70" s="192">
        <f>SUM(H73,H76,H79,H82,H85,H88,H91,H94,H97)</f>
        <v>0</v>
      </c>
      <c r="H70" s="193"/>
      <c r="I70" s="192">
        <f>SUM(J73,J76,J79,J82,J85,J88,J91,J94,J97)</f>
        <v>0</v>
      </c>
      <c r="J70" s="193"/>
      <c r="K70" s="192">
        <f>SUM(L73,L76,L79,L82,L85,L88,L91,L94,L97)</f>
        <v>0</v>
      </c>
      <c r="L70" s="193"/>
      <c r="M70" s="192">
        <f>SUM(N73,N76,N79,N82,N85,N88,N91,N94,N97)</f>
        <v>0</v>
      </c>
      <c r="N70" s="193"/>
      <c r="O70" s="192">
        <f>SUM(P73,P76,P79,P82,P85,P88,P91,P94,P97)</f>
        <v>0</v>
      </c>
      <c r="P70" s="193"/>
      <c r="Q70" s="192">
        <f>SUM(R73,R76,R79,R82,R85,R88,R91,R94,R97)</f>
        <v>0</v>
      </c>
      <c r="R70" s="193"/>
      <c r="S70" s="192">
        <f>SUM(T73,T76,T79,T82,T85,T88,T91,T94,T97)</f>
        <v>0</v>
      </c>
      <c r="T70" s="193"/>
      <c r="U70" s="192">
        <f>SUM(V73,V76,V79,V82,V85,V88,V91,V94,V97)</f>
        <v>0</v>
      </c>
      <c r="V70" s="193"/>
      <c r="W70" s="192">
        <f>SUM(X73,X76,X79,X82,X85,X88,X91,X94,X97)</f>
        <v>0</v>
      </c>
      <c r="X70" s="193"/>
      <c r="Y70" s="192">
        <f>SUM(Z73,Z76,Z79,Z82,Z85,Z88,Z91,Z94,Z97)</f>
        <v>0</v>
      </c>
      <c r="Z70" s="193"/>
      <c r="AA70" s="192">
        <f>SUM(AB73,AB76,AB79,AB82,AB85,AB88,AB91,AB94,AB97)</f>
        <v>0</v>
      </c>
      <c r="AB70" s="193"/>
    </row>
    <row r="71" spans="1:29" s="60" customFormat="1" ht="24" customHeight="1" x14ac:dyDescent="0.15">
      <c r="A71" s="194"/>
      <c r="B71" s="37">
        <v>2013</v>
      </c>
      <c r="C71" s="190">
        <f>SUM(E71:AB71)</f>
        <v>0</v>
      </c>
      <c r="D71" s="191"/>
      <c r="E71" s="190">
        <f>SUM(F74,F77,F80,F83,F86,F89,F92,F95,F98)</f>
        <v>0</v>
      </c>
      <c r="F71" s="191"/>
      <c r="G71" s="190">
        <f>SUM(H74,H77,H80,H83,H86,H89,H92,H95,H98)</f>
        <v>0</v>
      </c>
      <c r="H71" s="191"/>
      <c r="I71" s="190">
        <f>SUM(J74,J77,J80,J83,J86,J89,J92,J95,J98)</f>
        <v>0</v>
      </c>
      <c r="J71" s="191"/>
      <c r="K71" s="190">
        <f>SUM(L74,L77,L80,L83,L86,L89,L92,L95,L98)</f>
        <v>0</v>
      </c>
      <c r="L71" s="191"/>
      <c r="M71" s="190">
        <f>SUM(N74,N77,N80,N83,N86,N89,N92,N95,N98)</f>
        <v>0</v>
      </c>
      <c r="N71" s="191"/>
      <c r="O71" s="190">
        <f>SUM(P74,P77,P80,P83,P86,P89,P92,P95,P98)</f>
        <v>0</v>
      </c>
      <c r="P71" s="191"/>
      <c r="Q71" s="190">
        <f>SUM(R74,R77,R80,R83,R86,R89,R92,R95,R98)</f>
        <v>0</v>
      </c>
      <c r="R71" s="191"/>
      <c r="S71" s="190">
        <f>SUM(T74,T77,T80,T83,T86,T89,T92,T95,T98)</f>
        <v>0</v>
      </c>
      <c r="T71" s="191"/>
      <c r="U71" s="190">
        <f>SUM(V74,V77,V80,V83,V86,V89,V92,V95,V98)</f>
        <v>0</v>
      </c>
      <c r="V71" s="191"/>
      <c r="W71" s="190">
        <f>SUM(X74,X77,X80,X83,X86,X89,X92,X95,X98)</f>
        <v>0</v>
      </c>
      <c r="X71" s="191"/>
      <c r="Y71" s="190">
        <f>SUM(Z74,Z77,Z80,Z83,Z86,Z89,Z92,Z95,Z98)</f>
        <v>0</v>
      </c>
      <c r="Z71" s="191"/>
      <c r="AA71" s="190">
        <f>SUM(AB74,AB77,AB80,AB83,AB86,AB89,AB92,AB95,AB98)</f>
        <v>0</v>
      </c>
      <c r="AB71" s="191"/>
    </row>
    <row r="72" spans="1:29" s="59" customFormat="1" ht="24" customHeight="1" x14ac:dyDescent="0.15">
      <c r="A72" s="194"/>
      <c r="B72" s="11" t="s">
        <v>6</v>
      </c>
      <c r="C72" s="199">
        <f>C71-C70</f>
        <v>0</v>
      </c>
      <c r="D72" s="200"/>
      <c r="E72" s="199">
        <f>E71-E70</f>
        <v>0</v>
      </c>
      <c r="F72" s="200"/>
      <c r="G72" s="199">
        <f>G71-G70</f>
        <v>0</v>
      </c>
      <c r="H72" s="200"/>
      <c r="I72" s="199">
        <f>I71-I70</f>
        <v>0</v>
      </c>
      <c r="J72" s="200"/>
      <c r="K72" s="199">
        <f>K71-K70</f>
        <v>0</v>
      </c>
      <c r="L72" s="200"/>
      <c r="M72" s="199">
        <f>M71-M70</f>
        <v>0</v>
      </c>
      <c r="N72" s="200"/>
      <c r="O72" s="199">
        <f>O71-O70</f>
        <v>0</v>
      </c>
      <c r="P72" s="200"/>
      <c r="Q72" s="199">
        <f>Q71-Q70</f>
        <v>0</v>
      </c>
      <c r="R72" s="200"/>
      <c r="S72" s="199">
        <f>S71-S70</f>
        <v>0</v>
      </c>
      <c r="T72" s="200"/>
      <c r="U72" s="199">
        <f>U71-U70</f>
        <v>0</v>
      </c>
      <c r="V72" s="200"/>
      <c r="W72" s="199">
        <f>W71-W70</f>
        <v>0</v>
      </c>
      <c r="X72" s="200"/>
      <c r="Y72" s="199">
        <f>Y71-Y70</f>
        <v>0</v>
      </c>
      <c r="Z72" s="200"/>
      <c r="AA72" s="199">
        <f>AA71-AA70</f>
        <v>0</v>
      </c>
      <c r="AB72" s="200"/>
    </row>
    <row r="73" spans="1:29" ht="16.5" customHeight="1" x14ac:dyDescent="0.15">
      <c r="A73" s="185" t="s">
        <v>1</v>
      </c>
      <c r="B73" s="7">
        <v>2012</v>
      </c>
      <c r="C73" s="66">
        <f>SUM(E73,G73,I73,K73,M73,O73,Q73,S73,U73,W73,Y73,AA73)</f>
        <v>0</v>
      </c>
      <c r="D73" s="66">
        <f>SUM(F73,H73,J73,L73,N73,P73,R73,T73,V73,X73,Z73,AB73)</f>
        <v>0</v>
      </c>
      <c r="E73" s="7"/>
      <c r="F73" s="8"/>
      <c r="G73" s="7"/>
      <c r="H73" s="8"/>
      <c r="I73" s="7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9" s="35" customFormat="1" ht="16.5" customHeight="1" x14ac:dyDescent="0.15">
      <c r="A74" s="186"/>
      <c r="B74" s="33">
        <v>2013</v>
      </c>
      <c r="C74" s="67">
        <f>SUM(E74,G74,I74,K74,M74,O74,Q74,S74,U74,W74,Y74,AA74)</f>
        <v>0</v>
      </c>
      <c r="D74" s="67">
        <f>SUM(F74,H74,J74,L74,N74,P74,R74,T74,V74,X74,Z74,AB74)</f>
        <v>0</v>
      </c>
      <c r="E74" s="33"/>
      <c r="F74" s="34"/>
      <c r="G74" s="33"/>
      <c r="H74" s="34"/>
      <c r="I74" s="33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 spans="1:29" s="59" customFormat="1" ht="16.5" customHeight="1" x14ac:dyDescent="0.15">
      <c r="A75" s="187"/>
      <c r="B75" s="4" t="s">
        <v>6</v>
      </c>
      <c r="C75" s="58">
        <f>C74-C73</f>
        <v>0</v>
      </c>
      <c r="D75" s="58">
        <f>D74-D73</f>
        <v>0</v>
      </c>
      <c r="E75" s="58">
        <f t="shared" ref="E75:AB75" si="18">E74-E73</f>
        <v>0</v>
      </c>
      <c r="F75" s="58">
        <f t="shared" si="18"/>
        <v>0</v>
      </c>
      <c r="G75" s="58">
        <f t="shared" si="18"/>
        <v>0</v>
      </c>
      <c r="H75" s="58">
        <f t="shared" si="18"/>
        <v>0</v>
      </c>
      <c r="I75" s="58">
        <f t="shared" si="18"/>
        <v>0</v>
      </c>
      <c r="J75" s="58">
        <f t="shared" si="18"/>
        <v>0</v>
      </c>
      <c r="K75" s="58">
        <f t="shared" si="18"/>
        <v>0</v>
      </c>
      <c r="L75" s="58">
        <f t="shared" si="18"/>
        <v>0</v>
      </c>
      <c r="M75" s="58">
        <f t="shared" si="18"/>
        <v>0</v>
      </c>
      <c r="N75" s="58">
        <f t="shared" si="18"/>
        <v>0</v>
      </c>
      <c r="O75" s="58">
        <f t="shared" si="18"/>
        <v>0</v>
      </c>
      <c r="P75" s="58">
        <f t="shared" si="18"/>
        <v>0</v>
      </c>
      <c r="Q75" s="58">
        <f t="shared" si="18"/>
        <v>0</v>
      </c>
      <c r="R75" s="58">
        <f t="shared" si="18"/>
        <v>0</v>
      </c>
      <c r="S75" s="58">
        <f t="shared" si="18"/>
        <v>0</v>
      </c>
      <c r="T75" s="58">
        <f t="shared" si="18"/>
        <v>0</v>
      </c>
      <c r="U75" s="58">
        <f t="shared" si="18"/>
        <v>0</v>
      </c>
      <c r="V75" s="58">
        <f t="shared" si="18"/>
        <v>0</v>
      </c>
      <c r="W75" s="58">
        <f t="shared" si="18"/>
        <v>0</v>
      </c>
      <c r="X75" s="58">
        <f t="shared" si="18"/>
        <v>0</v>
      </c>
      <c r="Y75" s="58">
        <f t="shared" si="18"/>
        <v>0</v>
      </c>
      <c r="Z75" s="58">
        <f t="shared" si="18"/>
        <v>0</v>
      </c>
      <c r="AA75" s="58">
        <f t="shared" si="18"/>
        <v>0</v>
      </c>
      <c r="AB75" s="58">
        <f t="shared" si="18"/>
        <v>0</v>
      </c>
    </row>
    <row r="76" spans="1:29" ht="16.5" customHeight="1" x14ac:dyDescent="0.15">
      <c r="A76" s="185" t="s">
        <v>2</v>
      </c>
      <c r="B76" s="9">
        <v>2012</v>
      </c>
      <c r="C76" s="68">
        <f>SUM(E76,G76,I76,K76,M76,O76,Q76,S76,U76,W76,Y76,AA76)</f>
        <v>0</v>
      </c>
      <c r="D76" s="68">
        <f>SUM(F76,H76,J76,L76,N76,P76,R76,T76,V76,X76,Z76,AB76)</f>
        <v>0</v>
      </c>
      <c r="E76" s="9"/>
      <c r="F76" s="10"/>
      <c r="G76" s="9"/>
      <c r="H76" s="10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9" s="35" customFormat="1" ht="16.5" customHeight="1" x14ac:dyDescent="0.15">
      <c r="A77" s="186"/>
      <c r="B77" s="32">
        <v>2013</v>
      </c>
      <c r="C77" s="69">
        <f>SUM(E77,G77,I77,K77,M77,O77,Q77,S77,U77,W77,Y77,AA77)</f>
        <v>0</v>
      </c>
      <c r="D77" s="69">
        <f>SUM(F77,H77,J77,L77,N77,P77,R77,T77,V77,X77,Z77,AB77)</f>
        <v>0</v>
      </c>
      <c r="E77" s="32"/>
      <c r="F77" s="36"/>
      <c r="G77" s="32"/>
      <c r="H77" s="36"/>
      <c r="I77" s="64"/>
      <c r="J77" s="39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1:29" s="59" customFormat="1" ht="16.5" customHeight="1" x14ac:dyDescent="0.15">
      <c r="A78" s="187"/>
      <c r="B78" s="4" t="s">
        <v>6</v>
      </c>
      <c r="C78" s="58">
        <f>C77-C76</f>
        <v>0</v>
      </c>
      <c r="D78" s="58">
        <f>D77-D76</f>
        <v>0</v>
      </c>
      <c r="E78" s="58">
        <f t="shared" ref="E78:AB78" si="19">E77-E76</f>
        <v>0</v>
      </c>
      <c r="F78" s="58">
        <f t="shared" si="19"/>
        <v>0</v>
      </c>
      <c r="G78" s="58">
        <f t="shared" si="19"/>
        <v>0</v>
      </c>
      <c r="H78" s="58">
        <f t="shared" si="19"/>
        <v>0</v>
      </c>
      <c r="I78" s="58">
        <f t="shared" si="19"/>
        <v>0</v>
      </c>
      <c r="J78" s="58">
        <f t="shared" si="19"/>
        <v>0</v>
      </c>
      <c r="K78" s="58">
        <f t="shared" si="19"/>
        <v>0</v>
      </c>
      <c r="L78" s="58">
        <f t="shared" si="19"/>
        <v>0</v>
      </c>
      <c r="M78" s="58">
        <f t="shared" si="19"/>
        <v>0</v>
      </c>
      <c r="N78" s="58">
        <f t="shared" si="19"/>
        <v>0</v>
      </c>
      <c r="O78" s="58">
        <f t="shared" si="19"/>
        <v>0</v>
      </c>
      <c r="P78" s="58">
        <f t="shared" si="19"/>
        <v>0</v>
      </c>
      <c r="Q78" s="58">
        <f t="shared" si="19"/>
        <v>0</v>
      </c>
      <c r="R78" s="58">
        <f t="shared" si="19"/>
        <v>0</v>
      </c>
      <c r="S78" s="58">
        <f t="shared" si="19"/>
        <v>0</v>
      </c>
      <c r="T78" s="58">
        <f t="shared" si="19"/>
        <v>0</v>
      </c>
      <c r="U78" s="58">
        <f t="shared" si="19"/>
        <v>0</v>
      </c>
      <c r="V78" s="58">
        <f t="shared" si="19"/>
        <v>0</v>
      </c>
      <c r="W78" s="58">
        <f t="shared" si="19"/>
        <v>0</v>
      </c>
      <c r="X78" s="58">
        <f t="shared" si="19"/>
        <v>0</v>
      </c>
      <c r="Y78" s="58">
        <f t="shared" si="19"/>
        <v>0</v>
      </c>
      <c r="Z78" s="58">
        <f t="shared" si="19"/>
        <v>0</v>
      </c>
      <c r="AA78" s="58">
        <f t="shared" si="19"/>
        <v>0</v>
      </c>
      <c r="AB78" s="58">
        <f t="shared" si="19"/>
        <v>0</v>
      </c>
    </row>
    <row r="79" spans="1:29" ht="16.5" customHeight="1" x14ac:dyDescent="0.15">
      <c r="A79" s="185" t="s">
        <v>3</v>
      </c>
      <c r="B79" s="7">
        <v>2012</v>
      </c>
      <c r="C79" s="66">
        <f>SUM(E79,G79,I79,K79,M79,O79,Q79,S79,U79,W79,Y79,AA79)</f>
        <v>0</v>
      </c>
      <c r="D79" s="66">
        <f>SUM(F79,H79,J79,L79,N79,P79,R79,T79,V79,X79,Z79,AB79)</f>
        <v>0</v>
      </c>
      <c r="E79" s="7"/>
      <c r="F79" s="8"/>
      <c r="G79" s="7"/>
      <c r="H79" s="8"/>
      <c r="I79" s="7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9" s="35" customFormat="1" ht="16.5" customHeight="1" x14ac:dyDescent="0.15">
      <c r="A80" s="186"/>
      <c r="B80" s="37">
        <v>2013</v>
      </c>
      <c r="C80" s="65">
        <f>SUM(E80,G80,I80,K80,M80,O80,Q80,S80,U80,W80,Y80,AA80)</f>
        <v>0</v>
      </c>
      <c r="D80" s="65">
        <f>SUM(F80,H80,J80,L80,N80,P80,R80,T80,V80,X80,Z80,AB80)</f>
        <v>0</v>
      </c>
      <c r="E80" s="37"/>
      <c r="F80" s="38"/>
      <c r="G80" s="37"/>
      <c r="H80" s="38"/>
      <c r="I80" s="37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1:28" s="59" customFormat="1" ht="16.5" customHeight="1" x14ac:dyDescent="0.15">
      <c r="A81" s="187"/>
      <c r="B81" s="4" t="s">
        <v>6</v>
      </c>
      <c r="C81" s="58">
        <f>C80-C79</f>
        <v>0</v>
      </c>
      <c r="D81" s="58">
        <f>D80-D79</f>
        <v>0</v>
      </c>
      <c r="E81" s="58">
        <f t="shared" ref="E81:AB81" si="20">E80-E79</f>
        <v>0</v>
      </c>
      <c r="F81" s="58">
        <f t="shared" si="20"/>
        <v>0</v>
      </c>
      <c r="G81" s="58">
        <f t="shared" si="20"/>
        <v>0</v>
      </c>
      <c r="H81" s="58">
        <f t="shared" si="20"/>
        <v>0</v>
      </c>
      <c r="I81" s="58">
        <f t="shared" si="20"/>
        <v>0</v>
      </c>
      <c r="J81" s="58">
        <f t="shared" si="20"/>
        <v>0</v>
      </c>
      <c r="K81" s="58">
        <f t="shared" si="20"/>
        <v>0</v>
      </c>
      <c r="L81" s="58">
        <f t="shared" si="20"/>
        <v>0</v>
      </c>
      <c r="M81" s="58">
        <f t="shared" si="20"/>
        <v>0</v>
      </c>
      <c r="N81" s="58">
        <f t="shared" si="20"/>
        <v>0</v>
      </c>
      <c r="O81" s="58">
        <f t="shared" si="20"/>
        <v>0</v>
      </c>
      <c r="P81" s="58">
        <f t="shared" si="20"/>
        <v>0</v>
      </c>
      <c r="Q81" s="58">
        <f t="shared" si="20"/>
        <v>0</v>
      </c>
      <c r="R81" s="58">
        <f t="shared" si="20"/>
        <v>0</v>
      </c>
      <c r="S81" s="58">
        <f t="shared" si="20"/>
        <v>0</v>
      </c>
      <c r="T81" s="58">
        <f t="shared" si="20"/>
        <v>0</v>
      </c>
      <c r="U81" s="58">
        <f t="shared" si="20"/>
        <v>0</v>
      </c>
      <c r="V81" s="58">
        <f t="shared" si="20"/>
        <v>0</v>
      </c>
      <c r="W81" s="58">
        <f t="shared" si="20"/>
        <v>0</v>
      </c>
      <c r="X81" s="58">
        <f t="shared" si="20"/>
        <v>0</v>
      </c>
      <c r="Y81" s="58">
        <f t="shared" si="20"/>
        <v>0</v>
      </c>
      <c r="Z81" s="58">
        <f t="shared" si="20"/>
        <v>0</v>
      </c>
      <c r="AA81" s="58">
        <f t="shared" si="20"/>
        <v>0</v>
      </c>
      <c r="AB81" s="58">
        <f t="shared" si="20"/>
        <v>0</v>
      </c>
    </row>
    <row r="82" spans="1:28" ht="16.5" customHeight="1" x14ac:dyDescent="0.15">
      <c r="A82" s="185" t="s">
        <v>16</v>
      </c>
      <c r="B82" s="7">
        <v>2012</v>
      </c>
      <c r="C82" s="66">
        <f>SUM(E82,G82,I82,K82,M82,O82,Q82,S82,U82,W82,Y82,AA82)</f>
        <v>0</v>
      </c>
      <c r="D82" s="66">
        <f>SUM(F82,H82,J82,L82,N82,P82,R82,T82,V82,X82,Z82,AB82)</f>
        <v>0</v>
      </c>
      <c r="E82" s="7"/>
      <c r="F82" s="8"/>
      <c r="G82" s="7"/>
      <c r="H82" s="8"/>
      <c r="I82" s="7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35" customFormat="1" ht="16.5" customHeight="1" x14ac:dyDescent="0.15">
      <c r="A83" s="186"/>
      <c r="B83" s="33">
        <v>2013</v>
      </c>
      <c r="C83" s="67">
        <f>SUM(E83,G83,I83,K83,M83,O83,Q83,S83,U83,W83,Y83,AA83)</f>
        <v>0</v>
      </c>
      <c r="D83" s="67">
        <f>SUM(F83,H83,J83,L83,N83,P83,R83,T83,V83,X83,Z83,AB83)</f>
        <v>0</v>
      </c>
      <c r="E83" s="33"/>
      <c r="F83" s="34"/>
      <c r="G83" s="33"/>
      <c r="H83" s="34"/>
      <c r="I83" s="33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s="59" customFormat="1" ht="16.5" customHeight="1" x14ac:dyDescent="0.15">
      <c r="A84" s="187"/>
      <c r="B84" s="4" t="s">
        <v>6</v>
      </c>
      <c r="C84" s="58">
        <f>C83-C82</f>
        <v>0</v>
      </c>
      <c r="D84" s="58">
        <f>D83-D82</f>
        <v>0</v>
      </c>
      <c r="E84" s="58">
        <f t="shared" ref="E84:AB84" si="21">E83-E82</f>
        <v>0</v>
      </c>
      <c r="F84" s="58">
        <f t="shared" si="21"/>
        <v>0</v>
      </c>
      <c r="G84" s="58">
        <f t="shared" si="21"/>
        <v>0</v>
      </c>
      <c r="H84" s="58">
        <f t="shared" si="21"/>
        <v>0</v>
      </c>
      <c r="I84" s="58">
        <f t="shared" si="21"/>
        <v>0</v>
      </c>
      <c r="J84" s="58">
        <f t="shared" si="21"/>
        <v>0</v>
      </c>
      <c r="K84" s="58">
        <f t="shared" si="21"/>
        <v>0</v>
      </c>
      <c r="L84" s="58">
        <f t="shared" si="21"/>
        <v>0</v>
      </c>
      <c r="M84" s="58">
        <f t="shared" si="21"/>
        <v>0</v>
      </c>
      <c r="N84" s="58">
        <f t="shared" si="21"/>
        <v>0</v>
      </c>
      <c r="O84" s="58">
        <f t="shared" si="21"/>
        <v>0</v>
      </c>
      <c r="P84" s="58">
        <f t="shared" si="21"/>
        <v>0</v>
      </c>
      <c r="Q84" s="58">
        <f t="shared" si="21"/>
        <v>0</v>
      </c>
      <c r="R84" s="58">
        <f t="shared" si="21"/>
        <v>0</v>
      </c>
      <c r="S84" s="58">
        <f t="shared" si="21"/>
        <v>0</v>
      </c>
      <c r="T84" s="58">
        <f t="shared" si="21"/>
        <v>0</v>
      </c>
      <c r="U84" s="58">
        <f t="shared" si="21"/>
        <v>0</v>
      </c>
      <c r="V84" s="58">
        <f t="shared" si="21"/>
        <v>0</v>
      </c>
      <c r="W84" s="58">
        <f t="shared" si="21"/>
        <v>0</v>
      </c>
      <c r="X84" s="58">
        <f t="shared" si="21"/>
        <v>0</v>
      </c>
      <c r="Y84" s="58">
        <f t="shared" si="21"/>
        <v>0</v>
      </c>
      <c r="Z84" s="58">
        <f t="shared" si="21"/>
        <v>0</v>
      </c>
      <c r="AA84" s="58">
        <f t="shared" si="21"/>
        <v>0</v>
      </c>
      <c r="AB84" s="58">
        <f t="shared" si="21"/>
        <v>0</v>
      </c>
    </row>
    <row r="85" spans="1:28" ht="16.5" customHeight="1" x14ac:dyDescent="0.15">
      <c r="A85" s="185" t="s">
        <v>17</v>
      </c>
      <c r="B85" s="9">
        <v>2012</v>
      </c>
      <c r="C85" s="68">
        <f>SUM(E85,G85,I85,K85,M85,O85,Q85,S85,U85,W85,Y85,AA85)</f>
        <v>0</v>
      </c>
      <c r="D85" s="68">
        <f>SUM(F85,H85,J85,L85,N85,P85,R85,T85,V85,X85,Z85,AB85)</f>
        <v>0</v>
      </c>
      <c r="E85" s="9"/>
      <c r="F85" s="10"/>
      <c r="G85" s="9"/>
      <c r="H85" s="10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s="35" customFormat="1" ht="16.5" customHeight="1" x14ac:dyDescent="0.15">
      <c r="A86" s="186"/>
      <c r="B86" s="32">
        <v>2013</v>
      </c>
      <c r="C86" s="69">
        <f>SUM(E86,G86,I86,K86,M86,O86,Q86,S86,U86,W86,Y86,AA86)</f>
        <v>0</v>
      </c>
      <c r="D86" s="69">
        <f>SUM(F86,H86,J86,L86,N86,P86,R86,T86,V86,X86,Z86,AB86)</f>
        <v>0</v>
      </c>
      <c r="E86" s="32"/>
      <c r="F86" s="36"/>
      <c r="G86" s="32"/>
      <c r="H86" s="36"/>
      <c r="I86" s="64"/>
      <c r="J86" s="39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spans="1:28" s="59" customFormat="1" ht="16.5" customHeight="1" x14ac:dyDescent="0.15">
      <c r="A87" s="187"/>
      <c r="B87" s="4" t="s">
        <v>6</v>
      </c>
      <c r="C87" s="58">
        <f>C86-C85</f>
        <v>0</v>
      </c>
      <c r="D87" s="58">
        <f>D86-D85</f>
        <v>0</v>
      </c>
      <c r="E87" s="58">
        <f t="shared" ref="E87:AB87" si="22">E86-E85</f>
        <v>0</v>
      </c>
      <c r="F87" s="58">
        <f t="shared" si="22"/>
        <v>0</v>
      </c>
      <c r="G87" s="58">
        <f t="shared" si="22"/>
        <v>0</v>
      </c>
      <c r="H87" s="58">
        <f t="shared" si="22"/>
        <v>0</v>
      </c>
      <c r="I87" s="58">
        <f t="shared" si="22"/>
        <v>0</v>
      </c>
      <c r="J87" s="58">
        <f t="shared" si="22"/>
        <v>0</v>
      </c>
      <c r="K87" s="58">
        <f t="shared" si="22"/>
        <v>0</v>
      </c>
      <c r="L87" s="58">
        <f t="shared" si="22"/>
        <v>0</v>
      </c>
      <c r="M87" s="58">
        <f t="shared" si="22"/>
        <v>0</v>
      </c>
      <c r="N87" s="58">
        <f t="shared" si="22"/>
        <v>0</v>
      </c>
      <c r="O87" s="58">
        <f t="shared" si="22"/>
        <v>0</v>
      </c>
      <c r="P87" s="58">
        <f t="shared" si="22"/>
        <v>0</v>
      </c>
      <c r="Q87" s="58">
        <f t="shared" si="22"/>
        <v>0</v>
      </c>
      <c r="R87" s="58">
        <f t="shared" si="22"/>
        <v>0</v>
      </c>
      <c r="S87" s="58">
        <f t="shared" si="22"/>
        <v>0</v>
      </c>
      <c r="T87" s="58">
        <f t="shared" si="22"/>
        <v>0</v>
      </c>
      <c r="U87" s="58">
        <f t="shared" si="22"/>
        <v>0</v>
      </c>
      <c r="V87" s="58">
        <f t="shared" si="22"/>
        <v>0</v>
      </c>
      <c r="W87" s="58">
        <f t="shared" si="22"/>
        <v>0</v>
      </c>
      <c r="X87" s="58">
        <f t="shared" si="22"/>
        <v>0</v>
      </c>
      <c r="Y87" s="58">
        <f t="shared" si="22"/>
        <v>0</v>
      </c>
      <c r="Z87" s="58">
        <f t="shared" si="22"/>
        <v>0</v>
      </c>
      <c r="AA87" s="58">
        <f t="shared" si="22"/>
        <v>0</v>
      </c>
      <c r="AB87" s="58">
        <f t="shared" si="22"/>
        <v>0</v>
      </c>
    </row>
    <row r="88" spans="1:28" ht="16.5" customHeight="1" x14ac:dyDescent="0.15">
      <c r="A88" s="185" t="s">
        <v>30</v>
      </c>
      <c r="B88" s="9">
        <v>2012</v>
      </c>
      <c r="C88" s="68">
        <f>SUM(E88,G88,I88,K88,M88,O88,Q88,S88,U88,W88,Y88,AA88)</f>
        <v>0</v>
      </c>
      <c r="D88" s="68">
        <f>SUM(F88,H88,J88,L88,N88,P88,R88,T88,V88,X88,Z88,AB88)</f>
        <v>0</v>
      </c>
      <c r="E88" s="9"/>
      <c r="F88" s="10"/>
      <c r="G88" s="9"/>
      <c r="H88" s="10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s="35" customFormat="1" ht="16.5" customHeight="1" x14ac:dyDescent="0.15">
      <c r="A89" s="186"/>
      <c r="B89" s="32">
        <v>2013</v>
      </c>
      <c r="C89" s="69">
        <f>SUM(E89,G89,I89,K89,M89,O89,Q89,S89,U89,W89,Y89,AA89)</f>
        <v>0</v>
      </c>
      <c r="D89" s="69">
        <f>SUM(F89,H89,J89,L89,N89,P89,R89,T89,V89,X89,Z89,AB89)</f>
        <v>0</v>
      </c>
      <c r="E89" s="32"/>
      <c r="F89" s="36"/>
      <c r="G89" s="32"/>
      <c r="H89" s="36"/>
      <c r="I89" s="64"/>
      <c r="J89" s="39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spans="1:28" s="59" customFormat="1" ht="16.5" customHeight="1" x14ac:dyDescent="0.15">
      <c r="A90" s="187"/>
      <c r="B90" s="4" t="s">
        <v>6</v>
      </c>
      <c r="C90" s="58">
        <f t="shared" ref="C90:AB90" si="23">C89-C88</f>
        <v>0</v>
      </c>
      <c r="D90" s="58">
        <f t="shared" si="23"/>
        <v>0</v>
      </c>
      <c r="E90" s="58">
        <f t="shared" si="23"/>
        <v>0</v>
      </c>
      <c r="F90" s="58">
        <f t="shared" si="23"/>
        <v>0</v>
      </c>
      <c r="G90" s="58">
        <f t="shared" si="23"/>
        <v>0</v>
      </c>
      <c r="H90" s="58">
        <f t="shared" si="23"/>
        <v>0</v>
      </c>
      <c r="I90" s="58">
        <f t="shared" si="23"/>
        <v>0</v>
      </c>
      <c r="J90" s="58">
        <f t="shared" si="23"/>
        <v>0</v>
      </c>
      <c r="K90" s="58">
        <f t="shared" si="23"/>
        <v>0</v>
      </c>
      <c r="L90" s="58">
        <f t="shared" si="23"/>
        <v>0</v>
      </c>
      <c r="M90" s="58">
        <f t="shared" si="23"/>
        <v>0</v>
      </c>
      <c r="N90" s="58">
        <f t="shared" si="23"/>
        <v>0</v>
      </c>
      <c r="O90" s="58">
        <f t="shared" si="23"/>
        <v>0</v>
      </c>
      <c r="P90" s="58">
        <f t="shared" si="23"/>
        <v>0</v>
      </c>
      <c r="Q90" s="58">
        <f t="shared" si="23"/>
        <v>0</v>
      </c>
      <c r="R90" s="58">
        <f t="shared" si="23"/>
        <v>0</v>
      </c>
      <c r="S90" s="58">
        <f t="shared" si="23"/>
        <v>0</v>
      </c>
      <c r="T90" s="58">
        <f t="shared" si="23"/>
        <v>0</v>
      </c>
      <c r="U90" s="58">
        <f t="shared" si="23"/>
        <v>0</v>
      </c>
      <c r="V90" s="58">
        <f t="shared" si="23"/>
        <v>0</v>
      </c>
      <c r="W90" s="58">
        <f t="shared" si="23"/>
        <v>0</v>
      </c>
      <c r="X90" s="58">
        <f t="shared" si="23"/>
        <v>0</v>
      </c>
      <c r="Y90" s="58">
        <f t="shared" si="23"/>
        <v>0</v>
      </c>
      <c r="Z90" s="58">
        <f t="shared" si="23"/>
        <v>0</v>
      </c>
      <c r="AA90" s="58">
        <f t="shared" si="23"/>
        <v>0</v>
      </c>
      <c r="AB90" s="58">
        <f t="shared" si="23"/>
        <v>0</v>
      </c>
    </row>
    <row r="91" spans="1:28" ht="16.5" customHeight="1" x14ac:dyDescent="0.15">
      <c r="A91" s="185" t="s">
        <v>31</v>
      </c>
      <c r="B91" s="9">
        <v>2012</v>
      </c>
      <c r="C91" s="68">
        <f>SUM(E91,G91,I91,K91,M91,O91,Q91,S91,U91,W91,Y91,AA91)</f>
        <v>0</v>
      </c>
      <c r="D91" s="68">
        <f>SUM(F91,H91,J91,L91,N91,P91,R91,T91,V91,X91,Z91,AB91)</f>
        <v>0</v>
      </c>
      <c r="E91" s="9"/>
      <c r="F91" s="10"/>
      <c r="G91" s="9"/>
      <c r="H91" s="10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s="35" customFormat="1" ht="16.5" customHeight="1" x14ac:dyDescent="0.15">
      <c r="A92" s="186"/>
      <c r="B92" s="32">
        <v>2013</v>
      </c>
      <c r="C92" s="69">
        <f>SUM(E92,G92,I92,K92,M92,O92,Q92,S92,U92,W92,Y92,AA92)</f>
        <v>0</v>
      </c>
      <c r="D92" s="69">
        <f>SUM(F92,H92,J92,L92,N92,P92,R92,T92,V92,X92,Z92,AB92)</f>
        <v>0</v>
      </c>
      <c r="E92" s="32"/>
      <c r="F92" s="36"/>
      <c r="G92" s="32"/>
      <c r="H92" s="36"/>
      <c r="I92" s="64"/>
      <c r="J92" s="39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1:28" s="59" customFormat="1" ht="16.5" customHeight="1" x14ac:dyDescent="0.15">
      <c r="A93" s="187"/>
      <c r="B93" s="4" t="s">
        <v>6</v>
      </c>
      <c r="C93" s="58">
        <f t="shared" ref="C93:AB93" si="24">C92-C91</f>
        <v>0</v>
      </c>
      <c r="D93" s="58">
        <f t="shared" si="24"/>
        <v>0</v>
      </c>
      <c r="E93" s="58">
        <f t="shared" si="24"/>
        <v>0</v>
      </c>
      <c r="F93" s="58">
        <f t="shared" si="24"/>
        <v>0</v>
      </c>
      <c r="G93" s="58">
        <f t="shared" si="24"/>
        <v>0</v>
      </c>
      <c r="H93" s="58">
        <f t="shared" si="24"/>
        <v>0</v>
      </c>
      <c r="I93" s="58">
        <f t="shared" si="24"/>
        <v>0</v>
      </c>
      <c r="J93" s="58">
        <f t="shared" si="24"/>
        <v>0</v>
      </c>
      <c r="K93" s="58">
        <f t="shared" si="24"/>
        <v>0</v>
      </c>
      <c r="L93" s="58">
        <f t="shared" si="24"/>
        <v>0</v>
      </c>
      <c r="M93" s="58">
        <f t="shared" si="24"/>
        <v>0</v>
      </c>
      <c r="N93" s="58">
        <f t="shared" si="24"/>
        <v>0</v>
      </c>
      <c r="O93" s="58">
        <f t="shared" si="24"/>
        <v>0</v>
      </c>
      <c r="P93" s="58">
        <f t="shared" si="24"/>
        <v>0</v>
      </c>
      <c r="Q93" s="58">
        <f t="shared" si="24"/>
        <v>0</v>
      </c>
      <c r="R93" s="58">
        <f t="shared" si="24"/>
        <v>0</v>
      </c>
      <c r="S93" s="58">
        <f t="shared" si="24"/>
        <v>0</v>
      </c>
      <c r="T93" s="58">
        <f t="shared" si="24"/>
        <v>0</v>
      </c>
      <c r="U93" s="58">
        <f t="shared" si="24"/>
        <v>0</v>
      </c>
      <c r="V93" s="58">
        <f t="shared" si="24"/>
        <v>0</v>
      </c>
      <c r="W93" s="58">
        <f t="shared" si="24"/>
        <v>0</v>
      </c>
      <c r="X93" s="58">
        <f t="shared" si="24"/>
        <v>0</v>
      </c>
      <c r="Y93" s="58">
        <f t="shared" si="24"/>
        <v>0</v>
      </c>
      <c r="Z93" s="58">
        <f t="shared" si="24"/>
        <v>0</v>
      </c>
      <c r="AA93" s="58">
        <f t="shared" si="24"/>
        <v>0</v>
      </c>
      <c r="AB93" s="58">
        <f t="shared" si="24"/>
        <v>0</v>
      </c>
    </row>
    <row r="94" spans="1:28" ht="16.5" customHeight="1" x14ac:dyDescent="0.15">
      <c r="A94" s="185" t="s">
        <v>32</v>
      </c>
      <c r="B94" s="9">
        <v>2012</v>
      </c>
      <c r="C94" s="68">
        <f>SUM(E94,G94,I94,K94,M94,O94,Q94,S94,U94,W94,Y94,AA94)</f>
        <v>0</v>
      </c>
      <c r="D94" s="68">
        <f>SUM(F94,H94,J94,L94,N94,P94,R94,T94,V94,X94,Z94,AB94)</f>
        <v>0</v>
      </c>
      <c r="E94" s="9"/>
      <c r="F94" s="10"/>
      <c r="G94" s="9"/>
      <c r="H94" s="10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s="35" customFormat="1" ht="16.5" customHeight="1" x14ac:dyDescent="0.15">
      <c r="A95" s="186"/>
      <c r="B95" s="32">
        <v>2013</v>
      </c>
      <c r="C95" s="69">
        <f>SUM(E95,G95,I95,K95,M95,O95,Q95,S95,U95,W95,Y95,AA95)</f>
        <v>0</v>
      </c>
      <c r="D95" s="69">
        <f>SUM(F95,H95,J95,L95,N95,P95,R95,T95,V95,X95,Z95,AB95)</f>
        <v>0</v>
      </c>
      <c r="E95" s="32"/>
      <c r="F95" s="36"/>
      <c r="G95" s="32"/>
      <c r="H95" s="36"/>
      <c r="I95" s="64"/>
      <c r="J95" s="39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1:28" s="59" customFormat="1" ht="16.5" customHeight="1" x14ac:dyDescent="0.15">
      <c r="A96" s="187"/>
      <c r="B96" s="4" t="s">
        <v>6</v>
      </c>
      <c r="C96" s="58">
        <f t="shared" ref="C96:AB96" si="25">C95-C94</f>
        <v>0</v>
      </c>
      <c r="D96" s="58">
        <f t="shared" si="25"/>
        <v>0</v>
      </c>
      <c r="E96" s="58">
        <f t="shared" si="25"/>
        <v>0</v>
      </c>
      <c r="F96" s="58">
        <f t="shared" si="25"/>
        <v>0</v>
      </c>
      <c r="G96" s="58">
        <f t="shared" si="25"/>
        <v>0</v>
      </c>
      <c r="H96" s="58">
        <f t="shared" si="25"/>
        <v>0</v>
      </c>
      <c r="I96" s="58">
        <f t="shared" si="25"/>
        <v>0</v>
      </c>
      <c r="J96" s="58">
        <f t="shared" si="25"/>
        <v>0</v>
      </c>
      <c r="K96" s="58">
        <f t="shared" si="25"/>
        <v>0</v>
      </c>
      <c r="L96" s="58">
        <f t="shared" si="25"/>
        <v>0</v>
      </c>
      <c r="M96" s="58">
        <f t="shared" si="25"/>
        <v>0</v>
      </c>
      <c r="N96" s="58">
        <f t="shared" si="25"/>
        <v>0</v>
      </c>
      <c r="O96" s="58">
        <f t="shared" si="25"/>
        <v>0</v>
      </c>
      <c r="P96" s="58">
        <f t="shared" si="25"/>
        <v>0</v>
      </c>
      <c r="Q96" s="58">
        <f t="shared" si="25"/>
        <v>0</v>
      </c>
      <c r="R96" s="58">
        <f t="shared" si="25"/>
        <v>0</v>
      </c>
      <c r="S96" s="58">
        <f t="shared" si="25"/>
        <v>0</v>
      </c>
      <c r="T96" s="58">
        <f t="shared" si="25"/>
        <v>0</v>
      </c>
      <c r="U96" s="58">
        <f t="shared" si="25"/>
        <v>0</v>
      </c>
      <c r="V96" s="58">
        <f t="shared" si="25"/>
        <v>0</v>
      </c>
      <c r="W96" s="58">
        <f t="shared" si="25"/>
        <v>0</v>
      </c>
      <c r="X96" s="58">
        <f t="shared" si="25"/>
        <v>0</v>
      </c>
      <c r="Y96" s="58">
        <f t="shared" si="25"/>
        <v>0</v>
      </c>
      <c r="Z96" s="58">
        <f t="shared" si="25"/>
        <v>0</v>
      </c>
      <c r="AA96" s="58">
        <f t="shared" si="25"/>
        <v>0</v>
      </c>
      <c r="AB96" s="58">
        <f t="shared" si="25"/>
        <v>0</v>
      </c>
    </row>
    <row r="97" spans="1:28" ht="16.5" customHeight="1" x14ac:dyDescent="0.15">
      <c r="A97" s="185" t="s">
        <v>18</v>
      </c>
      <c r="B97" s="7">
        <v>2012</v>
      </c>
      <c r="C97" s="66">
        <f>SUM(E97,G97,I97,K97,M97,O97,Q97,S97,U97,W97,Y97,AA97)</f>
        <v>0</v>
      </c>
      <c r="D97" s="66">
        <f>SUM(F97,H97,J97,L97,N97,P97,R97,T97,V97,X97,Z97,AB97)</f>
        <v>0</v>
      </c>
      <c r="E97" s="7"/>
      <c r="F97" s="8"/>
      <c r="G97" s="7"/>
      <c r="H97" s="8"/>
      <c r="I97" s="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35" customFormat="1" ht="16.5" customHeight="1" x14ac:dyDescent="0.15">
      <c r="A98" s="186"/>
      <c r="B98" s="37">
        <v>2013</v>
      </c>
      <c r="C98" s="65">
        <f>SUM(E98,G98,I98,K98,M98,O98,Q98,S98,U98,W98,Y98,AA98)</f>
        <v>0</v>
      </c>
      <c r="D98" s="65">
        <f>SUM(F98,H98,J98,L98,N98,P98,R98,T98,V98,X98,Z98,AB98)</f>
        <v>0</v>
      </c>
      <c r="E98" s="37"/>
      <c r="F98" s="38"/>
      <c r="G98" s="37"/>
      <c r="H98" s="38"/>
      <c r="I98" s="37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1:28" s="59" customFormat="1" ht="16.5" customHeight="1" x14ac:dyDescent="0.15">
      <c r="A99" s="187"/>
      <c r="B99" s="4" t="s">
        <v>6</v>
      </c>
      <c r="C99" s="58">
        <f>C98-C97</f>
        <v>0</v>
      </c>
      <c r="D99" s="58">
        <f>D98-D97</f>
        <v>0</v>
      </c>
      <c r="E99" s="58">
        <f t="shared" ref="E99:AB99" si="26">E98-E97</f>
        <v>0</v>
      </c>
      <c r="F99" s="58">
        <f t="shared" si="26"/>
        <v>0</v>
      </c>
      <c r="G99" s="58">
        <f t="shared" si="26"/>
        <v>0</v>
      </c>
      <c r="H99" s="58">
        <f t="shared" si="26"/>
        <v>0</v>
      </c>
      <c r="I99" s="58">
        <f t="shared" si="26"/>
        <v>0</v>
      </c>
      <c r="J99" s="58">
        <f t="shared" si="26"/>
        <v>0</v>
      </c>
      <c r="K99" s="58">
        <f t="shared" si="26"/>
        <v>0</v>
      </c>
      <c r="L99" s="58">
        <f t="shared" si="26"/>
        <v>0</v>
      </c>
      <c r="M99" s="58">
        <f t="shared" si="26"/>
        <v>0</v>
      </c>
      <c r="N99" s="58">
        <f t="shared" si="26"/>
        <v>0</v>
      </c>
      <c r="O99" s="58">
        <f t="shared" si="26"/>
        <v>0</v>
      </c>
      <c r="P99" s="58">
        <f t="shared" si="26"/>
        <v>0</v>
      </c>
      <c r="Q99" s="58">
        <f t="shared" si="26"/>
        <v>0</v>
      </c>
      <c r="R99" s="58">
        <f t="shared" si="26"/>
        <v>0</v>
      </c>
      <c r="S99" s="58">
        <f t="shared" si="26"/>
        <v>0</v>
      </c>
      <c r="T99" s="58">
        <f t="shared" si="26"/>
        <v>0</v>
      </c>
      <c r="U99" s="58">
        <f t="shared" si="26"/>
        <v>0</v>
      </c>
      <c r="V99" s="58">
        <f t="shared" si="26"/>
        <v>0</v>
      </c>
      <c r="W99" s="58">
        <f t="shared" si="26"/>
        <v>0</v>
      </c>
      <c r="X99" s="58">
        <f t="shared" si="26"/>
        <v>0</v>
      </c>
      <c r="Y99" s="58">
        <f t="shared" si="26"/>
        <v>0</v>
      </c>
      <c r="Z99" s="58">
        <f t="shared" si="26"/>
        <v>0</v>
      </c>
      <c r="AA99" s="58">
        <f t="shared" si="26"/>
        <v>0</v>
      </c>
      <c r="AB99" s="58">
        <f t="shared" si="26"/>
        <v>0</v>
      </c>
    </row>
    <row r="100" spans="1:28" ht="12.75" customHeight="1" x14ac:dyDescent="0.15">
      <c r="AB100" s="6" t="s">
        <v>7</v>
      </c>
    </row>
  </sheetData>
  <mergeCells count="190">
    <mergeCell ref="A85:A87"/>
    <mergeCell ref="A97:A99"/>
    <mergeCell ref="C69:D69"/>
    <mergeCell ref="C70:D70"/>
    <mergeCell ref="C71:D71"/>
    <mergeCell ref="C72:D72"/>
    <mergeCell ref="A82:A84"/>
    <mergeCell ref="A70:A72"/>
    <mergeCell ref="A94:A96"/>
    <mergeCell ref="I71:J71"/>
    <mergeCell ref="K72:L72"/>
    <mergeCell ref="M69:N69"/>
    <mergeCell ref="O69:P69"/>
    <mergeCell ref="Q69:R69"/>
    <mergeCell ref="S69:T69"/>
    <mergeCell ref="E69:F69"/>
    <mergeCell ref="G69:H69"/>
    <mergeCell ref="I69:J69"/>
    <mergeCell ref="K69:L69"/>
    <mergeCell ref="A1:AB1"/>
    <mergeCell ref="S72:T72"/>
    <mergeCell ref="U72:V72"/>
    <mergeCell ref="W72:X72"/>
    <mergeCell ref="Y72:Z72"/>
    <mergeCell ref="M72:N72"/>
    <mergeCell ref="O72:P72"/>
    <mergeCell ref="Q72:R72"/>
    <mergeCell ref="E71:F71"/>
    <mergeCell ref="G70:H70"/>
    <mergeCell ref="G71:H71"/>
    <mergeCell ref="E70:F70"/>
    <mergeCell ref="G72:H72"/>
    <mergeCell ref="I72:J72"/>
    <mergeCell ref="W70:X70"/>
    <mergeCell ref="W71:X71"/>
    <mergeCell ref="Y70:Z70"/>
    <mergeCell ref="Y71:Z71"/>
    <mergeCell ref="M70:N70"/>
    <mergeCell ref="M71:N71"/>
    <mergeCell ref="Y69:Z69"/>
    <mergeCell ref="AA69:AB69"/>
    <mergeCell ref="Q70:R70"/>
    <mergeCell ref="Q71:R71"/>
    <mergeCell ref="AA36:AB36"/>
    <mergeCell ref="A35:AB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37:A39"/>
    <mergeCell ref="C37:D37"/>
    <mergeCell ref="E37:F37"/>
    <mergeCell ref="G37:H37"/>
    <mergeCell ref="O38:P38"/>
    <mergeCell ref="M38:N38"/>
    <mergeCell ref="U36:V36"/>
    <mergeCell ref="W36:X36"/>
    <mergeCell ref="Y36:Z36"/>
    <mergeCell ref="Y38:Z38"/>
    <mergeCell ref="Y37:Z37"/>
    <mergeCell ref="AA37:AB37"/>
    <mergeCell ref="Q38:R38"/>
    <mergeCell ref="Q37:R37"/>
    <mergeCell ref="S37:T37"/>
    <mergeCell ref="U37:V37"/>
    <mergeCell ref="W37:X37"/>
    <mergeCell ref="C38:D38"/>
    <mergeCell ref="E38:F38"/>
    <mergeCell ref="G38:H38"/>
    <mergeCell ref="I38:J38"/>
    <mergeCell ref="K38:L38"/>
    <mergeCell ref="I37:J37"/>
    <mergeCell ref="K37:L37"/>
    <mergeCell ref="M37:N37"/>
    <mergeCell ref="O37:P37"/>
    <mergeCell ref="E39:F39"/>
    <mergeCell ref="G39:H39"/>
    <mergeCell ref="I39:J39"/>
    <mergeCell ref="K39:L39"/>
    <mergeCell ref="M39:N39"/>
    <mergeCell ref="O39:P39"/>
    <mergeCell ref="S38:T38"/>
    <mergeCell ref="U38:V38"/>
    <mergeCell ref="W38:X38"/>
    <mergeCell ref="U4:V4"/>
    <mergeCell ref="W4:X4"/>
    <mergeCell ref="A52:A54"/>
    <mergeCell ref="A64:A66"/>
    <mergeCell ref="A2:AB2"/>
    <mergeCell ref="C3:D3"/>
    <mergeCell ref="E3:F3"/>
    <mergeCell ref="G3:H3"/>
    <mergeCell ref="I3:J3"/>
    <mergeCell ref="K3:L3"/>
    <mergeCell ref="M3:N3"/>
    <mergeCell ref="O3:P3"/>
    <mergeCell ref="A40:A42"/>
    <mergeCell ref="A43:A45"/>
    <mergeCell ref="A46:A48"/>
    <mergeCell ref="A49:A51"/>
    <mergeCell ref="U39:V39"/>
    <mergeCell ref="W39:X39"/>
    <mergeCell ref="Q39:R39"/>
    <mergeCell ref="S39:T39"/>
    <mergeCell ref="Y39:Z39"/>
    <mergeCell ref="AA39:AB39"/>
    <mergeCell ref="AA38:AB38"/>
    <mergeCell ref="C39:D39"/>
    <mergeCell ref="Y3:Z3"/>
    <mergeCell ref="AA3:AB3"/>
    <mergeCell ref="W5:X5"/>
    <mergeCell ref="Y5:Z5"/>
    <mergeCell ref="Y4:Z4"/>
    <mergeCell ref="AA4:AB4"/>
    <mergeCell ref="A4:A6"/>
    <mergeCell ref="C4:D4"/>
    <mergeCell ref="E4:F4"/>
    <mergeCell ref="G4:H4"/>
    <mergeCell ref="I4:J4"/>
    <mergeCell ref="K4:L4"/>
    <mergeCell ref="C5:D5"/>
    <mergeCell ref="E5:F5"/>
    <mergeCell ref="G5:H5"/>
    <mergeCell ref="I5:J5"/>
    <mergeCell ref="M4:N4"/>
    <mergeCell ref="O4:P4"/>
    <mergeCell ref="Q3:R3"/>
    <mergeCell ref="S3:T3"/>
    <mergeCell ref="U3:V3"/>
    <mergeCell ref="W3:X3"/>
    <mergeCell ref="Q4:R4"/>
    <mergeCell ref="S4:T4"/>
    <mergeCell ref="AA6:AB6"/>
    <mergeCell ref="AA5:AB5"/>
    <mergeCell ref="C6:D6"/>
    <mergeCell ref="E6:F6"/>
    <mergeCell ref="G6:H6"/>
    <mergeCell ref="I6:J6"/>
    <mergeCell ref="K6:L6"/>
    <mergeCell ref="U5:V5"/>
    <mergeCell ref="O5:P5"/>
    <mergeCell ref="Q5:R5"/>
    <mergeCell ref="U6:V6"/>
    <mergeCell ref="W6:X6"/>
    <mergeCell ref="Y6:Z6"/>
    <mergeCell ref="K5:L5"/>
    <mergeCell ref="M5:N5"/>
    <mergeCell ref="M6:N6"/>
    <mergeCell ref="O6:P6"/>
    <mergeCell ref="Q6:R6"/>
    <mergeCell ref="S6:T6"/>
    <mergeCell ref="S5:T5"/>
    <mergeCell ref="A19:A21"/>
    <mergeCell ref="A31:A33"/>
    <mergeCell ref="A7:A9"/>
    <mergeCell ref="A10:A12"/>
    <mergeCell ref="A13:A15"/>
    <mergeCell ref="A16:A18"/>
    <mergeCell ref="A22:A24"/>
    <mergeCell ref="A25:A27"/>
    <mergeCell ref="A28:A30"/>
    <mergeCell ref="A55:A57"/>
    <mergeCell ref="A58:A60"/>
    <mergeCell ref="A61:A63"/>
    <mergeCell ref="A91:A93"/>
    <mergeCell ref="A88:A90"/>
    <mergeCell ref="A68:AB68"/>
    <mergeCell ref="O70:P70"/>
    <mergeCell ref="O71:P71"/>
    <mergeCell ref="AA70:AB70"/>
    <mergeCell ref="AA71:AB71"/>
    <mergeCell ref="AA72:AB72"/>
    <mergeCell ref="S70:T70"/>
    <mergeCell ref="S71:T71"/>
    <mergeCell ref="U70:V70"/>
    <mergeCell ref="U69:V69"/>
    <mergeCell ref="W69:X69"/>
    <mergeCell ref="U71:V71"/>
    <mergeCell ref="E72:F72"/>
    <mergeCell ref="A73:A75"/>
    <mergeCell ref="A76:A78"/>
    <mergeCell ref="A79:A81"/>
    <mergeCell ref="K70:L70"/>
    <mergeCell ref="K71:L71"/>
    <mergeCell ref="I70:J70"/>
  </mergeCells>
  <phoneticPr fontId="2" type="noConversion"/>
  <pageMargins left="0.47" right="0.21" top="0.3" bottom="0.71" header="0.27" footer="0.36"/>
  <pageSetup paperSize="9"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월 별 수출입운임비교</vt:lpstr>
      <vt:lpstr>공장별 수출운임비교</vt:lpstr>
      <vt:lpstr>공장별 수입운임비교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potato</cp:lastModifiedBy>
  <cp:lastPrinted>2009-12-15T07:19:31Z</cp:lastPrinted>
  <dcterms:created xsi:type="dcterms:W3CDTF">2009-01-07T04:45:57Z</dcterms:created>
  <dcterms:modified xsi:type="dcterms:W3CDTF">2013-08-19T11:23:17Z</dcterms:modified>
</cp:coreProperties>
</file>