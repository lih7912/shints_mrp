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8"/>
  </bookViews>
  <sheets>
    <sheet sheetId="1" name="STS.INVOICE" state="visible" r:id="rId4"/>
    <sheet sheetId="2" name="P" state="visible" r:id="rId5"/>
    <sheet sheetId="3" name="C.INV" state="visible" r:id="rId6"/>
    <sheet sheetId="4" name="BVT.INV" state="visible" r:id="rId7"/>
    <sheet sheetId="5" name="D.INV" state="visible" r:id="rId8"/>
    <sheet sheetId="6" name="PAC" state="visible" r:id="rId9"/>
    <sheet sheetId="7" name="D.PAC" state="visible" r:id="rId10"/>
    <sheet sheetId="8" name="SHINTS" state="visible" r:id="rId11"/>
  </sheets>
  <calcPr calcId="171027"/>
</workbook>
</file>

<file path=xl/sharedStrings.xml><?xml version="1.0" encoding="utf-8"?>
<sst xmlns="http://schemas.openxmlformats.org/spreadsheetml/2006/main" count="201" uniqueCount="101">
  <si>
    <t>PROFORMA INVOICE FOR SHINTS</t>
  </si>
  <si>
    <t>No</t>
  </si>
  <si>
    <t>HS_No</t>
  </si>
  <si>
    <t>Matl Name</t>
  </si>
  <si>
    <t>Unit Price</t>
  </si>
  <si>
    <t>Q'ty</t>
  </si>
  <si>
    <t>Unit</t>
  </si>
  <si>
    <t>Amount</t>
  </si>
  <si>
    <t>Country</t>
  </si>
  <si>
    <t>Weight</t>
  </si>
  <si>
    <t>Width</t>
  </si>
  <si>
    <t>Composition</t>
  </si>
  <si>
    <t>GRAND TOTAL :</t>
  </si>
  <si>
    <t>kg</t>
  </si>
  <si>
    <t xml:space="preserve">DETAIL PACKING LIST FOR </t>
  </si>
  <si>
    <t>Supplier</t>
  </si>
  <si>
    <t>DESCRIPTION</t>
  </si>
  <si>
    <t>COLOR</t>
  </si>
  <si>
    <t>SPEC</t>
  </si>
  <si>
    <t>UNIT</t>
  </si>
  <si>
    <t>IN-Q'TY</t>
  </si>
  <si>
    <t>C/T Q'ty</t>
  </si>
  <si>
    <t>C/T No.</t>
  </si>
  <si>
    <t>Remark</t>
  </si>
  <si>
    <t>TOTAL</t>
  </si>
  <si>
    <t>BALES</t>
  </si>
  <si>
    <t xml:space="preserve">COMMERCIAL INVOICE </t>
  </si>
  <si>
    <t>1) Shipper/ Exporter :</t>
  </si>
  <si>
    <t>8) No &amp; Date of Invoice</t>
  </si>
  <si>
    <t>Shin Textile Solutions Co., Ltd.</t>
  </si>
  <si>
    <t>801,E&amp;C Venture Dreamtower 2, 55, Digital-ro 33-gil,</t>
  </si>
  <si>
    <t>STB-A26-A02</t>
  </si>
  <si>
    <t>Guro-gu, Seoul, Korea</t>
  </si>
  <si>
    <t>9) No &amp; Date L/C</t>
  </si>
  <si>
    <t>TEL :070-4659-3337 FAX :02-6330-2019</t>
  </si>
  <si>
    <t>2) Consignee :</t>
  </si>
  <si>
    <t xml:space="preserve"> </t>
  </si>
  <si>
    <t>SHINTS BVT CO.,LTD  VAT:0800006025</t>
  </si>
  <si>
    <t>10) L/C issuing bank</t>
  </si>
  <si>
    <t xml:space="preserve">PHU TAO RESIDENTIAL AREA, THACH KHOI WARD, </t>
  </si>
  <si>
    <t>HAI PHONG CITY, VIETNAM</t>
  </si>
  <si>
    <t>TEL :84-320-3861-727 FAX :84-320-3861-730</t>
  </si>
  <si>
    <t>11) Remarks:</t>
  </si>
  <si>
    <t>XNK-Thy Ha &lt;thyha@shintsbvt.com&gt;</t>
  </si>
  <si>
    <t>3) Notify party :</t>
  </si>
  <si>
    <t>THE SAME AS ABOVE</t>
  </si>
  <si>
    <t>4) Port of loading:</t>
  </si>
  <si>
    <t>5) Final Destination:</t>
  </si>
  <si>
    <t>INCHEON, KOREA</t>
  </si>
  <si>
    <t>HANOI, VIETNAM</t>
  </si>
  <si>
    <t>6) Carrier</t>
  </si>
  <si>
    <t xml:space="preserve">7) Sailing on/ or About </t>
  </si>
  <si>
    <t>12) Marks and Number of PKGS</t>
  </si>
  <si>
    <t>13) Description of Goods</t>
  </si>
  <si>
    <t>14) Quantity/Uint</t>
  </si>
  <si>
    <t>15) Unit/price</t>
  </si>
  <si>
    <t>16) Amount</t>
  </si>
  <si>
    <t>(CPT HANOI,VEITNAM)</t>
  </si>
  <si>
    <t>SHINTS BVT</t>
  </si>
  <si>
    <t>(IN DIA)</t>
  </si>
  <si>
    <t>MATERIALS FOR GARMENT</t>
  </si>
  <si>
    <t>STYLE NO.:</t>
  </si>
  <si>
    <t>ITEM  :</t>
  </si>
  <si>
    <t>Q'TY  :</t>
  </si>
  <si>
    <t>C/T NO. :</t>
  </si>
  <si>
    <t xml:space="preserve"> TEL NO.  : 070-4006-3700~14, (DIR. 070-4006-3727)</t>
  </si>
  <si>
    <t xml:space="preserve"> FAX NO.  : (02)6330-2019</t>
  </si>
  <si>
    <t>17).Signed by :</t>
  </si>
  <si>
    <t>PROFORMA INVOICE FOR BVT</t>
  </si>
  <si>
    <t>HS Name</t>
  </si>
  <si>
    <t>PROFORMA INVOICE FOR PO24-0893KL</t>
  </si>
  <si>
    <t>STB-A24-078</t>
  </si>
  <si>
    <t>No.</t>
  </si>
  <si>
    <t>ORDER No.</t>
  </si>
  <si>
    <t>STYLE</t>
  </si>
  <si>
    <t>QUANTITY</t>
  </si>
  <si>
    <t>G.TOTAL</t>
  </si>
  <si>
    <t>DELIVERY</t>
  </si>
  <si>
    <t>PACKING LIST</t>
  </si>
  <si>
    <t>1) Shipper/ Exporter:</t>
  </si>
  <si>
    <t>9) Remarks:</t>
  </si>
  <si>
    <t>10) Marks and Number of PKGS</t>
  </si>
  <si>
    <t>11) Description of Goods</t>
  </si>
  <si>
    <t>12) Quantity</t>
  </si>
  <si>
    <t>13) Net</t>
  </si>
  <si>
    <t>14) Gross</t>
  </si>
  <si>
    <t>15) Measurement</t>
  </si>
  <si>
    <t>( CPT  HANOI, VIETNAM )</t>
  </si>
  <si>
    <t>TOTAL  :</t>
  </si>
  <si>
    <t xml:space="preserve"> TEL NO.  : (02)6330-2000~14, (DIR. 6330-2012)</t>
  </si>
  <si>
    <t>16).Signed by :</t>
  </si>
  <si>
    <t>COMMERCIAL INVOICE</t>
  </si>
  <si>
    <t>FREIGHT CHARGE :</t>
  </si>
  <si>
    <t>INSURANCE CHARGE :</t>
  </si>
  <si>
    <t>제조자 미상</t>
  </si>
  <si>
    <t>C/T :</t>
  </si>
  <si>
    <t>CT</t>
  </si>
  <si>
    <t>NET :</t>
  </si>
  <si>
    <t>KGS</t>
  </si>
  <si>
    <t>GRS :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</si>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</sst>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#,##0_ "/>
    <numFmt numFmtId="165" formatCode="$#,##0.00_);[RED]&quot;($&quot;#,##0.00)"/>
    <numFmt numFmtId="166" formatCode="_-* #,##0.0_-;-* #,##0.0_-;_-* -_-;_-@_-"/>
    <numFmt numFmtId="167" formatCode="0.00_ "/>
    <numFmt numFmtId="168" formatCode="$#,##0.0000_);[RED]&quot;($&quot;#,##0.0000)"/>
    <numFmt numFmtId="169" formatCode="0.0_ "/>
    <numFmt numFmtId="170" formatCode="_-* #,##0_-;-* #,##0_-;_-* -_-;_-@_-"/>
    <numFmt numFmtId="171" formatCode="d-mmm-yy;@"/>
    <numFmt numFmtId="172" formatCode="DD-MMM-YY"/>
    <numFmt numFmtId="173" formatCode="_-* #,##0.00_-;-* #,##0.00_-;_-* -_-;_-@_-"/>
    <numFmt numFmtId="174" formatCode="dd-mmm-yy"/>
    <numFmt numFmtId="175" formatCode="&quot;US$&quot;#,##0.00"/>
    <numFmt numFmtId="176" formatCode="0.000&quot;CBM&quot;"/>
    <numFmt numFmtId="177" formatCode="$#,##0.00"/>
    <numFmt numFmtId="178" formatCode="&quot;US$&quot;#,##0.00_);[RED]&quot;(US$&quot;#,##0.00)"/>
    <numFmt numFmtId="179" formatCode="yyyy-mm-dd"/>
    <numFmt numFmtId="180" formatCode="#,###&quot; CARTON&quot;"/>
    <numFmt numFmtId="181" formatCode="#,###.00&quot;KGS&quot;"/>
    <numFmt numFmtId="182" formatCode="#,##0.00_ "/>
  </numFmts>
  <fonts count="14" x14ac:knownFonts="1">
    <font>
      <color theme="1"/>
      <family val="2"/>
      <scheme val="minor"/>
      <sz val="11"/>
      <name val="Calibri"/>
    </font>
    <font>
      <charset val="129"/>
      <family val="3"/>
      <sz val="10"/>
      <name val="돋움체"/>
    </font>
    <font>
      <b/>
      <u/>
      <charset val="129"/>
      <family val="3"/>
      <sz val="14"/>
      <name val="돋움"/>
    </font>
    <font>
      <charset val="129"/>
      <family val="3"/>
      <sz val="11"/>
      <name val="돋움"/>
    </font>
    <font>
      <b/>
      <charset val="129"/>
      <family val="3"/>
      <sz val="16"/>
      <name val="돋움체"/>
    </font>
    <font>
      <charset val="129"/>
      <family val="3"/>
      <sz val="16"/>
      <name val="돋움체"/>
    </font>
    <font>
      <charset val="129"/>
      <family val="3"/>
      <sz val="10"/>
      <name val="돋움"/>
    </font>
    <font>
      <b/>
      <charset val="129"/>
      <family val="3"/>
      <sz val="10"/>
      <name val="돋움"/>
    </font>
    <font>
      <b/>
      <charset val="129"/>
      <family val="3"/>
      <sz val="10"/>
      <name val="돋움체"/>
    </font>
    <font>
      <b/>
      <charset val="129"/>
      <family val="3"/>
      <sz val="16"/>
      <name val="돋움"/>
    </font>
    <font>
      <b/>
      <charset val="129"/>
      <family val="3"/>
      <sz val="8"/>
      <name val="돋움체"/>
    </font>
    <font>
      <charset val="129"/>
      <family val="3"/>
      <sz val="9"/>
      <name val="돋움체"/>
    </font>
    <font>
      <b/>
      <charset val="129"/>
      <family val="3"/>
      <sz val="9"/>
      <name val="돋움체"/>
    </font>
    <font>
      <charset val="129"/>
      <family val="3"/>
      <sz val="12"/>
      <name val="돋움체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double"/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bottom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bottom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0" fontId="6" fillId="0" borderId="2" xfId="0" applyFont="1" applyBorder="1" applyAlignment="1">
      <alignment horizontal="center" vertical="bottom"/>
    </xf>
    <xf numFmtId="0" fontId="6" fillId="0" borderId="2" xfId="0" applyFont="1" applyBorder="1" applyAlignment="1">
      <alignment vertical="bottom"/>
    </xf>
    <xf numFmtId="168" fontId="6" fillId="0" borderId="2" xfId="0" applyNumberFormat="1" applyFont="1" applyBorder="1" applyAlignment="1">
      <alignment vertical="bottom"/>
    </xf>
    <xf numFmtId="164" fontId="6" fillId="0" borderId="2" xfId="0" applyNumberFormat="1" applyFont="1" applyBorder="1" applyAlignment="1">
      <alignment vertical="bottom"/>
    </xf>
    <xf numFmtId="165" fontId="6" fillId="0" borderId="2" xfId="0" applyNumberFormat="1" applyFont="1" applyBorder="1" applyAlignment="1">
      <alignment horizontal="center" vertical="bottom"/>
    </xf>
    <xf numFmtId="165" fontId="6" fillId="0" borderId="2" xfId="0" applyNumberFormat="1" applyFont="1" applyBorder="1" applyAlignment="1">
      <alignment vertical="bottom"/>
    </xf>
    <xf numFmtId="166" fontId="6" fillId="0" borderId="2" xfId="0" applyNumberFormat="1" applyFont="1" applyBorder="1" applyAlignment="1">
      <alignment vertical="bottom"/>
    </xf>
    <xf numFmtId="167" fontId="6" fillId="0" borderId="2" xfId="0" applyNumberFormat="1" applyFont="1" applyBorder="1" applyAlignment="1">
      <alignment vertical="bottom"/>
    </xf>
    <xf numFmtId="169" fontId="1" fillId="0" borderId="0" xfId="0" applyNumberFormat="1" applyFont="1" applyAlignment="1">
      <alignment vertical="bottom"/>
    </xf>
    <xf numFmtId="0" fontId="6" fillId="0" borderId="0" xfId="0" applyFont="1" applyAlignment="1">
      <alignment vertical="bottom"/>
    </xf>
    <xf numFmtId="0" fontId="9" fillId="0" borderId="0" xfId="0" applyFont="1" applyAlignment="1">
      <alignment horizontal="center" vertical="bottom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vertical="bottom"/>
    </xf>
    <xf numFmtId="49" fontId="6" fillId="0" borderId="8" xfId="0" applyNumberFormat="1" applyFont="1" applyBorder="1" applyAlignment="1">
      <alignment vertical="bottom"/>
    </xf>
    <xf numFmtId="49" fontId="6" fillId="0" borderId="0" xfId="0" applyNumberFormat="1" applyFont="1" applyAlignment="1">
      <alignment vertical="bottom"/>
    </xf>
    <xf numFmtId="0" fontId="6" fillId="0" borderId="8" xfId="0" applyFont="1" applyBorder="1" applyAlignment="1">
      <alignment horizontal="center" vertical="bottom"/>
    </xf>
    <xf numFmtId="170" fontId="6" fillId="0" borderId="9" xfId="0" applyNumberFormat="1" applyFont="1" applyBorder="1" applyAlignment="1">
      <alignment horizontal="right" vertical="bottom"/>
    </xf>
    <xf numFmtId="170" fontId="6" fillId="0" borderId="10" xfId="0" applyNumberFormat="1" applyFont="1" applyBorder="1" applyAlignment="1">
      <alignment vertical="bottom"/>
    </xf>
    <xf numFmtId="0" fontId="6" fillId="0" borderId="10" xfId="0" applyFont="1" applyBorder="1" applyAlignment="1">
      <alignment vertical="bottom"/>
    </xf>
    <xf numFmtId="0" fontId="7" fillId="0" borderId="11" xfId="0" applyFont="1" applyBorder="1" applyAlignment="1">
      <alignment horizontal="center" vertical="bottom"/>
    </xf>
    <xf numFmtId="0" fontId="7" fillId="0" borderId="12" xfId="0" applyFont="1" applyBorder="1" applyAlignment="1">
      <alignment horizontal="center" vertical="bottom"/>
    </xf>
    <xf numFmtId="0" fontId="6" fillId="0" borderId="12" xfId="0" applyFont="1" applyBorder="1" applyAlignment="1">
      <alignment vertical="bottom"/>
    </xf>
    <xf numFmtId="170" fontId="6" fillId="0" borderId="12" xfId="0" applyNumberFormat="1" applyFont="1" applyBorder="1" applyAlignment="1">
      <alignment vertical="bottom"/>
    </xf>
    <xf numFmtId="170" fontId="7" fillId="0" borderId="12" xfId="0" applyNumberFormat="1" applyFont="1" applyBorder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10" fillId="0" borderId="13" xfId="0" applyFont="1" applyBorder="1" applyAlignment="1">
      <alignment vertical="bottom"/>
    </xf>
    <xf numFmtId="0" fontId="1" fillId="0" borderId="9" xfId="0" applyFont="1" applyBorder="1" applyAlignment="1">
      <alignment vertical="bottom"/>
    </xf>
    <xf numFmtId="0" fontId="10" fillId="0" borderId="14" xfId="0" applyFont="1" applyBorder="1" applyAlignment="1">
      <alignment vertical="bottom"/>
    </xf>
    <xf numFmtId="0" fontId="8" fillId="0" borderId="0" xfId="0" applyFont="1" applyAlignment="1">
      <alignment vertical="bottom"/>
    </xf>
    <xf numFmtId="171" fontId="1" fillId="0" borderId="0" xfId="0" applyNumberFormat="1" applyFont="1" applyAlignment="1">
      <alignment horizontal="left" vertical="bottom"/>
    </xf>
    <xf numFmtId="0" fontId="11" fillId="0" borderId="0" xfId="0" applyFont="1" applyAlignment="1">
      <alignment vertical="center"/>
    </xf>
    <xf numFmtId="172" fontId="1" fillId="0" borderId="1" xfId="0" applyNumberFormat="1" applyFont="1" applyBorder="1" applyAlignment="1">
      <alignment horizontal="right" vertical="bottom"/>
    </xf>
    <xf numFmtId="0" fontId="1" fillId="0" borderId="13" xfId="0" applyFont="1" applyBorder="1" applyAlignment="1">
      <alignment vertical="bottom"/>
    </xf>
    <xf numFmtId="173" fontId="8" fillId="0" borderId="0" xfId="0" applyNumberFormat="1" applyFont="1" applyAlignment="1">
      <alignment horizontal="center" vertical="bottom"/>
    </xf>
    <xf numFmtId="0" fontId="1" fillId="0" borderId="15" xfId="0" applyFont="1" applyBorder="1" applyAlignment="1">
      <alignment vertical="bottom"/>
    </xf>
    <xf numFmtId="174" fontId="1" fillId="0" borderId="0" xfId="0" applyNumberFormat="1" applyFont="1" applyAlignment="1">
      <alignment vertical="bottom"/>
    </xf>
    <xf numFmtId="173" fontId="1" fillId="0" borderId="0" xfId="0" applyNumberFormat="1" applyFont="1" applyAlignment="1">
      <alignment horizontal="center" vertical="bottom"/>
    </xf>
    <xf numFmtId="173" fontId="1" fillId="0" borderId="13" xfId="0" applyNumberFormat="1" applyFont="1" applyBorder="1" applyAlignment="1">
      <alignment horizontal="center" vertical="bottom"/>
    </xf>
    <xf numFmtId="0" fontId="1" fillId="0" borderId="1" xfId="0" applyFont="1" applyBorder="1" applyAlignment="1">
      <alignment vertical="bottom"/>
    </xf>
    <xf numFmtId="173" fontId="1" fillId="0" borderId="13" xfId="0" applyNumberFormat="1" applyFont="1" applyBorder="1" applyAlignment="1">
      <alignment horizontal="left" vertical="bottom"/>
    </xf>
    <xf numFmtId="0" fontId="10" fillId="0" borderId="1" xfId="0" applyFont="1" applyBorder="1" applyAlignment="1">
      <alignment vertical="bottom"/>
    </xf>
    <xf numFmtId="0" fontId="1" fillId="0" borderId="16" xfId="0" applyFont="1" applyBorder="1" applyAlignment="1">
      <alignment vertical="bottom"/>
    </xf>
    <xf numFmtId="173" fontId="1" fillId="0" borderId="0" xfId="0" applyNumberFormat="1" applyFont="1" applyAlignment="1">
      <alignment horizontal="left" vertical="bottom"/>
    </xf>
    <xf numFmtId="0" fontId="10" fillId="0" borderId="0" xfId="0" applyFont="1" applyAlignment="1">
      <alignment vertical="bottom"/>
    </xf>
    <xf numFmtId="0" fontId="8" fillId="0" borderId="0" xfId="0" applyFont="1" applyAlignment="1">
      <alignment horizontal="right" vertical="bottom"/>
    </xf>
    <xf numFmtId="175" fontId="8" fillId="0" borderId="0" xfId="0" applyNumberFormat="1" applyFont="1" applyAlignment="1">
      <alignment horizontal="left" vertical="bottom"/>
    </xf>
    <xf numFmtId="0" fontId="12" fillId="0" borderId="0" xfId="0" applyFont="1" applyAlignment="1">
      <alignment vertical="center"/>
    </xf>
    <xf numFmtId="0" fontId="10" fillId="0" borderId="15" xfId="0" applyFont="1" applyBorder="1" applyAlignment="1">
      <alignment vertical="bottom"/>
    </xf>
    <xf numFmtId="170" fontId="1" fillId="0" borderId="0" xfId="0" applyNumberFormat="1" applyFont="1" applyAlignment="1">
      <alignment vertical="bottom"/>
    </xf>
    <xf numFmtId="0" fontId="11" fillId="0" borderId="7" xfId="0" applyFont="1" applyBorder="1" applyAlignment="1">
      <alignment vertical="center"/>
    </xf>
    <xf numFmtId="0" fontId="1" fillId="0" borderId="16" xfId="0" applyFont="1" applyBorder="1" applyAlignment="1">
      <alignment horizontal="center" vertical="bottom"/>
    </xf>
    <xf numFmtId="0" fontId="1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bottom" wrapText="1"/>
    </xf>
    <xf numFmtId="171" fontId="1" fillId="0" borderId="17" xfId="0" applyNumberFormat="1" applyFont="1" applyBorder="1" applyAlignment="1">
      <alignment horizontal="center" vertical="bottom"/>
    </xf>
    <xf numFmtId="173" fontId="8" fillId="0" borderId="1" xfId="0" applyNumberFormat="1" applyFont="1" applyBorder="1" applyAlignment="1">
      <alignment horizontal="center" vertical="bottom"/>
    </xf>
    <xf numFmtId="0" fontId="10" fillId="0" borderId="15" xfId="0" applyFont="1" applyBorder="1" applyAlignment="1">
      <alignment horizontal="center" vertical="bottom"/>
    </xf>
    <xf numFmtId="0" fontId="10" fillId="0" borderId="18" xfId="0" applyFont="1" applyBorder="1" applyAlignment="1">
      <alignment horizontal="center" vertical="bottom"/>
    </xf>
    <xf numFmtId="0" fontId="10" fillId="0" borderId="9" xfId="0" applyFont="1" applyBorder="1" applyAlignment="1">
      <alignment horizontal="center" vertical="bottom"/>
    </xf>
    <xf numFmtId="0" fontId="10" fillId="0" borderId="0" xfId="0" applyFont="1" applyAlignment="1">
      <alignment horizontal="center" vertical="bottom"/>
    </xf>
    <xf numFmtId="0" fontId="8" fillId="0" borderId="0" xfId="0" applyFont="1" applyAlignment="1">
      <alignment horizontal="left" vertical="bottom"/>
    </xf>
    <xf numFmtId="17" fontId="11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center" vertical="bottom"/>
    </xf>
    <xf numFmtId="0" fontId="11" fillId="0" borderId="0" xfId="0" applyFont="1" applyAlignment="1">
      <alignment horizontal="center" vertical="center"/>
    </xf>
    <xf numFmtId="167" fontId="1" fillId="0" borderId="0" xfId="0" applyNumberFormat="1" applyFont="1" applyAlignment="1">
      <alignment vertical="bottom"/>
    </xf>
    <xf numFmtId="0" fontId="11" fillId="0" borderId="0" xfId="0" applyFont="1" applyAlignment="1">
      <alignment horizontal="left"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horizontal="center" vertical="bottom"/>
    </xf>
    <xf numFmtId="168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8" fillId="0" borderId="19" xfId="0" applyFont="1" applyBorder="1" applyAlignment="1">
      <alignment vertical="bottom"/>
    </xf>
    <xf numFmtId="0" fontId="8" fillId="0" borderId="19" xfId="0" applyFont="1" applyBorder="1" applyAlignment="1">
      <alignment horizontal="right" vertical="bottom"/>
    </xf>
    <xf numFmtId="165" fontId="8" fillId="0" borderId="19" xfId="0" applyNumberFormat="1" applyFont="1" applyBorder="1" applyAlignment="1">
      <alignment horizontal="left" vertical="bottom"/>
    </xf>
    <xf numFmtId="177" fontId="8" fillId="0" borderId="19" xfId="0" applyNumberFormat="1" applyFont="1" applyBorder="1" applyAlignment="1">
      <alignment vertical="bottom"/>
    </xf>
    <xf numFmtId="178" fontId="1" fillId="0" borderId="0" xfId="0" applyNumberFormat="1" applyFont="1" applyAlignment="1">
      <alignment vertical="bottom"/>
    </xf>
    <xf numFmtId="0" fontId="10" fillId="0" borderId="1" xfId="0" applyFont="1" applyBorder="1" applyAlignment="1">
      <alignment horizontal="right" vertical="bottom"/>
    </xf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horizontal="center" vertical="bottom"/>
    </xf>
    <xf numFmtId="0" fontId="3" fillId="2" borderId="0" xfId="0" applyFont="1" applyFill="1" applyAlignment="1">
      <alignment vertical="bottom"/>
    </xf>
    <xf numFmtId="0" fontId="4" fillId="2" borderId="0" xfId="0" applyFont="1" applyFill="1" applyAlignment="1">
      <alignment vertical="bottom"/>
    </xf>
    <xf numFmtId="0" fontId="5" fillId="2" borderId="0" xfId="0" applyFont="1" applyFill="1" applyAlignment="1">
      <alignment vertical="bottom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bottom"/>
    </xf>
    <xf numFmtId="0" fontId="7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bottom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4" fontId="6" fillId="2" borderId="0" xfId="0" applyNumberFormat="1" applyFont="1" applyFill="1" applyAlignment="1">
      <alignment vertical="center"/>
    </xf>
    <xf numFmtId="164" fontId="6" fillId="2" borderId="0" xfId="0" applyNumberFormat="1" applyFont="1" applyFill="1" applyAlignment="1">
      <alignment vertical="center"/>
    </xf>
    <xf numFmtId="165" fontId="6" fillId="2" borderId="0" xfId="0" applyNumberFormat="1" applyFont="1" applyFill="1" applyAlignment="1">
      <alignment horizontal="center" vertical="center"/>
    </xf>
    <xf numFmtId="166" fontId="6" fillId="2" borderId="0" xfId="0" applyNumberFormat="1" applyFont="1" applyFill="1" applyAlignment="1">
      <alignment vertical="center"/>
    </xf>
    <xf numFmtId="167" fontId="6" fillId="2" borderId="0" xfId="0" applyNumberFormat="1" applyFont="1" applyFill="1" applyAlignment="1">
      <alignment vertical="center"/>
    </xf>
    <xf numFmtId="0" fontId="6" fillId="2" borderId="2" xfId="0" applyFont="1" applyFill="1" applyBorder="1" applyAlignment="1">
      <alignment horizontal="center" vertical="bottom"/>
    </xf>
    <xf numFmtId="0" fontId="6" fillId="2" borderId="2" xfId="0" applyFont="1" applyFill="1" applyBorder="1" applyAlignment="1">
      <alignment vertical="bottom"/>
    </xf>
    <xf numFmtId="168" fontId="6" fillId="2" borderId="2" xfId="0" applyNumberFormat="1" applyFont="1" applyFill="1" applyBorder="1" applyAlignment="1">
      <alignment vertical="bottom"/>
    </xf>
    <xf numFmtId="164" fontId="6" fillId="2" borderId="2" xfId="0" applyNumberFormat="1" applyFont="1" applyFill="1" applyBorder="1" applyAlignment="1">
      <alignment vertical="bottom"/>
    </xf>
    <xf numFmtId="165" fontId="6" fillId="2" borderId="2" xfId="0" applyNumberFormat="1" applyFont="1" applyFill="1" applyBorder="1" applyAlignment="1">
      <alignment horizontal="center" vertical="bottom"/>
    </xf>
    <xf numFmtId="165" fontId="6" fillId="2" borderId="2" xfId="0" applyNumberFormat="1" applyFont="1" applyFill="1" applyBorder="1" applyAlignment="1">
      <alignment vertical="bottom"/>
    </xf>
    <xf numFmtId="166" fontId="6" fillId="2" borderId="2" xfId="0" applyNumberFormat="1" applyFont="1" applyFill="1" applyBorder="1" applyAlignment="1">
      <alignment vertical="bottom"/>
    </xf>
    <xf numFmtId="167" fontId="6" fillId="2" borderId="2" xfId="0" applyNumberFormat="1" applyFont="1" applyFill="1" applyBorder="1" applyAlignment="1">
      <alignment vertical="bottom"/>
    </xf>
    <xf numFmtId="169" fontId="1" fillId="2" borderId="0" xfId="0" applyNumberFormat="1" applyFont="1" applyFill="1" applyAlignment="1">
      <alignment vertical="bottom"/>
    </xf>
    <xf numFmtId="0" fontId="6" fillId="0" borderId="0" xfId="0" applyFont="1" applyAlignment="1">
      <alignment horizontal="right" vertical="bottom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170" fontId="6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179" fontId="6" fillId="0" borderId="13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0" fillId="0" borderId="7" xfId="0" applyFont="1" applyBorder="1" applyAlignment="1">
      <alignment vertical="bottom"/>
    </xf>
    <xf numFmtId="0" fontId="8" fillId="0" borderId="7" xfId="0" applyFont="1" applyBorder="1" applyAlignment="1">
      <alignment horizontal="left" vertical="bottom" indent="5"/>
    </xf>
    <xf numFmtId="0" fontId="8" fillId="0" borderId="0" xfId="0" applyFont="1" applyAlignment="1">
      <alignment horizontal="left" vertical="bottom" indent="4"/>
    </xf>
    <xf numFmtId="0" fontId="8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8" fillId="0" borderId="0" xfId="0" applyFont="1" applyAlignment="1">
      <alignment vertical="center"/>
    </xf>
    <xf numFmtId="0" fontId="1" fillId="0" borderId="17" xfId="0" applyFont="1" applyBorder="1" applyAlignment="1">
      <alignment horizontal="center" vertical="center"/>
    </xf>
    <xf numFmtId="171" fontId="1" fillId="0" borderId="0" xfId="0" applyNumberFormat="1" applyFont="1" applyAlignment="1">
      <alignment vertical="bottom"/>
    </xf>
    <xf numFmtId="0" fontId="8" fillId="0" borderId="1" xfId="0" applyFont="1" applyBorder="1" applyAlignment="1">
      <alignment horizontal="left" vertical="bottom" indent="5"/>
    </xf>
    <xf numFmtId="0" fontId="8" fillId="0" borderId="1" xfId="0" applyFont="1" applyBorder="1" applyAlignment="1">
      <alignment horizontal="center" vertical="bottom"/>
    </xf>
    <xf numFmtId="0" fontId="1" fillId="0" borderId="7" xfId="0" applyFont="1" applyBorder="1" applyAlignment="1">
      <alignment vertical="bottom"/>
    </xf>
    <xf numFmtId="0" fontId="1" fillId="0" borderId="9" xfId="0" applyFont="1" applyBorder="1" applyAlignment="1">
      <alignment horizontal="center" vertical="bottom"/>
    </xf>
    <xf numFmtId="180" fontId="1" fillId="0" borderId="0" xfId="0" applyNumberFormat="1" applyFont="1" applyAlignment="1">
      <alignment horizontal="center" vertical="bottom"/>
    </xf>
    <xf numFmtId="181" fontId="1" fillId="0" borderId="0" xfId="0" applyNumberFormat="1" applyFont="1" applyAlignment="1">
      <alignment horizontal="center" vertical="bottom" shrinkToFit="1"/>
    </xf>
    <xf numFmtId="181" fontId="1" fillId="0" borderId="0" xfId="0" applyNumberFormat="1" applyFont="1" applyAlignment="1">
      <alignment horizontal="center" vertical="bottom"/>
    </xf>
    <xf numFmtId="170" fontId="8" fillId="0" borderId="0" xfId="0" applyNumberFormat="1" applyFont="1" applyAlignment="1">
      <alignment vertical="bottom"/>
    </xf>
    <xf numFmtId="167" fontId="13" fillId="0" borderId="0" xfId="0" applyNumberFormat="1" applyFont="1" applyAlignment="1">
      <alignment vertical="bottom"/>
    </xf>
    <xf numFmtId="17" fontId="1" fillId="0" borderId="0" xfId="0" applyNumberFormat="1" applyFont="1" applyAlignment="1">
      <alignment horizontal="left" vertical="center"/>
    </xf>
    <xf numFmtId="173" fontId="1" fillId="0" borderId="0" xfId="0" applyNumberFormat="1" applyFont="1" applyAlignment="1">
      <alignment vertical="bottom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8" fillId="0" borderId="2" xfId="0" applyFont="1" applyBorder="1" applyAlignment="1">
      <alignment vertical="bottom"/>
    </xf>
    <xf numFmtId="0" fontId="1" fillId="0" borderId="2" xfId="0" applyFont="1" applyBorder="1" applyAlignment="1">
      <alignment vertical="bottom"/>
    </xf>
    <xf numFmtId="164" fontId="1" fillId="0" borderId="2" xfId="0" applyNumberFormat="1" applyFont="1" applyBorder="1" applyAlignment="1">
      <alignment vertical="bottom"/>
    </xf>
    <xf numFmtId="165" fontId="1" fillId="0" borderId="2" xfId="0" applyNumberFormat="1" applyFont="1" applyBorder="1" applyAlignment="1">
      <alignment horizontal="center" vertical="bottom"/>
    </xf>
    <xf numFmtId="0" fontId="1" fillId="0" borderId="0" xfId="0" applyFont="1" applyAlignment="1">
      <alignment horizontal="left" vertical="bottom" indent="5"/>
    </xf>
    <xf numFmtId="175" fontId="1" fillId="3" borderId="0" xfId="0" applyNumberFormat="1" applyFont="1" applyFill="1" applyAlignment="1">
      <alignment horizontal="left" vertical="bottom"/>
    </xf>
    <xf numFmtId="175" fontId="1" fillId="0" borderId="0" xfId="0" applyNumberFormat="1" applyFont="1" applyAlignment="1">
      <alignment horizontal="left" vertical="bottom"/>
    </xf>
    <xf numFmtId="182" fontId="1" fillId="0" borderId="0" xfId="0" applyNumberFormat="1" applyFont="1" applyAlignment="1">
      <alignment vertical="bottom"/>
    </xf>
    <xf numFmtId="164" fontId="6" fillId="0" borderId="0" xfId="0" applyNumberFormat="1" applyFont="1" applyAlignment="1">
      <alignment vertical="bottom"/>
    </xf>
    <xf numFmtId="165" fontId="6" fillId="0" borderId="0" xfId="0" applyNumberFormat="1" applyFont="1" applyAlignment="1">
      <alignment horizontal="center" vertical="bottom"/>
    </xf>
    <xf numFmtId="168" fontId="6" fillId="0" borderId="0" xfId="0" applyNumberFormat="1" applyFont="1" applyAlignment="1">
      <alignment vertical="bottom"/>
    </xf>
    <xf numFmtId="165" fontId="6" fillId="0" borderId="0" xfId="0" applyNumberFormat="1" applyFont="1" applyAlignment="1">
      <alignment vertical="bottom"/>
    </xf>
    <xf numFmtId="0" fontId="8" fillId="0" borderId="2" xfId="0" applyFont="1" applyBorder="1" applyAlignment="1">
      <alignment horizontal="right" vertical="bottom"/>
    </xf>
    <xf numFmtId="165" fontId="8" fillId="0" borderId="2" xfId="0" applyNumberFormat="1" applyFont="1" applyBorder="1" applyAlignment="1">
      <alignment horizontal="left" vertical="bottom"/>
    </xf>
    <xf numFmtId="177" fontId="8" fillId="0" borderId="2" xfId="0" applyNumberFormat="1" applyFont="1" applyBorder="1" applyAlignment="1">
      <alignment vertical="bottom"/>
    </xf>
    <xf numFmtId="178" fontId="8" fillId="0" borderId="2" xfId="0" applyNumberFormat="1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35</xdr:row>
      <xdr:rowOff>166320</xdr:rowOff>
    </xdr:from>
    <xdr:to>
      <xdr:col>9</xdr:col>
      <xdr:colOff>971640</xdr:colOff>
      <xdr:row>41</xdr:row>
      <xdr:rowOff>13680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46</xdr:row>
      <xdr:rowOff>166680</xdr:rowOff>
    </xdr:from>
    <xdr:to>
      <xdr:col>10</xdr:col>
      <xdr:colOff>209880</xdr:colOff>
      <xdr:row>52</xdr:row>
      <xdr:rowOff>14400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37</xdr:row>
      <xdr:rowOff>166320</xdr:rowOff>
    </xdr:from>
    <xdr:to>
      <xdr:col>9</xdr:col>
      <xdr:colOff>971640</xdr:colOff>
      <xdr:row>43</xdr:row>
      <xdr:rowOff>14040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showGridLines="0" zoomScale="100" zoomScaleNormal="100" view="normal">
      <selection activeCell="A4" sqref="A4"/>
    </sheetView>
  </sheetViews>
  <sheetFormatPr defaultRowHeight="12.75" outlineLevelRow="0" outlineLevelCol="0" x14ac:dyDescent="0" defaultColWidth="10.4453125" customHeight="1"/>
  <cols>
    <col min="1" max="1" width="4.56" style="1" customWidth="1"/>
    <col min="2" max="2" width="15.11" style="1" customWidth="1"/>
    <col min="3" max="3" width="26.44" style="1" customWidth="1"/>
    <col min="4" max="4" width="7.78" style="1" customWidth="1"/>
    <col min="5" max="5" width="9.67" style="1" customWidth="1"/>
    <col min="6" max="6" width="4.11" style="1" customWidth="1"/>
    <col min="7" max="7" width="11.33" style="1" customWidth="1"/>
    <col min="8" max="9" width="9" style="1" customWidth="1"/>
    <col min="10" max="10" width="2.44" style="1" customWidth="1"/>
    <col min="11" max="11" width="7.9" style="1" customWidth="1"/>
    <col min="12" max="12" width="11.22" style="1" customWidth="1"/>
  </cols>
  <sheetData>
    <row r="1" ht="23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</row>
    <row r="2" ht="12" customHeight="1" spans="1:10" x14ac:dyDescent="0.25">
      <c r="A2" s="6"/>
      <c r="B2" s="6"/>
      <c r="C2" s="6"/>
      <c r="D2" s="6"/>
      <c r="E2" s="6"/>
      <c r="F2" s="6"/>
      <c r="G2" s="6"/>
      <c r="H2" s="7"/>
      <c r="I2" s="3"/>
      <c r="J2" s="3"/>
    </row>
    <row r="3" ht="12" customHeight="1" spans="1:12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/>
      <c r="K3" s="10" t="s">
        <v>10</v>
      </c>
      <c r="L3" s="10" t="s">
        <v>11</v>
      </c>
    </row>
    <row r="4" ht="12" customHeight="1" spans="1:10" x14ac:dyDescent="0.25">
      <c r="A4" s="11"/>
      <c r="B4" s="12"/>
      <c r="C4" s="12"/>
      <c r="D4" s="13"/>
      <c r="E4" s="14">
        <f>=SUM(E4:E3)</f>
      </c>
      <c r="F4" s="15"/>
      <c r="G4" s="13">
        <f>=SUM(G4:G3)</f>
      </c>
      <c r="H4" s="16"/>
      <c r="I4" s="17">
        <f>=SUM(I4:I3)</f>
      </c>
      <c r="J4" s="6"/>
    </row>
    <row r="5" ht="12.75" customHeight="1" spans="1:11" x14ac:dyDescent="0.25">
      <c r="A5" s="18"/>
      <c r="B5" s="19" t="s">
        <v>12</v>
      </c>
      <c r="C5" s="19"/>
      <c r="D5" s="20"/>
      <c r="E5" s="21">
        <f>SUM(E4)</f>
        <v>0</v>
      </c>
      <c r="F5" s="22"/>
      <c r="G5" s="23">
        <f>SUM(G4)</f>
        <v>0</v>
      </c>
      <c r="H5" s="24"/>
      <c r="I5" s="25">
        <f>SUM(I4)</f>
        <v>0</v>
      </c>
      <c r="J5" s="6" t="s">
        <v>13</v>
      </c>
      <c r="K5" s="26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 showGridLines="0" zoomScale="100" zoomScaleNormal="100" view="normal">
      <selection activeCell="D46" sqref="D46"/>
    </sheetView>
  </sheetViews>
  <sheetFormatPr defaultRowHeight="12.75" outlineLevelRow="0" outlineLevelCol="0" x14ac:dyDescent="0" defaultColWidth="8.66796875" customHeight="1"/>
  <cols>
    <col min="1" max="1" width="19.88" style="27" customWidth="1"/>
    <col min="2" max="2" width="30.44" style="27" customWidth="1"/>
    <col min="3" max="3" width="23.22" style="27" customWidth="1"/>
    <col min="4" max="4" width="28.44" style="27" customWidth="1"/>
    <col min="5" max="5" width="6.89" style="27" customWidth="1"/>
    <col min="6" max="6" width="8.56" style="27" customWidth="1"/>
    <col min="7" max="7" width="9.11" style="27" customWidth="1"/>
    <col min="8" max="8" width="11.11" style="27" customWidth="1"/>
    <col min="9" max="9" width="12.34" style="27" customWidth="1"/>
  </cols>
  <sheetData>
    <row r="1" ht="19.7" customHeight="1" spans="1:9" x14ac:dyDescent="0.25">
      <c r="A1" s="28" t="s">
        <v>14</v>
      </c>
      <c r="B1" s="28"/>
      <c r="C1" s="28"/>
      <c r="D1" s="28"/>
      <c r="E1" s="28"/>
      <c r="F1" s="28"/>
      <c r="G1" s="28"/>
      <c r="H1" s="28"/>
      <c r="I1" s="28"/>
    </row>
    <row r="3" ht="15.65" customHeight="1" spans="1:9" x14ac:dyDescent="0.25">
      <c r="A3" s="29" t="s">
        <v>15</v>
      </c>
      <c r="B3" s="29" t="s">
        <v>16</v>
      </c>
      <c r="C3" s="30" t="s">
        <v>17</v>
      </c>
      <c r="D3" s="31" t="s">
        <v>18</v>
      </c>
      <c r="E3" s="30" t="s">
        <v>19</v>
      </c>
      <c r="F3" s="32" t="s">
        <v>20</v>
      </c>
      <c r="G3" s="32" t="s">
        <v>21</v>
      </c>
      <c r="H3" s="32" t="s">
        <v>22</v>
      </c>
      <c r="I3" s="32" t="s">
        <v>23</v>
      </c>
    </row>
    <row r="4" ht="12.75" customHeight="1" spans="1:9" x14ac:dyDescent="0.25">
      <c r="A4" s="33"/>
      <c r="B4" s="33"/>
      <c r="C4" s="34"/>
      <c r="D4" s="35"/>
      <c r="E4" s="36"/>
      <c r="F4" s="37">
        <f>=SUM(F4:F3)</f>
      </c>
      <c r="G4" s="38">
        <f>=SUM(G4:G3)</f>
      </c>
      <c r="H4" s="39"/>
      <c r="I4" s="39"/>
    </row>
    <row r="5" ht="12.75" customHeight="1" spans="1:9" x14ac:dyDescent="0.25">
      <c r="A5" s="40" t="s">
        <v>24</v>
      </c>
      <c r="B5" s="41" t="s">
        <v>25</v>
      </c>
      <c r="C5" s="42"/>
      <c r="D5" s="42"/>
      <c r="E5" s="42"/>
      <c r="F5" s="43">
        <f>SUM(F4)</f>
        <v>0</v>
      </c>
      <c r="G5" s="44">
        <f>SUM(G4)</f>
        <v>0</v>
      </c>
      <c r="H5" s="42"/>
      <c r="I5" s="42"/>
    </row>
  </sheetData>
  <mergeCells count="1">
    <mergeCell ref="A1:I1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5" t="s">
        <v>26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ht="15" customHeight="1" spans="1:9" x14ac:dyDescent="0.25">
      <c r="A2" s="46" t="s">
        <v>27</v>
      </c>
      <c r="B2" s="46"/>
      <c r="C2" s="46"/>
      <c r="F2" s="47"/>
      <c r="G2" s="48" t="s">
        <v>28</v>
      </c>
      <c r="H2" s="46"/>
      <c r="I2" s="46"/>
    </row>
    <row r="3" ht="15" customHeight="1" spans="1:11" x14ac:dyDescent="0.25">
      <c r="A3" s="49" t="s">
        <v>29</v>
      </c>
      <c r="B3" s="49"/>
      <c r="C3" s="49"/>
      <c r="D3" s="49"/>
      <c r="E3" s="49"/>
      <c r="F3" s="47"/>
      <c r="G3" s="3"/>
      <c r="J3" s="3"/>
      <c r="K3" s="50"/>
    </row>
    <row r="4" ht="15" customHeight="1" spans="1:11" x14ac:dyDescent="0.25">
      <c r="A4" s="1" t="s">
        <v>30</v>
      </c>
      <c r="F4" s="47"/>
      <c r="G4" s="51" t="s">
        <v>31</v>
      </c>
      <c r="J4" s="52"/>
      <c r="K4" s="52">
        <v>46094.625</v>
      </c>
    </row>
    <row r="5" ht="15" customHeight="1" spans="1:9" x14ac:dyDescent="0.25">
      <c r="A5" s="1" t="s">
        <v>32</v>
      </c>
      <c r="F5" s="47"/>
      <c r="G5" s="48" t="s">
        <v>33</v>
      </c>
      <c r="H5" s="46"/>
      <c r="I5" s="53"/>
    </row>
    <row r="6" ht="15" customHeight="1" spans="1:11" x14ac:dyDescent="0.25">
      <c r="A6" s="1" t="s">
        <v>34</v>
      </c>
      <c r="F6" s="47"/>
      <c r="G6" s="3"/>
      <c r="H6" s="3"/>
      <c r="I6" s="3"/>
      <c r="J6" s="3"/>
      <c r="K6" s="54"/>
    </row>
    <row r="7" ht="15" customHeight="1" spans="1:11" x14ac:dyDescent="0.25">
      <c r="A7" s="46" t="s">
        <v>35</v>
      </c>
      <c r="B7" s="46"/>
      <c r="C7" s="53"/>
      <c r="D7" s="53"/>
      <c r="E7" s="53"/>
      <c r="F7" s="55"/>
      <c r="H7" s="49"/>
      <c r="I7" s="49"/>
      <c r="J7" s="56" t="s">
        <v>36</v>
      </c>
      <c r="K7" s="57"/>
    </row>
    <row r="8" ht="15" customHeight="1" spans="1:11" x14ac:dyDescent="0.25">
      <c r="A8" s="49" t="s">
        <v>37</v>
      </c>
      <c r="B8" s="49"/>
      <c r="C8" s="49"/>
      <c r="F8" s="47"/>
      <c r="G8" s="48" t="s">
        <v>38</v>
      </c>
      <c r="H8" s="46"/>
      <c r="I8" s="46"/>
      <c r="J8" s="53"/>
      <c r="K8" s="58"/>
    </row>
    <row r="9" ht="15" customHeight="1" spans="1:11" x14ac:dyDescent="0.25">
      <c r="A9" s="1" t="s">
        <v>39</v>
      </c>
      <c r="F9" s="47"/>
      <c r="G9" s="1" t="s">
        <v>36</v>
      </c>
      <c r="K9" s="57"/>
    </row>
    <row r="10" ht="15" customHeight="1" spans="1:11" x14ac:dyDescent="0.25">
      <c r="A10" s="1" t="s">
        <v>40</v>
      </c>
      <c r="F10" s="47"/>
      <c r="G10" s="59" t="s">
        <v>36</v>
      </c>
      <c r="H10" s="59"/>
      <c r="I10" s="59"/>
      <c r="J10" s="59"/>
      <c r="K10" s="57"/>
    </row>
    <row r="11" ht="15" customHeight="1" spans="1:11" x14ac:dyDescent="0.25">
      <c r="A11" s="1" t="s">
        <v>41</v>
      </c>
      <c r="F11" s="47"/>
      <c r="G11" s="48" t="s">
        <v>42</v>
      </c>
      <c r="H11" s="46"/>
      <c r="K11" s="60"/>
    </row>
    <row r="12" ht="15" customHeight="1" spans="1:11" x14ac:dyDescent="0.25">
      <c r="A12" s="59" t="s">
        <v>43</v>
      </c>
      <c r="B12" s="61"/>
      <c r="C12" s="59"/>
      <c r="D12" s="59"/>
      <c r="E12" s="59"/>
      <c r="F12" s="62"/>
      <c r="G12" s="3"/>
      <c r="K12" s="63"/>
    </row>
    <row r="13" ht="15" customHeight="1" spans="1:11" x14ac:dyDescent="0.25">
      <c r="A13" s="64" t="s">
        <v>44</v>
      </c>
      <c r="F13" s="47"/>
      <c r="G13" s="3"/>
      <c r="I13" s="65"/>
      <c r="J13" s="66"/>
      <c r="K13" s="63"/>
    </row>
    <row r="14" ht="15" customHeight="1" spans="1:11" x14ac:dyDescent="0.25">
      <c r="A14" s="67" t="s">
        <v>45</v>
      </c>
      <c r="B14" s="67"/>
      <c r="F14" s="47"/>
      <c r="I14" s="65"/>
      <c r="J14" s="66"/>
      <c r="K14" s="63"/>
    </row>
    <row r="15" ht="15" customHeight="1" spans="6:11" x14ac:dyDescent="0.25">
      <c r="F15" s="47"/>
      <c r="H15" s="49"/>
      <c r="K15" s="63"/>
    </row>
    <row r="16" ht="15" customHeight="1" spans="1:11" x14ac:dyDescent="0.25">
      <c r="A16" s="46" t="s">
        <v>46</v>
      </c>
      <c r="B16" s="46"/>
      <c r="C16" s="55"/>
      <c r="D16" s="46" t="s">
        <v>47</v>
      </c>
      <c r="E16" s="46"/>
      <c r="F16" s="68"/>
      <c r="G16" s="3"/>
      <c r="H16" s="65"/>
      <c r="I16" s="69"/>
      <c r="J16" s="49"/>
      <c r="K16" s="63"/>
    </row>
    <row r="17" ht="15" customHeight="1" spans="4:11" x14ac:dyDescent="0.25">
      <c r="D17" s="70" t="s">
        <v>36</v>
      </c>
      <c r="E17" s="51"/>
      <c r="F17" s="47"/>
      <c r="H17" s="65"/>
      <c r="I17" s="69"/>
      <c r="J17" s="49"/>
      <c r="K17" s="63"/>
    </row>
    <row r="18" ht="15" customHeight="1" spans="1:11" x14ac:dyDescent="0.25">
      <c r="A18" s="71" t="s">
        <v>48</v>
      </c>
      <c r="B18" s="71"/>
      <c r="C18" s="71"/>
      <c r="D18" s="72" t="s">
        <v>49</v>
      </c>
      <c r="E18" s="72"/>
      <c r="F18" s="72"/>
      <c r="H18" s="65"/>
      <c r="I18" s="69"/>
      <c r="J18" s="49"/>
      <c r="K18" s="63"/>
    </row>
    <row r="19" ht="15" customHeight="1" spans="1:11" x14ac:dyDescent="0.25">
      <c r="A19" s="46" t="s">
        <v>50</v>
      </c>
      <c r="B19" s="46"/>
      <c r="C19" s="47"/>
      <c r="D19" s="46" t="s">
        <v>51</v>
      </c>
      <c r="E19" s="46"/>
      <c r="F19" s="68"/>
      <c r="K19" s="63"/>
    </row>
    <row r="20" ht="15" customHeight="1" spans="1:11" x14ac:dyDescent="0.25">
      <c r="A20" s="1" t="s">
        <v>36</v>
      </c>
      <c r="C20" s="47"/>
      <c r="D20" s="1" t="s">
        <v>36</v>
      </c>
      <c r="F20" s="47"/>
      <c r="G20" s="1" t="s">
        <v>36</v>
      </c>
      <c r="K20" s="63"/>
    </row>
    <row r="21" ht="15" customHeight="1" spans="1:11" x14ac:dyDescent="0.25">
      <c r="A21" s="73"/>
      <c r="B21" s="73"/>
      <c r="C21" s="73"/>
      <c r="D21" s="74"/>
      <c r="E21" s="74"/>
      <c r="F21" s="74"/>
      <c r="G21" s="59"/>
      <c r="H21" s="59"/>
      <c r="I21" s="59"/>
      <c r="J21" s="59"/>
      <c r="K21" s="75"/>
    </row>
    <row r="22" ht="15" customHeight="1" spans="1:11" x14ac:dyDescent="0.25">
      <c r="A22" s="76" t="s">
        <v>52</v>
      </c>
      <c r="B22" s="76"/>
      <c r="C22" s="76"/>
      <c r="D22" s="77" t="s">
        <v>53</v>
      </c>
      <c r="E22" s="77"/>
      <c r="F22" s="77"/>
      <c r="G22" s="77" t="s">
        <v>54</v>
      </c>
      <c r="H22" s="77"/>
      <c r="I22" s="78" t="s">
        <v>55</v>
      </c>
      <c r="J22" s="79" t="s">
        <v>56</v>
      </c>
      <c r="K22" s="79"/>
    </row>
    <row r="23" ht="15" customHeight="1" spans="1:9" x14ac:dyDescent="0.25">
      <c r="A23" s="1" t="s">
        <v>36</v>
      </c>
      <c r="C23" s="47"/>
      <c r="F23" s="47"/>
      <c r="H23" s="47"/>
      <c r="I23" s="47"/>
    </row>
    <row r="24" ht="15" customHeight="1" spans="1:9" x14ac:dyDescent="0.25">
      <c r="A24" s="1" t="s">
        <v>36</v>
      </c>
      <c r="G24" s="80" t="s">
        <v>57</v>
      </c>
      <c r="H24" s="80"/>
      <c r="I24" s="80"/>
    </row>
    <row r="25" ht="15" customHeight="1" spans="1:11" x14ac:dyDescent="0.25">
      <c r="A25" s="81" t="s">
        <v>58</v>
      </c>
      <c r="C25" s="3"/>
      <c r="F25" s="3"/>
      <c r="G25" s="3"/>
      <c r="H25" s="3"/>
      <c r="I25" s="3"/>
      <c r="J25" s="3"/>
      <c r="K25" s="82"/>
    </row>
    <row r="26" ht="15" customHeight="1" spans="1:11" x14ac:dyDescent="0.25">
      <c r="A26" s="83" t="s">
        <v>59</v>
      </c>
      <c r="C26" s="3"/>
      <c r="F26" s="3"/>
      <c r="G26" s="3"/>
      <c r="H26" s="3"/>
      <c r="I26" s="3"/>
      <c r="J26" s="3"/>
      <c r="K26" s="84"/>
    </row>
    <row r="27" ht="15" customHeight="1" spans="1:11" x14ac:dyDescent="0.25">
      <c r="A27" s="85"/>
      <c r="D27" s="49" t="s">
        <v>60</v>
      </c>
      <c r="E27" s="49"/>
      <c r="F27" s="49"/>
      <c r="K27" s="84"/>
    </row>
    <row r="28" ht="15" customHeight="1" spans="1:11" x14ac:dyDescent="0.25">
      <c r="A28" s="85" t="s">
        <v>61</v>
      </c>
      <c r="K28" s="84"/>
    </row>
    <row r="29" ht="15" customHeight="1" spans="1:10" x14ac:dyDescent="0.25">
      <c r="A29" s="85" t="s">
        <v>62</v>
      </c>
      <c r="F29" s="3"/>
      <c r="G29" s="86"/>
      <c r="H29" s="87"/>
      <c r="I29" s="88"/>
      <c r="J29" s="89"/>
    </row>
    <row r="30" ht="15" customHeight="1" spans="1:10" x14ac:dyDescent="0.25">
      <c r="A30" s="85" t="s">
        <v>63</v>
      </c>
      <c r="B30" s="86"/>
      <c r="F30" s="3"/>
      <c r="G30" s="86"/>
      <c r="H30" s="87"/>
      <c r="I30" s="88"/>
      <c r="J30" s="89"/>
    </row>
    <row r="31" ht="15" customHeight="1" spans="1:10" x14ac:dyDescent="0.25">
      <c r="A31" s="85" t="s">
        <v>64</v>
      </c>
      <c r="B31" s="86"/>
      <c r="C31" s="3"/>
      <c r="D31" s="90" t="s">
        <v>24</v>
      </c>
      <c r="E31" s="90"/>
      <c r="F31" s="90"/>
      <c r="G31" s="91"/>
      <c r="H31" s="92"/>
      <c r="I31" s="92"/>
      <c r="J31" s="93">
        <f>=VLOOKUP("GRAND TOTAL :",BVT.INV!B:I,6,0)</f>
      </c>
    </row>
    <row r="32" ht="15" customHeight="1" spans="2:10" x14ac:dyDescent="0.25">
      <c r="B32" s="86"/>
      <c r="F32" s="3"/>
      <c r="G32" s="86"/>
      <c r="H32" s="87"/>
      <c r="I32" s="88"/>
      <c r="J32" s="94"/>
    </row>
    <row r="33" ht="15" customHeight="1" spans="2:10" x14ac:dyDescent="0.25">
      <c r="B33" s="86"/>
      <c r="F33" s="3"/>
      <c r="G33" s="86"/>
      <c r="H33" s="87"/>
      <c r="I33" s="88"/>
      <c r="J33" s="94"/>
    </row>
    <row r="34" ht="15" customHeight="1" spans="2:10" x14ac:dyDescent="0.25">
      <c r="B34" s="86"/>
      <c r="F34" s="3"/>
      <c r="G34" s="86"/>
      <c r="H34" s="87"/>
      <c r="I34" s="88"/>
      <c r="J34" s="94"/>
    </row>
    <row r="35" ht="15" customHeight="1" spans="2:10" x14ac:dyDescent="0.25">
      <c r="B35" s="86"/>
      <c r="F35" s="3"/>
      <c r="G35" s="86"/>
      <c r="H35" s="87"/>
      <c r="I35" s="88"/>
      <c r="J35" s="94"/>
    </row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spans="1:6" x14ac:dyDescent="0.25">
      <c r="A40" s="64" t="s">
        <v>65</v>
      </c>
      <c r="B40" s="64"/>
      <c r="C40" s="64"/>
      <c r="D40" s="64"/>
      <c r="E40" s="64"/>
      <c r="F40" s="64"/>
    </row>
    <row r="41" ht="15" customHeight="1" spans="1:11" x14ac:dyDescent="0.25">
      <c r="A41" s="64" t="s">
        <v>66</v>
      </c>
      <c r="B41" s="64"/>
      <c r="C41" s="64"/>
      <c r="H41" s="95" t="s">
        <v>67</v>
      </c>
      <c r="I41" s="59"/>
      <c r="J41" s="59"/>
      <c r="K41" s="59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1" width="4.56" style="96" customWidth="1"/>
    <col min="2" max="2" width="15.11" style="96" customWidth="1"/>
    <col min="3" max="3" width="26.44" style="96" customWidth="1"/>
    <col min="4" max="4" width="7.78" style="96" customWidth="1"/>
    <col min="5" max="5" width="9.67" style="96" customWidth="1"/>
    <col min="6" max="6" width="4.11" style="96" customWidth="1"/>
    <col min="7" max="7" width="11.33" style="96" customWidth="1"/>
    <col min="8" max="9" width="9" style="96" customWidth="1"/>
    <col min="10" max="10" width="2.44" style="96" customWidth="1"/>
    <col min="11" max="11" width="7.9" style="96" customWidth="1"/>
    <col min="12" max="12" width="6.11" style="96" customWidth="1"/>
    <col min="13" max="13" width="12.11" style="96" customWidth="1"/>
  </cols>
  <sheetData>
    <row r="1" ht="23.25" customHeight="1" spans="1:13" x14ac:dyDescent="0.25">
      <c r="A1" s="97" t="s">
        <v>68</v>
      </c>
      <c r="B1" s="97"/>
      <c r="C1" s="97"/>
      <c r="D1" s="97"/>
      <c r="E1" s="97"/>
      <c r="F1" s="97"/>
      <c r="G1" s="97"/>
      <c r="H1" s="97"/>
      <c r="I1" s="97"/>
      <c r="J1" s="98"/>
      <c r="K1" s="99"/>
      <c r="L1" s="100"/>
      <c r="M1" s="100"/>
    </row>
    <row r="2" ht="12" customHeight="1" spans="1:10" x14ac:dyDescent="0.25">
      <c r="A2" s="101"/>
      <c r="B2" s="101"/>
      <c r="C2" s="101"/>
      <c r="D2" s="101"/>
      <c r="E2" s="101"/>
      <c r="F2" s="101"/>
      <c r="G2" s="101"/>
      <c r="H2" s="102"/>
      <c r="I2" s="98"/>
      <c r="J2" s="98"/>
    </row>
    <row r="3" ht="12" customHeight="1" spans="1:13" x14ac:dyDescent="0.25">
      <c r="A3" s="103" t="s">
        <v>1</v>
      </c>
      <c r="B3" s="103" t="s">
        <v>2</v>
      </c>
      <c r="C3" s="103" t="s">
        <v>3</v>
      </c>
      <c r="D3" s="103" t="s">
        <v>4</v>
      </c>
      <c r="E3" s="103" t="s">
        <v>5</v>
      </c>
      <c r="F3" s="103" t="s">
        <v>6</v>
      </c>
      <c r="G3" s="103" t="s">
        <v>7</v>
      </c>
      <c r="H3" s="103" t="s">
        <v>8</v>
      </c>
      <c r="I3" s="103" t="s">
        <v>9</v>
      </c>
      <c r="J3" s="104"/>
      <c r="K3" s="105" t="s">
        <v>69</v>
      </c>
      <c r="L3" s="105" t="s">
        <v>10</v>
      </c>
      <c r="M3" s="105" t="s">
        <v>11</v>
      </c>
    </row>
    <row r="4" ht="12" customHeight="1" spans="1:13" x14ac:dyDescent="0.25">
      <c r="A4" s="106">
        <v>1</v>
      </c>
      <c r="B4" s="107"/>
      <c r="C4" s="107"/>
      <c r="D4" s="108">
        <v>NaN</v>
      </c>
      <c r="E4" s="109">
        <v>NaN</v>
      </c>
      <c r="F4" s="110"/>
      <c r="G4" s="108">
        <v>NaN</v>
      </c>
      <c r="H4" s="111"/>
      <c r="I4" s="112">
        <v>NaN</v>
      </c>
      <c r="J4" s="101" t="s">
        <v>13</v>
      </c>
      <c r="K4" s="96"/>
      <c r="L4" s="96"/>
      <c r="M4" s="96"/>
    </row>
    <row r="5" ht="12.75" customHeight="1" spans="1:11" x14ac:dyDescent="0.25">
      <c r="A5" s="113"/>
      <c r="B5" s="114" t="s">
        <v>12</v>
      </c>
      <c r="C5" s="114"/>
      <c r="D5" s="115"/>
      <c r="E5" s="116">
        <f>=SUM(E4:E4)</f>
      </c>
      <c r="F5" s="117"/>
      <c r="G5" s="118">
        <f>=SUM(G4:G4)</f>
      </c>
      <c r="H5" s="119"/>
      <c r="I5" s="120">
        <f>=SUM(I4:I4)</f>
      </c>
      <c r="J5" s="101" t="s">
        <v>13</v>
      </c>
      <c r="K5" s="121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 showGridLines="0" zoomScale="100" zoomScaleNormal="100" view="normal">
      <selection activeCell="G14" sqref="G14"/>
    </sheetView>
  </sheetViews>
  <sheetFormatPr defaultRowHeight="12.8" outlineLevelRow="0" outlineLevelCol="0" x14ac:dyDescent="0" defaultColWidth="8.66796875" customHeight="1"/>
  <cols>
    <col min="1" max="1" width="4.67" style="3" customWidth="1"/>
    <col min="2" max="2" width="14.44" style="3" customWidth="1"/>
    <col min="3" max="3" width="45.6" style="3" customWidth="1"/>
    <col min="5" max="5" width="8.78" style="3" customWidth="1"/>
    <col min="6" max="6" width="12.9" style="3" customWidth="1"/>
    <col min="7" max="7" width="11.44" style="3" customWidth="1"/>
    <col min="8" max="9" width="8.88" style="3" customWidth="1"/>
  </cols>
  <sheetData>
    <row r="1" ht="23.25" customHeight="1" spans="1:9" x14ac:dyDescent="0.25">
      <c r="A1" s="2" t="s">
        <v>70</v>
      </c>
      <c r="B1" s="2"/>
      <c r="C1" s="2"/>
      <c r="D1" s="2"/>
      <c r="E1" s="2"/>
      <c r="F1" s="2"/>
      <c r="G1" s="2"/>
      <c r="H1" s="27"/>
      <c r="I1" s="27" t="s">
        <v>71</v>
      </c>
    </row>
    <row r="2" ht="12.75" customHeight="1" spans="1:9" x14ac:dyDescent="0.25">
      <c r="A2" s="27"/>
      <c r="B2" s="7"/>
      <c r="C2" s="7"/>
      <c r="D2" s="7"/>
      <c r="E2" s="27"/>
      <c r="F2" s="27"/>
      <c r="G2" s="122"/>
      <c r="H2" s="27"/>
      <c r="I2" s="27"/>
    </row>
    <row r="3" ht="12.75" customHeight="1" spans="1:9" x14ac:dyDescent="0.25">
      <c r="A3" s="123" t="s">
        <v>72</v>
      </c>
      <c r="B3" s="124" t="s">
        <v>73</v>
      </c>
      <c r="C3" s="124" t="s">
        <v>74</v>
      </c>
      <c r="D3" s="123" t="s">
        <v>75</v>
      </c>
      <c r="E3" s="123" t="s">
        <v>76</v>
      </c>
      <c r="F3" s="123" t="s">
        <v>77</v>
      </c>
      <c r="G3" s="125">
        <f>=VLOOKUP("GRAND TOTAL :",BVT.INV!B:I,6,0)</f>
      </c>
      <c r="H3" s="12"/>
      <c r="I3" s="12"/>
    </row>
    <row r="4" ht="12.75" customHeight="1" spans="1:9" x14ac:dyDescent="0.25">
      <c r="A4" s="11"/>
      <c r="B4" s="6"/>
      <c r="C4" s="126"/>
      <c r="D4" s="127"/>
      <c r="E4" s="11"/>
      <c r="F4" s="128"/>
      <c r="G4" s="129"/>
      <c r="H4" s="27"/>
      <c r="I4" s="27"/>
    </row>
  </sheetData>
  <mergeCells count="1">
    <mergeCell ref="A1:G1"/>
  </mergeCells>
  <pageMargins left="0.159722222222222" right="0.159722222222222" top="0.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 showGridLines="0" zoomScale="100" zoomScaleNormal="100" view="normal">
      <selection activeCell="G26" sqref="G26"/>
    </sheetView>
  </sheetViews>
  <sheetFormatPr defaultRowHeight="12.75" outlineLevelRow="0" outlineLevelCol="0" x14ac:dyDescent="0" defaultColWidth="8.66796875" customHeight="1"/>
  <cols>
    <col min="1" max="6" width="7.78" style="1" customWidth="1"/>
    <col min="7" max="8" width="6.78" style="1" customWidth="1"/>
    <col min="9" max="11" width="10.78" style="1" customWidth="1"/>
  </cols>
  <sheetData>
    <row r="1" ht="19.7" customHeight="1" spans="1:11" x14ac:dyDescent="0.25">
      <c r="A1" s="45" t="s">
        <v>78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ht="15" customHeight="1" spans="1:11" x14ac:dyDescent="0.25">
      <c r="A2" s="46" t="s">
        <v>79</v>
      </c>
      <c r="B2" s="46"/>
      <c r="C2" s="46"/>
      <c r="D2" s="53"/>
      <c r="E2" s="53"/>
      <c r="F2" s="55"/>
      <c r="G2" s="48" t="s">
        <v>28</v>
      </c>
      <c r="H2" s="46"/>
      <c r="I2" s="46"/>
      <c r="J2" s="53"/>
      <c r="K2" s="53"/>
    </row>
    <row r="3" ht="15" customHeight="1" spans="1:11" x14ac:dyDescent="0.25">
      <c r="A3" s="49" t="s">
        <v>29</v>
      </c>
      <c r="B3" s="49"/>
      <c r="C3" s="49"/>
      <c r="D3" s="49"/>
      <c r="E3" s="49"/>
      <c r="F3" s="47"/>
      <c r="G3" s="130"/>
      <c r="J3" s="50"/>
      <c r="K3" s="50"/>
    </row>
    <row r="4" ht="15" customHeight="1" spans="1:11" x14ac:dyDescent="0.25">
      <c r="A4" s="1" t="s">
        <v>30</v>
      </c>
      <c r="F4" s="47"/>
      <c r="G4" s="131" t="s">
        <v>31</v>
      </c>
      <c r="H4" s="59"/>
      <c r="I4" s="59"/>
      <c r="J4" s="50"/>
      <c r="K4" s="52">
        <v>46094.625</v>
      </c>
    </row>
    <row r="5" ht="15" customHeight="1" spans="1:10" x14ac:dyDescent="0.25">
      <c r="A5" s="1" t="s">
        <v>32</v>
      </c>
      <c r="F5" s="47"/>
      <c r="G5" s="132" t="s">
        <v>80</v>
      </c>
      <c r="H5" s="64"/>
      <c r="J5" s="53"/>
    </row>
    <row r="6" ht="15" customHeight="1" spans="1:11" x14ac:dyDescent="0.25">
      <c r="A6" s="1" t="s">
        <v>34</v>
      </c>
      <c r="G6" s="133"/>
      <c r="H6" s="134"/>
      <c r="I6" s="135"/>
      <c r="J6" s="54"/>
      <c r="K6" s="54"/>
    </row>
    <row r="7" ht="15" customHeight="1" spans="1:11" x14ac:dyDescent="0.25">
      <c r="A7" s="46" t="s">
        <v>35</v>
      </c>
      <c r="B7" s="46"/>
      <c r="C7" s="53"/>
      <c r="D7" s="53"/>
      <c r="E7" s="53"/>
      <c r="F7" s="53"/>
      <c r="G7" s="133"/>
      <c r="H7" s="134"/>
      <c r="I7" s="136"/>
      <c r="J7" s="57"/>
      <c r="K7" s="57"/>
    </row>
    <row r="8" ht="15" customHeight="1" spans="1:11" x14ac:dyDescent="0.25">
      <c r="A8" s="49" t="s">
        <v>37</v>
      </c>
      <c r="B8" s="49"/>
      <c r="C8" s="49"/>
      <c r="F8" s="47"/>
      <c r="G8" s="133"/>
      <c r="H8" s="134"/>
      <c r="I8" s="136"/>
      <c r="J8" s="57"/>
      <c r="K8" s="57"/>
    </row>
    <row r="9" ht="15" customHeight="1" spans="1:11" x14ac:dyDescent="0.25">
      <c r="A9" s="1" t="s">
        <v>39</v>
      </c>
      <c r="F9" s="47"/>
      <c r="G9" s="133"/>
      <c r="H9" s="134"/>
      <c r="I9" s="136"/>
      <c r="J9" s="57"/>
      <c r="K9" s="57"/>
    </row>
    <row r="10" ht="15" customHeight="1" spans="1:11" x14ac:dyDescent="0.25">
      <c r="A10" s="1" t="s">
        <v>40</v>
      </c>
      <c r="F10" s="47"/>
      <c r="G10" s="133"/>
      <c r="H10" s="134"/>
      <c r="I10" s="136"/>
      <c r="J10" s="57"/>
      <c r="K10" s="57"/>
    </row>
    <row r="11" ht="15" customHeight="1" spans="1:11" x14ac:dyDescent="0.25">
      <c r="A11" s="1" t="s">
        <v>41</v>
      </c>
      <c r="F11" s="47"/>
      <c r="G11" s="133"/>
      <c r="H11" s="134"/>
      <c r="I11" s="136"/>
      <c r="J11" s="63"/>
      <c r="K11" s="63"/>
    </row>
    <row r="12" ht="15" customHeight="1" spans="1:11" x14ac:dyDescent="0.25">
      <c r="A12" s="59" t="s">
        <v>43</v>
      </c>
      <c r="B12" s="61"/>
      <c r="C12" s="59"/>
      <c r="D12" s="59"/>
      <c r="E12" s="59"/>
      <c r="F12" s="62"/>
      <c r="G12" s="133"/>
      <c r="H12" s="134"/>
      <c r="I12" s="136"/>
      <c r="J12" s="63"/>
      <c r="K12" s="63"/>
    </row>
    <row r="13" ht="15" customHeight="1" spans="1:11" x14ac:dyDescent="0.25">
      <c r="A13" s="64" t="s">
        <v>44</v>
      </c>
      <c r="F13" s="47"/>
      <c r="G13" s="133"/>
      <c r="H13" s="134"/>
      <c r="I13" s="136"/>
      <c r="J13" s="63"/>
      <c r="K13" s="63"/>
    </row>
    <row r="14" ht="15" customHeight="1" spans="1:11" x14ac:dyDescent="0.25">
      <c r="A14" s="137" t="s">
        <v>45</v>
      </c>
      <c r="B14" s="137"/>
      <c r="C14" s="137"/>
      <c r="G14" s="133"/>
      <c r="H14" s="134"/>
      <c r="I14" s="136"/>
      <c r="J14" s="63"/>
      <c r="K14" s="63"/>
    </row>
    <row r="15" ht="15" customHeight="1" spans="1:11" x14ac:dyDescent="0.25">
      <c r="A15" s="59"/>
      <c r="B15" s="59"/>
      <c r="C15" s="59"/>
      <c r="D15" s="59"/>
      <c r="E15" s="59"/>
      <c r="F15" s="59"/>
      <c r="G15" s="133"/>
      <c r="H15" s="134"/>
      <c r="I15" s="136"/>
      <c r="J15" s="63"/>
      <c r="K15" s="63"/>
    </row>
    <row r="16" ht="15" customHeight="1" spans="1:11" x14ac:dyDescent="0.25">
      <c r="A16" s="46" t="s">
        <v>46</v>
      </c>
      <c r="B16" s="46"/>
      <c r="C16" s="47"/>
      <c r="D16" s="46" t="s">
        <v>47</v>
      </c>
      <c r="E16" s="46"/>
      <c r="F16" s="46"/>
      <c r="G16" s="133"/>
      <c r="H16" s="134"/>
      <c r="I16" s="136"/>
      <c r="J16" s="63"/>
      <c r="K16" s="63"/>
    </row>
    <row r="17" ht="15" customHeight="1" spans="1:11" x14ac:dyDescent="0.25">
      <c r="A17" s="130"/>
      <c r="C17" s="47"/>
      <c r="D17" s="130"/>
      <c r="E17" s="130"/>
      <c r="G17" s="133"/>
      <c r="H17" s="134"/>
      <c r="I17" s="136"/>
      <c r="J17" s="63"/>
      <c r="K17" s="63"/>
    </row>
    <row r="18" ht="15" customHeight="1" spans="1:11" x14ac:dyDescent="0.25">
      <c r="A18" s="71" t="s">
        <v>48</v>
      </c>
      <c r="B18" s="71"/>
      <c r="C18" s="71"/>
      <c r="D18" s="138" t="s">
        <v>49</v>
      </c>
      <c r="E18" s="138"/>
      <c r="F18" s="138"/>
      <c r="G18" s="133"/>
      <c r="H18" s="134"/>
      <c r="I18" s="136"/>
      <c r="J18" s="63"/>
      <c r="K18" s="63"/>
    </row>
    <row r="19" ht="15" customHeight="1" spans="1:11" x14ac:dyDescent="0.25">
      <c r="A19" s="46" t="s">
        <v>50</v>
      </c>
      <c r="B19" s="46"/>
      <c r="C19" s="47"/>
      <c r="D19" s="46" t="s">
        <v>51</v>
      </c>
      <c r="E19" s="46"/>
      <c r="F19" s="46"/>
      <c r="G19" s="133"/>
      <c r="H19" s="134"/>
      <c r="I19" s="136"/>
      <c r="J19" s="63"/>
      <c r="K19" s="63"/>
    </row>
    <row r="20" ht="15" customHeight="1" spans="3:11" x14ac:dyDescent="0.25">
      <c r="C20" s="47"/>
      <c r="D20" s="139" t="s">
        <v>36</v>
      </c>
      <c r="E20" s="139"/>
      <c r="G20" s="133"/>
      <c r="H20" s="134"/>
      <c r="I20" s="136"/>
      <c r="J20" s="63"/>
      <c r="K20" s="63"/>
    </row>
    <row r="21" ht="15" customHeight="1" spans="1:11" x14ac:dyDescent="0.25">
      <c r="A21" s="71"/>
      <c r="B21" s="71"/>
      <c r="C21" s="71"/>
      <c r="D21" s="74"/>
      <c r="E21" s="74"/>
      <c r="F21" s="74"/>
      <c r="G21" s="140"/>
      <c r="H21" s="59"/>
      <c r="I21" s="141"/>
      <c r="J21" s="75"/>
      <c r="K21" s="75"/>
    </row>
    <row r="22" ht="15" customHeight="1" spans="1:11" x14ac:dyDescent="0.25">
      <c r="A22" s="76" t="s">
        <v>81</v>
      </c>
      <c r="B22" s="76"/>
      <c r="C22" s="76"/>
      <c r="D22" s="77" t="s">
        <v>82</v>
      </c>
      <c r="E22" s="77"/>
      <c r="F22" s="77"/>
      <c r="G22" s="77" t="s">
        <v>83</v>
      </c>
      <c r="H22" s="77"/>
      <c r="I22" s="78" t="s">
        <v>84</v>
      </c>
      <c r="J22" s="78" t="s">
        <v>85</v>
      </c>
      <c r="K22" s="79" t="s">
        <v>86</v>
      </c>
    </row>
    <row r="23" ht="15" customHeight="1" spans="1:10" x14ac:dyDescent="0.25">
      <c r="A23" s="1" t="s">
        <v>36</v>
      </c>
      <c r="C23" s="47"/>
      <c r="G23" s="142"/>
      <c r="H23" s="47"/>
      <c r="I23" s="143" t="s">
        <v>9</v>
      </c>
      <c r="J23" s="143" t="s">
        <v>9</v>
      </c>
    </row>
    <row r="24" ht="15" customHeight="1" spans="1:7" x14ac:dyDescent="0.25">
      <c r="A24" s="1" t="s">
        <v>36</v>
      </c>
      <c r="G24" s="1" t="s">
        <v>87</v>
      </c>
    </row>
    <row r="25" ht="15" customHeight="1" spans="4:11" x14ac:dyDescent="0.25">
      <c r="D25" s="49" t="s">
        <v>88</v>
      </c>
      <c r="E25" s="49"/>
      <c r="G25" s="144">
        <f>=VLOOKUP("TOTAL",P!A:I,7,0)</f>
      </c>
      <c r="H25" s="144"/>
      <c r="I25" s="145">
        <f>='BVT.INV'!I5</f>
      </c>
      <c r="J25" s="146">
        <f>=I25*1.1</f>
      </c>
      <c r="K25" s="82">
        <f>=J25/166</f>
      </c>
    </row>
    <row r="26" ht="15" customHeight="1" spans="4:11" x14ac:dyDescent="0.25">
      <c r="D26" s="147"/>
      <c r="E26" s="147"/>
      <c r="I26" s="148"/>
      <c r="J26" s="84"/>
      <c r="K26" s="84"/>
    </row>
    <row r="27" ht="15" customHeight="1" spans="1:11" x14ac:dyDescent="0.25">
      <c r="A27" s="149" t="s">
        <v>58</v>
      </c>
      <c r="B27" s="149"/>
      <c r="D27" s="69"/>
      <c r="E27" s="69"/>
      <c r="F27" s="150"/>
      <c r="G27" s="69"/>
      <c r="I27" s="148"/>
      <c r="J27" s="84"/>
      <c r="K27" s="84"/>
    </row>
    <row r="28" ht="15" customHeight="1" spans="1:11" x14ac:dyDescent="0.25">
      <c r="A28" s="151" t="s">
        <v>59</v>
      </c>
      <c r="D28" s="49"/>
      <c r="E28" s="69"/>
      <c r="F28" s="150"/>
      <c r="G28" s="69"/>
      <c r="I28" s="148"/>
      <c r="J28" s="84"/>
      <c r="K28" s="84"/>
    </row>
    <row r="29" ht="15" customHeight="1" spans="1:11" x14ac:dyDescent="0.25">
      <c r="A29" s="152"/>
      <c r="D29" s="49" t="s">
        <v>60</v>
      </c>
      <c r="E29" s="49"/>
      <c r="F29" s="49"/>
      <c r="G29" s="69"/>
      <c r="I29" s="84"/>
      <c r="J29" s="84"/>
      <c r="K29" s="84"/>
    </row>
    <row r="30" ht="15" customHeight="1" spans="1:11" x14ac:dyDescent="0.25">
      <c r="A30" s="152" t="s">
        <v>61</v>
      </c>
      <c r="B30" s="152"/>
      <c r="G30" s="69"/>
      <c r="H30" s="87"/>
      <c r="I30" s="84"/>
      <c r="J30" s="146"/>
      <c r="K30" s="82"/>
    </row>
    <row r="31" ht="15" customHeight="1" spans="1:2" x14ac:dyDescent="0.25">
      <c r="A31" s="152" t="s">
        <v>62</v>
      </c>
      <c r="B31" s="153"/>
    </row>
    <row r="32" ht="15" customHeight="1" spans="1:10" x14ac:dyDescent="0.25">
      <c r="A32" s="152" t="s">
        <v>63</v>
      </c>
      <c r="B32" s="153"/>
      <c r="F32" s="152"/>
      <c r="G32" s="86"/>
      <c r="H32" s="87"/>
      <c r="J32" s="84"/>
    </row>
    <row r="33" ht="15" customHeight="1" spans="1:11" x14ac:dyDescent="0.25">
      <c r="A33" s="152" t="s">
        <v>64</v>
      </c>
      <c r="B33" s="153"/>
      <c r="D33" s="154" t="s">
        <v>24</v>
      </c>
      <c r="E33" s="155"/>
      <c r="F33" s="155"/>
      <c r="G33" s="156"/>
      <c r="H33" s="157"/>
      <c r="I33" s="155"/>
      <c r="J33" s="155"/>
      <c r="K33" s="155"/>
    </row>
    <row r="34" ht="15" customHeight="1" spans="6:10" x14ac:dyDescent="0.25">
      <c r="F34" s="49"/>
      <c r="J34" s="84"/>
    </row>
    <row r="35" ht="15" customHeight="1" spans="7:8" x14ac:dyDescent="0.25">
      <c r="G35" s="86"/>
      <c r="H35" s="87"/>
    </row>
    <row r="36" ht="15" customHeight="1" spans="6:10" x14ac:dyDescent="0.25">
      <c r="F36" s="49"/>
      <c r="G36" s="86"/>
      <c r="H36" s="87"/>
      <c r="J36" s="84"/>
    </row>
    <row r="37" ht="15" customHeight="1" x14ac:dyDescent="0.25"/>
    <row r="38" ht="15" customHeight="1" spans="4:7" x14ac:dyDescent="0.25">
      <c r="D38" s="158"/>
      <c r="E38" s="158"/>
      <c r="G38" s="152"/>
    </row>
    <row r="39" ht="15" customHeight="1" spans="4:7" x14ac:dyDescent="0.25">
      <c r="D39" s="158"/>
      <c r="E39" s="158"/>
      <c r="G39" s="152"/>
    </row>
    <row r="40" ht="15" customHeight="1" spans="4:7" x14ac:dyDescent="0.25">
      <c r="D40" s="158"/>
      <c r="E40" s="158"/>
      <c r="G40" s="152"/>
    </row>
    <row r="41" ht="15" customHeight="1" spans="4:7" x14ac:dyDescent="0.25">
      <c r="D41" s="158"/>
      <c r="E41" s="158"/>
      <c r="G41" s="152"/>
    </row>
    <row r="42" ht="15" customHeight="1" spans="4:7" x14ac:dyDescent="0.25">
      <c r="D42" s="158"/>
      <c r="E42" s="158"/>
      <c r="G42" s="152"/>
    </row>
    <row r="43" ht="15" customHeight="1" spans="4:7" x14ac:dyDescent="0.25">
      <c r="D43" s="158"/>
      <c r="E43" s="158"/>
      <c r="G43" s="152"/>
    </row>
    <row r="44" ht="15" customHeight="1" spans="4:7" x14ac:dyDescent="0.25">
      <c r="D44" s="158"/>
      <c r="E44" s="158"/>
      <c r="G44" s="152"/>
    </row>
    <row r="45" ht="15" customHeight="1" spans="4:7" x14ac:dyDescent="0.25">
      <c r="D45" s="158"/>
      <c r="E45" s="158"/>
      <c r="G45" s="152"/>
    </row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spans="1:5" x14ac:dyDescent="0.25">
      <c r="A51" s="64" t="s">
        <v>89</v>
      </c>
      <c r="B51" s="64"/>
      <c r="C51" s="64"/>
      <c r="D51" s="64"/>
      <c r="E51" s="64"/>
    </row>
    <row r="52" ht="15" customHeight="1" spans="1:11" x14ac:dyDescent="0.25">
      <c r="A52" s="64" t="s">
        <v>66</v>
      </c>
      <c r="B52" s="64"/>
      <c r="C52" s="64"/>
      <c r="H52" s="95" t="s">
        <v>90</v>
      </c>
      <c r="I52" s="59"/>
      <c r="J52" s="59"/>
      <c r="K52" s="59"/>
    </row>
  </sheetData>
  <mergeCells count="9">
    <mergeCell ref="A1:K1"/>
    <mergeCell ref="A18:C18"/>
    <mergeCell ref="D18:F18"/>
    <mergeCell ref="A21:C21"/>
    <mergeCell ref="D21:F21"/>
    <mergeCell ref="A22:C22"/>
    <mergeCell ref="D22:F22"/>
    <mergeCell ref="G22:H22"/>
    <mergeCell ref="G25:H25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showGridLines="0" zoomScale="100" zoomScaleNormal="100" view="normal">
      <selection activeCell="B14" sqref="B14"/>
    </sheetView>
  </sheetViews>
  <sheetFormatPr defaultRowHeight="12.8" outlineLevelRow="0" outlineLevelCol="0" x14ac:dyDescent="0" defaultColWidth="8.66796875" customHeight="1"/>
  <cols>
    <col min="1" max="1" width="19.88" style="3" customWidth="1"/>
    <col min="2" max="2" width="11.78" style="3" customWidth="1"/>
    <col min="3" max="3" width="38.4" style="3" customWidth="1"/>
    <col min="4" max="4" width="23.22" style="3" customWidth="1"/>
    <col min="5" max="5" width="37.05" style="3" customWidth="1"/>
    <col min="6" max="6" width="6.89" style="3" customWidth="1"/>
    <col min="8" max="8" width="9.11" style="3" customWidth="1"/>
    <col min="9" max="9" width="22.05" style="3" customWidth="1"/>
    <col min="10" max="10" width="36.15" style="3" customWidth="1"/>
  </cols>
  <sheetData/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10.445312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5" t="s">
        <v>91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ht="15" customHeight="1" spans="1:11" x14ac:dyDescent="0.25">
      <c r="A2" s="46" t="s">
        <v>27</v>
      </c>
      <c r="B2" s="46"/>
      <c r="C2" s="46"/>
      <c r="D2" s="53"/>
      <c r="E2" s="53"/>
      <c r="F2" s="55"/>
      <c r="G2" s="48" t="s">
        <v>28</v>
      </c>
      <c r="H2" s="46"/>
      <c r="I2" s="46"/>
      <c r="J2" s="53"/>
      <c r="K2" s="53"/>
    </row>
    <row r="3" ht="15" customHeight="1" spans="1:11" x14ac:dyDescent="0.25">
      <c r="A3" s="49" t="s">
        <v>29</v>
      </c>
      <c r="B3" s="49"/>
      <c r="C3" s="49"/>
      <c r="D3" s="49"/>
      <c r="E3" s="49"/>
      <c r="F3" s="47"/>
      <c r="G3" s="3"/>
      <c r="J3" s="3"/>
      <c r="K3" s="50"/>
    </row>
    <row r="4" ht="15" customHeight="1" spans="1:11" x14ac:dyDescent="0.25">
      <c r="A4" s="1" t="s">
        <v>30</v>
      </c>
      <c r="F4" s="47"/>
      <c r="G4" s="51" t="s">
        <v>31</v>
      </c>
      <c r="J4" s="52"/>
      <c r="K4" s="52">
        <v>46094.625</v>
      </c>
    </row>
    <row r="5" ht="15" customHeight="1" spans="1:9" x14ac:dyDescent="0.25">
      <c r="A5" s="1" t="s">
        <v>32</v>
      </c>
      <c r="F5" s="47"/>
      <c r="G5" s="48" t="s">
        <v>33</v>
      </c>
      <c r="H5" s="46"/>
      <c r="I5" s="53"/>
    </row>
    <row r="6" ht="15" customHeight="1" spans="1:11" x14ac:dyDescent="0.25">
      <c r="A6" s="1" t="s">
        <v>34</v>
      </c>
      <c r="F6" s="47"/>
      <c r="G6" s="3"/>
      <c r="H6" s="3"/>
      <c r="I6" s="3"/>
      <c r="J6" s="3"/>
      <c r="K6" s="54"/>
    </row>
    <row r="7" ht="15" customHeight="1" spans="1:11" x14ac:dyDescent="0.25">
      <c r="A7" s="46" t="s">
        <v>35</v>
      </c>
      <c r="B7" s="46"/>
      <c r="C7" s="53"/>
      <c r="D7" s="53"/>
      <c r="E7" s="53"/>
      <c r="F7" s="55"/>
      <c r="H7" s="49"/>
      <c r="I7" s="49"/>
      <c r="J7" s="56" t="s">
        <v>36</v>
      </c>
      <c r="K7" s="57"/>
    </row>
    <row r="8" ht="15" customHeight="1" spans="1:11" x14ac:dyDescent="0.25">
      <c r="A8" s="49" t="s">
        <v>37</v>
      </c>
      <c r="B8" s="49"/>
      <c r="C8" s="49"/>
      <c r="F8" s="47"/>
      <c r="G8" s="48" t="s">
        <v>38</v>
      </c>
      <c r="H8" s="46"/>
      <c r="I8" s="46"/>
      <c r="J8" s="53"/>
      <c r="K8" s="58"/>
    </row>
    <row r="9" ht="15" customHeight="1" spans="1:11" x14ac:dyDescent="0.25">
      <c r="A9" s="1" t="s">
        <v>39</v>
      </c>
      <c r="F9" s="47"/>
      <c r="G9" s="1" t="s">
        <v>36</v>
      </c>
      <c r="K9" s="57"/>
    </row>
    <row r="10" ht="15" customHeight="1" spans="1:11" x14ac:dyDescent="0.25">
      <c r="A10" s="1" t="s">
        <v>40</v>
      </c>
      <c r="F10" s="47"/>
      <c r="G10" s="59" t="s">
        <v>36</v>
      </c>
      <c r="H10" s="59"/>
      <c r="I10" s="59"/>
      <c r="J10" s="59"/>
      <c r="K10" s="57"/>
    </row>
    <row r="11" ht="15" customHeight="1" spans="1:11" x14ac:dyDescent="0.25">
      <c r="A11" s="1" t="s">
        <v>41</v>
      </c>
      <c r="F11" s="47"/>
      <c r="G11" s="48" t="s">
        <v>42</v>
      </c>
      <c r="H11" s="46"/>
      <c r="K11" s="60"/>
    </row>
    <row r="12" ht="15" customHeight="1" spans="1:11" x14ac:dyDescent="0.25">
      <c r="A12" s="59" t="s">
        <v>43</v>
      </c>
      <c r="B12" s="61"/>
      <c r="C12" s="59"/>
      <c r="D12" s="59"/>
      <c r="E12" s="59"/>
      <c r="F12" s="62"/>
      <c r="G12" s="3"/>
      <c r="K12" s="63"/>
    </row>
    <row r="13" ht="15" customHeight="1" spans="1:11" x14ac:dyDescent="0.25">
      <c r="A13" s="64" t="s">
        <v>44</v>
      </c>
      <c r="F13" s="47"/>
      <c r="G13" s="3"/>
      <c r="I13" s="65" t="s">
        <v>92</v>
      </c>
      <c r="J13" s="159">
        <f>=1500/NaN*J29</f>
      </c>
      <c r="K13" s="63"/>
    </row>
    <row r="14" ht="15" customHeight="1" spans="1:11" x14ac:dyDescent="0.25">
      <c r="A14" s="67" t="s">
        <v>45</v>
      </c>
      <c r="B14" s="67"/>
      <c r="F14" s="47"/>
      <c r="I14" s="65" t="s">
        <v>93</v>
      </c>
      <c r="J14" s="160">
        <f>=J29*1.1*0.026%</f>
      </c>
      <c r="K14" s="63"/>
    </row>
    <row r="15" ht="15" customHeight="1" spans="6:11" x14ac:dyDescent="0.25">
      <c r="F15" s="47"/>
      <c r="H15" s="49"/>
      <c r="I15" s="135" t="s">
        <v>94</v>
      </c>
      <c r="K15" s="63"/>
    </row>
    <row r="16" ht="15" customHeight="1" spans="1:11" x14ac:dyDescent="0.25">
      <c r="A16" s="46" t="s">
        <v>46</v>
      </c>
      <c r="B16" s="46"/>
      <c r="C16" s="55"/>
      <c r="D16" s="46" t="s">
        <v>47</v>
      </c>
      <c r="E16" s="46"/>
      <c r="F16" s="68"/>
      <c r="G16" s="3"/>
      <c r="H16" s="65" t="s">
        <v>95</v>
      </c>
      <c r="I16" s="69">
        <v>NaN</v>
      </c>
      <c r="J16" s="49" t="s">
        <v>96</v>
      </c>
      <c r="K16" s="63"/>
    </row>
    <row r="17" ht="15" customHeight="1" spans="4:11" x14ac:dyDescent="0.25">
      <c r="D17" s="70" t="s">
        <v>36</v>
      </c>
      <c r="E17" s="51"/>
      <c r="F17" s="47"/>
      <c r="H17" s="65" t="s">
        <v>97</v>
      </c>
      <c r="I17" s="161">
        <v>0</v>
      </c>
      <c r="J17" s="49" t="s">
        <v>98</v>
      </c>
      <c r="K17" s="63"/>
    </row>
    <row r="18" ht="15" customHeight="1" spans="1:11" x14ac:dyDescent="0.25">
      <c r="A18" s="71" t="s">
        <v>48</v>
      </c>
      <c r="B18" s="71"/>
      <c r="C18" s="71"/>
      <c r="D18" s="72" t="s">
        <v>49</v>
      </c>
      <c r="E18" s="72"/>
      <c r="F18" s="72"/>
      <c r="H18" s="65" t="s">
        <v>99</v>
      </c>
      <c r="I18" s="161">
        <v>0</v>
      </c>
      <c r="J18" s="49" t="s">
        <v>98</v>
      </c>
      <c r="K18" s="63"/>
    </row>
    <row r="19" ht="15" customHeight="1" spans="1:11" x14ac:dyDescent="0.25">
      <c r="A19" s="46" t="s">
        <v>50</v>
      </c>
      <c r="B19" s="46"/>
      <c r="C19" s="47"/>
      <c r="D19" s="46" t="s">
        <v>51</v>
      </c>
      <c r="E19" s="46"/>
      <c r="F19" s="68"/>
      <c r="K19" s="63"/>
    </row>
    <row r="20" ht="15" customHeight="1" spans="1:11" x14ac:dyDescent="0.25">
      <c r="A20" s="1" t="s">
        <v>36</v>
      </c>
      <c r="C20" s="47"/>
      <c r="D20" s="1" t="s">
        <v>36</v>
      </c>
      <c r="F20" s="47"/>
      <c r="G20" s="1" t="s">
        <v>36</v>
      </c>
      <c r="K20" s="63"/>
    </row>
    <row r="21" ht="15" customHeight="1" spans="1:11" x14ac:dyDescent="0.25">
      <c r="A21" s="73"/>
      <c r="B21" s="73"/>
      <c r="C21" s="73"/>
      <c r="D21" s="74"/>
      <c r="E21" s="74"/>
      <c r="F21" s="74"/>
      <c r="G21" s="59"/>
      <c r="H21" s="59"/>
      <c r="I21" s="59"/>
      <c r="J21" s="59"/>
      <c r="K21" s="75"/>
    </row>
    <row r="22" ht="15" customHeight="1" spans="1:11" x14ac:dyDescent="0.25">
      <c r="A22" s="76" t="s">
        <v>52</v>
      </c>
      <c r="B22" s="76"/>
      <c r="C22" s="76"/>
      <c r="D22" s="77" t="s">
        <v>53</v>
      </c>
      <c r="E22" s="77"/>
      <c r="F22" s="77"/>
      <c r="G22" s="77" t="s">
        <v>54</v>
      </c>
      <c r="H22" s="77"/>
      <c r="I22" s="78" t="s">
        <v>55</v>
      </c>
      <c r="J22" s="79" t="s">
        <v>56</v>
      </c>
      <c r="K22" s="79"/>
    </row>
    <row r="23" ht="15" customHeight="1" spans="1:9" x14ac:dyDescent="0.25">
      <c r="A23" s="1" t="s">
        <v>36</v>
      </c>
      <c r="C23" s="47"/>
      <c r="F23" s="47"/>
      <c r="H23" s="47"/>
      <c r="I23" s="47"/>
    </row>
    <row r="24" ht="15" customHeight="1" spans="1:9" x14ac:dyDescent="0.25">
      <c r="A24" s="1" t="s">
        <v>36</v>
      </c>
      <c r="G24" s="80" t="s">
        <v>100</v>
      </c>
      <c r="H24" s="80"/>
      <c r="I24" s="80"/>
    </row>
    <row r="25" ht="15" customHeight="1" spans="1:11" x14ac:dyDescent="0.25">
      <c r="A25" s="81"/>
      <c r="C25" s="3"/>
      <c r="F25" s="3"/>
      <c r="G25" s="3"/>
      <c r="H25" s="3"/>
      <c r="I25" s="3"/>
      <c r="J25" s="3"/>
      <c r="K25" s="82"/>
    </row>
    <row r="26" ht="15" customHeight="1" spans="1:11" x14ac:dyDescent="0.25">
      <c r="A26" s="83"/>
      <c r="C26" s="3"/>
      <c r="D26" s="151"/>
      <c r="E26" s="151"/>
      <c r="F26" s="151"/>
      <c r="G26" s="151"/>
      <c r="H26" s="151"/>
      <c r="I26" s="151"/>
      <c r="J26" s="151"/>
      <c r="K26" s="84"/>
    </row>
    <row r="27" ht="15" customHeight="1" spans="1:11" x14ac:dyDescent="0.25">
      <c r="A27" s="85"/>
      <c r="D27" s="27"/>
      <c r="E27" s="3"/>
      <c r="F27" s="162"/>
      <c r="G27" s="162"/>
      <c r="H27" s="163"/>
      <c r="I27" s="164"/>
      <c r="J27" s="165"/>
      <c r="K27" s="84"/>
    </row>
    <row r="28" ht="15" customHeight="1" spans="1:11" x14ac:dyDescent="0.25">
      <c r="A28" s="85"/>
      <c r="D28" s="27"/>
      <c r="E28" s="3"/>
      <c r="F28" s="162"/>
      <c r="G28" s="162"/>
      <c r="H28" s="163"/>
      <c r="I28" s="164"/>
      <c r="J28" s="165"/>
      <c r="K28" s="84"/>
    </row>
    <row r="29" ht="15" customHeight="1" spans="1:10" x14ac:dyDescent="0.25">
      <c r="A29" s="85"/>
      <c r="B29" s="86"/>
      <c r="C29" s="3"/>
      <c r="D29" s="154" t="s">
        <v>24</v>
      </c>
      <c r="E29" s="154"/>
      <c r="F29" s="154"/>
      <c r="G29" s="166"/>
      <c r="H29" s="167"/>
      <c r="I29" s="168"/>
      <c r="J29" s="169">
        <f>'STS.INVOICE'!G4</f>
      </c>
    </row>
    <row r="30" ht="15" customHeight="1" spans="2:10" x14ac:dyDescent="0.25">
      <c r="B30" s="86"/>
      <c r="F30" s="3"/>
      <c r="G30" s="86"/>
      <c r="H30" s="87"/>
      <c r="I30" s="88"/>
      <c r="J30" s="94"/>
    </row>
    <row r="31" ht="15" customHeight="1" spans="2:10" x14ac:dyDescent="0.25">
      <c r="B31" s="86"/>
      <c r="F31" s="153"/>
      <c r="G31" s="86"/>
      <c r="H31" s="87"/>
      <c r="I31" s="88"/>
      <c r="J31" s="89"/>
    </row>
    <row r="32" ht="15" customHeight="1" spans="2:10" x14ac:dyDescent="0.25">
      <c r="B32" s="86"/>
      <c r="F32" s="153"/>
      <c r="G32" s="86"/>
      <c r="H32" s="87"/>
      <c r="I32" s="88"/>
      <c r="J32" s="89"/>
    </row>
    <row r="33" ht="15" customHeight="1" spans="6:8" x14ac:dyDescent="0.25">
      <c r="F33" s="153"/>
      <c r="G33" s="86"/>
      <c r="H33" s="87"/>
    </row>
    <row r="34" ht="15" customHeight="1" spans="6:10" x14ac:dyDescent="0.25">
      <c r="F34" s="153"/>
      <c r="G34" s="86"/>
      <c r="H34" s="87"/>
      <c r="J34" s="84"/>
    </row>
    <row r="35" ht="15" customHeight="1" spans="6:6" x14ac:dyDescent="0.25">
      <c r="F35" s="153"/>
    </row>
    <row r="36" ht="15" customHeight="1" spans="4:7" x14ac:dyDescent="0.25">
      <c r="D36" s="158"/>
      <c r="E36" s="158"/>
      <c r="F36" s="153"/>
      <c r="G36" s="152"/>
    </row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spans="1:6" x14ac:dyDescent="0.25">
      <c r="A42" s="64" t="s">
        <v>65</v>
      </c>
      <c r="B42" s="64"/>
      <c r="C42" s="64"/>
      <c r="D42" s="64"/>
      <c r="E42" s="64"/>
      <c r="F42" s="64"/>
    </row>
    <row r="43" ht="15" customHeight="1" spans="1:11" x14ac:dyDescent="0.25">
      <c r="A43" s="64" t="s">
        <v>66</v>
      </c>
      <c r="B43" s="64"/>
      <c r="C43" s="64"/>
      <c r="H43" s="95" t="s">
        <v>67</v>
      </c>
      <c r="I43" s="59"/>
      <c r="J43" s="59"/>
      <c r="K43" s="59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STS.INVOICE</vt:lpstr>
      <vt:lpstr>P</vt:lpstr>
      <vt:lpstr>C.INV</vt:lpstr>
      <vt:lpstr>BVT.INV</vt:lpstr>
      <vt:lpstr>D.INV</vt:lpstr>
      <vt:lpstr>PAC</vt:lpstr>
      <vt:lpstr>D.PAC</vt:lpstr>
      <vt:lpstr>SHINTS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desktop-GULI604</dc:creator>
  <dc:title/>
  <dc:subject/>
  <dc:description/>
  <dc:language>ko-KR</dc:language>
  <cp:lastModifiedBy>Unknown</cp:lastModifiedBy>
  <cp:revision>33</cp:revision>
  <dcterms:created xsi:type="dcterms:W3CDTF">2019-04-25T08:40:03Z</dcterms:created>
  <dcterms:modified xsi:type="dcterms:W3CDTF">2026-02-27T13:37:58Z</dcterms:modified>
</cp:coreProperties>
</file>