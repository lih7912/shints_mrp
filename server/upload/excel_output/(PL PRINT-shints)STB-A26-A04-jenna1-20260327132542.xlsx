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</sheets>
  <calcPr calcId="171027"/>
</workbook>
</file>

<file path=xl/sharedStrings.xml><?xml version="1.0" encoding="utf-8"?>
<sst xmlns="http://schemas.openxmlformats.org/spreadsheetml/2006/main" count="513" uniqueCount="144">
  <si>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</si>
  <si>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</si>
  <si>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</si>
  <si>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</si>
  <si>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</si>
  <si>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</si>
  <si>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</si>
  <si>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</si>
  <si>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</si>
  <si>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</si>
  <si>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</si>
  <si>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</si>
  <si>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6201.40-1010</t>
  </si>
  <si>
    <t>NRN WINDSTOPPER ARAMID UTILITY 2L JACKET</t>
  </si>
  <si>
    <t>PC</t>
  </si>
  <si>
    <t>Korea</t>
  </si>
  <si>
    <t>kg</t>
  </si>
  <si>
    <t/>
  </si>
  <si>
    <t>Ripstop Hooded Jacket Sample</t>
  </si>
  <si>
    <t>6203.43</t>
  </si>
  <si>
    <t>Ripstop Zip-off Pants Sample</t>
  </si>
  <si>
    <t>6306.22.0000</t>
  </si>
  <si>
    <t>Tent Tarpaulin Sample</t>
  </si>
  <si>
    <t>6109.90-2000</t>
  </si>
  <si>
    <t>Versante Polo Sample</t>
  </si>
  <si>
    <t>Versante S/S Shirt Sample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</si>
  <si>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</si>
  <si>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</si>
  <si>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</si>
  <si>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</si>
  <si>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</si>
  <si>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</si>
  <si>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</si>
  <si>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</si>
  <si>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</si>
  <si>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</si>
  <si>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</si>
  <si>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SHINTS</t>
  </si>
  <si>
    <t>BLACK</t>
  </si>
  <si>
    <t>100% POLY</t>
  </si>
  <si>
    <t>box-20260326</t>
  </si>
  <si>
    <t>-</t>
  </si>
  <si>
    <t>Poly 100%</t>
  </si>
  <si>
    <t>box-20260327</t>
  </si>
  <si>
    <t>POLY 100%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</si>
  <si>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</si>
  <si>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</si>
  <si>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</si>
  <si>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</si>
  <si>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</si>
  <si>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</si>
  <si>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</si>
  <si>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STB-A26-A04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</si>
  <si>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</si>
  <si>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</si>
  <si>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</si>
  <si>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</si>
  <si>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</si>
  <si>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VAT:0800006025</t>
  </si>
  <si>
    <t>10) L/C issuing bank</t>
  </si>
  <si>
    <t xml:space="preserve">PHU TAO RESIDENTIAL AREA, THACH KHOI WARD, </t>
  </si>
  <si>
    <t>HAI PHONG CITY, VIETNAM</t>
  </si>
  <si>
    <t>TEL :84-220-3861-727 FAX :84-220-3861-730</t>
  </si>
  <si>
    <t>11) Remarks:</t>
  </si>
  <si>
    <t>XNK-Thy Ha &lt;thyha@shintsbvt.com&gt;</t>
  </si>
  <si>
    <t>3) Notify party :</t>
  </si>
  <si>
    <t>THE SAME AS ABOVE</t>
  </si>
  <si>
    <t>4) Port of loading:</t>
  </si>
  <si>
    <r>
      <rPr>
        <b/>
        <charset val="129"/>
        <family val="3"/>
        <sz val="8"/>
        <rFont val="돋움체"/>
      </rPr>
      <t xml:space="preserve">5) </t>
    </r>
    <r>
      <rPr>
        <b/>
        <charset val="1"/>
        <family val="3"/>
        <sz val="8"/>
        <rFont val="돋움체"/>
      </rPr>
      <t>Port of discharge :</t>
    </r>
  </si>
  <si>
    <t>SHINTS,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</si>
  <si>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</si>
  <si>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</si>
  <si>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</si>
  <si>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</si>
  <si>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</si>
  <si>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</si>
  <si>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</si>
  <si>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</si>
  <si>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CIF HAIPHONG, VIETNAM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</si>
  <si>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</si>
  <si>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</si>
  <si>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</si>
  <si>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</si>
  <si>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</si>
  <si>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</si>
  <si>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</si>
  <si>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</si>
  <si>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</si>
  <si>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</si>
  <si>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</si>
  <si>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</si>
  <si>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MENS JACKET</t>
  </si>
  <si>
    <t>MENS PANTS</t>
  </si>
  <si>
    <t>TENT SET(fabric+pole)</t>
  </si>
  <si>
    <t>WOMENS T-SHIRTS</t>
  </si>
  <si>
    <t>PROFORMA INVOICE FOR PF26S011500</t>
  </si>
  <si>
    <t>No.</t>
  </si>
  <si>
    <t>ORDER No.</t>
  </si>
  <si>
    <t>STYLE</t>
  </si>
  <si>
    <t>QUANTITY</t>
  </si>
  <si>
    <t>DELIVERY</t>
  </si>
  <si>
    <t>0026-S0004</t>
  </si>
  <si>
    <t>SAMPLE</t>
  </si>
  <si>
    <t>PCS</t>
  </si>
  <si>
    <t>HS No</t>
  </si>
  <si>
    <t>Hs Name</t>
  </si>
  <si>
    <t>PROFORMA INVOICE FOR PF26S012100</t>
  </si>
  <si>
    <t>0026-S0006</t>
  </si>
  <si>
    <t>PROFORMA INVOICE FOR PF26S012200</t>
  </si>
  <si>
    <t>0026-S0007</t>
  </si>
  <si>
    <t>G.TOTAL</t>
  </si>
  <si>
    <t>PACKING LIST</t>
  </si>
  <si>
    <t>1) Shipper/ Exporter:</t>
  </si>
  <si>
    <t>9) Remarks:</t>
  </si>
  <si>
    <r>
      <rPr>
        <b/>
        <charset val="129"/>
        <family val="3"/>
        <sz val="8"/>
        <rFont val="돋움체"/>
      </rPr>
      <t xml:space="preserve">5) </t>
    </r>
    <r>
      <rPr>
        <b/>
        <charset val="1"/>
        <family val="3"/>
        <sz val="8"/>
        <rFont val="돋움체"/>
      </rPr>
      <t>Port of discharge</t>
    </r>
    <r>
      <rPr>
        <b/>
        <charset val="129"/>
        <family val="3"/>
        <sz val="8"/>
        <rFont val="돋움체"/>
      </rPr>
      <t>:</t>
    </r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</si>
  <si>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</si>
  <si>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</si>
  <si>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</si>
  <si>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</si>
  <si>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</si>
  <si>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</si>
  <si>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TOTAL  :</t>
  </si>
  <si>
    <t xml:space="preserve"> TEL NO.  : (02)6330-2000~14, (DIR. 6330-2012)</t>
  </si>
  <si>
    <t>16).Signed by :</t>
  </si>
  <si>
    <t>DETAIL PACKING LIST FOR PF26S011500</t>
  </si>
  <si>
    <t>MATL CODE</t>
  </si>
  <si>
    <t>M26-01500</t>
  </si>
  <si>
    <t>DETAIL PACKING LIST FOR PF26S012100</t>
  </si>
  <si>
    <t>M26-01509</t>
  </si>
  <si>
    <t>M26-01508</t>
  </si>
  <si>
    <t>M26-01506</t>
  </si>
  <si>
    <t>M26-01507</t>
  </si>
  <si>
    <t>DETAIL PACKING LIST FOR PF26S012200</t>
  </si>
  <si>
    <t>M26-01510</t>
  </si>
  <si>
    <t>COMMERCIAL INVOICE</t>
  </si>
  <si>
    <t>FREIGHT CHARGE :</t>
  </si>
  <si>
    <t>INSURANCE CHARGE :</t>
  </si>
  <si>
    <t>제조자 미상</t>
  </si>
  <si>
    <r>
      <rPr>
        <b/>
        <charset val="129"/>
        <family val="3"/>
        <sz val="8"/>
        <rFont val="돋움체"/>
      </rPr>
      <t xml:space="preserve">5) </t>
    </r>
    <r>
      <rPr>
        <b/>
        <charset val="1"/>
        <family val="3"/>
        <sz val="8"/>
        <rFont val="돋움체"/>
      </rPr>
      <t xml:space="preserve">Port of discharge </t>
    </r>
    <r>
      <rPr>
        <b/>
        <charset val="129"/>
        <family val="3"/>
        <sz val="8"/>
        <rFont val="돋움체"/>
      </rPr>
      <t>:</t>
    </r>
  </si>
  <si>
    <t>C/T :</t>
  </si>
  <si>
    <t>CT</t>
  </si>
  <si>
    <t>NET :</t>
  </si>
  <si>
    <t>KGS</t>
  </si>
  <si>
    <t>GRS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</si>
</sst>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$#,##0.00_);[RED]&quot;($&quot;#,##0.00)"/>
    <numFmt numFmtId="165" formatCode="_-* #,##0.0_-;-* #,##0.0_-;_-* -_-;_-@_-"/>
    <numFmt numFmtId="166" formatCode="$#,##0.0000_);[RED]&quot;($&quot;#,##0.0000)"/>
    <numFmt numFmtId="167" formatCode="0.0_ "/>
    <numFmt numFmtId="168" formatCode="_-* #,##0_-;-* #,##0_-;_-* -_-;_-@_-"/>
    <numFmt numFmtId="169" formatCode="d-mmm-yy;@"/>
    <numFmt numFmtId="170" formatCode="DD-MMM-YY"/>
    <numFmt numFmtId="171" formatCode="_-* #,##0.00_-;-* #,##0.00_-;_-* -_-;_-@_-"/>
    <numFmt numFmtId="172" formatCode="dd-mmm-yy"/>
    <numFmt numFmtId="173" formatCode="&quot;US$&quot;#,##0.00"/>
    <numFmt numFmtId="174" formatCode="0.000&quot;CBM&quot;"/>
    <numFmt numFmtId="175" formatCode="0.00_ "/>
    <numFmt numFmtId="176" formatCode="#,##0_ 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20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sz val="14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u/>
      <charset val="129"/>
      <family val="3"/>
      <sz val="14"/>
      <name val="돋움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  <font>
      <b/>
      <charset val="1"/>
      <family val="3"/>
      <sz val="8"/>
      <name val="돋움체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3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horizontal="center" vertical="bottom"/>
    </xf>
    <xf numFmtId="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vertical="bottom"/>
    </xf>
    <xf numFmtId="167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68" fontId="7" fillId="0" borderId="9" xfId="0" applyNumberFormat="1" applyFont="1" applyBorder="1" applyAlignment="1">
      <alignment horizontal="right" vertical="bottom"/>
    </xf>
    <xf numFmtId="168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68" fontId="7" fillId="0" borderId="12" xfId="0" applyNumberFormat="1" applyFont="1" applyBorder="1" applyAlignment="1">
      <alignment vertical="bottom"/>
    </xf>
    <xf numFmtId="168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69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0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1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2" fontId="1" fillId="0" borderId="0" xfId="0" applyNumberFormat="1" applyFont="1" applyAlignment="1">
      <alignment vertical="bottom"/>
    </xf>
    <xf numFmtId="171" fontId="1" fillId="0" borderId="0" xfId="0" applyNumberFormat="1" applyFont="1" applyAlignment="1">
      <alignment horizontal="center" vertical="bottom"/>
    </xf>
    <xf numFmtId="171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1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3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68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69" fontId="1" fillId="0" borderId="17" xfId="0" applyNumberFormat="1" applyFont="1" applyBorder="1" applyAlignment="1">
      <alignment horizontal="center" vertical="bottom"/>
    </xf>
    <xf numFmtId="171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left" vertical="bottom"/>
    </xf>
    <xf numFmtId="0" fontId="11" fillId="0" borderId="18" xfId="0" applyFont="1" applyBorder="1" applyAlignment="1">
      <alignment horizontal="left" vertical="bottom"/>
    </xf>
    <xf numFmtId="0" fontId="11" fillId="0" borderId="9" xfId="0" applyFont="1" applyBorder="1" applyAlignment="1">
      <alignment horizontal="left" vertical="bottom"/>
    </xf>
    <xf numFmtId="0" fontId="11" fillId="0" borderId="0" xfId="0" applyFont="1" applyAlignment="1">
      <alignment horizontal="left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4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75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76" fontId="1" fillId="0" borderId="0" xfId="0" applyNumberFormat="1" applyFont="1" applyAlignment="1">
      <alignment vertical="bottom"/>
    </xf>
    <xf numFmtId="164" fontId="1" fillId="0" borderId="0" xfId="0" applyNumberFormat="1" applyFont="1" applyAlignment="1">
      <alignment horizontal="center" vertical="bottom"/>
    </xf>
    <xf numFmtId="166" fontId="1" fillId="0" borderId="0" xfId="0" applyNumberFormat="1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4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14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164" fontId="7" fillId="2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3" fontId="7" fillId="2" borderId="2" xfId="0" applyNumberFormat="1" applyFont="1" applyFill="1" applyBorder="1" applyAlignment="1">
      <alignment horizontal="right"/>
    </xf>
    <xf numFmtId="164" fontId="7" fillId="2" borderId="2" xfId="0" applyNumberFormat="1" applyFont="1" applyFill="1" applyBorder="1" applyAlignment="1">
      <alignment horizontal="center" vertical="bottom"/>
    </xf>
    <xf numFmtId="4" fontId="7" fillId="2" borderId="2" xfId="0" applyNumberFormat="1" applyFont="1" applyFill="1" applyBorder="1" applyAlignment="1">
      <alignment horizontal="right"/>
    </xf>
    <xf numFmtId="165" fontId="7" fillId="2" borderId="2" xfId="0" applyNumberFormat="1" applyFont="1" applyFill="1" applyBorder="1" applyAlignment="1">
      <alignment vertical="bottom"/>
    </xf>
    <xf numFmtId="167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15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68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0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4" fontId="6" fillId="0" borderId="0" xfId="0" applyNumberFormat="1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3" fontId="6" fillId="0" borderId="19" xfId="0" applyNumberFormat="1" applyFont="1" applyBorder="1" applyAlignment="1">
      <alignment horizontal="right"/>
    </xf>
    <xf numFmtId="4" fontId="6" fillId="0" borderId="19" xfId="0" applyNumberFormat="1" applyFont="1" applyBorder="1" applyAlignment="1">
      <alignment horizontal="right"/>
    </xf>
    <xf numFmtId="170" fontId="6" fillId="0" borderId="0" xfId="0" applyNumberFormat="1" applyFont="1" applyAlignment="1">
      <alignment vertical="bottom"/>
    </xf>
    <xf numFmtId="4" fontId="3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1" fillId="0" borderId="7" xfId="0" applyFont="1" applyBorder="1" applyAlignment="1">
      <alignment horizontal="left" vertical="bottom" indent="5"/>
    </xf>
    <xf numFmtId="0" fontId="1" fillId="0" borderId="0" xfId="0" applyFont="1" applyAlignment="1">
      <alignment horizontal="left" vertical="bottom" indent="4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69" fontId="1" fillId="0" borderId="0" xfId="0" applyNumberFormat="1" applyFont="1" applyAlignment="1">
      <alignment vertical="bottom"/>
    </xf>
    <xf numFmtId="0" fontId="1" fillId="0" borderId="1" xfId="0" applyFont="1" applyBorder="1" applyAlignment="1">
      <alignment horizontal="left" vertical="bottom" indent="5"/>
    </xf>
    <xf numFmtId="0" fontId="1" fillId="0" borderId="1" xfId="0" applyFont="1" applyBorder="1" applyAlignment="1">
      <alignment horizontal="center" vertical="bottom"/>
    </xf>
    <xf numFmtId="171" fontId="1" fillId="0" borderId="1" xfId="0" applyNumberFormat="1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68" fontId="9" fillId="0" borderId="0" xfId="0" applyNumberFormat="1" applyFont="1" applyAlignment="1">
      <alignment vertical="bottom"/>
    </xf>
    <xf numFmtId="175" fontId="16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1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76" fontId="1" fillId="0" borderId="2" xfId="0" applyNumberFormat="1" applyFont="1" applyBorder="1" applyAlignment="1">
      <alignment vertical="bottom"/>
    </xf>
    <xf numFmtId="164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7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8" fillId="0" borderId="20" xfId="0" applyNumberFormat="1" applyFont="1" applyBorder="1" applyAlignment="1">
      <alignment horizontal="right"/>
    </xf>
    <xf numFmtId="173" fontId="1" fillId="3" borderId="0" xfId="0" applyNumberFormat="1" applyFont="1" applyFill="1" applyAlignment="1">
      <alignment horizontal="left" vertical="bottom"/>
    </xf>
    <xf numFmtId="173" fontId="1" fillId="0" borderId="0" xfId="0" applyNumberFormat="1" applyFont="1" applyAlignment="1">
      <alignment horizontal="left" vertical="bottom"/>
    </xf>
    <xf numFmtId="0" fontId="9" fillId="0" borderId="0" xfId="0" applyFont="1" applyAlignment="1">
      <alignment horizontal="center" vertical="bottom"/>
    </xf>
    <xf numFmtId="182" fontId="1" fillId="0" borderId="0" xfId="0" applyNumberFormat="1" applyFont="1" applyAlignment="1">
      <alignment vertical="bottom"/>
    </xf>
    <xf numFmtId="0" fontId="19" fillId="0" borderId="0" xfId="0" applyFont="1" applyAlignment="1">
      <alignment horizontal="left" vertical="bottom"/>
    </xf>
    <xf numFmtId="176" fontId="7" fillId="0" borderId="0" xfId="0" applyNumberFormat="1" applyFont="1" applyAlignment="1">
      <alignment vertical="bottom"/>
    </xf>
    <xf numFmtId="164" fontId="7" fillId="0" borderId="0" xfId="0" applyNumberFormat="1" applyFont="1" applyAlignment="1">
      <alignment horizontal="center" vertical="bottom"/>
    </xf>
    <xf numFmtId="166" fontId="7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4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969480</xdr:colOff>
      <xdr:row>41</xdr:row>
      <xdr:rowOff>11520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207720</xdr:colOff>
      <xdr:row>52</xdr:row>
      <xdr:rowOff>12240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969480</xdr:colOff>
      <xdr:row>43</xdr:row>
      <xdr:rowOff>11880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30</v>
      </c>
      <c r="E4" s="14">
        <v>27</v>
      </c>
      <c r="F4" s="15" t="s">
        <v>14</v>
      </c>
      <c r="G4" s="13">
        <f>ROUND(D4*E4,2)</f>
      </c>
      <c r="H4" s="16" t="s">
        <v>15</v>
      </c>
      <c r="I4" s="13">
        <v>0.0008</v>
      </c>
      <c r="J4" s="17" t="s">
        <v>16</v>
      </c>
      <c r="K4" s="1" t="s">
        <v>17</v>
      </c>
      <c r="L4" s="1"/>
    </row>
    <row r="5" ht="12" customHeight="1" spans="1:12" x14ac:dyDescent="0.25">
      <c r="A5" s="18">
        <v>2</v>
      </c>
      <c r="B5" s="12" t="s">
        <v>12</v>
      </c>
      <c r="C5" s="12" t="s">
        <v>18</v>
      </c>
      <c r="D5" s="13">
        <v>35</v>
      </c>
      <c r="E5" s="14">
        <v>1</v>
      </c>
      <c r="F5" s="15" t="s">
        <v>14</v>
      </c>
      <c r="G5" s="13">
        <f>ROUND(D5*E5,2)</f>
      </c>
      <c r="H5" s="16" t="s">
        <v>15</v>
      </c>
      <c r="I5" s="13">
        <v>0</v>
      </c>
      <c r="J5" s="17" t="s">
        <v>16</v>
      </c>
      <c r="K5" s="1" t="s">
        <v>17</v>
      </c>
      <c r="L5" s="1"/>
    </row>
    <row r="6" ht="12" customHeight="1" spans="1:12" x14ac:dyDescent="0.25">
      <c r="A6" s="18">
        <v>3</v>
      </c>
      <c r="B6" s="12" t="s">
        <v>19</v>
      </c>
      <c r="C6" s="12" t="s">
        <v>20</v>
      </c>
      <c r="D6" s="13">
        <v>25</v>
      </c>
      <c r="E6" s="14">
        <v>1</v>
      </c>
      <c r="F6" s="15" t="s">
        <v>14</v>
      </c>
      <c r="G6" s="13">
        <f>ROUND(D6*E6,2)</f>
      </c>
      <c r="H6" s="16" t="s">
        <v>15</v>
      </c>
      <c r="I6" s="13">
        <v>0</v>
      </c>
      <c r="J6" s="17" t="s">
        <v>16</v>
      </c>
      <c r="K6" s="1" t="s">
        <v>17</v>
      </c>
      <c r="L6" s="1"/>
    </row>
    <row r="7" ht="12" customHeight="1" spans="1:12" x14ac:dyDescent="0.25">
      <c r="A7" s="18">
        <v>4</v>
      </c>
      <c r="B7" s="12" t="s">
        <v>21</v>
      </c>
      <c r="C7" s="12" t="s">
        <v>22</v>
      </c>
      <c r="D7" s="13">
        <v>60</v>
      </c>
      <c r="E7" s="14">
        <v>1</v>
      </c>
      <c r="F7" s="15" t="s">
        <v>14</v>
      </c>
      <c r="G7" s="13">
        <f>ROUND(D7*E7,2)</f>
      </c>
      <c r="H7" s="16" t="s">
        <v>15</v>
      </c>
      <c r="I7" s="13">
        <v>0</v>
      </c>
      <c r="J7" s="17" t="s">
        <v>16</v>
      </c>
      <c r="K7" s="1" t="s">
        <v>17</v>
      </c>
      <c r="L7" s="1"/>
    </row>
    <row r="8" ht="12" customHeight="1" spans="1:12" x14ac:dyDescent="0.25">
      <c r="A8" s="18">
        <v>5</v>
      </c>
      <c r="B8" s="12" t="s">
        <v>23</v>
      </c>
      <c r="C8" s="12" t="s">
        <v>24</v>
      </c>
      <c r="D8" s="13">
        <v>15</v>
      </c>
      <c r="E8" s="14">
        <v>1</v>
      </c>
      <c r="F8" s="15" t="s">
        <v>14</v>
      </c>
      <c r="G8" s="13">
        <f>ROUND(D8*E8,2)</f>
      </c>
      <c r="H8" s="16" t="s">
        <v>15</v>
      </c>
      <c r="I8" s="13">
        <v>0</v>
      </c>
      <c r="J8" s="17" t="s">
        <v>16</v>
      </c>
      <c r="K8" s="1" t="s">
        <v>17</v>
      </c>
      <c r="L8" s="1"/>
    </row>
    <row r="9" ht="12" customHeight="1" spans="1:12" x14ac:dyDescent="0.25">
      <c r="A9" s="18">
        <v>6</v>
      </c>
      <c r="B9" s="12" t="s">
        <v>23</v>
      </c>
      <c r="C9" s="12" t="s">
        <v>25</v>
      </c>
      <c r="D9" s="13">
        <v>60</v>
      </c>
      <c r="E9" s="14">
        <v>1</v>
      </c>
      <c r="F9" s="15" t="s">
        <v>14</v>
      </c>
      <c r="G9" s="13">
        <f>ROUND(D9*E9,2)</f>
      </c>
      <c r="H9" s="16" t="s">
        <v>15</v>
      </c>
      <c r="I9" s="13">
        <v>0</v>
      </c>
      <c r="J9" s="17" t="s">
        <v>16</v>
      </c>
      <c r="K9" s="1" t="s">
        <v>17</v>
      </c>
      <c r="L9" s="1"/>
    </row>
    <row r="10" ht="12.75" customHeight="1" spans="1:11" x14ac:dyDescent="0.25">
      <c r="A10" s="19"/>
      <c r="B10" s="20" t="s">
        <v>26</v>
      </c>
      <c r="C10" s="20"/>
      <c r="D10" s="21"/>
      <c r="E10" s="22">
        <f>SUM(E4:E9)</f>
      </c>
      <c r="F10" s="23"/>
      <c r="G10" s="24">
        <f>SUM(G4:G9)</f>
      </c>
      <c r="H10" s="25"/>
      <c r="I10" s="24">
        <f>SUM(I4:I9)</f>
      </c>
      <c r="J10" s="17" t="s">
        <v>16</v>
      </c>
      <c r="K10" s="26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7" customWidth="1"/>
    <col min="2" max="2" width="30.44" style="27" customWidth="1"/>
    <col min="3" max="3" width="23.22" style="27" customWidth="1"/>
    <col min="4" max="4" width="28.44" style="27" customWidth="1"/>
    <col min="5" max="5" width="6.89" style="27" customWidth="1"/>
    <col min="6" max="6" width="8.56" style="27" customWidth="1"/>
    <col min="7" max="7" width="9.11" style="27" customWidth="1"/>
    <col min="8" max="8" width="11.11" style="27" customWidth="1"/>
    <col min="9" max="9" width="12.34" style="27" customWidth="1"/>
  </cols>
  <sheetData>
    <row r="1" ht="19.7" customHeight="1" spans="1:9" x14ac:dyDescent="0.25">
      <c r="A1" s="28" t="s">
        <v>27</v>
      </c>
      <c r="B1" s="28"/>
      <c r="C1" s="28"/>
      <c r="D1" s="28"/>
      <c r="E1" s="28"/>
      <c r="F1" s="28"/>
      <c r="G1" s="28"/>
      <c r="H1" s="28"/>
      <c r="I1" s="28"/>
    </row>
    <row r="3" ht="15.65" customHeight="1" spans="1:9" x14ac:dyDescent="0.25">
      <c r="A3" s="29" t="s">
        <v>28</v>
      </c>
      <c r="B3" s="29" t="s">
        <v>29</v>
      </c>
      <c r="C3" s="30" t="s">
        <v>30</v>
      </c>
      <c r="D3" s="31" t="s">
        <v>31</v>
      </c>
      <c r="E3" s="30" t="s">
        <v>32</v>
      </c>
      <c r="F3" s="32" t="s">
        <v>33</v>
      </c>
      <c r="G3" s="32" t="s">
        <v>34</v>
      </c>
      <c r="H3" s="32" t="s">
        <v>35</v>
      </c>
      <c r="I3" s="32" t="s">
        <v>36</v>
      </c>
    </row>
    <row r="4" ht="12.75" customHeight="1" spans="1:9" x14ac:dyDescent="0.25">
      <c r="A4" s="33" t="s">
        <v>37</v>
      </c>
      <c r="B4" s="33" t="s">
        <v>13</v>
      </c>
      <c r="C4" s="34" t="s">
        <v>38</v>
      </c>
      <c r="D4" s="35" t="s">
        <v>39</v>
      </c>
      <c r="E4" s="36" t="s">
        <v>14</v>
      </c>
      <c r="F4" s="37">
        <v>27</v>
      </c>
      <c r="G4" s="38">
        <v>3</v>
      </c>
      <c r="H4" s="39" t="s">
        <v>40</v>
      </c>
      <c r="I4" s="39" t="s">
        <v>17</v>
      </c>
    </row>
    <row r="5" ht="12.75" customHeight="1" spans="1:9" x14ac:dyDescent="0.25">
      <c r="A5" s="33" t="s">
        <v>37</v>
      </c>
      <c r="B5" s="33" t="s">
        <v>18</v>
      </c>
      <c r="C5" s="34" t="s">
        <v>41</v>
      </c>
      <c r="D5" s="35" t="s">
        <v>42</v>
      </c>
      <c r="E5" s="36" t="s">
        <v>14</v>
      </c>
      <c r="F5" s="37">
        <v>1</v>
      </c>
      <c r="G5" s="38">
        <v>1</v>
      </c>
      <c r="H5" s="39" t="s">
        <v>43</v>
      </c>
      <c r="I5" s="39" t="s">
        <v>17</v>
      </c>
    </row>
    <row r="6" ht="12.75" customHeight="1" spans="1:9" x14ac:dyDescent="0.25">
      <c r="A6" s="33" t="s">
        <v>37</v>
      </c>
      <c r="B6" s="33" t="s">
        <v>20</v>
      </c>
      <c r="C6" s="34" t="s">
        <v>41</v>
      </c>
      <c r="D6" s="35" t="s">
        <v>42</v>
      </c>
      <c r="E6" s="36" t="s">
        <v>14</v>
      </c>
      <c r="F6" s="37">
        <v>1</v>
      </c>
      <c r="G6" s="38"/>
      <c r="H6" s="39"/>
      <c r="I6" s="39"/>
    </row>
    <row r="7" ht="12.75" customHeight="1" spans="1:9" x14ac:dyDescent="0.25">
      <c r="A7" s="33" t="s">
        <v>37</v>
      </c>
      <c r="B7" s="33" t="s">
        <v>24</v>
      </c>
      <c r="C7" s="34" t="s">
        <v>41</v>
      </c>
      <c r="D7" s="35" t="s">
        <v>42</v>
      </c>
      <c r="E7" s="36" t="s">
        <v>14</v>
      </c>
      <c r="F7" s="37">
        <v>1</v>
      </c>
      <c r="G7" s="38"/>
      <c r="H7" s="39"/>
      <c r="I7" s="39"/>
    </row>
    <row r="8" ht="12.75" customHeight="1" spans="1:9" x14ac:dyDescent="0.25">
      <c r="A8" s="33" t="s">
        <v>37</v>
      </c>
      <c r="B8" s="33" t="s">
        <v>25</v>
      </c>
      <c r="C8" s="34" t="s">
        <v>41</v>
      </c>
      <c r="D8" s="35" t="s">
        <v>42</v>
      </c>
      <c r="E8" s="36" t="s">
        <v>14</v>
      </c>
      <c r="F8" s="37">
        <v>1</v>
      </c>
      <c r="G8" s="38"/>
      <c r="H8" s="39"/>
      <c r="I8" s="39"/>
    </row>
    <row r="9" ht="12.75" customHeight="1" spans="1:9" x14ac:dyDescent="0.25">
      <c r="A9" s="33" t="s">
        <v>37</v>
      </c>
      <c r="B9" s="33" t="s">
        <v>22</v>
      </c>
      <c r="C9" s="34" t="s">
        <v>41</v>
      </c>
      <c r="D9" s="35" t="s">
        <v>44</v>
      </c>
      <c r="E9" s="36" t="s">
        <v>14</v>
      </c>
      <c r="F9" s="37">
        <v>1</v>
      </c>
      <c r="G9" s="38">
        <v>1</v>
      </c>
      <c r="H9" s="39" t="s">
        <v>43</v>
      </c>
      <c r="I9" s="39" t="s">
        <v>17</v>
      </c>
    </row>
    <row r="10" ht="12.75" customHeight="1" spans="1:9" x14ac:dyDescent="0.25">
      <c r="A10" s="40" t="s">
        <v>45</v>
      </c>
      <c r="B10" s="41" t="s">
        <v>46</v>
      </c>
      <c r="C10" s="42"/>
      <c r="D10" s="42"/>
      <c r="E10" s="42"/>
      <c r="F10" s="43">
        <f>=SUM(F4:F9)</f>
      </c>
      <c r="G10" s="44">
        <f>=SUM(G4:G9)</f>
      </c>
      <c r="H10" s="42"/>
      <c r="I10" s="42"/>
    </row>
  </sheetData>
  <mergeCells count="4">
    <mergeCell ref="A1:I1"/>
    <mergeCell ref="G5:G8"/>
    <mergeCell ref="H5:H8"/>
    <mergeCell ref="I5:I8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26" sqref="A26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5" t="s">
        <v>47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9" x14ac:dyDescent="0.25">
      <c r="A2" s="46" t="s">
        <v>48</v>
      </c>
      <c r="B2" s="46"/>
      <c r="C2" s="46"/>
      <c r="F2" s="47"/>
      <c r="G2" s="48" t="s">
        <v>49</v>
      </c>
      <c r="H2" s="46"/>
      <c r="I2" s="46"/>
    </row>
    <row r="3" ht="15" customHeight="1" spans="1:11" x14ac:dyDescent="0.25">
      <c r="A3" s="49" t="s">
        <v>50</v>
      </c>
      <c r="B3" s="49"/>
      <c r="C3" s="49"/>
      <c r="D3" s="49"/>
      <c r="E3" s="49"/>
      <c r="F3" s="47"/>
      <c r="G3" s="3"/>
      <c r="J3" s="3"/>
      <c r="K3" s="50"/>
    </row>
    <row r="4" ht="15" customHeight="1" spans="1:11" x14ac:dyDescent="0.25">
      <c r="A4" s="1" t="s">
        <v>51</v>
      </c>
      <c r="F4" s="47"/>
      <c r="G4" s="51" t="s">
        <v>52</v>
      </c>
      <c r="J4" s="52"/>
      <c r="K4" s="52">
        <v>46108.625</v>
      </c>
    </row>
    <row r="5" ht="15" customHeight="1" spans="1:9" x14ac:dyDescent="0.25">
      <c r="A5" s="1" t="s">
        <v>53</v>
      </c>
      <c r="F5" s="47"/>
      <c r="G5" s="48" t="s">
        <v>54</v>
      </c>
      <c r="H5" s="46"/>
      <c r="I5" s="53"/>
    </row>
    <row r="6" ht="15" customHeight="1" spans="1:11" x14ac:dyDescent="0.25">
      <c r="A6" s="1" t="s">
        <v>55</v>
      </c>
      <c r="F6" s="47"/>
      <c r="G6" s="3"/>
      <c r="H6" s="3"/>
      <c r="I6" s="3"/>
      <c r="J6" s="3"/>
      <c r="K6" s="54"/>
    </row>
    <row r="7" ht="15" customHeight="1" spans="1:11" x14ac:dyDescent="0.25">
      <c r="A7" s="46" t="s">
        <v>56</v>
      </c>
      <c r="B7" s="46"/>
      <c r="C7" s="53"/>
      <c r="D7" s="53"/>
      <c r="E7" s="53"/>
      <c r="F7" s="55"/>
      <c r="H7" s="49"/>
      <c r="I7" s="49"/>
      <c r="J7" s="56" t="s">
        <v>57</v>
      </c>
      <c r="K7" s="57"/>
    </row>
    <row r="8" ht="15" customHeight="1" spans="1:11" x14ac:dyDescent="0.25">
      <c r="A8" s="49" t="s">
        <v>58</v>
      </c>
      <c r="B8" s="49"/>
      <c r="C8" s="49"/>
      <c r="F8" s="47"/>
      <c r="G8" s="48" t="s">
        <v>59</v>
      </c>
      <c r="H8" s="46"/>
      <c r="I8" s="46"/>
      <c r="J8" s="53"/>
      <c r="K8" s="58"/>
    </row>
    <row r="9" ht="15" customHeight="1" spans="1:11" x14ac:dyDescent="0.25">
      <c r="A9" s="1" t="s">
        <v>60</v>
      </c>
      <c r="F9" s="47"/>
      <c r="G9" s="1" t="s">
        <v>57</v>
      </c>
      <c r="K9" s="57"/>
    </row>
    <row r="10" ht="15" customHeight="1" spans="1:11" x14ac:dyDescent="0.25">
      <c r="A10" s="1" t="s">
        <v>61</v>
      </c>
      <c r="F10" s="47"/>
      <c r="G10" s="59" t="s">
        <v>57</v>
      </c>
      <c r="H10" s="59"/>
      <c r="I10" s="59"/>
      <c r="J10" s="59"/>
      <c r="K10" s="57"/>
    </row>
    <row r="11" ht="15" customHeight="1" spans="1:11" x14ac:dyDescent="0.25">
      <c r="A11" s="1" t="s">
        <v>62</v>
      </c>
      <c r="F11" s="47"/>
      <c r="G11" s="48" t="s">
        <v>63</v>
      </c>
      <c r="H11" s="46"/>
      <c r="K11" s="60"/>
    </row>
    <row r="12" ht="15" customHeight="1" spans="1:11" x14ac:dyDescent="0.25">
      <c r="A12" s="59" t="s">
        <v>64</v>
      </c>
      <c r="B12" s="61"/>
      <c r="C12" s="59"/>
      <c r="D12" s="59"/>
      <c r="E12" s="59"/>
      <c r="F12" s="62"/>
      <c r="G12" s="27"/>
      <c r="K12" s="63"/>
    </row>
    <row r="13" ht="15" customHeight="1" spans="1:11" x14ac:dyDescent="0.25">
      <c r="A13" s="64" t="s">
        <v>65</v>
      </c>
      <c r="F13" s="47"/>
      <c r="G13" s="27"/>
      <c r="I13" s="65"/>
      <c r="J13" s="66"/>
      <c r="K13" s="63"/>
    </row>
    <row r="14" ht="15" customHeight="1" spans="1:11" x14ac:dyDescent="0.25">
      <c r="A14" s="67" t="s">
        <v>66</v>
      </c>
      <c r="B14" s="67"/>
      <c r="F14" s="47"/>
      <c r="I14" s="65"/>
      <c r="J14" s="66"/>
      <c r="K14" s="63"/>
    </row>
    <row r="15" ht="15" customHeight="1" spans="6:11" x14ac:dyDescent="0.25">
      <c r="F15" s="47"/>
      <c r="H15" s="49"/>
      <c r="K15" s="63"/>
    </row>
    <row r="16" ht="15" customHeight="1" spans="1:11" x14ac:dyDescent="0.25">
      <c r="A16" s="46" t="s">
        <v>67</v>
      </c>
      <c r="B16" s="46"/>
      <c r="C16" s="55"/>
      <c r="D16" s="46" t="s">
        <v>68</v>
      </c>
      <c r="E16" s="46"/>
      <c r="F16" s="68"/>
      <c r="G16" s="27"/>
      <c r="H16" s="65"/>
      <c r="I16" s="69"/>
      <c r="J16" s="49"/>
      <c r="K16" s="63"/>
    </row>
    <row r="17" ht="15" customHeight="1" spans="4:11" x14ac:dyDescent="0.25">
      <c r="D17" s="70" t="s">
        <v>57</v>
      </c>
      <c r="E17" s="51"/>
      <c r="F17" s="47"/>
      <c r="H17" s="65"/>
      <c r="I17" s="69"/>
      <c r="J17" s="49"/>
      <c r="K17" s="63"/>
    </row>
    <row r="18" ht="15" customHeight="1" spans="1:11" x14ac:dyDescent="0.25">
      <c r="A18" s="71" t="s">
        <v>69</v>
      </c>
      <c r="B18" s="71"/>
      <c r="C18" s="71"/>
      <c r="D18" s="72" t="s">
        <v>70</v>
      </c>
      <c r="E18" s="72"/>
      <c r="F18" s="72"/>
      <c r="H18" s="65"/>
      <c r="I18" s="69"/>
      <c r="J18" s="49"/>
      <c r="K18" s="63"/>
    </row>
    <row r="19" ht="15" customHeight="1" spans="1:11" x14ac:dyDescent="0.25">
      <c r="A19" s="46" t="s">
        <v>71</v>
      </c>
      <c r="B19" s="46"/>
      <c r="C19" s="47"/>
      <c r="D19" s="46" t="s">
        <v>72</v>
      </c>
      <c r="E19" s="46"/>
      <c r="F19" s="68"/>
      <c r="K19" s="63"/>
    </row>
    <row r="20" ht="15" customHeight="1" spans="1:11" x14ac:dyDescent="0.25">
      <c r="A20" s="1" t="s">
        <v>57</v>
      </c>
      <c r="C20" s="47"/>
      <c r="D20" s="1" t="s">
        <v>57</v>
      </c>
      <c r="F20" s="47"/>
      <c r="G20" s="1" t="s">
        <v>57</v>
      </c>
      <c r="K20" s="63"/>
    </row>
    <row r="21" ht="15" customHeight="1" spans="1:11" x14ac:dyDescent="0.25">
      <c r="A21" s="73"/>
      <c r="B21" s="73"/>
      <c r="C21" s="73"/>
      <c r="D21" s="74"/>
      <c r="E21" s="74"/>
      <c r="F21" s="74"/>
      <c r="G21" s="59"/>
      <c r="H21" s="59"/>
      <c r="I21" s="59"/>
      <c r="J21" s="59"/>
      <c r="K21" s="75"/>
    </row>
    <row r="22" ht="15" customHeight="1" spans="1:11" x14ac:dyDescent="0.25">
      <c r="A22" s="76" t="s">
        <v>73</v>
      </c>
      <c r="B22" s="76"/>
      <c r="C22" s="76"/>
      <c r="D22" s="77" t="s">
        <v>74</v>
      </c>
      <c r="E22" s="77"/>
      <c r="F22" s="77"/>
      <c r="G22" s="77" t="s">
        <v>75</v>
      </c>
      <c r="H22" s="77"/>
      <c r="I22" s="78" t="s">
        <v>76</v>
      </c>
      <c r="J22" s="79" t="s">
        <v>77</v>
      </c>
      <c r="K22" s="80"/>
    </row>
    <row r="23" ht="15" customHeight="1" spans="1:9" x14ac:dyDescent="0.25">
      <c r="A23" s="1" t="s">
        <v>57</v>
      </c>
      <c r="C23" s="47"/>
      <c r="F23" s="47"/>
      <c r="H23" s="47"/>
      <c r="I23" s="47"/>
    </row>
    <row r="24" ht="15" customHeight="1" spans="1:9" x14ac:dyDescent="0.25">
      <c r="A24" s="1" t="s">
        <v>57</v>
      </c>
      <c r="G24" s="81" t="s">
        <v>78</v>
      </c>
      <c r="H24" s="81"/>
      <c r="I24" s="81"/>
    </row>
    <row r="25" ht="15" customHeight="1" spans="1:11" x14ac:dyDescent="0.25">
      <c r="A25" s="82" t="s">
        <v>79</v>
      </c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 t="s">
        <v>80</v>
      </c>
      <c r="C26" s="3"/>
      <c r="F26" s="3"/>
      <c r="G26" s="3"/>
      <c r="H26" s="3"/>
      <c r="I26" s="3"/>
      <c r="J26" s="3"/>
      <c r="K26" s="85"/>
    </row>
    <row r="27" ht="15" customHeight="1" spans="1:11" x14ac:dyDescent="0.25">
      <c r="A27" s="86"/>
      <c r="D27" s="49" t="s">
        <v>81</v>
      </c>
      <c r="E27" s="49"/>
      <c r="F27" s="49"/>
      <c r="K27" s="85"/>
    </row>
    <row r="28" ht="15" customHeight="1" spans="1:11" x14ac:dyDescent="0.25">
      <c r="A28" s="86" t="s">
        <v>82</v>
      </c>
      <c r="K28" s="85"/>
    </row>
    <row r="29" ht="15" customHeight="1" spans="1:10" x14ac:dyDescent="0.25">
      <c r="A29" s="86" t="s">
        <v>83</v>
      </c>
      <c r="F29" s="3"/>
      <c r="G29" s="87"/>
      <c r="H29" s="88"/>
      <c r="I29" s="89"/>
      <c r="J29" s="90"/>
    </row>
    <row r="30" ht="15" customHeight="1" spans="1:10" x14ac:dyDescent="0.25">
      <c r="A30" s="86" t="s">
        <v>84</v>
      </c>
      <c r="B30" s="87"/>
      <c r="F30" s="3"/>
      <c r="G30" s="87"/>
      <c r="H30" s="88"/>
      <c r="I30" s="89"/>
      <c r="J30" s="90"/>
    </row>
    <row r="31" ht="15" customHeight="1" spans="1:10" x14ac:dyDescent="0.25">
      <c r="A31" s="86" t="s">
        <v>85</v>
      </c>
      <c r="B31" s="87"/>
      <c r="C31" s="3"/>
      <c r="D31" s="91" t="s">
        <v>45</v>
      </c>
      <c r="E31" s="91"/>
      <c r="F31" s="91"/>
      <c r="G31" s="92"/>
      <c r="H31" s="93"/>
      <c r="I31" s="93"/>
      <c r="J31" s="94">
        <f>=VLOOKUP("GRAND TOTAL :",BVT.INV!B:I,6,0)</f>
      </c>
    </row>
    <row r="32" ht="15" customHeight="1" spans="2:10" x14ac:dyDescent="0.25">
      <c r="B32" s="87"/>
      <c r="F32" s="3"/>
      <c r="G32" s="87"/>
      <c r="H32" s="88"/>
      <c r="I32" s="89"/>
      <c r="J32" s="95"/>
    </row>
    <row r="33" ht="15" customHeight="1" spans="2:10" x14ac:dyDescent="0.25">
      <c r="B33" s="87"/>
      <c r="F33" s="3"/>
      <c r="G33" s="87"/>
      <c r="H33" s="88"/>
      <c r="I33" s="89"/>
      <c r="J33" s="95"/>
    </row>
    <row r="34" ht="15" customHeight="1" spans="2:10" x14ac:dyDescent="0.25">
      <c r="B34" s="87"/>
      <c r="F34" s="3"/>
      <c r="G34" s="87"/>
      <c r="H34" s="88"/>
      <c r="I34" s="89"/>
      <c r="J34" s="95"/>
    </row>
    <row r="35" ht="15" customHeight="1" spans="2:10" x14ac:dyDescent="0.25">
      <c r="B35" s="87"/>
      <c r="F35" s="3"/>
      <c r="G35" s="87"/>
      <c r="H35" s="88"/>
      <c r="I35" s="89"/>
      <c r="J35" s="95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4" t="s">
        <v>86</v>
      </c>
      <c r="B40" s="64"/>
      <c r="C40" s="64"/>
      <c r="D40" s="64"/>
      <c r="E40" s="64"/>
      <c r="F40" s="64"/>
    </row>
    <row r="41" ht="15" customHeight="1" spans="1:11" x14ac:dyDescent="0.25">
      <c r="A41" s="64" t="s">
        <v>87</v>
      </c>
      <c r="B41" s="64"/>
      <c r="C41" s="64"/>
      <c r="H41" s="96" t="s">
        <v>88</v>
      </c>
      <c r="I41" s="59"/>
      <c r="J41" s="59"/>
      <c r="K41" s="59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7" customWidth="1"/>
    <col min="2" max="2" width="15.11" style="97" customWidth="1"/>
    <col min="3" max="3" width="26.44" style="97" customWidth="1"/>
    <col min="4" max="4" width="7.78" style="97" customWidth="1"/>
    <col min="5" max="5" width="9.67" style="97" customWidth="1"/>
    <col min="6" max="6" width="4.11" style="97" customWidth="1"/>
    <col min="7" max="7" width="11.33" style="97" customWidth="1"/>
    <col min="8" max="9" width="9" style="97" customWidth="1"/>
    <col min="10" max="10" width="2.44" style="97" customWidth="1"/>
    <col min="11" max="11" width="7.9" style="97" customWidth="1"/>
    <col min="12" max="12" width="6.11" style="97" customWidth="1"/>
    <col min="13" max="13" width="12.11" style="97" customWidth="1"/>
  </cols>
  <sheetData>
    <row r="1" ht="23.25" customHeight="1" spans="1:13" x14ac:dyDescent="0.25">
      <c r="A1" s="98" t="s">
        <v>89</v>
      </c>
      <c r="B1" s="98"/>
      <c r="C1" s="98"/>
      <c r="D1" s="98"/>
      <c r="E1" s="98"/>
      <c r="F1" s="98"/>
      <c r="G1" s="98"/>
      <c r="H1" s="98"/>
      <c r="I1" s="98"/>
      <c r="J1" s="99"/>
      <c r="K1" s="100"/>
      <c r="L1" s="101"/>
      <c r="M1" s="101"/>
    </row>
    <row r="2" ht="12" customHeight="1" spans="1:10" x14ac:dyDescent="0.25">
      <c r="A2" s="102"/>
      <c r="B2" s="102"/>
      <c r="C2" s="102"/>
      <c r="D2" s="102"/>
      <c r="E2" s="102"/>
      <c r="F2" s="102"/>
      <c r="G2" s="102"/>
      <c r="H2" s="103"/>
      <c r="I2" s="99"/>
      <c r="J2" s="99"/>
    </row>
    <row r="3" ht="12" customHeight="1" spans="1:13" x14ac:dyDescent="0.25">
      <c r="A3" s="104" t="s">
        <v>1</v>
      </c>
      <c r="B3" s="104" t="s">
        <v>2</v>
      </c>
      <c r="C3" s="104" t="s">
        <v>3</v>
      </c>
      <c r="D3" s="104" t="s">
        <v>4</v>
      </c>
      <c r="E3" s="104" t="s">
        <v>5</v>
      </c>
      <c r="F3" s="104" t="s">
        <v>6</v>
      </c>
      <c r="G3" s="104" t="s">
        <v>7</v>
      </c>
      <c r="H3" s="104" t="s">
        <v>8</v>
      </c>
      <c r="I3" s="104" t="s">
        <v>9</v>
      </c>
      <c r="J3" s="105"/>
      <c r="K3" s="106" t="s">
        <v>90</v>
      </c>
      <c r="L3" s="106" t="s">
        <v>10</v>
      </c>
      <c r="M3" s="106" t="s">
        <v>11</v>
      </c>
    </row>
    <row r="4" ht="12" customHeight="1" spans="1:13" x14ac:dyDescent="0.25">
      <c r="A4" s="107">
        <v>1</v>
      </c>
      <c r="B4" s="108" t="s">
        <v>12</v>
      </c>
      <c r="C4" s="108" t="s">
        <v>13</v>
      </c>
      <c r="D4" s="109">
        <v>30</v>
      </c>
      <c r="E4" s="110">
        <v>27</v>
      </c>
      <c r="F4" s="111" t="s">
        <v>14</v>
      </c>
      <c r="G4" s="109">
        <f>ROUND(D4*E4,2)</f>
      </c>
      <c r="H4" s="112" t="s">
        <v>15</v>
      </c>
      <c r="I4" s="109">
        <v>0.0008</v>
      </c>
      <c r="J4" s="102" t="s">
        <v>16</v>
      </c>
      <c r="K4" s="97" t="s">
        <v>91</v>
      </c>
      <c r="L4" s="97" t="s">
        <v>17</v>
      </c>
      <c r="M4" s="97"/>
    </row>
    <row r="5" ht="12" customHeight="1" spans="1:13" x14ac:dyDescent="0.25">
      <c r="A5" s="107">
        <v>2</v>
      </c>
      <c r="B5" s="108" t="s">
        <v>12</v>
      </c>
      <c r="C5" s="108" t="s">
        <v>18</v>
      </c>
      <c r="D5" s="109">
        <v>35</v>
      </c>
      <c r="E5" s="110">
        <v>1</v>
      </c>
      <c r="F5" s="111" t="s">
        <v>14</v>
      </c>
      <c r="G5" s="109">
        <f>ROUND(D5*E5,2)</f>
      </c>
      <c r="H5" s="112" t="s">
        <v>15</v>
      </c>
      <c r="I5" s="109">
        <v>0</v>
      </c>
      <c r="J5" s="102" t="s">
        <v>16</v>
      </c>
      <c r="K5" s="97" t="s">
        <v>91</v>
      </c>
      <c r="L5" s="97" t="s">
        <v>17</v>
      </c>
      <c r="M5" s="97"/>
    </row>
    <row r="6" ht="12" customHeight="1" spans="1:13" x14ac:dyDescent="0.25">
      <c r="A6" s="107">
        <v>3</v>
      </c>
      <c r="B6" s="108" t="s">
        <v>19</v>
      </c>
      <c r="C6" s="108" t="s">
        <v>20</v>
      </c>
      <c r="D6" s="109">
        <v>25</v>
      </c>
      <c r="E6" s="110">
        <v>1</v>
      </c>
      <c r="F6" s="111" t="s">
        <v>14</v>
      </c>
      <c r="G6" s="109">
        <f>ROUND(D6*E6,2)</f>
      </c>
      <c r="H6" s="112" t="s">
        <v>15</v>
      </c>
      <c r="I6" s="109">
        <v>0</v>
      </c>
      <c r="J6" s="102" t="s">
        <v>16</v>
      </c>
      <c r="K6" s="97" t="s">
        <v>92</v>
      </c>
      <c r="L6" s="97" t="s">
        <v>17</v>
      </c>
      <c r="M6" s="97"/>
    </row>
    <row r="7" ht="12" customHeight="1" spans="1:13" x14ac:dyDescent="0.25">
      <c r="A7" s="107">
        <v>4</v>
      </c>
      <c r="B7" s="108" t="s">
        <v>21</v>
      </c>
      <c r="C7" s="108" t="s">
        <v>22</v>
      </c>
      <c r="D7" s="109">
        <v>60</v>
      </c>
      <c r="E7" s="110">
        <v>1</v>
      </c>
      <c r="F7" s="111" t="s">
        <v>14</v>
      </c>
      <c r="G7" s="109">
        <f>ROUND(D7*E7,2)</f>
      </c>
      <c r="H7" s="112" t="s">
        <v>15</v>
      </c>
      <c r="I7" s="109">
        <v>0</v>
      </c>
      <c r="J7" s="102" t="s">
        <v>16</v>
      </c>
      <c r="K7" s="97" t="s">
        <v>93</v>
      </c>
      <c r="L7" s="97" t="s">
        <v>17</v>
      </c>
      <c r="M7" s="97"/>
    </row>
    <row r="8" ht="12" customHeight="1" spans="1:13" x14ac:dyDescent="0.25">
      <c r="A8" s="107">
        <v>5</v>
      </c>
      <c r="B8" s="108" t="s">
        <v>23</v>
      </c>
      <c r="C8" s="108" t="s">
        <v>24</v>
      </c>
      <c r="D8" s="109">
        <v>15</v>
      </c>
      <c r="E8" s="110">
        <v>1</v>
      </c>
      <c r="F8" s="111" t="s">
        <v>14</v>
      </c>
      <c r="G8" s="109">
        <f>ROUND(D8*E8,2)</f>
      </c>
      <c r="H8" s="112" t="s">
        <v>15</v>
      </c>
      <c r="I8" s="109">
        <v>0</v>
      </c>
      <c r="J8" s="102" t="s">
        <v>16</v>
      </c>
      <c r="K8" s="97" t="s">
        <v>94</v>
      </c>
      <c r="L8" s="97" t="s">
        <v>17</v>
      </c>
      <c r="M8" s="97"/>
    </row>
    <row r="9" ht="12" customHeight="1" spans="1:13" x14ac:dyDescent="0.25">
      <c r="A9" s="107">
        <v>6</v>
      </c>
      <c r="B9" s="108" t="s">
        <v>23</v>
      </c>
      <c r="C9" s="108" t="s">
        <v>25</v>
      </c>
      <c r="D9" s="109">
        <v>60</v>
      </c>
      <c r="E9" s="110">
        <v>1</v>
      </c>
      <c r="F9" s="111" t="s">
        <v>14</v>
      </c>
      <c r="G9" s="109">
        <f>ROUND(D9*E9,2)</f>
      </c>
      <c r="H9" s="112" t="s">
        <v>15</v>
      </c>
      <c r="I9" s="109">
        <v>0</v>
      </c>
      <c r="J9" s="102" t="s">
        <v>16</v>
      </c>
      <c r="K9" s="97" t="s">
        <v>94</v>
      </c>
      <c r="L9" s="97" t="s">
        <v>17</v>
      </c>
      <c r="M9" s="97"/>
    </row>
    <row r="10" ht="12.75" customHeight="1" spans="1:11" x14ac:dyDescent="0.25">
      <c r="A10" s="113"/>
      <c r="B10" s="114" t="s">
        <v>26</v>
      </c>
      <c r="C10" s="114"/>
      <c r="D10" s="115"/>
      <c r="E10" s="116">
        <f>SUM(E4:E9)</f>
      </c>
      <c r="F10" s="117"/>
      <c r="G10" s="118">
        <f>SUM(G4:G9)</f>
      </c>
      <c r="H10" s="119"/>
      <c r="I10" s="118">
        <f>SUM(I4:I9)</f>
      </c>
      <c r="J10" s="102" t="s">
        <v>16</v>
      </c>
      <c r="K10" s="120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95</v>
      </c>
      <c r="B1" s="2"/>
      <c r="C1" s="2"/>
      <c r="D1" s="2"/>
      <c r="E1" s="2"/>
      <c r="F1" s="2"/>
      <c r="G1" s="2"/>
      <c r="H1" s="2"/>
      <c r="I1" s="27" t="s">
        <v>52</v>
      </c>
    </row>
    <row r="2" ht="12.75" customHeight="1" spans="1:9" x14ac:dyDescent="0.25">
      <c r="A2" s="27"/>
      <c r="B2" s="7"/>
      <c r="C2" s="7"/>
      <c r="D2" s="7"/>
      <c r="E2" s="27"/>
      <c r="F2" s="27"/>
      <c r="G2" s="121"/>
      <c r="H2" s="27"/>
      <c r="I2" s="27"/>
    </row>
    <row r="3" ht="12.75" customHeight="1" spans="1:9" x14ac:dyDescent="0.25">
      <c r="A3" s="122" t="s">
        <v>96</v>
      </c>
      <c r="B3" s="122" t="s">
        <v>97</v>
      </c>
      <c r="C3" s="122" t="s">
        <v>98</v>
      </c>
      <c r="D3" s="122" t="s">
        <v>99</v>
      </c>
      <c r="E3" s="122" t="s">
        <v>32</v>
      </c>
      <c r="F3" s="122" t="s">
        <v>100</v>
      </c>
      <c r="G3" s="123"/>
      <c r="H3" s="12"/>
      <c r="I3" s="12"/>
    </row>
    <row r="4" ht="12.75" customHeight="1" spans="1:13" x14ac:dyDescent="0.25">
      <c r="A4" s="11">
        <v>1</v>
      </c>
      <c r="B4" s="6" t="s">
        <v>101</v>
      </c>
      <c r="C4" s="124" t="s">
        <v>102</v>
      </c>
      <c r="D4" s="125">
        <v>1</v>
      </c>
      <c r="E4" s="11" t="s">
        <v>103</v>
      </c>
      <c r="F4" s="126">
        <v>46108.625</v>
      </c>
      <c r="G4" s="127"/>
      <c r="H4" s="27"/>
      <c r="I4" s="27"/>
      <c r="J4" s="128"/>
      <c r="K4" s="128"/>
      <c r="L4" s="128"/>
      <c r="M4" s="128"/>
    </row>
    <row r="6" spans="1:9" x14ac:dyDescent="0.25">
      <c r="A6" s="122" t="s">
        <v>96</v>
      </c>
      <c r="B6" s="122" t="s">
        <v>104</v>
      </c>
      <c r="C6" s="122" t="s">
        <v>105</v>
      </c>
      <c r="D6" s="122" t="s">
        <v>4</v>
      </c>
      <c r="E6" s="122" t="s">
        <v>5</v>
      </c>
      <c r="F6" s="122" t="s">
        <v>6</v>
      </c>
      <c r="G6" s="122" t="s">
        <v>7</v>
      </c>
      <c r="H6" s="122" t="s">
        <v>8</v>
      </c>
      <c r="I6" s="122" t="s">
        <v>9</v>
      </c>
    </row>
    <row r="7" spans="1:13" x14ac:dyDescent="0.25">
      <c r="A7" s="27">
        <v>1</v>
      </c>
      <c r="B7" s="27" t="s">
        <v>12</v>
      </c>
      <c r="C7" s="129" t="s">
        <v>13</v>
      </c>
      <c r="D7" s="130">
        <v>30</v>
      </c>
      <c r="E7" s="125">
        <v>27</v>
      </c>
      <c r="F7" s="27" t="s">
        <v>14</v>
      </c>
      <c r="G7" s="130">
        <v>810</v>
      </c>
      <c r="H7" s="27" t="s">
        <v>15</v>
      </c>
      <c r="I7" s="130">
        <v>0.0008</v>
      </c>
      <c r="J7" s="128" t="s">
        <v>16</v>
      </c>
      <c r="K7" s="128" t="s">
        <v>91</v>
      </c>
      <c r="L7" s="128" t="s">
        <v>17</v>
      </c>
      <c r="M7" s="128"/>
    </row>
    <row r="8" spans="1:13" x14ac:dyDescent="0.25">
      <c r="A8" s="131"/>
      <c r="B8" s="131" t="s">
        <v>26</v>
      </c>
      <c r="C8" s="131"/>
      <c r="D8" s="132"/>
      <c r="E8" s="133">
        <f>=SUM(E7:E7)</f>
      </c>
      <c r="F8" s="131"/>
      <c r="G8" s="134">
        <f>=SUM(G7:G7)</f>
      </c>
      <c r="H8" s="131"/>
      <c r="I8" s="131"/>
      <c r="J8" s="128"/>
      <c r="K8" s="128"/>
      <c r="L8" s="128"/>
      <c r="M8" s="128"/>
    </row>
    <row r="12" spans="1:9" x14ac:dyDescent="0.25">
      <c r="A12" s="2" t="s">
        <v>106</v>
      </c>
      <c r="B12" s="2"/>
      <c r="C12" s="2"/>
      <c r="D12" s="2"/>
      <c r="E12" s="2"/>
      <c r="F12" s="2"/>
      <c r="G12" s="2"/>
      <c r="H12" s="2"/>
      <c r="I12" s="3" t="s">
        <v>52</v>
      </c>
    </row>
    <row r="14" spans="1:6" x14ac:dyDescent="0.25">
      <c r="A14" s="122" t="s">
        <v>96</v>
      </c>
      <c r="B14" s="122" t="s">
        <v>97</v>
      </c>
      <c r="C14" s="122" t="s">
        <v>98</v>
      </c>
      <c r="D14" s="122" t="s">
        <v>99</v>
      </c>
      <c r="E14" s="122" t="s">
        <v>32</v>
      </c>
      <c r="F14" s="122" t="s">
        <v>100</v>
      </c>
    </row>
    <row r="15" spans="1:13" x14ac:dyDescent="0.25">
      <c r="A15" s="27">
        <v>1</v>
      </c>
      <c r="B15" s="27" t="s">
        <v>107</v>
      </c>
      <c r="C15" s="129" t="s">
        <v>102</v>
      </c>
      <c r="D15" s="125">
        <v>1</v>
      </c>
      <c r="E15" s="27" t="s">
        <v>103</v>
      </c>
      <c r="F15" s="135">
        <v>46108.625</v>
      </c>
      <c r="G15" s="27"/>
      <c r="H15" s="27"/>
      <c r="I15" s="27"/>
      <c r="J15" s="128"/>
      <c r="K15" s="128"/>
      <c r="L15" s="128"/>
      <c r="M15" s="128"/>
    </row>
    <row r="17" spans="1:9" x14ac:dyDescent="0.25">
      <c r="A17" s="122" t="s">
        <v>96</v>
      </c>
      <c r="B17" s="122" t="s">
        <v>104</v>
      </c>
      <c r="C17" s="122" t="s">
        <v>105</v>
      </c>
      <c r="D17" s="122" t="s">
        <v>4</v>
      </c>
      <c r="E17" s="122" t="s">
        <v>5</v>
      </c>
      <c r="F17" s="122" t="s">
        <v>6</v>
      </c>
      <c r="G17" s="122" t="s">
        <v>7</v>
      </c>
      <c r="H17" s="122" t="s">
        <v>8</v>
      </c>
      <c r="I17" s="122" t="s">
        <v>9</v>
      </c>
    </row>
    <row r="18" spans="1:13" x14ac:dyDescent="0.25">
      <c r="A18" s="27">
        <v>1</v>
      </c>
      <c r="B18" s="27" t="s">
        <v>12</v>
      </c>
      <c r="C18" s="129" t="s">
        <v>18</v>
      </c>
      <c r="D18" s="130">
        <v>35</v>
      </c>
      <c r="E18" s="125">
        <v>1</v>
      </c>
      <c r="F18" s="27" t="s">
        <v>14</v>
      </c>
      <c r="G18" s="130">
        <v>35</v>
      </c>
      <c r="H18" s="27" t="s">
        <v>15</v>
      </c>
      <c r="I18" s="130">
        <v>0</v>
      </c>
      <c r="J18" s="128" t="s">
        <v>16</v>
      </c>
      <c r="K18" s="128" t="s">
        <v>91</v>
      </c>
      <c r="L18" s="128" t="s">
        <v>17</v>
      </c>
      <c r="M18" s="128"/>
    </row>
    <row r="19" spans="1:13" x14ac:dyDescent="0.25">
      <c r="A19" s="27">
        <v>2</v>
      </c>
      <c r="B19" s="27" t="s">
        <v>19</v>
      </c>
      <c r="C19" s="129" t="s">
        <v>20</v>
      </c>
      <c r="D19" s="130">
        <v>25</v>
      </c>
      <c r="E19" s="125">
        <v>1</v>
      </c>
      <c r="F19" s="27" t="s">
        <v>14</v>
      </c>
      <c r="G19" s="130">
        <v>25</v>
      </c>
      <c r="H19" s="27" t="s">
        <v>15</v>
      </c>
      <c r="I19" s="130">
        <v>0</v>
      </c>
      <c r="J19" s="128" t="s">
        <v>16</v>
      </c>
      <c r="K19" s="128" t="s">
        <v>92</v>
      </c>
      <c r="L19" s="128" t="s">
        <v>17</v>
      </c>
      <c r="M19" s="128"/>
    </row>
    <row r="20" spans="1:13" x14ac:dyDescent="0.25">
      <c r="A20" s="27">
        <v>3</v>
      </c>
      <c r="B20" s="27" t="s">
        <v>23</v>
      </c>
      <c r="C20" s="129" t="s">
        <v>24</v>
      </c>
      <c r="D20" s="130">
        <v>15</v>
      </c>
      <c r="E20" s="125">
        <v>1</v>
      </c>
      <c r="F20" s="27" t="s">
        <v>14</v>
      </c>
      <c r="G20" s="130">
        <v>15</v>
      </c>
      <c r="H20" s="27" t="s">
        <v>15</v>
      </c>
      <c r="I20" s="130">
        <v>0</v>
      </c>
      <c r="J20" s="128" t="s">
        <v>16</v>
      </c>
      <c r="K20" s="128" t="s">
        <v>94</v>
      </c>
      <c r="L20" s="128" t="s">
        <v>17</v>
      </c>
      <c r="M20" s="128"/>
    </row>
    <row r="21" spans="1:13" x14ac:dyDescent="0.25">
      <c r="A21" s="27">
        <v>4</v>
      </c>
      <c r="B21" s="27" t="s">
        <v>23</v>
      </c>
      <c r="C21" s="129" t="s">
        <v>25</v>
      </c>
      <c r="D21" s="130">
        <v>60</v>
      </c>
      <c r="E21" s="125">
        <v>1</v>
      </c>
      <c r="F21" s="27" t="s">
        <v>14</v>
      </c>
      <c r="G21" s="130">
        <v>60</v>
      </c>
      <c r="H21" s="27" t="s">
        <v>15</v>
      </c>
      <c r="I21" s="130">
        <v>0</v>
      </c>
      <c r="J21" s="128" t="s">
        <v>16</v>
      </c>
      <c r="K21" s="128" t="s">
        <v>94</v>
      </c>
      <c r="L21" s="128" t="s">
        <v>17</v>
      </c>
      <c r="M21" s="128"/>
    </row>
    <row r="22" spans="1:13" x14ac:dyDescent="0.25">
      <c r="A22" s="131"/>
      <c r="B22" s="131" t="s">
        <v>26</v>
      </c>
      <c r="C22" s="131"/>
      <c r="D22" s="132"/>
      <c r="E22" s="133">
        <f>=SUM(E18:E21)</f>
      </c>
      <c r="F22" s="131"/>
      <c r="G22" s="134">
        <f>=SUM(G18:G21)</f>
      </c>
      <c r="H22" s="131"/>
      <c r="I22" s="131"/>
      <c r="J22" s="128"/>
      <c r="K22" s="128"/>
      <c r="L22" s="128"/>
      <c r="M22" s="128"/>
    </row>
    <row r="26" spans="1:9" x14ac:dyDescent="0.25">
      <c r="A26" s="2" t="s">
        <v>108</v>
      </c>
      <c r="B26" s="2"/>
      <c r="C26" s="2"/>
      <c r="D26" s="2"/>
      <c r="E26" s="2"/>
      <c r="F26" s="2"/>
      <c r="G26" s="2"/>
      <c r="H26" s="2"/>
      <c r="I26" s="3" t="s">
        <v>52</v>
      </c>
    </row>
    <row r="28" spans="1:6" x14ac:dyDescent="0.25">
      <c r="A28" s="122" t="s">
        <v>96</v>
      </c>
      <c r="B28" s="122" t="s">
        <v>97</v>
      </c>
      <c r="C28" s="122" t="s">
        <v>98</v>
      </c>
      <c r="D28" s="122" t="s">
        <v>99</v>
      </c>
      <c r="E28" s="122" t="s">
        <v>32</v>
      </c>
      <c r="F28" s="122" t="s">
        <v>100</v>
      </c>
    </row>
    <row r="29" spans="1:13" x14ac:dyDescent="0.25">
      <c r="A29" s="27">
        <v>1</v>
      </c>
      <c r="B29" s="27" t="s">
        <v>109</v>
      </c>
      <c r="C29" s="129" t="s">
        <v>102</v>
      </c>
      <c r="D29" s="125">
        <v>1</v>
      </c>
      <c r="E29" s="27" t="s">
        <v>103</v>
      </c>
      <c r="F29" s="135">
        <v>46108.625</v>
      </c>
      <c r="G29" s="27"/>
      <c r="H29" s="27"/>
      <c r="I29" s="27"/>
      <c r="J29" s="128"/>
      <c r="K29" s="128"/>
      <c r="L29" s="128"/>
      <c r="M29" s="128"/>
    </row>
    <row r="31" spans="1:9" x14ac:dyDescent="0.25">
      <c r="A31" s="122" t="s">
        <v>96</v>
      </c>
      <c r="B31" s="122" t="s">
        <v>104</v>
      </c>
      <c r="C31" s="122" t="s">
        <v>105</v>
      </c>
      <c r="D31" s="122" t="s">
        <v>4</v>
      </c>
      <c r="E31" s="122" t="s">
        <v>5</v>
      </c>
      <c r="F31" s="122" t="s">
        <v>6</v>
      </c>
      <c r="G31" s="122" t="s">
        <v>7</v>
      </c>
      <c r="H31" s="122" t="s">
        <v>8</v>
      </c>
      <c r="I31" s="122" t="s">
        <v>9</v>
      </c>
    </row>
    <row r="32" spans="1:13" x14ac:dyDescent="0.25">
      <c r="A32" s="27">
        <v>1</v>
      </c>
      <c r="B32" s="27" t="s">
        <v>21</v>
      </c>
      <c r="C32" s="129" t="s">
        <v>22</v>
      </c>
      <c r="D32" s="130">
        <v>60</v>
      </c>
      <c r="E32" s="125">
        <v>1</v>
      </c>
      <c r="F32" s="27" t="s">
        <v>14</v>
      </c>
      <c r="G32" s="130">
        <v>60</v>
      </c>
      <c r="H32" s="27" t="s">
        <v>15</v>
      </c>
      <c r="I32" s="130">
        <v>0</v>
      </c>
      <c r="J32" s="128" t="s">
        <v>16</v>
      </c>
      <c r="K32" s="128" t="s">
        <v>93</v>
      </c>
      <c r="L32" s="128" t="s">
        <v>17</v>
      </c>
      <c r="M32" s="128"/>
    </row>
    <row r="33" spans="1:13" x14ac:dyDescent="0.25">
      <c r="A33" s="131"/>
      <c r="B33" s="131" t="s">
        <v>26</v>
      </c>
      <c r="C33" s="131"/>
      <c r="D33" s="132"/>
      <c r="E33" s="133">
        <f>=SUM(E32:E32)</f>
      </c>
      <c r="F33" s="131"/>
      <c r="G33" s="134">
        <f>=SUM(G32:G32)</f>
      </c>
      <c r="H33" s="131"/>
      <c r="I33" s="131"/>
      <c r="J33" s="128"/>
      <c r="K33" s="128"/>
      <c r="L33" s="128"/>
      <c r="M33" s="128"/>
    </row>
    <row r="39" spans="5:7" x14ac:dyDescent="0.25">
      <c r="E39" s="3" t="s">
        <v>110</v>
      </c>
      <c r="G39" s="136">
        <f>=VLOOKUP("GRAND TOTAL :",BVT.INV!B:I,6,0)</f>
      </c>
    </row>
  </sheetData>
  <mergeCells count="3">
    <mergeCell ref="A1:H1"/>
    <mergeCell ref="A12:H12"/>
    <mergeCell ref="A26:H26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A27" sqref="A27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5" t="s">
        <v>111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11" x14ac:dyDescent="0.25">
      <c r="A2" s="46" t="s">
        <v>112</v>
      </c>
      <c r="B2" s="46"/>
      <c r="C2" s="46"/>
      <c r="D2" s="53"/>
      <c r="E2" s="53"/>
      <c r="F2" s="55"/>
      <c r="G2" s="48" t="s">
        <v>49</v>
      </c>
      <c r="H2" s="46"/>
      <c r="I2" s="46"/>
      <c r="J2" s="53"/>
      <c r="K2" s="53"/>
    </row>
    <row r="3" ht="15" customHeight="1" spans="1:11" x14ac:dyDescent="0.25">
      <c r="A3" s="49" t="s">
        <v>50</v>
      </c>
      <c r="B3" s="49"/>
      <c r="C3" s="49"/>
      <c r="D3" s="49"/>
      <c r="E3" s="49"/>
      <c r="F3" s="47"/>
      <c r="G3" s="137"/>
      <c r="J3" s="50"/>
      <c r="K3" s="50"/>
    </row>
    <row r="4" ht="15" customHeight="1" spans="1:11" x14ac:dyDescent="0.25">
      <c r="A4" s="1" t="s">
        <v>51</v>
      </c>
      <c r="F4" s="47"/>
      <c r="G4" s="138" t="s">
        <v>52</v>
      </c>
      <c r="H4" s="59"/>
      <c r="I4" s="59"/>
      <c r="J4" s="50"/>
      <c r="K4" s="52">
        <v>46108.625</v>
      </c>
    </row>
    <row r="5" ht="15" customHeight="1" spans="1:10" x14ac:dyDescent="0.25">
      <c r="A5" s="1" t="s">
        <v>53</v>
      </c>
      <c r="F5" s="47"/>
      <c r="G5" s="139" t="s">
        <v>113</v>
      </c>
      <c r="H5" s="64"/>
      <c r="J5" s="53"/>
    </row>
    <row r="6" ht="15" customHeight="1" spans="1:11" x14ac:dyDescent="0.25">
      <c r="A6" s="1" t="s">
        <v>55</v>
      </c>
      <c r="G6" s="140"/>
      <c r="H6" s="141"/>
      <c r="I6" s="142"/>
      <c r="J6" s="57"/>
      <c r="K6" s="57"/>
    </row>
    <row r="7" ht="15" customHeight="1" spans="1:11" x14ac:dyDescent="0.25">
      <c r="A7" s="46" t="s">
        <v>56</v>
      </c>
      <c r="B7" s="46"/>
      <c r="C7" s="53"/>
      <c r="D7" s="53"/>
      <c r="E7" s="53"/>
      <c r="F7" s="53"/>
      <c r="G7" s="140"/>
      <c r="H7" s="141"/>
      <c r="I7" s="142"/>
      <c r="J7" s="57"/>
      <c r="K7" s="57"/>
    </row>
    <row r="8" ht="15" customHeight="1" spans="1:11" x14ac:dyDescent="0.25">
      <c r="A8" s="49" t="s">
        <v>58</v>
      </c>
      <c r="B8" s="49"/>
      <c r="C8" s="49"/>
      <c r="F8" s="47"/>
      <c r="G8" s="140"/>
      <c r="H8" s="141"/>
      <c r="I8" s="142"/>
      <c r="J8" s="57"/>
      <c r="K8" s="57"/>
    </row>
    <row r="9" ht="15" customHeight="1" spans="1:11" x14ac:dyDescent="0.25">
      <c r="A9" s="1" t="s">
        <v>60</v>
      </c>
      <c r="F9" s="47"/>
      <c r="G9" s="140"/>
      <c r="H9" s="141"/>
      <c r="I9" s="142"/>
      <c r="J9" s="57"/>
      <c r="K9" s="57"/>
    </row>
    <row r="10" ht="15" customHeight="1" spans="1:11" x14ac:dyDescent="0.25">
      <c r="A10" s="1" t="s">
        <v>61</v>
      </c>
      <c r="F10" s="47"/>
      <c r="G10" s="140"/>
      <c r="H10" s="141"/>
      <c r="I10" s="142"/>
      <c r="J10" s="57"/>
      <c r="K10" s="57"/>
    </row>
    <row r="11" ht="15" customHeight="1" spans="1:11" x14ac:dyDescent="0.25">
      <c r="A11" s="1" t="s">
        <v>62</v>
      </c>
      <c r="F11" s="47"/>
      <c r="G11" s="140"/>
      <c r="H11" s="141"/>
      <c r="I11" s="142"/>
      <c r="J11" s="63"/>
      <c r="K11" s="63"/>
    </row>
    <row r="12" ht="15" customHeight="1" spans="1:11" x14ac:dyDescent="0.25">
      <c r="A12" s="59" t="s">
        <v>64</v>
      </c>
      <c r="B12" s="61"/>
      <c r="C12" s="59"/>
      <c r="D12" s="59"/>
      <c r="E12" s="59"/>
      <c r="F12" s="62"/>
      <c r="G12" s="140"/>
      <c r="H12" s="141"/>
      <c r="I12" s="142"/>
      <c r="J12" s="63"/>
      <c r="K12" s="63"/>
    </row>
    <row r="13" ht="15" customHeight="1" spans="1:11" x14ac:dyDescent="0.25">
      <c r="A13" s="64" t="s">
        <v>65</v>
      </c>
      <c r="F13" s="47"/>
      <c r="G13" s="140"/>
      <c r="H13" s="141"/>
      <c r="I13" s="142"/>
      <c r="J13" s="63"/>
      <c r="K13" s="63"/>
    </row>
    <row r="14" ht="15" customHeight="1" spans="1:11" x14ac:dyDescent="0.25">
      <c r="A14" s="143" t="s">
        <v>66</v>
      </c>
      <c r="B14" s="143"/>
      <c r="C14" s="143"/>
      <c r="G14" s="140"/>
      <c r="H14" s="141"/>
      <c r="I14" s="142"/>
      <c r="J14" s="63"/>
      <c r="K14" s="63"/>
    </row>
    <row r="15" ht="15" customHeight="1" spans="1:11" x14ac:dyDescent="0.25">
      <c r="A15" s="59"/>
      <c r="B15" s="59"/>
      <c r="C15" s="59"/>
      <c r="D15" s="59"/>
      <c r="E15" s="59"/>
      <c r="F15" s="59"/>
      <c r="G15" s="140"/>
      <c r="H15" s="141"/>
      <c r="I15" s="142"/>
      <c r="J15" s="63"/>
      <c r="K15" s="63"/>
    </row>
    <row r="16" ht="15" customHeight="1" spans="1:11" x14ac:dyDescent="0.25">
      <c r="A16" s="46" t="s">
        <v>67</v>
      </c>
      <c r="B16" s="46"/>
      <c r="C16" s="47"/>
      <c r="D16" s="46" t="s">
        <v>114</v>
      </c>
      <c r="E16" s="46"/>
      <c r="F16" s="46"/>
      <c r="G16" s="140"/>
      <c r="H16" s="141"/>
      <c r="I16" s="142"/>
      <c r="J16" s="63"/>
      <c r="K16" s="63"/>
    </row>
    <row r="17" ht="15" customHeight="1" spans="1:11" x14ac:dyDescent="0.25">
      <c r="A17" s="137"/>
      <c r="C17" s="47"/>
      <c r="D17" s="137"/>
      <c r="E17" s="137"/>
      <c r="G17" s="140"/>
      <c r="H17" s="141"/>
      <c r="I17" s="142"/>
      <c r="J17" s="63"/>
      <c r="K17" s="63"/>
    </row>
    <row r="18" ht="15" customHeight="1" spans="1:11" x14ac:dyDescent="0.25">
      <c r="A18" s="71" t="s">
        <v>69</v>
      </c>
      <c r="B18" s="71"/>
      <c r="C18" s="71"/>
      <c r="D18" s="144" t="s">
        <v>70</v>
      </c>
      <c r="E18" s="144"/>
      <c r="F18" s="144"/>
      <c r="G18" s="140"/>
      <c r="H18" s="141"/>
      <c r="I18" s="142"/>
      <c r="J18" s="63"/>
      <c r="K18" s="63"/>
    </row>
    <row r="19" ht="15" customHeight="1" spans="1:11" x14ac:dyDescent="0.25">
      <c r="A19" s="46" t="s">
        <v>71</v>
      </c>
      <c r="B19" s="46"/>
      <c r="C19" s="47"/>
      <c r="D19" s="46" t="s">
        <v>72</v>
      </c>
      <c r="E19" s="46"/>
      <c r="F19" s="46"/>
      <c r="G19" s="140"/>
      <c r="H19" s="141"/>
      <c r="I19" s="142"/>
      <c r="J19" s="63"/>
      <c r="K19" s="63"/>
    </row>
    <row r="20" ht="15" customHeight="1" spans="3:11" x14ac:dyDescent="0.25">
      <c r="C20" s="47"/>
      <c r="D20" s="145" t="s">
        <v>57</v>
      </c>
      <c r="E20" s="145"/>
      <c r="G20" s="140"/>
      <c r="H20" s="141"/>
      <c r="I20" s="142"/>
      <c r="J20" s="63"/>
      <c r="K20" s="63"/>
    </row>
    <row r="21" ht="15" customHeight="1" spans="1:11" x14ac:dyDescent="0.25">
      <c r="A21" s="71"/>
      <c r="B21" s="71"/>
      <c r="C21" s="71"/>
      <c r="D21" s="74"/>
      <c r="E21" s="74"/>
      <c r="F21" s="74"/>
      <c r="G21" s="146"/>
      <c r="H21" s="59"/>
      <c r="I21" s="147"/>
      <c r="J21" s="148"/>
      <c r="K21" s="148"/>
    </row>
    <row r="22" ht="15" customHeight="1" spans="1:11" x14ac:dyDescent="0.25">
      <c r="A22" s="76" t="s">
        <v>115</v>
      </c>
      <c r="B22" s="76"/>
      <c r="C22" s="76"/>
      <c r="D22" s="77" t="s">
        <v>116</v>
      </c>
      <c r="E22" s="77"/>
      <c r="F22" s="77"/>
      <c r="G22" s="77" t="s">
        <v>117</v>
      </c>
      <c r="H22" s="77"/>
      <c r="I22" s="78" t="s">
        <v>118</v>
      </c>
      <c r="J22" s="78" t="s">
        <v>119</v>
      </c>
      <c r="K22" s="79" t="s">
        <v>120</v>
      </c>
    </row>
    <row r="23" ht="15" customHeight="1" spans="1:10" x14ac:dyDescent="0.25">
      <c r="A23" s="1" t="s">
        <v>57</v>
      </c>
      <c r="C23" s="47"/>
      <c r="G23" s="149"/>
      <c r="H23" s="47"/>
      <c r="I23" s="150" t="s">
        <v>9</v>
      </c>
      <c r="J23" s="150" t="s">
        <v>9</v>
      </c>
    </row>
    <row r="24" ht="15" customHeight="1" spans="1:7" x14ac:dyDescent="0.25">
      <c r="A24" s="1" t="s">
        <v>57</v>
      </c>
      <c r="G24" s="49" t="s">
        <v>78</v>
      </c>
    </row>
    <row r="25" ht="15" customHeight="1" spans="4:11" x14ac:dyDescent="0.25">
      <c r="D25" s="49" t="s">
        <v>121</v>
      </c>
      <c r="E25" s="49"/>
      <c r="G25" s="151">
        <f>=VLOOKUP("TOTAL",P!A:I,7,0)</f>
      </c>
      <c r="H25" s="151"/>
      <c r="I25" s="152">
        <f>='BVT.INV'!I10</f>
      </c>
      <c r="J25" s="153">
        <f>=I25*1.1</f>
      </c>
      <c r="K25" s="83">
        <f>=J25/166</f>
      </c>
    </row>
    <row r="26" ht="15" customHeight="1" spans="4:11" x14ac:dyDescent="0.25">
      <c r="D26" s="154"/>
      <c r="E26" s="154"/>
      <c r="I26" s="155"/>
      <c r="J26" s="85"/>
      <c r="K26" s="85"/>
    </row>
    <row r="27" ht="15" customHeight="1" spans="1:11" x14ac:dyDescent="0.25">
      <c r="A27" s="156" t="s">
        <v>79</v>
      </c>
      <c r="B27" s="156"/>
      <c r="D27" s="69"/>
      <c r="E27" s="69"/>
      <c r="F27" s="157"/>
      <c r="G27" s="69"/>
      <c r="I27" s="155"/>
      <c r="J27" s="85"/>
      <c r="K27" s="85"/>
    </row>
    <row r="28" ht="15" customHeight="1" spans="1:11" x14ac:dyDescent="0.25">
      <c r="A28" s="158" t="s">
        <v>80</v>
      </c>
      <c r="D28" s="49"/>
      <c r="E28" s="69"/>
      <c r="F28" s="157"/>
      <c r="G28" s="69"/>
      <c r="I28" s="155"/>
      <c r="J28" s="85"/>
      <c r="K28" s="85"/>
    </row>
    <row r="29" ht="15" customHeight="1" spans="1:11" x14ac:dyDescent="0.25">
      <c r="A29" s="159"/>
      <c r="D29" s="49" t="s">
        <v>81</v>
      </c>
      <c r="E29" s="49"/>
      <c r="F29" s="49"/>
      <c r="G29" s="69"/>
      <c r="I29" s="85"/>
      <c r="J29" s="85"/>
      <c r="K29" s="85"/>
    </row>
    <row r="30" ht="15" customHeight="1" spans="1:11" x14ac:dyDescent="0.25">
      <c r="A30" s="159" t="s">
        <v>82</v>
      </c>
      <c r="B30" s="159"/>
      <c r="G30" s="69"/>
      <c r="H30" s="88"/>
      <c r="I30" s="85"/>
      <c r="J30" s="153"/>
      <c r="K30" s="83"/>
    </row>
    <row r="31" ht="15" customHeight="1" spans="1:2" x14ac:dyDescent="0.25">
      <c r="A31" s="159" t="s">
        <v>83</v>
      </c>
      <c r="B31" s="160"/>
    </row>
    <row r="32" ht="15" customHeight="1" spans="1:10" x14ac:dyDescent="0.25">
      <c r="A32" s="159" t="s">
        <v>84</v>
      </c>
      <c r="B32" s="160"/>
      <c r="F32" s="159"/>
      <c r="G32" s="87"/>
      <c r="H32" s="88"/>
      <c r="J32" s="85"/>
    </row>
    <row r="33" ht="15" customHeight="1" spans="1:11" x14ac:dyDescent="0.25">
      <c r="A33" s="159" t="s">
        <v>85</v>
      </c>
      <c r="B33" s="160"/>
      <c r="D33" s="161" t="s">
        <v>45</v>
      </c>
      <c r="E33" s="162"/>
      <c r="F33" s="162"/>
      <c r="G33" s="163"/>
      <c r="H33" s="164"/>
      <c r="I33" s="162"/>
      <c r="J33" s="162"/>
      <c r="K33" s="162"/>
    </row>
    <row r="34" ht="15" customHeight="1" spans="6:10" x14ac:dyDescent="0.25">
      <c r="F34" s="49"/>
      <c r="J34" s="85"/>
    </row>
    <row r="35" ht="15" customHeight="1" spans="7:8" x14ac:dyDescent="0.25">
      <c r="G35" s="87"/>
      <c r="H35" s="88"/>
    </row>
    <row r="36" ht="15" customHeight="1" spans="6:10" x14ac:dyDescent="0.25">
      <c r="F36" s="49"/>
      <c r="G36" s="87"/>
      <c r="H36" s="88"/>
      <c r="J36" s="85"/>
    </row>
    <row r="37" ht="15" customHeight="1" x14ac:dyDescent="0.25"/>
    <row r="38" ht="15" customHeight="1" spans="4:7" x14ac:dyDescent="0.25">
      <c r="D38" s="165"/>
      <c r="E38" s="165"/>
      <c r="G38" s="159"/>
    </row>
    <row r="39" ht="15" customHeight="1" spans="4:7" x14ac:dyDescent="0.25">
      <c r="D39" s="165"/>
      <c r="E39" s="165"/>
      <c r="G39" s="159"/>
    </row>
    <row r="40" ht="15" customHeight="1" spans="4:7" x14ac:dyDescent="0.25">
      <c r="D40" s="165"/>
      <c r="E40" s="165"/>
      <c r="G40" s="159"/>
    </row>
    <row r="41" ht="15" customHeight="1" spans="4:7" x14ac:dyDescent="0.25">
      <c r="D41" s="165"/>
      <c r="E41" s="165"/>
      <c r="G41" s="159"/>
    </row>
    <row r="42" ht="15" customHeight="1" spans="4:7" x14ac:dyDescent="0.25">
      <c r="D42" s="165"/>
      <c r="E42" s="165"/>
      <c r="G42" s="159"/>
    </row>
    <row r="43" ht="15" customHeight="1" spans="4:7" x14ac:dyDescent="0.25">
      <c r="D43" s="165"/>
      <c r="E43" s="165"/>
      <c r="G43" s="159"/>
    </row>
    <row r="44" ht="15" customHeight="1" spans="4:7" x14ac:dyDescent="0.25">
      <c r="D44" s="165"/>
      <c r="E44" s="165"/>
      <c r="G44" s="159"/>
    </row>
    <row r="45" ht="15" customHeight="1" spans="4:7" x14ac:dyDescent="0.25">
      <c r="D45" s="165"/>
      <c r="E45" s="165"/>
      <c r="G45" s="159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4" t="s">
        <v>122</v>
      </c>
      <c r="B51" s="64"/>
      <c r="C51" s="64"/>
      <c r="D51" s="64"/>
      <c r="E51" s="64"/>
    </row>
    <row r="52" ht="15" customHeight="1" spans="1:11" x14ac:dyDescent="0.25">
      <c r="A52" s="64" t="s">
        <v>87</v>
      </c>
      <c r="B52" s="64"/>
      <c r="C52" s="64"/>
      <c r="H52" s="96" t="s">
        <v>123</v>
      </c>
      <c r="I52" s="59"/>
      <c r="J52" s="59"/>
      <c r="K52" s="59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6" t="s">
        <v>124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0" x14ac:dyDescent="0.25">
      <c r="A3" s="167" t="s">
        <v>28</v>
      </c>
      <c r="B3" s="167" t="s">
        <v>125</v>
      </c>
      <c r="C3" s="167" t="s">
        <v>29</v>
      </c>
      <c r="D3" s="167" t="s">
        <v>30</v>
      </c>
      <c r="E3" s="167" t="s">
        <v>31</v>
      </c>
      <c r="F3" s="167" t="s">
        <v>32</v>
      </c>
      <c r="G3" s="167" t="s">
        <v>33</v>
      </c>
      <c r="H3" s="167" t="s">
        <v>34</v>
      </c>
      <c r="I3" s="167" t="s">
        <v>35</v>
      </c>
      <c r="J3" s="167" t="s">
        <v>36</v>
      </c>
    </row>
    <row r="4" spans="1:14" x14ac:dyDescent="0.25">
      <c r="A4" s="168" t="s">
        <v>37</v>
      </c>
      <c r="B4" s="168" t="s">
        <v>126</v>
      </c>
      <c r="C4" s="168" t="s">
        <v>13</v>
      </c>
      <c r="D4" s="168" t="s">
        <v>38</v>
      </c>
      <c r="E4" s="168" t="s">
        <v>39</v>
      </c>
      <c r="F4" s="168" t="s">
        <v>14</v>
      </c>
      <c r="G4" s="169">
        <v>27</v>
      </c>
      <c r="H4" s="170">
        <v>3</v>
      </c>
      <c r="I4" s="168" t="s">
        <v>40</v>
      </c>
      <c r="J4" s="168" t="s">
        <v>17</v>
      </c>
      <c r="K4" t="s">
        <v>12</v>
      </c>
      <c r="L4" t="s">
        <v>91</v>
      </c>
    </row>
    <row r="5" spans="1:14" x14ac:dyDescent="0.25">
      <c r="A5" s="171" t="s">
        <v>45</v>
      </c>
      <c r="B5" s="171"/>
      <c r="C5" s="171" t="s">
        <v>46</v>
      </c>
      <c r="D5" s="171"/>
      <c r="E5" s="171"/>
      <c r="F5" s="171"/>
      <c r="G5" s="172">
        <f>=SUM(G4:G4)</f>
      </c>
      <c r="H5" s="173">
        <f>=SUM(H4:H4)</f>
      </c>
      <c r="I5" s="171" t="s">
        <v>17</v>
      </c>
      <c r="J5" s="171" t="s">
        <v>17</v>
      </c>
    </row>
    <row r="7" spans="1:10" x14ac:dyDescent="0.25">
      <c r="A7" s="166" t="s">
        <v>127</v>
      </c>
      <c r="B7" s="166"/>
      <c r="C7" s="166"/>
      <c r="D7" s="166"/>
      <c r="E7" s="166"/>
      <c r="F7" s="166"/>
      <c r="G7" s="166"/>
      <c r="H7" s="166"/>
      <c r="I7" s="166"/>
      <c r="J7" s="166"/>
    </row>
    <row r="8" spans="1:10" x14ac:dyDescent="0.25">
      <c r="A8" s="167" t="s">
        <v>28</v>
      </c>
      <c r="B8" s="167" t="s">
        <v>125</v>
      </c>
      <c r="C8" s="167" t="s">
        <v>29</v>
      </c>
      <c r="D8" s="167" t="s">
        <v>30</v>
      </c>
      <c r="E8" s="167" t="s">
        <v>31</v>
      </c>
      <c r="F8" s="167" t="s">
        <v>32</v>
      </c>
      <c r="G8" s="167" t="s">
        <v>33</v>
      </c>
      <c r="H8" s="167" t="s">
        <v>34</v>
      </c>
      <c r="I8" s="167" t="s">
        <v>35</v>
      </c>
      <c r="J8" s="167" t="s">
        <v>36</v>
      </c>
    </row>
    <row r="9" spans="1:14" x14ac:dyDescent="0.25">
      <c r="A9" s="168" t="s">
        <v>37</v>
      </c>
      <c r="B9" s="168" t="s">
        <v>128</v>
      </c>
      <c r="C9" s="168" t="s">
        <v>18</v>
      </c>
      <c r="D9" s="168" t="s">
        <v>41</v>
      </c>
      <c r="E9" s="168" t="s">
        <v>42</v>
      </c>
      <c r="F9" s="168" t="s">
        <v>14</v>
      </c>
      <c r="G9" s="169">
        <v>1</v>
      </c>
      <c r="H9" s="170">
        <v>1</v>
      </c>
      <c r="I9" s="168" t="s">
        <v>43</v>
      </c>
      <c r="J9" s="168" t="s">
        <v>17</v>
      </c>
      <c r="K9" t="s">
        <v>12</v>
      </c>
      <c r="L9" t="s">
        <v>91</v>
      </c>
    </row>
    <row r="10" spans="1:14" x14ac:dyDescent="0.25">
      <c r="A10" s="168" t="s">
        <v>37</v>
      </c>
      <c r="B10" s="168" t="s">
        <v>129</v>
      </c>
      <c r="C10" s="168" t="s">
        <v>20</v>
      </c>
      <c r="D10" s="168" t="s">
        <v>41</v>
      </c>
      <c r="E10" s="168" t="s">
        <v>42</v>
      </c>
      <c r="F10" s="168" t="s">
        <v>14</v>
      </c>
      <c r="G10" s="169">
        <v>1</v>
      </c>
      <c r="H10" s="170">
        <v>0</v>
      </c>
      <c r="I10" s="168" t="s">
        <v>43</v>
      </c>
      <c r="J10" s="168" t="s">
        <v>17</v>
      </c>
      <c r="K10" t="s">
        <v>19</v>
      </c>
      <c r="L10" t="s">
        <v>92</v>
      </c>
    </row>
    <row r="11" spans="1:14" x14ac:dyDescent="0.25">
      <c r="A11" s="168" t="s">
        <v>37</v>
      </c>
      <c r="B11" s="168" t="s">
        <v>130</v>
      </c>
      <c r="C11" s="168" t="s">
        <v>24</v>
      </c>
      <c r="D11" s="168" t="s">
        <v>41</v>
      </c>
      <c r="E11" s="168" t="s">
        <v>42</v>
      </c>
      <c r="F11" s="168" t="s">
        <v>14</v>
      </c>
      <c r="G11" s="169">
        <v>1</v>
      </c>
      <c r="H11" s="170"/>
      <c r="I11" s="168"/>
      <c r="J11" s="168"/>
      <c r="K11" t="s">
        <v>23</v>
      </c>
      <c r="L11" t="s">
        <v>94</v>
      </c>
    </row>
    <row r="12" spans="1:14" x14ac:dyDescent="0.25">
      <c r="A12" s="168" t="s">
        <v>37</v>
      </c>
      <c r="B12" s="168" t="s">
        <v>131</v>
      </c>
      <c r="C12" s="168" t="s">
        <v>25</v>
      </c>
      <c r="D12" s="168" t="s">
        <v>41</v>
      </c>
      <c r="E12" s="168" t="s">
        <v>42</v>
      </c>
      <c r="F12" s="168" t="s">
        <v>14</v>
      </c>
      <c r="G12" s="169">
        <v>1</v>
      </c>
      <c r="H12" s="170"/>
      <c r="I12" s="168"/>
      <c r="J12" s="168"/>
      <c r="K12" t="s">
        <v>23</v>
      </c>
      <c r="L12" t="s">
        <v>94</v>
      </c>
    </row>
    <row r="13" spans="1:14" x14ac:dyDescent="0.25">
      <c r="A13" s="171" t="s">
        <v>45</v>
      </c>
      <c r="B13" s="171"/>
      <c r="C13" s="171" t="s">
        <v>46</v>
      </c>
      <c r="D13" s="171"/>
      <c r="E13" s="171"/>
      <c r="F13" s="171"/>
      <c r="G13" s="172">
        <f>=SUM(G9:G12)</f>
      </c>
      <c r="H13" s="173">
        <f>=SUM(H9:H12)</f>
      </c>
      <c r="I13" s="171" t="s">
        <v>17</v>
      </c>
      <c r="J13" s="171" t="s">
        <v>17</v>
      </c>
    </row>
    <row r="15" spans="1:10" x14ac:dyDescent="0.25">
      <c r="A15" s="166" t="s">
        <v>132</v>
      </c>
      <c r="B15" s="166"/>
      <c r="C15" s="166"/>
      <c r="D15" s="166"/>
      <c r="E15" s="166"/>
      <c r="F15" s="166"/>
      <c r="G15" s="166"/>
      <c r="H15" s="166"/>
      <c r="I15" s="166"/>
      <c r="J15" s="166"/>
    </row>
    <row r="16" spans="1:10" x14ac:dyDescent="0.25">
      <c r="A16" s="167" t="s">
        <v>28</v>
      </c>
      <c r="B16" s="167" t="s">
        <v>125</v>
      </c>
      <c r="C16" s="167" t="s">
        <v>29</v>
      </c>
      <c r="D16" s="167" t="s">
        <v>30</v>
      </c>
      <c r="E16" s="167" t="s">
        <v>31</v>
      </c>
      <c r="F16" s="167" t="s">
        <v>32</v>
      </c>
      <c r="G16" s="167" t="s">
        <v>33</v>
      </c>
      <c r="H16" s="167" t="s">
        <v>34</v>
      </c>
      <c r="I16" s="167" t="s">
        <v>35</v>
      </c>
      <c r="J16" s="167" t="s">
        <v>36</v>
      </c>
    </row>
    <row r="17" spans="1:14" x14ac:dyDescent="0.25">
      <c r="A17" s="168" t="s">
        <v>37</v>
      </c>
      <c r="B17" s="168" t="s">
        <v>133</v>
      </c>
      <c r="C17" s="168" t="s">
        <v>22</v>
      </c>
      <c r="D17" s="168" t="s">
        <v>41</v>
      </c>
      <c r="E17" s="168" t="s">
        <v>44</v>
      </c>
      <c r="F17" s="168" t="s">
        <v>14</v>
      </c>
      <c r="G17" s="169">
        <v>1</v>
      </c>
      <c r="H17" s="170">
        <v>1</v>
      </c>
      <c r="I17" s="168" t="s">
        <v>43</v>
      </c>
      <c r="J17" s="168" t="s">
        <v>17</v>
      </c>
      <c r="K17" t="s">
        <v>21</v>
      </c>
      <c r="L17" t="s">
        <v>93</v>
      </c>
    </row>
    <row r="18" spans="1:14" x14ac:dyDescent="0.25">
      <c r="A18" s="171" t="s">
        <v>45</v>
      </c>
      <c r="B18" s="171"/>
      <c r="C18" s="171" t="s">
        <v>46</v>
      </c>
      <c r="D18" s="171"/>
      <c r="E18" s="171"/>
      <c r="F18" s="171"/>
      <c r="G18" s="172">
        <f>=SUM(G17:G17)</f>
      </c>
      <c r="H18" s="173">
        <f>=SUM(H17:H17)</f>
      </c>
      <c r="I18" s="171" t="s">
        <v>17</v>
      </c>
      <c r="J18" s="171" t="s">
        <v>17</v>
      </c>
    </row>
  </sheetData>
  <mergeCells count="6">
    <mergeCell ref="A2:J2"/>
    <mergeCell ref="A7:J7"/>
    <mergeCell ref="H10:H12"/>
    <mergeCell ref="I10:I12"/>
    <mergeCell ref="J10:J12"/>
    <mergeCell ref="A15:J15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G24" sqref="G24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5" t="s">
        <v>134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ht="15" customHeight="1" spans="1:11" x14ac:dyDescent="0.25">
      <c r="A2" s="46" t="s">
        <v>48</v>
      </c>
      <c r="B2" s="46"/>
      <c r="C2" s="46"/>
      <c r="D2" s="53"/>
      <c r="E2" s="53"/>
      <c r="F2" s="55"/>
      <c r="G2" s="48" t="s">
        <v>49</v>
      </c>
      <c r="H2" s="46"/>
      <c r="I2" s="46"/>
      <c r="J2" s="53"/>
      <c r="K2" s="53"/>
    </row>
    <row r="3" ht="15" customHeight="1" spans="1:11" x14ac:dyDescent="0.25">
      <c r="A3" s="49" t="s">
        <v>50</v>
      </c>
      <c r="B3" s="49"/>
      <c r="C3" s="49"/>
      <c r="D3" s="49"/>
      <c r="E3" s="49"/>
      <c r="F3" s="47"/>
      <c r="G3" s="3"/>
      <c r="J3" s="3"/>
      <c r="K3" s="50"/>
    </row>
    <row r="4" ht="15" customHeight="1" spans="1:11" x14ac:dyDescent="0.25">
      <c r="A4" s="1" t="s">
        <v>51</v>
      </c>
      <c r="F4" s="47"/>
      <c r="G4" s="51" t="s">
        <v>52</v>
      </c>
      <c r="J4" s="52"/>
      <c r="K4" s="52">
        <v>46108.625</v>
      </c>
    </row>
    <row r="5" ht="15" customHeight="1" spans="1:9" x14ac:dyDescent="0.25">
      <c r="A5" s="1" t="s">
        <v>53</v>
      </c>
      <c r="F5" s="47"/>
      <c r="G5" s="48" t="s">
        <v>54</v>
      </c>
      <c r="H5" s="46"/>
      <c r="I5" s="53"/>
    </row>
    <row r="6" ht="15" customHeight="1" spans="1:11" x14ac:dyDescent="0.25">
      <c r="A6" s="1" t="s">
        <v>55</v>
      </c>
      <c r="F6" s="47"/>
      <c r="G6" s="3"/>
      <c r="H6" s="3"/>
      <c r="I6" s="3"/>
      <c r="J6" s="3"/>
      <c r="K6" s="54"/>
    </row>
    <row r="7" ht="15" customHeight="1" spans="1:11" x14ac:dyDescent="0.25">
      <c r="A7" s="46" t="s">
        <v>56</v>
      </c>
      <c r="B7" s="46"/>
      <c r="C7" s="53"/>
      <c r="D7" s="53"/>
      <c r="E7" s="53"/>
      <c r="F7" s="55"/>
      <c r="H7" s="49"/>
      <c r="I7" s="49"/>
      <c r="J7" s="56" t="s">
        <v>57</v>
      </c>
      <c r="K7" s="57"/>
    </row>
    <row r="8" ht="15" customHeight="1" spans="1:11" x14ac:dyDescent="0.25">
      <c r="A8" s="49" t="s">
        <v>58</v>
      </c>
      <c r="B8" s="49"/>
      <c r="C8" s="49"/>
      <c r="F8" s="47"/>
      <c r="G8" s="48" t="s">
        <v>59</v>
      </c>
      <c r="H8" s="46"/>
      <c r="I8" s="46"/>
      <c r="J8" s="53"/>
      <c r="K8" s="58"/>
    </row>
    <row r="9" ht="15" customHeight="1" spans="1:11" x14ac:dyDescent="0.25">
      <c r="A9" s="1" t="s">
        <v>60</v>
      </c>
      <c r="F9" s="47"/>
      <c r="G9" s="1" t="s">
        <v>57</v>
      </c>
      <c r="K9" s="57"/>
    </row>
    <row r="10" ht="15" customHeight="1" spans="1:11" x14ac:dyDescent="0.25">
      <c r="A10" s="1" t="s">
        <v>61</v>
      </c>
      <c r="F10" s="47"/>
      <c r="G10" s="59" t="s">
        <v>57</v>
      </c>
      <c r="H10" s="59"/>
      <c r="I10" s="59"/>
      <c r="J10" s="59"/>
      <c r="K10" s="57"/>
    </row>
    <row r="11" ht="15" customHeight="1" spans="1:11" x14ac:dyDescent="0.25">
      <c r="A11" s="1" t="s">
        <v>62</v>
      </c>
      <c r="F11" s="47"/>
      <c r="G11" s="48" t="s">
        <v>63</v>
      </c>
      <c r="H11" s="46"/>
      <c r="K11" s="60"/>
    </row>
    <row r="12" ht="15" customHeight="1" spans="1:11" x14ac:dyDescent="0.25">
      <c r="A12" s="59" t="s">
        <v>64</v>
      </c>
      <c r="B12" s="61"/>
      <c r="C12" s="59"/>
      <c r="D12" s="59"/>
      <c r="E12" s="59"/>
      <c r="F12" s="62"/>
      <c r="G12" s="3"/>
      <c r="K12" s="63"/>
    </row>
    <row r="13" ht="15" customHeight="1" spans="1:11" x14ac:dyDescent="0.25">
      <c r="A13" s="64" t="s">
        <v>65</v>
      </c>
      <c r="F13" s="47"/>
      <c r="G13" s="3"/>
      <c r="I13" s="65" t="s">
        <v>135</v>
      </c>
      <c r="J13" s="174">
        <f>=1500/1005*J29</f>
      </c>
      <c r="K13" s="63"/>
    </row>
    <row r="14" ht="15" customHeight="1" spans="1:11" x14ac:dyDescent="0.25">
      <c r="A14" s="67" t="s">
        <v>66</v>
      </c>
      <c r="B14" s="67"/>
      <c r="F14" s="47"/>
      <c r="I14" s="65" t="s">
        <v>136</v>
      </c>
      <c r="J14" s="175">
        <f>=J29*1.1*0.026%</f>
      </c>
      <c r="K14" s="63"/>
    </row>
    <row r="15" ht="15" customHeight="1" spans="6:11" x14ac:dyDescent="0.25">
      <c r="F15" s="47"/>
      <c r="H15" s="49"/>
      <c r="I15" s="176" t="s">
        <v>137</v>
      </c>
      <c r="K15" s="63"/>
    </row>
    <row r="16" ht="15" customHeight="1" spans="1:11" x14ac:dyDescent="0.25">
      <c r="A16" s="46" t="s">
        <v>67</v>
      </c>
      <c r="B16" s="46"/>
      <c r="C16" s="55"/>
      <c r="D16" s="46" t="s">
        <v>138</v>
      </c>
      <c r="E16" s="46"/>
      <c r="F16" s="68"/>
      <c r="G16" s="3"/>
      <c r="H16" s="65" t="s">
        <v>139</v>
      </c>
      <c r="I16" s="69">
        <v>5</v>
      </c>
      <c r="J16" s="49" t="s">
        <v>140</v>
      </c>
      <c r="K16" s="63"/>
    </row>
    <row r="17" ht="15" customHeight="1" spans="4:11" x14ac:dyDescent="0.25">
      <c r="D17" s="70" t="s">
        <v>57</v>
      </c>
      <c r="E17" s="51"/>
      <c r="F17" s="47"/>
      <c r="H17" s="65" t="s">
        <v>141</v>
      </c>
      <c r="I17" s="177">
        <v>NaN</v>
      </c>
      <c r="J17" s="49" t="s">
        <v>142</v>
      </c>
      <c r="K17" s="63"/>
    </row>
    <row r="18" ht="15" customHeight="1" spans="1:11" x14ac:dyDescent="0.25">
      <c r="A18" s="71" t="s">
        <v>69</v>
      </c>
      <c r="B18" s="71"/>
      <c r="C18" s="71"/>
      <c r="D18" s="72" t="s">
        <v>70</v>
      </c>
      <c r="E18" s="72"/>
      <c r="F18" s="72"/>
      <c r="H18" s="65" t="s">
        <v>143</v>
      </c>
      <c r="I18" s="177">
        <v>NaN</v>
      </c>
      <c r="J18" s="49" t="s">
        <v>142</v>
      </c>
      <c r="K18" s="63"/>
    </row>
    <row r="19" ht="15" customHeight="1" spans="1:11" x14ac:dyDescent="0.25">
      <c r="A19" s="46" t="s">
        <v>71</v>
      </c>
      <c r="B19" s="46"/>
      <c r="C19" s="47"/>
      <c r="D19" s="46" t="s">
        <v>72</v>
      </c>
      <c r="E19" s="46"/>
      <c r="F19" s="68"/>
      <c r="K19" s="63"/>
    </row>
    <row r="20" ht="15" customHeight="1" spans="1:11" x14ac:dyDescent="0.25">
      <c r="A20" s="1" t="s">
        <v>57</v>
      </c>
      <c r="C20" s="47"/>
      <c r="D20" s="1" t="s">
        <v>57</v>
      </c>
      <c r="F20" s="47"/>
      <c r="G20" s="1" t="s">
        <v>57</v>
      </c>
      <c r="K20" s="63"/>
    </row>
    <row r="21" ht="15" customHeight="1" spans="1:11" x14ac:dyDescent="0.25">
      <c r="A21" s="73"/>
      <c r="B21" s="73"/>
      <c r="C21" s="73"/>
      <c r="D21" s="74"/>
      <c r="E21" s="74"/>
      <c r="F21" s="74"/>
      <c r="G21" s="59"/>
      <c r="H21" s="59"/>
      <c r="I21" s="59"/>
      <c r="J21" s="59"/>
      <c r="K21" s="75"/>
    </row>
    <row r="22" ht="15" customHeight="1" spans="1:11" x14ac:dyDescent="0.25">
      <c r="A22" s="76" t="s">
        <v>73</v>
      </c>
      <c r="B22" s="76"/>
      <c r="C22" s="76"/>
      <c r="D22" s="77" t="s">
        <v>74</v>
      </c>
      <c r="E22" s="77"/>
      <c r="F22" s="77"/>
      <c r="G22" s="77" t="s">
        <v>75</v>
      </c>
      <c r="H22" s="77"/>
      <c r="I22" s="78" t="s">
        <v>76</v>
      </c>
      <c r="J22" s="79" t="s">
        <v>77</v>
      </c>
      <c r="K22" s="80"/>
    </row>
    <row r="23" ht="15" customHeight="1" spans="1:9" x14ac:dyDescent="0.25">
      <c r="A23" s="1" t="s">
        <v>57</v>
      </c>
      <c r="C23" s="47"/>
      <c r="F23" s="47"/>
      <c r="H23" s="47"/>
      <c r="I23" s="47"/>
    </row>
    <row r="24" ht="15" customHeight="1" spans="1:9" x14ac:dyDescent="0.25">
      <c r="A24" s="1" t="s">
        <v>57</v>
      </c>
      <c r="G24" s="178" t="s">
        <v>78</v>
      </c>
      <c r="H24" s="81"/>
      <c r="I24" s="81"/>
    </row>
    <row r="25" ht="15" customHeight="1" spans="1:11" x14ac:dyDescent="0.25">
      <c r="A25" s="82"/>
      <c r="C25" s="3"/>
      <c r="F25" s="3"/>
      <c r="G25" s="3"/>
      <c r="H25" s="3"/>
      <c r="I25" s="3"/>
      <c r="J25" s="3"/>
      <c r="K25" s="83"/>
    </row>
    <row r="26" ht="15" customHeight="1" spans="1:11" x14ac:dyDescent="0.25">
      <c r="A26" s="84"/>
      <c r="C26" s="3"/>
      <c r="D26" s="158"/>
      <c r="E26" s="158"/>
      <c r="F26" s="158"/>
      <c r="G26" s="158"/>
      <c r="H26" s="158"/>
      <c r="I26" s="158"/>
      <c r="J26" s="158"/>
      <c r="K26" s="85"/>
    </row>
    <row r="27" ht="15" customHeight="1" spans="1:11" x14ac:dyDescent="0.25">
      <c r="A27" s="86"/>
      <c r="D27" s="27"/>
      <c r="E27" s="3"/>
      <c r="F27" s="179"/>
      <c r="G27" s="179"/>
      <c r="H27" s="180"/>
      <c r="I27" s="181"/>
      <c r="J27" s="182"/>
      <c r="K27" s="85"/>
    </row>
    <row r="28" ht="15" customHeight="1" spans="1:11" x14ac:dyDescent="0.25">
      <c r="A28" s="86"/>
      <c r="D28" s="27"/>
      <c r="E28" s="3"/>
      <c r="F28" s="179"/>
      <c r="G28" s="179"/>
      <c r="H28" s="180"/>
      <c r="I28" s="181"/>
      <c r="J28" s="182"/>
      <c r="K28" s="85"/>
    </row>
    <row r="29" ht="15" customHeight="1" spans="1:10" x14ac:dyDescent="0.25">
      <c r="A29" s="86"/>
      <c r="B29" s="87"/>
      <c r="C29" s="3"/>
      <c r="D29" s="161" t="s">
        <v>45</v>
      </c>
      <c r="E29" s="161"/>
      <c r="F29" s="161"/>
      <c r="G29" s="183"/>
      <c r="H29" s="184"/>
      <c r="I29" s="185"/>
      <c r="J29" s="186">
        <f>'STS.INVOICE'!G10</f>
      </c>
    </row>
    <row r="30" ht="15" customHeight="1" spans="2:10" x14ac:dyDescent="0.25">
      <c r="B30" s="87"/>
      <c r="F30" s="3"/>
      <c r="G30" s="87"/>
      <c r="H30" s="88"/>
      <c r="I30" s="89"/>
      <c r="J30" s="95"/>
    </row>
    <row r="31" ht="15" customHeight="1" spans="2:10" x14ac:dyDescent="0.25">
      <c r="B31" s="87"/>
      <c r="F31" s="160"/>
      <c r="G31" s="87"/>
      <c r="H31" s="88"/>
      <c r="I31" s="89"/>
      <c r="J31" s="90"/>
    </row>
    <row r="32" ht="15" customHeight="1" spans="2:10" x14ac:dyDescent="0.25">
      <c r="B32" s="87"/>
      <c r="F32" s="160"/>
      <c r="G32" s="87"/>
      <c r="H32" s="88"/>
      <c r="I32" s="89"/>
      <c r="J32" s="90"/>
    </row>
    <row r="33" ht="15" customHeight="1" spans="6:8" x14ac:dyDescent="0.25">
      <c r="F33" s="160"/>
      <c r="G33" s="87"/>
      <c r="H33" s="88"/>
    </row>
    <row r="34" ht="15" customHeight="1" spans="6:10" x14ac:dyDescent="0.25">
      <c r="F34" s="160"/>
      <c r="G34" s="87"/>
      <c r="H34" s="88"/>
      <c r="J34" s="85"/>
    </row>
    <row r="35" ht="15" customHeight="1" spans="6:6" x14ac:dyDescent="0.25">
      <c r="F35" s="160"/>
    </row>
    <row r="36" ht="15" customHeight="1" spans="4:7" x14ac:dyDescent="0.25">
      <c r="D36" s="165"/>
      <c r="E36" s="165"/>
      <c r="F36" s="160"/>
      <c r="G36" s="159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4" t="s">
        <v>86</v>
      </c>
      <c r="B42" s="64"/>
      <c r="C42" s="64"/>
      <c r="D42" s="64"/>
      <c r="E42" s="64"/>
      <c r="F42" s="64"/>
    </row>
    <row r="43" ht="15" customHeight="1" spans="1:11" x14ac:dyDescent="0.25">
      <c r="A43" s="64" t="s">
        <v>87</v>
      </c>
      <c r="B43" s="64"/>
      <c r="C43" s="64"/>
      <c r="H43" s="96" t="s">
        <v>88</v>
      </c>
      <c r="I43" s="59"/>
      <c r="J43" s="59"/>
      <c r="K43" s="59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47</cp:revision>
  <dcterms:created xsi:type="dcterms:W3CDTF">2019-04-25T08:40:03Z</dcterms:created>
  <dcterms:modified xsi:type="dcterms:W3CDTF">2026-03-23T13:24:05Z</dcterms:modified>
</cp:coreProperties>
</file>