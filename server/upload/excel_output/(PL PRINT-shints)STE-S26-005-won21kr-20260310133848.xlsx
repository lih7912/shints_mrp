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<sst xmlns="http://schemas.openxmlformats.org/spreadsheetml/2006/main" count="6201" uniqueCount="469">
  <si>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</si>
  <si>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</si>
  <si>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</si>
  <si>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</si>
  <si>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</si>
  <si>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</si>
  <si>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</si>
  <si>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</si>
  <si>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</si>
  <si>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</si>
  <si>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</si>
  <si>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</si>
  <si>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6005.35.0000</t>
  </si>
  <si>
    <t>DH-184 BRUSHED TRICOT</t>
  </si>
  <si>
    <t>YD</t>
  </si>
  <si>
    <t>Korea</t>
  </si>
  <si>
    <t>kg</t>
  </si>
  <si>
    <t>58/60"</t>
  </si>
  <si>
    <t>POLYESTER 100%</t>
  </si>
  <si>
    <t>6005.37.0000</t>
  </si>
  <si>
    <t>DH-190-22 (2:2 AIR MESH)</t>
  </si>
  <si>
    <t/>
  </si>
  <si>
    <t>5603.93-0000</t>
  </si>
  <si>
    <t>WARM LITE WA-70</t>
  </si>
  <si>
    <t>KG</t>
  </si>
  <si>
    <t>4821.10-0000</t>
  </si>
  <si>
    <t>(MPHG025)(HTG LAYER CL-LP) LASPORTIVA LAYER HANGTAG CLIMBING LAYERS</t>
  </si>
  <si>
    <t>PC</t>
  </si>
  <si>
    <t>(MPHG030)(HTG LINE CL) LASPORTIVA LINE HANGTAG CLIMBING</t>
  </si>
  <si>
    <t>(MPHG138) Disclaimer leaflet</t>
  </si>
  <si>
    <t xml:space="preserve">3923.50-0000 </t>
  </si>
  <si>
    <t>1 HOLE STOPPER</t>
  </si>
  <si>
    <t>2 HOLE STOPPER</t>
  </si>
  <si>
    <t>BEAD STOPPER</t>
  </si>
  <si>
    <t>5806.32-0000</t>
  </si>
  <si>
    <t>CQR NECK TAPE</t>
  </si>
  <si>
    <t>6117.80-9000</t>
  </si>
  <si>
    <t>ELASTIC BIAS TAPE</t>
  </si>
  <si>
    <t>5607.50-0000</t>
  </si>
  <si>
    <t>ELASTIC NYLON STRING</t>
  </si>
  <si>
    <t>ELASTIC NYLON STRING 2MM</t>
  </si>
  <si>
    <t>M</t>
  </si>
  <si>
    <t>8308.10-2000</t>
  </si>
  <si>
    <t xml:space="preserve">EYELET(N) </t>
  </si>
  <si>
    <t>SET</t>
  </si>
  <si>
    <t>5601.22-0000</t>
  </si>
  <si>
    <t>FIBERBALL WB300</t>
  </si>
  <si>
    <t>MUSINSA GUARANTEE TAG</t>
  </si>
  <si>
    <t>MUSINSA HANG TAG</t>
  </si>
  <si>
    <t>5807.10-1000</t>
  </si>
  <si>
    <t>MUSINSA MAIN LABEL</t>
  </si>
  <si>
    <t>O-RING BEAD STOPPER</t>
  </si>
  <si>
    <t>3926.20-0000</t>
  </si>
  <si>
    <t>PLASTIC EYELET(N)</t>
  </si>
  <si>
    <t>SIZE STICKER ROUND</t>
  </si>
  <si>
    <t>STOPPER</t>
  </si>
  <si>
    <t>STOPPER WITH TAB</t>
  </si>
  <si>
    <t>STOPPER WITH TAPE HOLE</t>
  </si>
  <si>
    <t>3926.90-3000</t>
  </si>
  <si>
    <t>TAG PIN</t>
  </si>
  <si>
    <t>9606.10-0000</t>
  </si>
  <si>
    <t>VELCRO HOOK</t>
  </si>
  <si>
    <t>VELCRO LOOP</t>
  </si>
  <si>
    <t>WOOL ELASTIC BIAS TAPE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</si>
  <si>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</si>
  <si>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</si>
  <si>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</si>
  <si>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</si>
  <si>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</si>
  <si>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</si>
  <si>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</si>
  <si>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</si>
  <si>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</si>
  <si>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</si>
  <si>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</si>
  <si>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(TL)태광엘앤티</t>
  </si>
  <si>
    <t>BLACK</t>
  </si>
  <si>
    <t>MSTG-02-B 품질보증택 (NEW from 26SS)</t>
  </si>
  <si>
    <t>box-20260303</t>
  </si>
  <si>
    <t>EO26-0014/EO26-0015/EO26-0016/EO26-0017/EO26-0018/EO26-0019/EO26-0021/EO26-0022/EO26-0020/EO26-0053 MIXED BOX</t>
  </si>
  <si>
    <t>MSTG-02-A</t>
  </si>
  <si>
    <t>BLACK/WHITE</t>
  </si>
  <si>
    <t>25MM / SIZE 2XL</t>
  </si>
  <si>
    <t>25MM / SIZE S</t>
  </si>
  <si>
    <t>25MM / SIZE XL</t>
  </si>
  <si>
    <t>25MM / SIZE M</t>
  </si>
  <si>
    <t>25MM / SIZE L</t>
  </si>
  <si>
    <t>택고리무지락검정</t>
  </si>
  <si>
    <t>XS, MSS-LB-02 (NEW from 26SS) 끼워박는 라벨</t>
  </si>
  <si>
    <t>2XL, MSS-LB-02 (NEW from 26SS) 끼워박는 라벨</t>
  </si>
  <si>
    <t>S, MSS-LB-02 (NEW from 26SS) 끼워박는 라벨</t>
  </si>
  <si>
    <t>XL, MSS-LB-02 (NEW from 26SS) 끼워박는 라벨</t>
  </si>
  <si>
    <t>M, MSS-LB-02 (NEW from 26SS) 끼워박는 라벨</t>
  </si>
  <si>
    <t>L, MSS-LB-02 (NEW from 26SS) 끼워박는 라벨</t>
  </si>
  <si>
    <t>25MM / SIZE XS</t>
  </si>
  <si>
    <t>IMPORT-K(CMS GLOBAL)</t>
  </si>
  <si>
    <t>HEATHER DARK GREY(=CHARCOAL)</t>
  </si>
  <si>
    <t>3MM</t>
  </si>
  <si>
    <t>box-20260310</t>
  </si>
  <si>
    <t>EO26-0003/EO26-0004 MIXED BOX</t>
  </si>
  <si>
    <t>SOIL GREEN(=ARMY GREEN)</t>
  </si>
  <si>
    <t>OPERATOR NAVY</t>
  </si>
  <si>
    <t>COYOTE</t>
  </si>
  <si>
    <t>BLK</t>
  </si>
  <si>
    <t>MATTE BLACK NICKEL</t>
  </si>
  <si>
    <t xml:space="preserve">#3 (INNER HOLE 6MM)(+1WASHER) </t>
  </si>
  <si>
    <t>CMS-298</t>
  </si>
  <si>
    <t>CMS-375</t>
  </si>
  <si>
    <t>UTILITY CAMO</t>
  </si>
  <si>
    <t>WINTER HUNTING CAMO</t>
  </si>
  <si>
    <t>HUNTING CAMO</t>
  </si>
  <si>
    <t>DGR</t>
  </si>
  <si>
    <t>MSS-BE-01(=CMS-360 눈물비드)</t>
  </si>
  <si>
    <t>EO26-0022/EO26-0021/EO26-0020/EO26-0019/EO26-0018/EO26-0017/EO26-0016/EO26-0015/EO26-0014/EO26-0053 MIXED BOX</t>
  </si>
  <si>
    <t>DUE</t>
  </si>
  <si>
    <t>LGR</t>
  </si>
  <si>
    <t>MSS-ST-01 (맥주컵 스토퍼)</t>
  </si>
  <si>
    <t>20MM 울접밴드</t>
  </si>
  <si>
    <t>MSS-ST-07</t>
  </si>
  <si>
    <t>MSS-ST-02</t>
  </si>
  <si>
    <t>MSS-BE-03(=CMS-059 콩알링)</t>
  </si>
  <si>
    <t>#2 (외경8.5MM/내경 4.5MM)(+clear washer 1pc)</t>
  </si>
  <si>
    <t>PYW(=PYE)</t>
  </si>
  <si>
    <t>#3 (외경10.5MM/내경 6.5MM)(+clear washer 1pc)</t>
  </si>
  <si>
    <t>#2 (외경8.5MM/내경 4.5MM)</t>
  </si>
  <si>
    <t>12본</t>
  </si>
  <si>
    <t>BLK+3M DOT</t>
  </si>
  <si>
    <t>2MM 12본</t>
  </si>
  <si>
    <t>2 CM X 5 CM (고급형, 각진 라운드)</t>
  </si>
  <si>
    <t>1.8 CM X 5 CM (고급형, 각진 라운드)</t>
  </si>
  <si>
    <t>2 CM X 14 CM (고급형, 각진 라운드)</t>
  </si>
  <si>
    <t>MSS-ST-10</t>
  </si>
  <si>
    <t>IMPORT-K(DAEHAN FABRIC)</t>
  </si>
  <si>
    <t>LGR(7M5791)</t>
  </si>
  <si>
    <t>EO26-0017/EO26-0016/EO26-0015/EO26-0019 MIXED BOX</t>
  </si>
  <si>
    <t>LGR(7M2210)</t>
  </si>
  <si>
    <t>LPU(7M5768)</t>
  </si>
  <si>
    <t>IMPORT-K(DAERIM LND)</t>
  </si>
  <si>
    <t>10MM</t>
  </si>
  <si>
    <t>box-20260228</t>
  </si>
  <si>
    <t>EO26-0024/EO26-0025/EO26-0026/EO26-0027 MIXED BOX</t>
  </si>
  <si>
    <t>19-2816TPG BLACKBERRY WINE (YKK#254)</t>
  </si>
  <si>
    <t>EO25-0278/EO26-0041 MIXED BOX</t>
  </si>
  <si>
    <t>10 MM</t>
  </si>
  <si>
    <t>20MM</t>
  </si>
  <si>
    <t>16-4411TPG TOURMALINE (YKK#575)</t>
  </si>
  <si>
    <t>16-1451TPG NASTURTIUM (YKK#138)</t>
  </si>
  <si>
    <t>19-4112TPG STRATIFIED SEA (YKK#075)</t>
  </si>
  <si>
    <t>11-4301TPG LILY WHITE (YKK#841)</t>
  </si>
  <si>
    <t>19-0413TPG DEEP DEPTHS (YKK#237)</t>
  </si>
  <si>
    <t>14-3710TPG ORCHID PETAL (YKK#068)</t>
  </si>
  <si>
    <t>URBAN CHIC(19-5004 TPX)(YKK#979)</t>
  </si>
  <si>
    <t>IMPORT-K(K.VILENE)(바이린)</t>
  </si>
  <si>
    <t>WHITE</t>
  </si>
  <si>
    <t>box-20260305</t>
  </si>
  <si>
    <t>EO26-0015/EO26-0016/EO26-0017/EO26-0018/EO26-0019 MIXED BOX</t>
  </si>
  <si>
    <t>IMPORT-K(NEXON PRINTING)</t>
  </si>
  <si>
    <t>-</t>
  </si>
  <si>
    <t>4x8CM,CLIMBING LONG PANTS</t>
  </si>
  <si>
    <t>box-20260304</t>
  </si>
  <si>
    <t>4x8CM,LINE HANGTAG CLIMBING + CLIMBING TRAINING + CLIMBING PRO</t>
  </si>
  <si>
    <t>?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</si>
  <si>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</si>
  <si>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</si>
  <si>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</si>
  <si>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</si>
  <si>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</si>
  <si>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</si>
  <si>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</si>
  <si>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STE-S26-005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</si>
  <si>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</si>
  <si>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</si>
  <si>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</si>
  <si>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</si>
  <si>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</si>
  <si>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ETP GARMENT PLC  TIN:0040614058</t>
  </si>
  <si>
    <t>10) L/C issuing bank</t>
  </si>
  <si>
    <t>BOLE LEMI INDUSTRY PARK, BOLE LEMI,</t>
  </si>
  <si>
    <t>BOLE SUB-CITY, WOREDA 11, ADDIS ABABA, ETHIOPIA</t>
  </si>
  <si>
    <t>TEL :+251 118 29 83 07 FAX :+251 92 058 0957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</si>
  <si>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</si>
  <si>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</si>
  <si>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</si>
  <si>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</si>
  <si>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</si>
  <si>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</si>
  <si>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</si>
  <si>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ADDIS ABABA, ETHIOPIA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</si>
  <si>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</si>
  <si>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</si>
  <si>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</si>
  <si>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</si>
  <si>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</si>
  <si>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</si>
  <si>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</si>
  <si>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(CIF ADDIS ABABA, ETHIOIA)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</si>
  <si>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</si>
  <si>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</si>
  <si>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</si>
  <si>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</si>
  <si>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</si>
  <si>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</si>
  <si>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</si>
  <si>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</si>
  <si>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</si>
  <si>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</si>
  <si>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</si>
  <si>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</si>
  <si>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TS-0258(MICRO BRUSHED)</t>
  </si>
  <si>
    <t>AIR MESH</t>
  </si>
  <si>
    <t>EXKIN PADDING(100G)</t>
  </si>
  <si>
    <t>HANG TAG</t>
  </si>
  <si>
    <t>PLASTIC STOPPER</t>
  </si>
  <si>
    <t>WOVEN TAPE</t>
  </si>
  <si>
    <t>STRING</t>
  </si>
  <si>
    <t>METAL EYELET</t>
  </si>
  <si>
    <t>BALL PADDING</t>
  </si>
  <si>
    <t>WOVEN LABEL</t>
  </si>
  <si>
    <t>PLASTIC ACCESSORY FOR GARMENTS</t>
  </si>
  <si>
    <t>STICKER</t>
  </si>
  <si>
    <t>TAG LOOP</t>
  </si>
  <si>
    <t>VELCRO TAPE</t>
  </si>
  <si>
    <t>PROFORMA INVOICE FOR EO25-0248MY</t>
  </si>
  <si>
    <t>No.</t>
  </si>
  <si>
    <t>ORDER No.</t>
  </si>
  <si>
    <t>STYLE</t>
  </si>
  <si>
    <t>QUANTITY</t>
  </si>
  <si>
    <t>DELIVERY</t>
  </si>
  <si>
    <t>MY25ED0243</t>
  </si>
  <si>
    <t>CQ-TOK002 POLO SHIRT (안은지)</t>
  </si>
  <si>
    <t>MY25ED0252</t>
  </si>
  <si>
    <t>HS No</t>
  </si>
  <si>
    <t>Hs Name</t>
  </si>
  <si>
    <t>PROFORMA INVOICE FOR EO25-0249MY</t>
  </si>
  <si>
    <t>MY25ED0249</t>
  </si>
  <si>
    <t>CQ-TOS101 INTERLOCK MESH CREWNECK SHIRT (안은지)</t>
  </si>
  <si>
    <t>MY25ED0250</t>
  </si>
  <si>
    <t>MY25ED0251</t>
  </si>
  <si>
    <t>PROFORMA INVOICE FOR EO25-0250MY</t>
  </si>
  <si>
    <t>MY25ED0246</t>
  </si>
  <si>
    <t>CQ-TOS120 INTERLOCK MESH(안은지)</t>
  </si>
  <si>
    <t>MY25ED0248</t>
  </si>
  <si>
    <t>CQ-TOS121 INTERLOCK MESH(안은지)</t>
  </si>
  <si>
    <t>PROFORMA INVOICE FOR EO25-0251MY</t>
  </si>
  <si>
    <t>MY25ED0244</t>
  </si>
  <si>
    <t>CQ-TOS130 INTERLOCK MESH(안은지)</t>
  </si>
  <si>
    <t>PROFORMA INVOICE FOR EO25-0252MY</t>
  </si>
  <si>
    <t>MY25ED0245</t>
  </si>
  <si>
    <t>CQ-TOK004 POLO SHIRT (안은지)</t>
  </si>
  <si>
    <t>PROFORMA INVOICE FOR EO25-0267MY</t>
  </si>
  <si>
    <t>MY25ED0260</t>
  </si>
  <si>
    <t>CQ-TOK100 INTERLOCK MESH(안은지)</t>
  </si>
  <si>
    <t>PROFORMA INVOICE FOR EO25-0278TR</t>
  </si>
  <si>
    <t>TR25ED0141</t>
  </si>
  <si>
    <t>CHAQUETA CAUBERG (WI26 BULK)</t>
  </si>
  <si>
    <t>TR25ED0139</t>
  </si>
  <si>
    <t>CHAQUETA LIENA V02 (WI26 BULK)</t>
  </si>
  <si>
    <t>TR25ED0137</t>
  </si>
  <si>
    <t>CHAQUETA RIPON V02 (WI26 BULK)</t>
  </si>
  <si>
    <t>TR25ED0142</t>
  </si>
  <si>
    <t>CHAQUETA VAALS (WI26 BULK)</t>
  </si>
  <si>
    <t>TR25ED0144</t>
  </si>
  <si>
    <t>HOODIE KURA V02 (WI26 BULK)</t>
  </si>
  <si>
    <t>TR25ED0143</t>
  </si>
  <si>
    <t>JACKET OBY V02 (WI26 BULK)</t>
  </si>
  <si>
    <t>TR25ED0135</t>
  </si>
  <si>
    <t>SUDADERA BARLU (WI26 BULK)</t>
  </si>
  <si>
    <t>TR25ED0136</t>
  </si>
  <si>
    <t>SUDADERA BEDUK (WI26 BULK)</t>
  </si>
  <si>
    <t>TR25ED0138</t>
  </si>
  <si>
    <t>SUDADERA LOGIN V02 (WI26 BULK)</t>
  </si>
  <si>
    <t>TR25ED0140</t>
  </si>
  <si>
    <t>SUDADERA POPPI V02 (WI26 BULK)</t>
  </si>
  <si>
    <t>5806.20-0000</t>
  </si>
  <si>
    <t>ELASTIC BAND</t>
  </si>
  <si>
    <t>PROFORMA INVOICE FOR EO26-0003MY</t>
  </si>
  <si>
    <t>MY26ED0005</t>
  </si>
  <si>
    <t>CQ-HOK809 PLAIN SOFTSHELL JTK (이승연)</t>
  </si>
  <si>
    <t>PROFORMA INVOICE FOR EO26-0004MY</t>
  </si>
  <si>
    <t>MY26ED0006</t>
  </si>
  <si>
    <t>CQ-HOK817 PLAIN SOFTSHELL JTK (이승연)</t>
  </si>
  <si>
    <t>PROFORMA INVOICE FOR EO26-0011LS</t>
  </si>
  <si>
    <t>LS26EC0362</t>
  </si>
  <si>
    <t>ZACP085 BOLT PNT M (W26 BULK)</t>
  </si>
  <si>
    <t>LS25EC0360</t>
  </si>
  <si>
    <t>ZACP095 Sierra Rock Pant M (W26 BULK)</t>
  </si>
  <si>
    <t>LS25EC0361</t>
  </si>
  <si>
    <t>ZACP096 Sierra Rock Pant W (W26 BULK)</t>
  </si>
  <si>
    <t>PROFORMA INVOICE FOR EO26-0014GG</t>
  </si>
  <si>
    <t>GG26ED0008</t>
  </si>
  <si>
    <t>MSS 26FW M63001AJP90 (김동욱)</t>
  </si>
  <si>
    <t>PROFORMA INVOICE FOR EO26-0015GG</t>
  </si>
  <si>
    <t>GG26ED0009</t>
  </si>
  <si>
    <t>MSS 26FW M63001AJP91 (이동욱)</t>
  </si>
  <si>
    <t>PROFORMA INVOICE FOR EO26-0016GG</t>
  </si>
  <si>
    <t>GG26ED0010</t>
  </si>
  <si>
    <t>MSS 26FW M63001AJP94 (이동욱)</t>
  </si>
  <si>
    <t>PROFORMA INVOICE FOR EO26-0017GG</t>
  </si>
  <si>
    <t>GG26ED0011</t>
  </si>
  <si>
    <t>MSS 26FW M63002AJP90 (한예지)</t>
  </si>
  <si>
    <t>PROFORMA INVOICE FOR EO26-0018GG</t>
  </si>
  <si>
    <t>GG26ED0012</t>
  </si>
  <si>
    <t>MSS 26FW M63001AJP92 (이동욱)</t>
  </si>
  <si>
    <t>PROFORMA INVOICE FOR EO26-0019GG</t>
  </si>
  <si>
    <t>GG26ED0013</t>
  </si>
  <si>
    <t>MSS 26FW M63002AJP91 (한예지)</t>
  </si>
  <si>
    <t>6005.37-0000</t>
  </si>
  <si>
    <t>MESH TRICOT FABRIC</t>
  </si>
  <si>
    <t>PROFORMA INVOICE FOR EO26-0020GG</t>
  </si>
  <si>
    <t>GG26ED0014</t>
  </si>
  <si>
    <t>MSS 26FW M63001AJZ90 (김동욱)</t>
  </si>
  <si>
    <t>PROFORMA INVOICE FOR EO26-0021GG</t>
  </si>
  <si>
    <t>GG26ED0015</t>
  </si>
  <si>
    <t>MSS 26FW M63001AVP91 (김동욱)</t>
  </si>
  <si>
    <t>PROFORMA INVOICE FOR EO26-0022GG</t>
  </si>
  <si>
    <t>GG26ED0016</t>
  </si>
  <si>
    <t>MSS 26FW M63002AVP91 (김동욱)</t>
  </si>
  <si>
    <t>PROFORMA INVOICE FOR EO26-0024MY</t>
  </si>
  <si>
    <t>MY26EC0016</t>
  </si>
  <si>
    <t>CQ-HKZ200 GRID FLEECE JKT (이승연)</t>
  </si>
  <si>
    <t>PROFORMA INVOICE FOR EO26-0025MY</t>
  </si>
  <si>
    <t>MY26EC0017</t>
  </si>
  <si>
    <t>CQ-HKZ202 GRID FLEECE JKT (이승연)</t>
  </si>
  <si>
    <t>PROFORMA INVOICE FOR EO26-0026MY</t>
  </si>
  <si>
    <t>MY26EC0018</t>
  </si>
  <si>
    <t>CQ-HKZ204 GRID FLEECE HOODIE (FULL ZIP) (이승연)</t>
  </si>
  <si>
    <t>PROFORMA INVOICE FOR EO26-0027MY</t>
  </si>
  <si>
    <t>MY26EC0019</t>
  </si>
  <si>
    <t>CQ-HKZ211 GRID FLEECE PULL OVER (이승연)</t>
  </si>
  <si>
    <t>PROFORMA INVOICE FOR EO26-0041TR</t>
  </si>
  <si>
    <t>TR26ED0002</t>
  </si>
  <si>
    <t>SUDADERA LEBRE (WI26 BULK)</t>
  </si>
  <si>
    <t>TR26ED0001</t>
  </si>
  <si>
    <t>SUDADERA VALIER (WI26 BULK)</t>
  </si>
  <si>
    <t>PROFORMA INVOICE FOR EO26-0053GG</t>
  </si>
  <si>
    <t>GG26ED0022</t>
  </si>
  <si>
    <t>MSS 26FW M63001AJP93 (김동욱)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</si>
  <si>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</si>
  <si>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</si>
  <si>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</si>
  <si>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</si>
  <si>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</si>
  <si>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</si>
  <si>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</si>
  <si>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</si>
  <si>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</si>
  <si>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</si>
  <si>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</si>
  <si>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</si>
  <si>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</si>
  <si>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</si>
  <si>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EO25-0278TR</t>
  </si>
  <si>
    <t>MATL CODE</t>
  </si>
  <si>
    <t>S25-139134</t>
  </si>
  <si>
    <t>S25-139151</t>
  </si>
  <si>
    <t>S25-134637</t>
  </si>
  <si>
    <t>S25-139130</t>
  </si>
  <si>
    <t>S25-139131</t>
  </si>
  <si>
    <t>S25-139126</t>
  </si>
  <si>
    <t>S25-139133</t>
  </si>
  <si>
    <t>S25-139132</t>
  </si>
  <si>
    <t>S25-139135</t>
  </si>
  <si>
    <t>S25-139129</t>
  </si>
  <si>
    <t>DETAIL PACKING LIST FOR EO26-0003MY</t>
  </si>
  <si>
    <t>S25-75620</t>
  </si>
  <si>
    <t>S25-75622</t>
  </si>
  <si>
    <t>S25-75621</t>
  </si>
  <si>
    <t>S25-75619</t>
  </si>
  <si>
    <t>S14-44093</t>
  </si>
  <si>
    <t>S24-71022</t>
  </si>
  <si>
    <t>S25-75661</t>
  </si>
  <si>
    <t>S25-75660</t>
  </si>
  <si>
    <t>S25-75658</t>
  </si>
  <si>
    <t>S25-75659</t>
  </si>
  <si>
    <t>S25-75657</t>
  </si>
  <si>
    <t>S25-81502</t>
  </si>
  <si>
    <t>S25-81425</t>
  </si>
  <si>
    <t>S25-75630</t>
  </si>
  <si>
    <t>S25-81423</t>
  </si>
  <si>
    <t>S25-81422</t>
  </si>
  <si>
    <t>DETAIL PACKING LIST FOR EO26-0004MY</t>
  </si>
  <si>
    <t>S23-49334</t>
  </si>
  <si>
    <t>S25-81817</t>
  </si>
  <si>
    <t>S25-81818</t>
  </si>
  <si>
    <t>S25-81820</t>
  </si>
  <si>
    <t>S25-81813</t>
  </si>
  <si>
    <t>S25-81812</t>
  </si>
  <si>
    <t>S25-81815</t>
  </si>
  <si>
    <t>S25-81803</t>
  </si>
  <si>
    <t>S25-81802</t>
  </si>
  <si>
    <t>S25-81805</t>
  </si>
  <si>
    <t>DETAIL PACKING LIST FOR EO26-0011LS</t>
  </si>
  <si>
    <t>S20-50436</t>
  </si>
  <si>
    <t>S20-50434</t>
  </si>
  <si>
    <t>S25-134034</t>
  </si>
  <si>
    <t>DETAIL PACKING LIST FOR EO26-0014GG</t>
  </si>
  <si>
    <t>S25-89272</t>
  </si>
  <si>
    <t>S23-01957</t>
  </si>
  <si>
    <t>S23-02138</t>
  </si>
  <si>
    <t>S23-02134</t>
  </si>
  <si>
    <t>S23-02137</t>
  </si>
  <si>
    <t>S23-02135</t>
  </si>
  <si>
    <t>S23-02136</t>
  </si>
  <si>
    <t>S23-01961</t>
  </si>
  <si>
    <t>S26-03662</t>
  </si>
  <si>
    <t>S26-03663</t>
  </si>
  <si>
    <t>S23-53153</t>
  </si>
  <si>
    <t>S26-03659</t>
  </si>
  <si>
    <t>S26-03660</t>
  </si>
  <si>
    <t>S26-03661</t>
  </si>
  <si>
    <t>S26-03681</t>
  </si>
  <si>
    <t>S25-03104</t>
  </si>
  <si>
    <t>DETAIL PACKING LIST FOR EO26-0015GG</t>
  </si>
  <si>
    <t>S25-137446</t>
  </si>
  <si>
    <t>S25-89271</t>
  </si>
  <si>
    <t>S25-89267</t>
  </si>
  <si>
    <t>S25-89270</t>
  </si>
  <si>
    <t>S25-89268</t>
  </si>
  <si>
    <t>S25-89269</t>
  </si>
  <si>
    <t>S23-09202</t>
  </si>
  <si>
    <t>S23-62107</t>
  </si>
  <si>
    <t>S23-12988</t>
  </si>
  <si>
    <t>S23-12989</t>
  </si>
  <si>
    <t>S23-67133</t>
  </si>
  <si>
    <t>M25-00072</t>
  </si>
  <si>
    <t>S19-18238</t>
  </si>
  <si>
    <t>DETAIL PACKING LIST FOR EO26-0016GG</t>
  </si>
  <si>
    <t>M26-00411</t>
  </si>
  <si>
    <t>DETAIL PACKING LIST FOR EO26-0017GG</t>
  </si>
  <si>
    <t>S26-03833</t>
  </si>
  <si>
    <t>DETAIL PACKING LIST FOR EO26-0018GG</t>
  </si>
  <si>
    <t>S23-43604</t>
  </si>
  <si>
    <t>S23-01903</t>
  </si>
  <si>
    <t>S23-01877</t>
  </si>
  <si>
    <t>S24-05675</t>
  </si>
  <si>
    <t>DETAIL PACKING LIST FOR EO26-0019GG</t>
  </si>
  <si>
    <t>M26-00421</t>
  </si>
  <si>
    <t>DETAIL PACKING LIST FOR EO26-0020GG</t>
  </si>
  <si>
    <t>S23-01956</t>
  </si>
  <si>
    <t>S16-13856</t>
  </si>
  <si>
    <t>S24-34765</t>
  </si>
  <si>
    <t>S22-26917</t>
  </si>
  <si>
    <t>S22-21997</t>
  </si>
  <si>
    <t>S24-12153</t>
  </si>
  <si>
    <t>S26-07126</t>
  </si>
  <si>
    <t>DETAIL PACKING LIST FOR EO26-0021GG</t>
  </si>
  <si>
    <t>S23-12386</t>
  </si>
  <si>
    <t>DETAIL PACKING LIST FOR EO26-0022GG</t>
  </si>
  <si>
    <t>DETAIL PACKING LIST FOR EO26-0024MY</t>
  </si>
  <si>
    <t>S26-05628</t>
  </si>
  <si>
    <t>DETAIL PACKING LIST FOR EO26-0025MY</t>
  </si>
  <si>
    <t>DETAIL PACKING LIST FOR EO26-0026MY</t>
  </si>
  <si>
    <t>DETAIL PACKING LIST FOR EO26-0027MY</t>
  </si>
  <si>
    <t>DETAIL PACKING LIST FOR EO26-0041TR</t>
  </si>
  <si>
    <t>DETAIL PACKING LIST FOR EO26-0053GG</t>
  </si>
  <si>
    <t>S23-12844</t>
  </si>
  <si>
    <t>S25-90771</t>
  </si>
  <si>
    <t>COMMERCIAL INVOICE</t>
  </si>
  <si>
    <t>FREIGHT CHARGE :</t>
  </si>
  <si>
    <t>INSURANCE CHARGE :</t>
  </si>
  <si>
    <t>제조자 미상</t>
  </si>
  <si>
    <t>Port of loading :</t>
  </si>
  <si>
    <t>C/T :</t>
  </si>
  <si>
    <t>CT</t>
  </si>
  <si>
    <t>NET :</t>
  </si>
  <si>
    <t>KGS</t>
  </si>
  <si>
    <t>GRS :</t>
  </si>
  <si>
    <t>Carrier</t>
  </si>
  <si>
    <t>* CIF : ADDIS 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</si>
</sst>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172" fontId="6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0" fontId="6" fillId="0" borderId="0" xfId="0" applyFont="1" applyAlignment="1">
      <alignment horizontal="left"/>
    </xf>
    <xf numFmtId="172" fontId="6" fillId="0" borderId="0" xfId="0" applyNumberFormat="1" applyFont="1" applyAlignment="1">
      <alignment vertical="bottom"/>
    </xf>
    <xf numFmtId="0" fontId="6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0.91</v>
      </c>
      <c r="E4" s="14">
        <v>970</v>
      </c>
      <c r="F4" s="15" t="s">
        <v>14</v>
      </c>
      <c r="G4" s="13">
        <v>882.7</v>
      </c>
      <c r="H4" s="16" t="s">
        <v>15</v>
      </c>
      <c r="I4" s="17">
        <v>8.37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1.08</v>
      </c>
      <c r="E5" s="14">
        <v>125</v>
      </c>
      <c r="F5" s="15" t="s">
        <v>14</v>
      </c>
      <c r="G5" s="13">
        <v>135</v>
      </c>
      <c r="H5" s="16" t="s">
        <v>15</v>
      </c>
      <c r="I5" s="17">
        <v>1.08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22</v>
      </c>
      <c r="C6" s="12" t="s">
        <v>23</v>
      </c>
      <c r="D6" s="13">
        <v>3.35</v>
      </c>
      <c r="E6" s="14">
        <v>4280</v>
      </c>
      <c r="F6" s="15" t="s">
        <v>24</v>
      </c>
      <c r="G6" s="13">
        <v>14338</v>
      </c>
      <c r="H6" s="16" t="s">
        <v>15</v>
      </c>
      <c r="I6" s="17">
        <v>36.91</v>
      </c>
      <c r="J6" s="18" t="s">
        <v>16</v>
      </c>
      <c r="K6" s="1" t="s">
        <v>21</v>
      </c>
      <c r="L6" s="1" t="s">
        <v>18</v>
      </c>
    </row>
    <row r="7" ht="12" customHeight="1" spans="1:12" x14ac:dyDescent="0.25">
      <c r="A7" s="19">
        <v>4</v>
      </c>
      <c r="B7" s="12" t="s">
        <v>25</v>
      </c>
      <c r="C7" s="12" t="s">
        <v>26</v>
      </c>
      <c r="D7" s="13">
        <v>0.04</v>
      </c>
      <c r="E7" s="14">
        <v>4461</v>
      </c>
      <c r="F7" s="15" t="s">
        <v>27</v>
      </c>
      <c r="G7" s="13">
        <v>178.44</v>
      </c>
      <c r="H7" s="16" t="s">
        <v>15</v>
      </c>
      <c r="I7" s="17">
        <v>38.47</v>
      </c>
      <c r="J7" s="18" t="s">
        <v>16</v>
      </c>
      <c r="K7" s="1" t="s">
        <v>21</v>
      </c>
      <c r="L7" s="1" t="s">
        <v>21</v>
      </c>
    </row>
    <row r="8" ht="12" customHeight="1" spans="1:12" x14ac:dyDescent="0.25">
      <c r="A8" s="19">
        <v>5</v>
      </c>
      <c r="B8" s="12" t="s">
        <v>25</v>
      </c>
      <c r="C8" s="12" t="s">
        <v>28</v>
      </c>
      <c r="D8" s="13">
        <v>0.07</v>
      </c>
      <c r="E8" s="14">
        <v>4461</v>
      </c>
      <c r="F8" s="15" t="s">
        <v>27</v>
      </c>
      <c r="G8" s="13">
        <v>312.27</v>
      </c>
      <c r="H8" s="16" t="s">
        <v>15</v>
      </c>
      <c r="I8" s="17">
        <v>38.47</v>
      </c>
      <c r="J8" s="18" t="s">
        <v>16</v>
      </c>
      <c r="K8" s="1" t="s">
        <v>21</v>
      </c>
      <c r="L8" s="1" t="s">
        <v>21</v>
      </c>
    </row>
    <row r="9" ht="12" customHeight="1" spans="1:12" x14ac:dyDescent="0.25">
      <c r="A9" s="19">
        <v>6</v>
      </c>
      <c r="B9" s="12" t="s">
        <v>25</v>
      </c>
      <c r="C9" s="12" t="s">
        <v>29</v>
      </c>
      <c r="D9" s="13">
        <v>0.09</v>
      </c>
      <c r="E9" s="14">
        <v>4461</v>
      </c>
      <c r="F9" s="15" t="s">
        <v>27</v>
      </c>
      <c r="G9" s="13">
        <v>401.49</v>
      </c>
      <c r="H9" s="16" t="s">
        <v>15</v>
      </c>
      <c r="I9" s="17">
        <v>38.47</v>
      </c>
      <c r="J9" s="18" t="s">
        <v>16</v>
      </c>
      <c r="K9" s="1" t="s">
        <v>21</v>
      </c>
      <c r="L9" s="1" t="s">
        <v>21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0.04</v>
      </c>
      <c r="E10" s="14">
        <v>16916</v>
      </c>
      <c r="F10" s="15" t="s">
        <v>27</v>
      </c>
      <c r="G10" s="13">
        <v>676.64</v>
      </c>
      <c r="H10" s="16" t="s">
        <v>15</v>
      </c>
      <c r="I10" s="17">
        <v>145.87</v>
      </c>
      <c r="J10" s="18" t="s">
        <v>16</v>
      </c>
      <c r="K10" s="1" t="s">
        <v>21</v>
      </c>
      <c r="L10" s="1" t="s">
        <v>21</v>
      </c>
    </row>
    <row r="11" ht="12" customHeight="1" spans="1:12" x14ac:dyDescent="0.25">
      <c r="A11" s="19">
        <v>8</v>
      </c>
      <c r="B11" s="12" t="s">
        <v>30</v>
      </c>
      <c r="C11" s="12" t="s">
        <v>32</v>
      </c>
      <c r="D11" s="13">
        <v>0.06</v>
      </c>
      <c r="E11" s="14">
        <v>19458</v>
      </c>
      <c r="F11" s="15" t="s">
        <v>27</v>
      </c>
      <c r="G11" s="13">
        <v>1167.48</v>
      </c>
      <c r="H11" s="16" t="s">
        <v>15</v>
      </c>
      <c r="I11" s="17">
        <v>167.79</v>
      </c>
      <c r="J11" s="18" t="s">
        <v>16</v>
      </c>
      <c r="K11" s="1" t="s">
        <v>21</v>
      </c>
      <c r="L11" s="1" t="s">
        <v>21</v>
      </c>
    </row>
    <row r="12" ht="12" customHeight="1" spans="1:12" x14ac:dyDescent="0.25">
      <c r="A12" s="19">
        <v>9</v>
      </c>
      <c r="B12" s="12" t="s">
        <v>30</v>
      </c>
      <c r="C12" s="12" t="s">
        <v>33</v>
      </c>
      <c r="D12" s="13">
        <v>0.0163</v>
      </c>
      <c r="E12" s="14">
        <v>57792</v>
      </c>
      <c r="F12" s="15" t="s">
        <v>27</v>
      </c>
      <c r="G12" s="13">
        <v>942.01</v>
      </c>
      <c r="H12" s="16" t="s">
        <v>15</v>
      </c>
      <c r="I12" s="17">
        <v>498.35</v>
      </c>
      <c r="J12" s="18" t="s">
        <v>16</v>
      </c>
      <c r="K12" s="1" t="s">
        <v>21</v>
      </c>
      <c r="L12" s="1" t="s">
        <v>21</v>
      </c>
    </row>
    <row r="13" ht="12" customHeight="1" spans="1:12" x14ac:dyDescent="0.25">
      <c r="A13" s="19">
        <v>10</v>
      </c>
      <c r="B13" s="12" t="s">
        <v>34</v>
      </c>
      <c r="C13" s="12" t="s">
        <v>35</v>
      </c>
      <c r="D13" s="13">
        <v>0.03</v>
      </c>
      <c r="E13" s="14">
        <v>24000</v>
      </c>
      <c r="F13" s="15" t="s">
        <v>14</v>
      </c>
      <c r="G13" s="13">
        <v>720</v>
      </c>
      <c r="H13" s="16" t="s">
        <v>15</v>
      </c>
      <c r="I13" s="17">
        <v>206.96</v>
      </c>
      <c r="J13" s="18" t="s">
        <v>16</v>
      </c>
      <c r="K13" s="1" t="s">
        <v>21</v>
      </c>
      <c r="L13" s="1" t="s">
        <v>21</v>
      </c>
    </row>
    <row r="14" ht="12" customHeight="1" spans="1:12" x14ac:dyDescent="0.25">
      <c r="A14" s="19">
        <v>11</v>
      </c>
      <c r="B14" s="12" t="s">
        <v>36</v>
      </c>
      <c r="C14" s="12" t="s">
        <v>37</v>
      </c>
      <c r="D14" s="13">
        <v>0.01</v>
      </c>
      <c r="E14" s="14">
        <v>30940</v>
      </c>
      <c r="F14" s="15" t="s">
        <v>14</v>
      </c>
      <c r="G14" s="13">
        <v>309.4</v>
      </c>
      <c r="H14" s="16" t="s">
        <v>15</v>
      </c>
      <c r="I14" s="17">
        <v>266.8</v>
      </c>
      <c r="J14" s="18" t="s">
        <v>16</v>
      </c>
      <c r="K14" s="1" t="s">
        <v>21</v>
      </c>
      <c r="L14" s="1" t="s">
        <v>21</v>
      </c>
    </row>
    <row r="15" ht="12" customHeight="1" spans="1:12" x14ac:dyDescent="0.25">
      <c r="A15" s="19">
        <v>12</v>
      </c>
      <c r="B15" s="12" t="s">
        <v>38</v>
      </c>
      <c r="C15" s="12" t="s">
        <v>39</v>
      </c>
      <c r="D15" s="13">
        <v>0.0616</v>
      </c>
      <c r="E15" s="14">
        <v>30237</v>
      </c>
      <c r="F15" s="15" t="s">
        <v>14</v>
      </c>
      <c r="G15" s="13">
        <v>1862.6</v>
      </c>
      <c r="H15" s="16" t="s">
        <v>15</v>
      </c>
      <c r="I15" s="17">
        <v>260.73</v>
      </c>
      <c r="J15" s="18" t="s">
        <v>16</v>
      </c>
      <c r="K15" s="1" t="s">
        <v>21</v>
      </c>
      <c r="L15" s="1" t="s">
        <v>21</v>
      </c>
    </row>
    <row r="16" ht="12" customHeight="1" spans="1:12" x14ac:dyDescent="0.25">
      <c r="A16" s="19">
        <v>13</v>
      </c>
      <c r="B16" s="12" t="s">
        <v>38</v>
      </c>
      <c r="C16" s="12" t="s">
        <v>40</v>
      </c>
      <c r="D16" s="13">
        <v>0.0828</v>
      </c>
      <c r="E16" s="14">
        <v>5198</v>
      </c>
      <c r="F16" s="15" t="s">
        <v>41</v>
      </c>
      <c r="G16" s="13">
        <v>430.39</v>
      </c>
      <c r="H16" s="16" t="s">
        <v>15</v>
      </c>
      <c r="I16" s="17">
        <v>44.83</v>
      </c>
      <c r="J16" s="18" t="s">
        <v>16</v>
      </c>
      <c r="K16" s="1" t="s">
        <v>21</v>
      </c>
      <c r="L16" s="1" t="s">
        <v>21</v>
      </c>
    </row>
    <row r="17" ht="12" customHeight="1" spans="1:12" x14ac:dyDescent="0.25">
      <c r="A17" s="19">
        <v>14</v>
      </c>
      <c r="B17" s="12" t="s">
        <v>42</v>
      </c>
      <c r="C17" s="12" t="s">
        <v>43</v>
      </c>
      <c r="D17" s="13">
        <v>0.02</v>
      </c>
      <c r="E17" s="14">
        <v>74268</v>
      </c>
      <c r="F17" s="15" t="s">
        <v>44</v>
      </c>
      <c r="G17" s="13">
        <v>1485.36</v>
      </c>
      <c r="H17" s="16" t="s">
        <v>15</v>
      </c>
      <c r="I17" s="17">
        <v>640.43</v>
      </c>
      <c r="J17" s="18" t="s">
        <v>16</v>
      </c>
      <c r="K17" s="1" t="s">
        <v>21</v>
      </c>
      <c r="L17" s="1" t="s">
        <v>21</v>
      </c>
    </row>
    <row r="18" ht="12" customHeight="1" spans="1:12" x14ac:dyDescent="0.25">
      <c r="A18" s="19">
        <v>15</v>
      </c>
      <c r="B18" s="12" t="s">
        <v>45</v>
      </c>
      <c r="C18" s="12" t="s">
        <v>46</v>
      </c>
      <c r="D18" s="13">
        <v>4.96</v>
      </c>
      <c r="E18" s="14">
        <v>720</v>
      </c>
      <c r="F18" s="15" t="s">
        <v>24</v>
      </c>
      <c r="G18" s="13">
        <v>3571.2</v>
      </c>
      <c r="H18" s="16" t="s">
        <v>15</v>
      </c>
      <c r="I18" s="17">
        <v>6.21</v>
      </c>
      <c r="J18" s="18" t="s">
        <v>16</v>
      </c>
      <c r="K18" s="1" t="s">
        <v>21</v>
      </c>
      <c r="L18" s="1" t="s">
        <v>21</v>
      </c>
    </row>
    <row r="19" ht="12" customHeight="1" spans="1:12" x14ac:dyDescent="0.25">
      <c r="A19" s="19">
        <v>16</v>
      </c>
      <c r="B19" s="12" t="s">
        <v>25</v>
      </c>
      <c r="C19" s="12" t="s">
        <v>47</v>
      </c>
      <c r="D19" s="13">
        <v>0.03</v>
      </c>
      <c r="E19" s="14">
        <v>39862</v>
      </c>
      <c r="F19" s="15" t="s">
        <v>27</v>
      </c>
      <c r="G19" s="13">
        <v>1195.86</v>
      </c>
      <c r="H19" s="16" t="s">
        <v>15</v>
      </c>
      <c r="I19" s="17">
        <v>343.74</v>
      </c>
      <c r="J19" s="18" t="s">
        <v>16</v>
      </c>
      <c r="K19" s="1" t="s">
        <v>21</v>
      </c>
      <c r="L19" s="1" t="s">
        <v>21</v>
      </c>
    </row>
    <row r="20" ht="12" customHeight="1" spans="1:12" x14ac:dyDescent="0.25">
      <c r="A20" s="19">
        <v>17</v>
      </c>
      <c r="B20" s="12" t="s">
        <v>25</v>
      </c>
      <c r="C20" s="12" t="s">
        <v>48</v>
      </c>
      <c r="D20" s="13">
        <v>0.03</v>
      </c>
      <c r="E20" s="14">
        <v>39862</v>
      </c>
      <c r="F20" s="15" t="s">
        <v>27</v>
      </c>
      <c r="G20" s="13">
        <v>1195.86</v>
      </c>
      <c r="H20" s="16" t="s">
        <v>15</v>
      </c>
      <c r="I20" s="17">
        <v>343.74</v>
      </c>
      <c r="J20" s="18" t="s">
        <v>16</v>
      </c>
      <c r="K20" s="1" t="s">
        <v>21</v>
      </c>
      <c r="L20" s="1" t="s">
        <v>21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0.08</v>
      </c>
      <c r="E21" s="14">
        <v>31719</v>
      </c>
      <c r="F21" s="15" t="s">
        <v>27</v>
      </c>
      <c r="G21" s="13">
        <v>2537.52</v>
      </c>
      <c r="H21" s="16" t="s">
        <v>15</v>
      </c>
      <c r="I21" s="17">
        <v>273.53</v>
      </c>
      <c r="J21" s="18" t="s">
        <v>16</v>
      </c>
      <c r="K21" s="1" t="s">
        <v>21</v>
      </c>
      <c r="L21" s="1" t="s">
        <v>21</v>
      </c>
    </row>
    <row r="22" ht="12" customHeight="1" spans="1:12" x14ac:dyDescent="0.25">
      <c r="A22" s="19">
        <v>19</v>
      </c>
      <c r="B22" s="12" t="s">
        <v>30</v>
      </c>
      <c r="C22" s="12" t="s">
        <v>51</v>
      </c>
      <c r="D22" s="13">
        <v>0.03</v>
      </c>
      <c r="E22" s="14">
        <v>46669</v>
      </c>
      <c r="F22" s="15" t="s">
        <v>27</v>
      </c>
      <c r="G22" s="13">
        <v>1400.07</v>
      </c>
      <c r="H22" s="16" t="s">
        <v>15</v>
      </c>
      <c r="I22" s="17">
        <v>402.43</v>
      </c>
      <c r="J22" s="18" t="s">
        <v>16</v>
      </c>
      <c r="K22" s="1" t="s">
        <v>21</v>
      </c>
      <c r="L22" s="1" t="s">
        <v>21</v>
      </c>
    </row>
    <row r="23" ht="12" customHeight="1" spans="1:12" x14ac:dyDescent="0.25">
      <c r="A23" s="19">
        <v>20</v>
      </c>
      <c r="B23" s="12" t="s">
        <v>52</v>
      </c>
      <c r="C23" s="12" t="s">
        <v>53</v>
      </c>
      <c r="D23" s="13">
        <v>0.0205</v>
      </c>
      <c r="E23" s="14">
        <v>80709</v>
      </c>
      <c r="F23" s="15" t="s">
        <v>44</v>
      </c>
      <c r="G23" s="13">
        <v>1654.53</v>
      </c>
      <c r="H23" s="16" t="s">
        <v>15</v>
      </c>
      <c r="I23" s="17">
        <v>695.97</v>
      </c>
      <c r="J23" s="18" t="s">
        <v>16</v>
      </c>
      <c r="K23" s="1" t="s">
        <v>21</v>
      </c>
      <c r="L23" s="1" t="s">
        <v>21</v>
      </c>
    </row>
    <row r="24" ht="12" customHeight="1" spans="1:12" x14ac:dyDescent="0.25">
      <c r="A24" s="19">
        <v>21</v>
      </c>
      <c r="B24" s="12" t="s">
        <v>25</v>
      </c>
      <c r="C24" s="12" t="s">
        <v>54</v>
      </c>
      <c r="D24" s="13">
        <v>0.01</v>
      </c>
      <c r="E24" s="14">
        <v>39877</v>
      </c>
      <c r="F24" s="15" t="s">
        <v>27</v>
      </c>
      <c r="G24" s="13">
        <v>398.77</v>
      </c>
      <c r="H24" s="16" t="s">
        <v>15</v>
      </c>
      <c r="I24" s="17">
        <v>343.88</v>
      </c>
      <c r="J24" s="18" t="s">
        <v>16</v>
      </c>
      <c r="K24" s="1" t="s">
        <v>21</v>
      </c>
      <c r="L24" s="1" t="s">
        <v>21</v>
      </c>
    </row>
    <row r="25" ht="12" customHeight="1" spans="1:12" x14ac:dyDescent="0.25">
      <c r="A25" s="19">
        <v>22</v>
      </c>
      <c r="B25" s="12" t="s">
        <v>30</v>
      </c>
      <c r="C25" s="12" t="s">
        <v>55</v>
      </c>
      <c r="D25" s="13">
        <v>0.04</v>
      </c>
      <c r="E25" s="14">
        <v>2099</v>
      </c>
      <c r="F25" s="15" t="s">
        <v>27</v>
      </c>
      <c r="G25" s="13">
        <v>83.96</v>
      </c>
      <c r="H25" s="16" t="s">
        <v>15</v>
      </c>
      <c r="I25" s="17">
        <v>18.1</v>
      </c>
      <c r="J25" s="18" t="s">
        <v>16</v>
      </c>
      <c r="K25" s="1" t="s">
        <v>21</v>
      </c>
      <c r="L25" s="1" t="s">
        <v>21</v>
      </c>
    </row>
    <row r="26" ht="12" customHeight="1" spans="1:12" x14ac:dyDescent="0.25">
      <c r="A26" s="19">
        <v>23</v>
      </c>
      <c r="B26" s="12" t="s">
        <v>30</v>
      </c>
      <c r="C26" s="12" t="s">
        <v>56</v>
      </c>
      <c r="D26" s="13">
        <v>0.04</v>
      </c>
      <c r="E26" s="14">
        <v>21422</v>
      </c>
      <c r="F26" s="15" t="s">
        <v>27</v>
      </c>
      <c r="G26" s="13">
        <v>856.88</v>
      </c>
      <c r="H26" s="16" t="s">
        <v>15</v>
      </c>
      <c r="I26" s="17">
        <v>184.73</v>
      </c>
      <c r="J26" s="18" t="s">
        <v>16</v>
      </c>
      <c r="K26" s="1" t="s">
        <v>21</v>
      </c>
      <c r="L26" s="1" t="s">
        <v>21</v>
      </c>
    </row>
    <row r="27" ht="12" customHeight="1" spans="1:12" x14ac:dyDescent="0.25">
      <c r="A27" s="19">
        <v>24</v>
      </c>
      <c r="B27" s="12" t="s">
        <v>30</v>
      </c>
      <c r="C27" s="12" t="s">
        <v>57</v>
      </c>
      <c r="D27" s="13">
        <v>0.04</v>
      </c>
      <c r="E27" s="14">
        <v>46622</v>
      </c>
      <c r="F27" s="15" t="s">
        <v>27</v>
      </c>
      <c r="G27" s="13">
        <v>1864.88</v>
      </c>
      <c r="H27" s="16" t="s">
        <v>15</v>
      </c>
      <c r="I27" s="17">
        <v>402.03</v>
      </c>
      <c r="J27" s="18" t="s">
        <v>16</v>
      </c>
      <c r="K27" s="1" t="s">
        <v>21</v>
      </c>
      <c r="L27" s="1" t="s">
        <v>21</v>
      </c>
    </row>
    <row r="28" ht="12" customHeight="1" spans="1:12" x14ac:dyDescent="0.25">
      <c r="A28" s="19">
        <v>25</v>
      </c>
      <c r="B28" s="12" t="s">
        <v>58</v>
      </c>
      <c r="C28" s="12" t="s">
        <v>59</v>
      </c>
      <c r="D28" s="13">
        <v>0.02</v>
      </c>
      <c r="E28" s="14">
        <v>39612</v>
      </c>
      <c r="F28" s="15" t="s">
        <v>27</v>
      </c>
      <c r="G28" s="13">
        <v>792.24</v>
      </c>
      <c r="H28" s="16" t="s">
        <v>15</v>
      </c>
      <c r="I28" s="17">
        <v>341.56</v>
      </c>
      <c r="J28" s="18" t="s">
        <v>16</v>
      </c>
      <c r="K28" s="1" t="s">
        <v>21</v>
      </c>
      <c r="L28" s="1" t="s">
        <v>21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0.05</v>
      </c>
      <c r="E29" s="14">
        <v>8492</v>
      </c>
      <c r="F29" s="15" t="s">
        <v>27</v>
      </c>
      <c r="G29" s="13">
        <v>424.6</v>
      </c>
      <c r="H29" s="16" t="s">
        <v>15</v>
      </c>
      <c r="I29" s="17">
        <v>73.23</v>
      </c>
      <c r="J29" s="18" t="s">
        <v>16</v>
      </c>
      <c r="K29" s="1" t="s">
        <v>21</v>
      </c>
      <c r="L29" s="1" t="s">
        <v>21</v>
      </c>
    </row>
    <row r="30" ht="12" customHeight="1" spans="1:12" x14ac:dyDescent="0.25">
      <c r="A30" s="19">
        <v>27</v>
      </c>
      <c r="B30" s="12" t="s">
        <v>60</v>
      </c>
      <c r="C30" s="12" t="s">
        <v>62</v>
      </c>
      <c r="D30" s="13">
        <v>0.0625</v>
      </c>
      <c r="E30" s="14">
        <v>8492</v>
      </c>
      <c r="F30" s="15" t="s">
        <v>27</v>
      </c>
      <c r="G30" s="13">
        <v>530.75</v>
      </c>
      <c r="H30" s="16" t="s">
        <v>15</v>
      </c>
      <c r="I30" s="17">
        <v>73.23</v>
      </c>
      <c r="J30" s="18" t="s">
        <v>16</v>
      </c>
      <c r="K30" s="1" t="s">
        <v>21</v>
      </c>
      <c r="L30" s="1" t="s">
        <v>21</v>
      </c>
    </row>
    <row r="31" ht="12" customHeight="1" spans="1:12" x14ac:dyDescent="0.25">
      <c r="A31" s="19">
        <v>28</v>
      </c>
      <c r="B31" s="12" t="s">
        <v>36</v>
      </c>
      <c r="C31" s="12" t="s">
        <v>63</v>
      </c>
      <c r="D31" s="13">
        <v>0.17</v>
      </c>
      <c r="E31" s="14">
        <v>15359</v>
      </c>
      <c r="F31" s="15" t="s">
        <v>41</v>
      </c>
      <c r="G31" s="13">
        <v>2611.03</v>
      </c>
      <c r="H31" s="16" t="s">
        <v>15</v>
      </c>
      <c r="I31" s="17">
        <v>132.38999999999703</v>
      </c>
      <c r="J31" s="18" t="s">
        <v>16</v>
      </c>
      <c r="K31" s="1" t="s">
        <v>21</v>
      </c>
      <c r="L31" s="1" t="s">
        <v>21</v>
      </c>
    </row>
    <row r="32" ht="12.75" customHeight="1" spans="1:11" x14ac:dyDescent="0.25">
      <c r="A32" s="20"/>
      <c r="B32" s="21" t="s">
        <v>64</v>
      </c>
      <c r="C32" s="21"/>
      <c r="D32" s="22"/>
      <c r="E32" s="23">
        <f>=SUM(E4:E31)</f>
      </c>
      <c r="F32" s="24"/>
      <c r="G32" s="25">
        <f>=SUM(G4:G31)</f>
      </c>
      <c r="H32" s="26"/>
      <c r="I32" s="27">
        <f>=SUM(I4:I31)</f>
      </c>
      <c r="J32" s="18" t="s">
        <v>16</v>
      </c>
      <c r="K32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65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66</v>
      </c>
      <c r="B3" s="31" t="s">
        <v>67</v>
      </c>
      <c r="C3" s="32" t="s">
        <v>68</v>
      </c>
      <c r="D3" s="33" t="s">
        <v>69</v>
      </c>
      <c r="E3" s="32" t="s">
        <v>70</v>
      </c>
      <c r="F3" s="34" t="s">
        <v>71</v>
      </c>
      <c r="G3" s="34" t="s">
        <v>72</v>
      </c>
      <c r="H3" s="34" t="s">
        <v>73</v>
      </c>
      <c r="I3" s="34" t="s">
        <v>74</v>
      </c>
    </row>
    <row r="4" ht="12.75" customHeight="1" spans="1:9" x14ac:dyDescent="0.25">
      <c r="A4" s="35" t="s">
        <v>75</v>
      </c>
      <c r="B4" s="35" t="s">
        <v>47</v>
      </c>
      <c r="C4" s="36" t="s">
        <v>76</v>
      </c>
      <c r="D4" s="37" t="s">
        <v>77</v>
      </c>
      <c r="E4" s="38" t="s">
        <v>27</v>
      </c>
      <c r="F4" s="39">
        <v>4235</v>
      </c>
      <c r="G4" s="40">
        <v>20</v>
      </c>
      <c r="H4" s="41" t="s">
        <v>78</v>
      </c>
      <c r="I4" s="41" t="s">
        <v>79</v>
      </c>
    </row>
    <row r="5" ht="12.75" customHeight="1" spans="1:9" x14ac:dyDescent="0.25">
      <c r="A5" s="35" t="s">
        <v>75</v>
      </c>
      <c r="B5" s="35" t="s">
        <v>48</v>
      </c>
      <c r="C5" s="36" t="s">
        <v>76</v>
      </c>
      <c r="D5" s="37" t="s">
        <v>80</v>
      </c>
      <c r="E5" s="38" t="s">
        <v>27</v>
      </c>
      <c r="F5" s="39">
        <v>4235</v>
      </c>
      <c r="G5" s="40"/>
      <c r="H5" s="41"/>
      <c r="I5" s="41"/>
    </row>
    <row r="6" ht="12.75" customHeight="1" spans="1:9" x14ac:dyDescent="0.25">
      <c r="A6" s="35" t="s">
        <v>75</v>
      </c>
      <c r="B6" s="35" t="s">
        <v>54</v>
      </c>
      <c r="C6" s="36" t="s">
        <v>81</v>
      </c>
      <c r="D6" s="37" t="s">
        <v>82</v>
      </c>
      <c r="E6" s="38" t="s">
        <v>27</v>
      </c>
      <c r="F6" s="39">
        <v>635</v>
      </c>
      <c r="G6" s="40"/>
      <c r="H6" s="41"/>
      <c r="I6" s="41"/>
    </row>
    <row r="7" ht="12.75" customHeight="1" spans="1:9" x14ac:dyDescent="0.25">
      <c r="A7" s="35" t="s">
        <v>75</v>
      </c>
      <c r="B7" s="35" t="s">
        <v>54</v>
      </c>
      <c r="C7" s="36" t="s">
        <v>81</v>
      </c>
      <c r="D7" s="37" t="s">
        <v>83</v>
      </c>
      <c r="E7" s="38" t="s">
        <v>27</v>
      </c>
      <c r="F7" s="39">
        <v>647</v>
      </c>
      <c r="G7" s="40"/>
      <c r="H7" s="41"/>
      <c r="I7" s="41"/>
    </row>
    <row r="8" ht="12.75" customHeight="1" spans="1:9" x14ac:dyDescent="0.25">
      <c r="A8" s="35" t="s">
        <v>75</v>
      </c>
      <c r="B8" s="35" t="s">
        <v>54</v>
      </c>
      <c r="C8" s="36" t="s">
        <v>81</v>
      </c>
      <c r="D8" s="37" t="s">
        <v>84</v>
      </c>
      <c r="E8" s="38" t="s">
        <v>27</v>
      </c>
      <c r="F8" s="39">
        <v>921</v>
      </c>
      <c r="G8" s="40"/>
      <c r="H8" s="41"/>
      <c r="I8" s="41"/>
    </row>
    <row r="9" ht="12.75" customHeight="1" spans="1:9" x14ac:dyDescent="0.25">
      <c r="A9" s="35" t="s">
        <v>75</v>
      </c>
      <c r="B9" s="35" t="s">
        <v>54</v>
      </c>
      <c r="C9" s="36" t="s">
        <v>81</v>
      </c>
      <c r="D9" s="37" t="s">
        <v>85</v>
      </c>
      <c r="E9" s="38" t="s">
        <v>27</v>
      </c>
      <c r="F9" s="39">
        <v>995</v>
      </c>
      <c r="G9" s="40"/>
      <c r="H9" s="41"/>
      <c r="I9" s="41"/>
    </row>
    <row r="10" ht="12.75" customHeight="1" spans="1:9" x14ac:dyDescent="0.25">
      <c r="A10" s="35" t="s">
        <v>75</v>
      </c>
      <c r="B10" s="35" t="s">
        <v>54</v>
      </c>
      <c r="C10" s="36" t="s">
        <v>81</v>
      </c>
      <c r="D10" s="37" t="s">
        <v>86</v>
      </c>
      <c r="E10" s="38" t="s">
        <v>27</v>
      </c>
      <c r="F10" s="39">
        <v>1038</v>
      </c>
      <c r="G10" s="40"/>
      <c r="H10" s="41"/>
      <c r="I10" s="41"/>
    </row>
    <row r="11" ht="12.75" customHeight="1" spans="1:9" x14ac:dyDescent="0.25">
      <c r="A11" s="35" t="s">
        <v>75</v>
      </c>
      <c r="B11" s="35" t="s">
        <v>59</v>
      </c>
      <c r="C11" s="36" t="s">
        <v>76</v>
      </c>
      <c r="D11" s="37" t="s">
        <v>87</v>
      </c>
      <c r="E11" s="38" t="s">
        <v>27</v>
      </c>
      <c r="F11" s="39">
        <v>4203</v>
      </c>
      <c r="G11" s="40"/>
      <c r="H11" s="41"/>
      <c r="I11" s="41"/>
    </row>
    <row r="12" ht="12.75" customHeight="1" spans="1:9" x14ac:dyDescent="0.25">
      <c r="A12" s="35" t="s">
        <v>75</v>
      </c>
      <c r="B12" s="35" t="s">
        <v>47</v>
      </c>
      <c r="C12" s="36" t="s">
        <v>76</v>
      </c>
      <c r="D12" s="37" t="s">
        <v>77</v>
      </c>
      <c r="E12" s="38" t="s">
        <v>27</v>
      </c>
      <c r="F12" s="39">
        <v>7397</v>
      </c>
      <c r="G12" s="40"/>
      <c r="H12" s="41"/>
      <c r="I12" s="41"/>
    </row>
    <row r="13" ht="12.75" customHeight="1" spans="1:9" x14ac:dyDescent="0.25">
      <c r="A13" s="35" t="s">
        <v>75</v>
      </c>
      <c r="B13" s="35" t="s">
        <v>48</v>
      </c>
      <c r="C13" s="36" t="s">
        <v>76</v>
      </c>
      <c r="D13" s="37" t="s">
        <v>80</v>
      </c>
      <c r="E13" s="38" t="s">
        <v>27</v>
      </c>
      <c r="F13" s="39">
        <v>7397</v>
      </c>
      <c r="G13" s="40"/>
      <c r="H13" s="41"/>
      <c r="I13" s="41"/>
    </row>
    <row r="14" ht="12.75" customHeight="1" spans="1:9" x14ac:dyDescent="0.25">
      <c r="A14" s="35" t="s">
        <v>75</v>
      </c>
      <c r="B14" s="35" t="s">
        <v>50</v>
      </c>
      <c r="C14" s="36" t="s">
        <v>76</v>
      </c>
      <c r="D14" s="37" t="s">
        <v>88</v>
      </c>
      <c r="E14" s="38" t="s">
        <v>27</v>
      </c>
      <c r="F14" s="39">
        <v>214</v>
      </c>
      <c r="G14" s="40"/>
      <c r="H14" s="41"/>
      <c r="I14" s="41"/>
    </row>
    <row r="15" ht="12.75" customHeight="1" spans="1:9" x14ac:dyDescent="0.25">
      <c r="A15" s="35" t="s">
        <v>75</v>
      </c>
      <c r="B15" s="35" t="s">
        <v>50</v>
      </c>
      <c r="C15" s="36" t="s">
        <v>76</v>
      </c>
      <c r="D15" s="37" t="s">
        <v>89</v>
      </c>
      <c r="E15" s="38" t="s">
        <v>27</v>
      </c>
      <c r="F15" s="39">
        <v>1067</v>
      </c>
      <c r="G15" s="40"/>
      <c r="H15" s="41"/>
      <c r="I15" s="41"/>
    </row>
    <row r="16" ht="12.75" customHeight="1" spans="1:9" x14ac:dyDescent="0.25">
      <c r="A16" s="35" t="s">
        <v>75</v>
      </c>
      <c r="B16" s="35" t="s">
        <v>50</v>
      </c>
      <c r="C16" s="36" t="s">
        <v>76</v>
      </c>
      <c r="D16" s="37" t="s">
        <v>90</v>
      </c>
      <c r="E16" s="38" t="s">
        <v>27</v>
      </c>
      <c r="F16" s="39">
        <v>1100</v>
      </c>
      <c r="G16" s="40"/>
      <c r="H16" s="41"/>
      <c r="I16" s="41"/>
    </row>
    <row r="17" ht="12.75" customHeight="1" spans="1:9" x14ac:dyDescent="0.25">
      <c r="A17" s="35" t="s">
        <v>75</v>
      </c>
      <c r="B17" s="35" t="s">
        <v>50</v>
      </c>
      <c r="C17" s="36" t="s">
        <v>76</v>
      </c>
      <c r="D17" s="37" t="s">
        <v>91</v>
      </c>
      <c r="E17" s="38" t="s">
        <v>27</v>
      </c>
      <c r="F17" s="39">
        <v>1505</v>
      </c>
      <c r="G17" s="40"/>
      <c r="H17" s="41"/>
      <c r="I17" s="41"/>
    </row>
    <row r="18" ht="12.75" customHeight="1" spans="1:9" x14ac:dyDescent="0.25">
      <c r="A18" s="35" t="s">
        <v>75</v>
      </c>
      <c r="B18" s="35" t="s">
        <v>50</v>
      </c>
      <c r="C18" s="36" t="s">
        <v>76</v>
      </c>
      <c r="D18" s="37" t="s">
        <v>92</v>
      </c>
      <c r="E18" s="38" t="s">
        <v>27</v>
      </c>
      <c r="F18" s="39">
        <v>1756</v>
      </c>
      <c r="G18" s="40"/>
      <c r="H18" s="41"/>
      <c r="I18" s="41"/>
    </row>
    <row r="19" ht="12.75" customHeight="1" spans="1:9" x14ac:dyDescent="0.25">
      <c r="A19" s="35" t="s">
        <v>75</v>
      </c>
      <c r="B19" s="35" t="s">
        <v>50</v>
      </c>
      <c r="C19" s="36" t="s">
        <v>76</v>
      </c>
      <c r="D19" s="37" t="s">
        <v>93</v>
      </c>
      <c r="E19" s="38" t="s">
        <v>27</v>
      </c>
      <c r="F19" s="39">
        <v>1758</v>
      </c>
      <c r="G19" s="40"/>
      <c r="H19" s="41"/>
      <c r="I19" s="41"/>
    </row>
    <row r="20" ht="12.75" customHeight="1" spans="1:9" x14ac:dyDescent="0.25">
      <c r="A20" s="35" t="s">
        <v>75</v>
      </c>
      <c r="B20" s="35" t="s">
        <v>54</v>
      </c>
      <c r="C20" s="36" t="s">
        <v>81</v>
      </c>
      <c r="D20" s="37" t="s">
        <v>94</v>
      </c>
      <c r="E20" s="38" t="s">
        <v>27</v>
      </c>
      <c r="F20" s="39">
        <v>214</v>
      </c>
      <c r="G20" s="40"/>
      <c r="H20" s="41"/>
      <c r="I20" s="41"/>
    </row>
    <row r="21" ht="12.75" customHeight="1" spans="1:9" x14ac:dyDescent="0.25">
      <c r="A21" s="35" t="s">
        <v>75</v>
      </c>
      <c r="B21" s="35" t="s">
        <v>54</v>
      </c>
      <c r="C21" s="36" t="s">
        <v>81</v>
      </c>
      <c r="D21" s="37" t="s">
        <v>82</v>
      </c>
      <c r="E21" s="38" t="s">
        <v>27</v>
      </c>
      <c r="F21" s="39">
        <v>1067</v>
      </c>
      <c r="G21" s="40"/>
      <c r="H21" s="41"/>
      <c r="I21" s="41"/>
    </row>
    <row r="22" ht="12.75" customHeight="1" spans="1:9" x14ac:dyDescent="0.25">
      <c r="A22" s="35" t="s">
        <v>75</v>
      </c>
      <c r="B22" s="35" t="s">
        <v>54</v>
      </c>
      <c r="C22" s="36" t="s">
        <v>81</v>
      </c>
      <c r="D22" s="37" t="s">
        <v>83</v>
      </c>
      <c r="E22" s="38" t="s">
        <v>27</v>
      </c>
      <c r="F22" s="39">
        <v>1100</v>
      </c>
      <c r="G22" s="40"/>
      <c r="H22" s="41"/>
      <c r="I22" s="41"/>
    </row>
    <row r="23" ht="12.75" customHeight="1" spans="1:9" x14ac:dyDescent="0.25">
      <c r="A23" s="35" t="s">
        <v>75</v>
      </c>
      <c r="B23" s="35" t="s">
        <v>54</v>
      </c>
      <c r="C23" s="36" t="s">
        <v>81</v>
      </c>
      <c r="D23" s="37" t="s">
        <v>84</v>
      </c>
      <c r="E23" s="38" t="s">
        <v>27</v>
      </c>
      <c r="F23" s="39">
        <v>1505</v>
      </c>
      <c r="G23" s="40"/>
      <c r="H23" s="41"/>
      <c r="I23" s="41"/>
    </row>
    <row r="24" ht="12.75" customHeight="1" spans="1:9" x14ac:dyDescent="0.25">
      <c r="A24" s="35" t="s">
        <v>75</v>
      </c>
      <c r="B24" s="35" t="s">
        <v>54</v>
      </c>
      <c r="C24" s="36" t="s">
        <v>81</v>
      </c>
      <c r="D24" s="37" t="s">
        <v>85</v>
      </c>
      <c r="E24" s="38" t="s">
        <v>27</v>
      </c>
      <c r="F24" s="39">
        <v>1756</v>
      </c>
      <c r="G24" s="40"/>
      <c r="H24" s="41"/>
      <c r="I24" s="41"/>
    </row>
    <row r="25" ht="12.75" customHeight="1" spans="1:9" x14ac:dyDescent="0.25">
      <c r="A25" s="35" t="s">
        <v>75</v>
      </c>
      <c r="B25" s="35" t="s">
        <v>54</v>
      </c>
      <c r="C25" s="36" t="s">
        <v>81</v>
      </c>
      <c r="D25" s="37" t="s">
        <v>86</v>
      </c>
      <c r="E25" s="38" t="s">
        <v>27</v>
      </c>
      <c r="F25" s="39">
        <v>1758</v>
      </c>
      <c r="G25" s="40"/>
      <c r="H25" s="41"/>
      <c r="I25" s="41"/>
    </row>
    <row r="26" ht="12.75" customHeight="1" spans="1:9" x14ac:dyDescent="0.25">
      <c r="A26" s="35" t="s">
        <v>75</v>
      </c>
      <c r="B26" s="35" t="s">
        <v>59</v>
      </c>
      <c r="C26" s="36" t="s">
        <v>76</v>
      </c>
      <c r="D26" s="37" t="s">
        <v>87</v>
      </c>
      <c r="E26" s="38" t="s">
        <v>27</v>
      </c>
      <c r="F26" s="39">
        <v>7356</v>
      </c>
      <c r="G26" s="40"/>
      <c r="H26" s="41"/>
      <c r="I26" s="41"/>
    </row>
    <row r="27" ht="12.75" customHeight="1" spans="1:9" x14ac:dyDescent="0.25">
      <c r="A27" s="35" t="s">
        <v>75</v>
      </c>
      <c r="B27" s="35" t="s">
        <v>47</v>
      </c>
      <c r="C27" s="36" t="s">
        <v>76</v>
      </c>
      <c r="D27" s="37" t="s">
        <v>77</v>
      </c>
      <c r="E27" s="38" t="s">
        <v>27</v>
      </c>
      <c r="F27" s="39">
        <v>10535</v>
      </c>
      <c r="G27" s="40"/>
      <c r="H27" s="41"/>
      <c r="I27" s="41"/>
    </row>
    <row r="28" ht="12.75" customHeight="1" spans="1:9" x14ac:dyDescent="0.25">
      <c r="A28" s="35" t="s">
        <v>75</v>
      </c>
      <c r="B28" s="35" t="s">
        <v>48</v>
      </c>
      <c r="C28" s="36" t="s">
        <v>76</v>
      </c>
      <c r="D28" s="37" t="s">
        <v>80</v>
      </c>
      <c r="E28" s="38" t="s">
        <v>27</v>
      </c>
      <c r="F28" s="39">
        <v>10535</v>
      </c>
      <c r="G28" s="40"/>
      <c r="H28" s="41"/>
      <c r="I28" s="41"/>
    </row>
    <row r="29" ht="12.75" customHeight="1" spans="1:9" x14ac:dyDescent="0.25">
      <c r="A29" s="35" t="s">
        <v>75</v>
      </c>
      <c r="B29" s="35" t="s">
        <v>50</v>
      </c>
      <c r="C29" s="36" t="s">
        <v>76</v>
      </c>
      <c r="D29" s="37" t="s">
        <v>90</v>
      </c>
      <c r="E29" s="38" t="s">
        <v>27</v>
      </c>
      <c r="F29" s="39">
        <v>1786</v>
      </c>
      <c r="G29" s="40"/>
      <c r="H29" s="41"/>
      <c r="I29" s="41"/>
    </row>
    <row r="30" ht="12.75" customHeight="1" spans="1:9" x14ac:dyDescent="0.25">
      <c r="A30" s="35" t="s">
        <v>75</v>
      </c>
      <c r="B30" s="35" t="s">
        <v>50</v>
      </c>
      <c r="C30" s="36" t="s">
        <v>76</v>
      </c>
      <c r="D30" s="37" t="s">
        <v>89</v>
      </c>
      <c r="E30" s="38" t="s">
        <v>27</v>
      </c>
      <c r="F30" s="39">
        <v>1802</v>
      </c>
      <c r="G30" s="40"/>
      <c r="H30" s="41"/>
      <c r="I30" s="41"/>
    </row>
    <row r="31" ht="12.75" customHeight="1" spans="1:9" x14ac:dyDescent="0.25">
      <c r="A31" s="35" t="s">
        <v>75</v>
      </c>
      <c r="B31" s="35" t="s">
        <v>50</v>
      </c>
      <c r="C31" s="36" t="s">
        <v>76</v>
      </c>
      <c r="D31" s="37" t="s">
        <v>91</v>
      </c>
      <c r="E31" s="38" t="s">
        <v>27</v>
      </c>
      <c r="F31" s="39">
        <v>1945</v>
      </c>
      <c r="G31" s="40"/>
      <c r="H31" s="41"/>
      <c r="I31" s="41"/>
    </row>
    <row r="32" ht="12.75" customHeight="1" spans="1:9" x14ac:dyDescent="0.25">
      <c r="A32" s="35" t="s">
        <v>75</v>
      </c>
      <c r="B32" s="35" t="s">
        <v>50</v>
      </c>
      <c r="C32" s="36" t="s">
        <v>76</v>
      </c>
      <c r="D32" s="37" t="s">
        <v>92</v>
      </c>
      <c r="E32" s="38" t="s">
        <v>27</v>
      </c>
      <c r="F32" s="39">
        <v>2350</v>
      </c>
      <c r="G32" s="40"/>
      <c r="H32" s="41"/>
      <c r="I32" s="41"/>
    </row>
    <row r="33" ht="12.75" customHeight="1" spans="1:9" x14ac:dyDescent="0.25">
      <c r="A33" s="35" t="s">
        <v>75</v>
      </c>
      <c r="B33" s="35" t="s">
        <v>50</v>
      </c>
      <c r="C33" s="36" t="s">
        <v>76</v>
      </c>
      <c r="D33" s="37" t="s">
        <v>93</v>
      </c>
      <c r="E33" s="38" t="s">
        <v>27</v>
      </c>
      <c r="F33" s="39">
        <v>2654</v>
      </c>
      <c r="G33" s="40"/>
      <c r="H33" s="41"/>
      <c r="I33" s="41"/>
    </row>
    <row r="34" ht="12.75" customHeight="1" spans="1:9" x14ac:dyDescent="0.25">
      <c r="A34" s="35" t="s">
        <v>75</v>
      </c>
      <c r="B34" s="35" t="s">
        <v>54</v>
      </c>
      <c r="C34" s="36" t="s">
        <v>81</v>
      </c>
      <c r="D34" s="37" t="s">
        <v>83</v>
      </c>
      <c r="E34" s="38" t="s">
        <v>27</v>
      </c>
      <c r="F34" s="39">
        <v>1786</v>
      </c>
      <c r="G34" s="40"/>
      <c r="H34" s="41"/>
      <c r="I34" s="41"/>
    </row>
    <row r="35" ht="12.75" customHeight="1" spans="1:9" x14ac:dyDescent="0.25">
      <c r="A35" s="35" t="s">
        <v>75</v>
      </c>
      <c r="B35" s="35" t="s">
        <v>54</v>
      </c>
      <c r="C35" s="36" t="s">
        <v>81</v>
      </c>
      <c r="D35" s="37" t="s">
        <v>82</v>
      </c>
      <c r="E35" s="38" t="s">
        <v>27</v>
      </c>
      <c r="F35" s="39">
        <v>1802</v>
      </c>
      <c r="G35" s="40"/>
      <c r="H35" s="41"/>
      <c r="I35" s="41"/>
    </row>
    <row r="36" ht="12.75" customHeight="1" spans="1:9" x14ac:dyDescent="0.25">
      <c r="A36" s="35" t="s">
        <v>75</v>
      </c>
      <c r="B36" s="35" t="s">
        <v>54</v>
      </c>
      <c r="C36" s="36" t="s">
        <v>81</v>
      </c>
      <c r="D36" s="37" t="s">
        <v>84</v>
      </c>
      <c r="E36" s="38" t="s">
        <v>27</v>
      </c>
      <c r="F36" s="39">
        <v>1945</v>
      </c>
      <c r="G36" s="40"/>
      <c r="H36" s="41"/>
      <c r="I36" s="41"/>
    </row>
    <row r="37" ht="12.75" customHeight="1" spans="1:9" x14ac:dyDescent="0.25">
      <c r="A37" s="35" t="s">
        <v>75</v>
      </c>
      <c r="B37" s="35" t="s">
        <v>54</v>
      </c>
      <c r="C37" s="36" t="s">
        <v>81</v>
      </c>
      <c r="D37" s="37" t="s">
        <v>85</v>
      </c>
      <c r="E37" s="38" t="s">
        <v>27</v>
      </c>
      <c r="F37" s="39">
        <v>2350</v>
      </c>
      <c r="G37" s="40"/>
      <c r="H37" s="41"/>
      <c r="I37" s="41"/>
    </row>
    <row r="38" ht="12.75" customHeight="1" spans="1:9" x14ac:dyDescent="0.25">
      <c r="A38" s="35" t="s">
        <v>75</v>
      </c>
      <c r="B38" s="35" t="s">
        <v>54</v>
      </c>
      <c r="C38" s="36" t="s">
        <v>81</v>
      </c>
      <c r="D38" s="37" t="s">
        <v>86</v>
      </c>
      <c r="E38" s="38" t="s">
        <v>27</v>
      </c>
      <c r="F38" s="39">
        <v>2654</v>
      </c>
      <c r="G38" s="40"/>
      <c r="H38" s="41"/>
      <c r="I38" s="41"/>
    </row>
    <row r="39" ht="12.75" customHeight="1" spans="1:9" x14ac:dyDescent="0.25">
      <c r="A39" s="35" t="s">
        <v>75</v>
      </c>
      <c r="B39" s="35" t="s">
        <v>59</v>
      </c>
      <c r="C39" s="36" t="s">
        <v>76</v>
      </c>
      <c r="D39" s="37" t="s">
        <v>87</v>
      </c>
      <c r="E39" s="38" t="s">
        <v>27</v>
      </c>
      <c r="F39" s="39">
        <v>10503</v>
      </c>
      <c r="G39" s="40"/>
      <c r="H39" s="41"/>
      <c r="I39" s="41"/>
    </row>
    <row r="40" ht="12.75" customHeight="1" spans="1:9" x14ac:dyDescent="0.25">
      <c r="A40" s="35" t="s">
        <v>75</v>
      </c>
      <c r="B40" s="35" t="s">
        <v>47</v>
      </c>
      <c r="C40" s="36" t="s">
        <v>76</v>
      </c>
      <c r="D40" s="37" t="s">
        <v>77</v>
      </c>
      <c r="E40" s="38" t="s">
        <v>27</v>
      </c>
      <c r="F40" s="39">
        <v>4236</v>
      </c>
      <c r="G40" s="40"/>
      <c r="H40" s="41"/>
      <c r="I40" s="41"/>
    </row>
    <row r="41" ht="12.75" customHeight="1" spans="1:9" x14ac:dyDescent="0.25">
      <c r="A41" s="35" t="s">
        <v>75</v>
      </c>
      <c r="B41" s="35" t="s">
        <v>48</v>
      </c>
      <c r="C41" s="36" t="s">
        <v>76</v>
      </c>
      <c r="D41" s="37" t="s">
        <v>80</v>
      </c>
      <c r="E41" s="38" t="s">
        <v>27</v>
      </c>
      <c r="F41" s="39">
        <v>4236</v>
      </c>
      <c r="G41" s="40"/>
      <c r="H41" s="41"/>
      <c r="I41" s="41"/>
    </row>
    <row r="42" ht="12.75" customHeight="1" spans="1:9" x14ac:dyDescent="0.25">
      <c r="A42" s="35" t="s">
        <v>75</v>
      </c>
      <c r="B42" s="35" t="s">
        <v>50</v>
      </c>
      <c r="C42" s="36" t="s">
        <v>76</v>
      </c>
      <c r="D42" s="37" t="s">
        <v>93</v>
      </c>
      <c r="E42" s="38" t="s">
        <v>27</v>
      </c>
      <c r="F42" s="39">
        <v>752</v>
      </c>
      <c r="G42" s="40"/>
      <c r="H42" s="41"/>
      <c r="I42" s="41"/>
    </row>
    <row r="43" ht="12.75" customHeight="1" spans="1:9" x14ac:dyDescent="0.25">
      <c r="A43" s="35" t="s">
        <v>75</v>
      </c>
      <c r="B43" s="35" t="s">
        <v>50</v>
      </c>
      <c r="C43" s="36" t="s">
        <v>76</v>
      </c>
      <c r="D43" s="37" t="s">
        <v>90</v>
      </c>
      <c r="E43" s="38" t="s">
        <v>27</v>
      </c>
      <c r="F43" s="39">
        <v>1742</v>
      </c>
      <c r="G43" s="40"/>
      <c r="H43" s="41"/>
      <c r="I43" s="41"/>
    </row>
    <row r="44" ht="12.75" customHeight="1" spans="1:9" x14ac:dyDescent="0.25">
      <c r="A44" s="35" t="s">
        <v>75</v>
      </c>
      <c r="B44" s="35" t="s">
        <v>50</v>
      </c>
      <c r="C44" s="36" t="s">
        <v>76</v>
      </c>
      <c r="D44" s="37" t="s">
        <v>92</v>
      </c>
      <c r="E44" s="38" t="s">
        <v>27</v>
      </c>
      <c r="F44" s="39">
        <v>1742</v>
      </c>
      <c r="G44" s="40"/>
      <c r="H44" s="41"/>
      <c r="I44" s="41"/>
    </row>
    <row r="45" ht="12.75" customHeight="1" spans="1:9" x14ac:dyDescent="0.25">
      <c r="A45" s="35" t="s">
        <v>75</v>
      </c>
      <c r="B45" s="35" t="s">
        <v>54</v>
      </c>
      <c r="C45" s="36" t="s">
        <v>81</v>
      </c>
      <c r="D45" s="37" t="s">
        <v>86</v>
      </c>
      <c r="E45" s="38" t="s">
        <v>27</v>
      </c>
      <c r="F45" s="39">
        <v>752</v>
      </c>
      <c r="G45" s="40"/>
      <c r="H45" s="41"/>
      <c r="I45" s="41"/>
    </row>
    <row r="46" ht="12.75" customHeight="1" spans="1:9" x14ac:dyDescent="0.25">
      <c r="A46" s="35" t="s">
        <v>75</v>
      </c>
      <c r="B46" s="35" t="s">
        <v>54</v>
      </c>
      <c r="C46" s="36" t="s">
        <v>81</v>
      </c>
      <c r="D46" s="37" t="s">
        <v>83</v>
      </c>
      <c r="E46" s="38" t="s">
        <v>27</v>
      </c>
      <c r="F46" s="39">
        <v>1742</v>
      </c>
      <c r="G46" s="40"/>
      <c r="H46" s="41"/>
      <c r="I46" s="41"/>
    </row>
    <row r="47" ht="12.75" customHeight="1" spans="1:9" x14ac:dyDescent="0.25">
      <c r="A47" s="35" t="s">
        <v>75</v>
      </c>
      <c r="B47" s="35" t="s">
        <v>54</v>
      </c>
      <c r="C47" s="36" t="s">
        <v>81</v>
      </c>
      <c r="D47" s="37" t="s">
        <v>85</v>
      </c>
      <c r="E47" s="38" t="s">
        <v>27</v>
      </c>
      <c r="F47" s="39">
        <v>1742</v>
      </c>
      <c r="G47" s="40"/>
      <c r="H47" s="41"/>
      <c r="I47" s="41"/>
    </row>
    <row r="48" ht="12.75" customHeight="1" spans="1:9" x14ac:dyDescent="0.25">
      <c r="A48" s="35" t="s">
        <v>75</v>
      </c>
      <c r="B48" s="35" t="s">
        <v>59</v>
      </c>
      <c r="C48" s="36" t="s">
        <v>76</v>
      </c>
      <c r="D48" s="37" t="s">
        <v>87</v>
      </c>
      <c r="E48" s="38" t="s">
        <v>27</v>
      </c>
      <c r="F48" s="39">
        <v>4204</v>
      </c>
      <c r="G48" s="40"/>
      <c r="H48" s="41"/>
      <c r="I48" s="41"/>
    </row>
    <row r="49" ht="12.75" customHeight="1" spans="1:9" x14ac:dyDescent="0.25">
      <c r="A49" s="35" t="s">
        <v>75</v>
      </c>
      <c r="B49" s="35" t="s">
        <v>47</v>
      </c>
      <c r="C49" s="36" t="s">
        <v>76</v>
      </c>
      <c r="D49" s="37" t="s">
        <v>77</v>
      </c>
      <c r="E49" s="38" t="s">
        <v>27</v>
      </c>
      <c r="F49" s="39">
        <v>4234</v>
      </c>
      <c r="G49" s="40"/>
      <c r="H49" s="41"/>
      <c r="I49" s="41"/>
    </row>
    <row r="50" ht="12.75" customHeight="1" spans="1:9" x14ac:dyDescent="0.25">
      <c r="A50" s="35" t="s">
        <v>75</v>
      </c>
      <c r="B50" s="35" t="s">
        <v>48</v>
      </c>
      <c r="C50" s="36" t="s">
        <v>76</v>
      </c>
      <c r="D50" s="37" t="s">
        <v>80</v>
      </c>
      <c r="E50" s="38" t="s">
        <v>27</v>
      </c>
      <c r="F50" s="39">
        <v>4234</v>
      </c>
      <c r="G50" s="40"/>
      <c r="H50" s="41"/>
      <c r="I50" s="41"/>
    </row>
    <row r="51" ht="12.75" customHeight="1" spans="1:9" x14ac:dyDescent="0.25">
      <c r="A51" s="35" t="s">
        <v>75</v>
      </c>
      <c r="B51" s="35" t="s">
        <v>50</v>
      </c>
      <c r="C51" s="36" t="s">
        <v>76</v>
      </c>
      <c r="D51" s="37" t="s">
        <v>90</v>
      </c>
      <c r="E51" s="38" t="s">
        <v>27</v>
      </c>
      <c r="F51" s="39">
        <v>287</v>
      </c>
      <c r="G51" s="40"/>
      <c r="H51" s="41"/>
      <c r="I51" s="41"/>
    </row>
    <row r="52" ht="12.75" customHeight="1" spans="1:9" x14ac:dyDescent="0.25">
      <c r="A52" s="35" t="s">
        <v>75</v>
      </c>
      <c r="B52" s="35" t="s">
        <v>50</v>
      </c>
      <c r="C52" s="36" t="s">
        <v>76</v>
      </c>
      <c r="D52" s="37" t="s">
        <v>89</v>
      </c>
      <c r="E52" s="38" t="s">
        <v>27</v>
      </c>
      <c r="F52" s="39">
        <v>710</v>
      </c>
      <c r="G52" s="40"/>
      <c r="H52" s="41"/>
      <c r="I52" s="41"/>
    </row>
    <row r="53" ht="12.75" customHeight="1" spans="1:9" x14ac:dyDescent="0.25">
      <c r="A53" s="35" t="s">
        <v>75</v>
      </c>
      <c r="B53" s="35" t="s">
        <v>50</v>
      </c>
      <c r="C53" s="36" t="s">
        <v>76</v>
      </c>
      <c r="D53" s="37" t="s">
        <v>92</v>
      </c>
      <c r="E53" s="38" t="s">
        <v>27</v>
      </c>
      <c r="F53" s="39">
        <v>863</v>
      </c>
      <c r="G53" s="40"/>
      <c r="H53" s="41"/>
      <c r="I53" s="41"/>
    </row>
    <row r="54" ht="12.75" customHeight="1" spans="1:9" x14ac:dyDescent="0.25">
      <c r="A54" s="35" t="s">
        <v>75</v>
      </c>
      <c r="B54" s="35" t="s">
        <v>50</v>
      </c>
      <c r="C54" s="36" t="s">
        <v>76</v>
      </c>
      <c r="D54" s="37" t="s">
        <v>91</v>
      </c>
      <c r="E54" s="38" t="s">
        <v>27</v>
      </c>
      <c r="F54" s="39">
        <v>1101</v>
      </c>
      <c r="G54" s="40"/>
      <c r="H54" s="41"/>
      <c r="I54" s="41"/>
    </row>
    <row r="55" ht="12.75" customHeight="1" spans="1:9" x14ac:dyDescent="0.25">
      <c r="A55" s="35" t="s">
        <v>75</v>
      </c>
      <c r="B55" s="35" t="s">
        <v>50</v>
      </c>
      <c r="C55" s="36" t="s">
        <v>76</v>
      </c>
      <c r="D55" s="37" t="s">
        <v>93</v>
      </c>
      <c r="E55" s="38" t="s">
        <v>27</v>
      </c>
      <c r="F55" s="39">
        <v>1276</v>
      </c>
      <c r="G55" s="40"/>
      <c r="H55" s="41"/>
      <c r="I55" s="41"/>
    </row>
    <row r="56" ht="12.75" customHeight="1" spans="1:9" x14ac:dyDescent="0.25">
      <c r="A56" s="35" t="s">
        <v>75</v>
      </c>
      <c r="B56" s="35" t="s">
        <v>54</v>
      </c>
      <c r="C56" s="36" t="s">
        <v>81</v>
      </c>
      <c r="D56" s="37" t="s">
        <v>83</v>
      </c>
      <c r="E56" s="38" t="s">
        <v>27</v>
      </c>
      <c r="F56" s="39">
        <v>287</v>
      </c>
      <c r="G56" s="40"/>
      <c r="H56" s="41"/>
      <c r="I56" s="41"/>
    </row>
    <row r="57" ht="12.75" customHeight="1" spans="1:9" x14ac:dyDescent="0.25">
      <c r="A57" s="35" t="s">
        <v>75</v>
      </c>
      <c r="B57" s="35" t="s">
        <v>54</v>
      </c>
      <c r="C57" s="36" t="s">
        <v>81</v>
      </c>
      <c r="D57" s="37" t="s">
        <v>82</v>
      </c>
      <c r="E57" s="38" t="s">
        <v>27</v>
      </c>
      <c r="F57" s="39">
        <v>710</v>
      </c>
      <c r="G57" s="40"/>
      <c r="H57" s="41"/>
      <c r="I57" s="41"/>
    </row>
    <row r="58" ht="12.75" customHeight="1" spans="1:9" x14ac:dyDescent="0.25">
      <c r="A58" s="35" t="s">
        <v>75</v>
      </c>
      <c r="B58" s="35" t="s">
        <v>54</v>
      </c>
      <c r="C58" s="36" t="s">
        <v>81</v>
      </c>
      <c r="D58" s="37" t="s">
        <v>85</v>
      </c>
      <c r="E58" s="38" t="s">
        <v>27</v>
      </c>
      <c r="F58" s="39">
        <v>863</v>
      </c>
      <c r="G58" s="40"/>
      <c r="H58" s="41"/>
      <c r="I58" s="41"/>
    </row>
    <row r="59" ht="12.75" customHeight="1" spans="1:9" x14ac:dyDescent="0.25">
      <c r="A59" s="35" t="s">
        <v>75</v>
      </c>
      <c r="B59" s="35" t="s">
        <v>54</v>
      </c>
      <c r="C59" s="36" t="s">
        <v>81</v>
      </c>
      <c r="D59" s="37" t="s">
        <v>84</v>
      </c>
      <c r="E59" s="38" t="s">
        <v>27</v>
      </c>
      <c r="F59" s="39">
        <v>1101</v>
      </c>
      <c r="G59" s="40"/>
      <c r="H59" s="41"/>
      <c r="I59" s="41"/>
    </row>
    <row r="60" ht="12.75" customHeight="1" spans="1:9" x14ac:dyDescent="0.25">
      <c r="A60" s="35" t="s">
        <v>75</v>
      </c>
      <c r="B60" s="35" t="s">
        <v>54</v>
      </c>
      <c r="C60" s="36" t="s">
        <v>81</v>
      </c>
      <c r="D60" s="37" t="s">
        <v>86</v>
      </c>
      <c r="E60" s="38" t="s">
        <v>27</v>
      </c>
      <c r="F60" s="39">
        <v>1276</v>
      </c>
      <c r="G60" s="40"/>
      <c r="H60" s="41"/>
      <c r="I60" s="41"/>
    </row>
    <row r="61" ht="12.75" customHeight="1" spans="1:9" x14ac:dyDescent="0.25">
      <c r="A61" s="35" t="s">
        <v>75</v>
      </c>
      <c r="B61" s="35" t="s">
        <v>59</v>
      </c>
      <c r="C61" s="36" t="s">
        <v>76</v>
      </c>
      <c r="D61" s="37" t="s">
        <v>87</v>
      </c>
      <c r="E61" s="38" t="s">
        <v>27</v>
      </c>
      <c r="F61" s="39">
        <v>4202</v>
      </c>
      <c r="G61" s="40"/>
      <c r="H61" s="41"/>
      <c r="I61" s="41"/>
    </row>
    <row r="62" ht="12.75" customHeight="1" spans="1:9" x14ac:dyDescent="0.25">
      <c r="A62" s="35" t="s">
        <v>75</v>
      </c>
      <c r="B62" s="35" t="s">
        <v>47</v>
      </c>
      <c r="C62" s="36" t="s">
        <v>76</v>
      </c>
      <c r="D62" s="37" t="s">
        <v>77</v>
      </c>
      <c r="E62" s="38" t="s">
        <v>27</v>
      </c>
      <c r="F62" s="39">
        <v>2121</v>
      </c>
      <c r="G62" s="40"/>
      <c r="H62" s="41"/>
      <c r="I62" s="41"/>
    </row>
    <row r="63" ht="12.75" customHeight="1" spans="1:9" x14ac:dyDescent="0.25">
      <c r="A63" s="35" t="s">
        <v>75</v>
      </c>
      <c r="B63" s="35" t="s">
        <v>48</v>
      </c>
      <c r="C63" s="36" t="s">
        <v>76</v>
      </c>
      <c r="D63" s="37" t="s">
        <v>80</v>
      </c>
      <c r="E63" s="38" t="s">
        <v>27</v>
      </c>
      <c r="F63" s="39">
        <v>2121</v>
      </c>
      <c r="G63" s="40"/>
      <c r="H63" s="41"/>
      <c r="I63" s="41"/>
    </row>
    <row r="64" ht="12.75" customHeight="1" spans="1:9" x14ac:dyDescent="0.25">
      <c r="A64" s="35" t="s">
        <v>75</v>
      </c>
      <c r="B64" s="35" t="s">
        <v>50</v>
      </c>
      <c r="C64" s="36" t="s">
        <v>76</v>
      </c>
      <c r="D64" s="37" t="s">
        <v>93</v>
      </c>
      <c r="E64" s="38" t="s">
        <v>27</v>
      </c>
      <c r="F64" s="39">
        <v>505</v>
      </c>
      <c r="G64" s="40"/>
      <c r="H64" s="41"/>
      <c r="I64" s="41"/>
    </row>
    <row r="65" ht="12.75" customHeight="1" spans="1:9" x14ac:dyDescent="0.25">
      <c r="A65" s="35" t="s">
        <v>75</v>
      </c>
      <c r="B65" s="35" t="s">
        <v>50</v>
      </c>
      <c r="C65" s="36" t="s">
        <v>76</v>
      </c>
      <c r="D65" s="37" t="s">
        <v>90</v>
      </c>
      <c r="E65" s="38" t="s">
        <v>27</v>
      </c>
      <c r="F65" s="39">
        <v>780</v>
      </c>
      <c r="G65" s="40"/>
      <c r="H65" s="41"/>
      <c r="I65" s="41"/>
    </row>
    <row r="66" ht="12.75" customHeight="1" spans="1:9" x14ac:dyDescent="0.25">
      <c r="A66" s="35" t="s">
        <v>75</v>
      </c>
      <c r="B66" s="35" t="s">
        <v>50</v>
      </c>
      <c r="C66" s="36" t="s">
        <v>76</v>
      </c>
      <c r="D66" s="37" t="s">
        <v>92</v>
      </c>
      <c r="E66" s="38" t="s">
        <v>27</v>
      </c>
      <c r="F66" s="39">
        <v>838</v>
      </c>
      <c r="G66" s="40"/>
      <c r="H66" s="41"/>
      <c r="I66" s="41"/>
    </row>
    <row r="67" ht="12.75" customHeight="1" spans="1:9" x14ac:dyDescent="0.25">
      <c r="A67" s="35" t="s">
        <v>75</v>
      </c>
      <c r="B67" s="35" t="s">
        <v>54</v>
      </c>
      <c r="C67" s="36" t="s">
        <v>81</v>
      </c>
      <c r="D67" s="37" t="s">
        <v>86</v>
      </c>
      <c r="E67" s="38" t="s">
        <v>27</v>
      </c>
      <c r="F67" s="39">
        <v>505</v>
      </c>
      <c r="G67" s="40"/>
      <c r="H67" s="41"/>
      <c r="I67" s="41"/>
    </row>
    <row r="68" ht="12.75" customHeight="1" spans="1:9" x14ac:dyDescent="0.25">
      <c r="A68" s="35" t="s">
        <v>75</v>
      </c>
      <c r="B68" s="35" t="s">
        <v>54</v>
      </c>
      <c r="C68" s="36" t="s">
        <v>81</v>
      </c>
      <c r="D68" s="37" t="s">
        <v>83</v>
      </c>
      <c r="E68" s="38" t="s">
        <v>27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75</v>
      </c>
      <c r="B69" s="35" t="s">
        <v>54</v>
      </c>
      <c r="C69" s="36" t="s">
        <v>81</v>
      </c>
      <c r="D69" s="37" t="s">
        <v>85</v>
      </c>
      <c r="E69" s="38" t="s">
        <v>27</v>
      </c>
      <c r="F69" s="39">
        <v>838</v>
      </c>
      <c r="G69" s="40"/>
      <c r="H69" s="41"/>
      <c r="I69" s="41"/>
    </row>
    <row r="70" ht="12.75" customHeight="1" spans="1:9" x14ac:dyDescent="0.25">
      <c r="A70" s="35" t="s">
        <v>75</v>
      </c>
      <c r="B70" s="35" t="s">
        <v>59</v>
      </c>
      <c r="C70" s="36" t="s">
        <v>76</v>
      </c>
      <c r="D70" s="37" t="s">
        <v>87</v>
      </c>
      <c r="E70" s="38" t="s">
        <v>27</v>
      </c>
      <c r="F70" s="39">
        <v>2103</v>
      </c>
      <c r="G70" s="40"/>
      <c r="H70" s="41"/>
      <c r="I70" s="41"/>
    </row>
    <row r="71" ht="12.75" customHeight="1" spans="1:9" x14ac:dyDescent="0.25">
      <c r="A71" s="35" t="s">
        <v>75</v>
      </c>
      <c r="B71" s="35" t="s">
        <v>47</v>
      </c>
      <c r="C71" s="36" t="s">
        <v>76</v>
      </c>
      <c r="D71" s="37" t="s">
        <v>77</v>
      </c>
      <c r="E71" s="38" t="s">
        <v>27</v>
      </c>
      <c r="F71" s="39">
        <v>1062</v>
      </c>
      <c r="G71" s="40"/>
      <c r="H71" s="41"/>
      <c r="I71" s="41"/>
    </row>
    <row r="72" ht="12.75" customHeight="1" spans="1:9" x14ac:dyDescent="0.25">
      <c r="A72" s="35" t="s">
        <v>75</v>
      </c>
      <c r="B72" s="35" t="s">
        <v>48</v>
      </c>
      <c r="C72" s="36" t="s">
        <v>76</v>
      </c>
      <c r="D72" s="37" t="s">
        <v>80</v>
      </c>
      <c r="E72" s="38" t="s">
        <v>27</v>
      </c>
      <c r="F72" s="39">
        <v>1062</v>
      </c>
      <c r="G72" s="40"/>
      <c r="H72" s="41"/>
      <c r="I72" s="41"/>
    </row>
    <row r="73" ht="12.75" customHeight="1" spans="1:9" x14ac:dyDescent="0.25">
      <c r="A73" s="35" t="s">
        <v>75</v>
      </c>
      <c r="B73" s="35" t="s">
        <v>50</v>
      </c>
      <c r="C73" s="36" t="s">
        <v>76</v>
      </c>
      <c r="D73" s="37" t="s">
        <v>90</v>
      </c>
      <c r="E73" s="38" t="s">
        <v>27</v>
      </c>
      <c r="F73" s="39">
        <v>96</v>
      </c>
      <c r="G73" s="40"/>
      <c r="H73" s="41"/>
      <c r="I73" s="41"/>
    </row>
    <row r="74" ht="12.75" customHeight="1" spans="1:9" x14ac:dyDescent="0.25">
      <c r="A74" s="35" t="s">
        <v>75</v>
      </c>
      <c r="B74" s="35" t="s">
        <v>50</v>
      </c>
      <c r="C74" s="36" t="s">
        <v>76</v>
      </c>
      <c r="D74" s="37" t="s">
        <v>92</v>
      </c>
      <c r="E74" s="38" t="s">
        <v>27</v>
      </c>
      <c r="F74" s="39">
        <v>160</v>
      </c>
      <c r="G74" s="40"/>
      <c r="H74" s="41"/>
      <c r="I74" s="41"/>
    </row>
    <row r="75" ht="12.75" customHeight="1" spans="1:9" x14ac:dyDescent="0.25">
      <c r="A75" s="35" t="s">
        <v>75</v>
      </c>
      <c r="B75" s="35" t="s">
        <v>50</v>
      </c>
      <c r="C75" s="36" t="s">
        <v>76</v>
      </c>
      <c r="D75" s="37" t="s">
        <v>89</v>
      </c>
      <c r="E75" s="38" t="s">
        <v>27</v>
      </c>
      <c r="F75" s="39">
        <v>181</v>
      </c>
      <c r="G75" s="40"/>
      <c r="H75" s="41"/>
      <c r="I75" s="41"/>
    </row>
    <row r="76" ht="12.75" customHeight="1" spans="1:9" x14ac:dyDescent="0.25">
      <c r="A76" s="35" t="s">
        <v>75</v>
      </c>
      <c r="B76" s="35" t="s">
        <v>50</v>
      </c>
      <c r="C76" s="36" t="s">
        <v>76</v>
      </c>
      <c r="D76" s="37" t="s">
        <v>91</v>
      </c>
      <c r="E76" s="38" t="s">
        <v>27</v>
      </c>
      <c r="F76" s="39">
        <v>297</v>
      </c>
      <c r="G76" s="40"/>
      <c r="H76" s="41"/>
      <c r="I76" s="41"/>
    </row>
    <row r="77" ht="12.75" customHeight="1" spans="1:9" x14ac:dyDescent="0.25">
      <c r="A77" s="35" t="s">
        <v>75</v>
      </c>
      <c r="B77" s="35" t="s">
        <v>50</v>
      </c>
      <c r="C77" s="36" t="s">
        <v>76</v>
      </c>
      <c r="D77" s="37" t="s">
        <v>93</v>
      </c>
      <c r="E77" s="38" t="s">
        <v>27</v>
      </c>
      <c r="F77" s="39">
        <v>329</v>
      </c>
      <c r="G77" s="40"/>
      <c r="H77" s="41"/>
      <c r="I77" s="41"/>
    </row>
    <row r="78" ht="12.75" customHeight="1" spans="1:9" x14ac:dyDescent="0.25">
      <c r="A78" s="35" t="s">
        <v>75</v>
      </c>
      <c r="B78" s="35" t="s">
        <v>54</v>
      </c>
      <c r="C78" s="36" t="s">
        <v>81</v>
      </c>
      <c r="D78" s="37" t="s">
        <v>83</v>
      </c>
      <c r="E78" s="38" t="s">
        <v>27</v>
      </c>
      <c r="F78" s="39">
        <v>96</v>
      </c>
      <c r="G78" s="40"/>
      <c r="H78" s="41"/>
      <c r="I78" s="41"/>
    </row>
    <row r="79" ht="12.75" customHeight="1" spans="1:9" x14ac:dyDescent="0.25">
      <c r="A79" s="35" t="s">
        <v>75</v>
      </c>
      <c r="B79" s="35" t="s">
        <v>54</v>
      </c>
      <c r="C79" s="36" t="s">
        <v>81</v>
      </c>
      <c r="D79" s="37" t="s">
        <v>85</v>
      </c>
      <c r="E79" s="38" t="s">
        <v>27</v>
      </c>
      <c r="F79" s="39">
        <v>160</v>
      </c>
      <c r="G79" s="40"/>
      <c r="H79" s="41"/>
      <c r="I79" s="41"/>
    </row>
    <row r="80" ht="12.75" customHeight="1" spans="1:9" x14ac:dyDescent="0.25">
      <c r="A80" s="35" t="s">
        <v>75</v>
      </c>
      <c r="B80" s="35" t="s">
        <v>54</v>
      </c>
      <c r="C80" s="36" t="s">
        <v>81</v>
      </c>
      <c r="D80" s="37" t="s">
        <v>82</v>
      </c>
      <c r="E80" s="38" t="s">
        <v>27</v>
      </c>
      <c r="F80" s="39">
        <v>181</v>
      </c>
      <c r="G80" s="40"/>
      <c r="H80" s="41"/>
      <c r="I80" s="41"/>
    </row>
    <row r="81" ht="12.75" customHeight="1" spans="1:9" x14ac:dyDescent="0.25">
      <c r="A81" s="35" t="s">
        <v>75</v>
      </c>
      <c r="B81" s="35" t="s">
        <v>54</v>
      </c>
      <c r="C81" s="36" t="s">
        <v>81</v>
      </c>
      <c r="D81" s="37" t="s">
        <v>84</v>
      </c>
      <c r="E81" s="38" t="s">
        <v>27</v>
      </c>
      <c r="F81" s="39">
        <v>297</v>
      </c>
      <c r="G81" s="40"/>
      <c r="H81" s="41"/>
      <c r="I81" s="41"/>
    </row>
    <row r="82" ht="12.75" customHeight="1" spans="1:9" x14ac:dyDescent="0.25">
      <c r="A82" s="35" t="s">
        <v>75</v>
      </c>
      <c r="B82" s="35" t="s">
        <v>54</v>
      </c>
      <c r="C82" s="36" t="s">
        <v>81</v>
      </c>
      <c r="D82" s="37" t="s">
        <v>86</v>
      </c>
      <c r="E82" s="38" t="s">
        <v>27</v>
      </c>
      <c r="F82" s="39">
        <v>329</v>
      </c>
      <c r="G82" s="40"/>
      <c r="H82" s="41"/>
      <c r="I82" s="41"/>
    </row>
    <row r="83" ht="12.75" customHeight="1" spans="1:9" x14ac:dyDescent="0.25">
      <c r="A83" s="35" t="s">
        <v>75</v>
      </c>
      <c r="B83" s="35" t="s">
        <v>59</v>
      </c>
      <c r="C83" s="36" t="s">
        <v>76</v>
      </c>
      <c r="D83" s="37" t="s">
        <v>87</v>
      </c>
      <c r="E83" s="38" t="s">
        <v>27</v>
      </c>
      <c r="F83" s="39">
        <v>1052</v>
      </c>
      <c r="G83" s="40"/>
      <c r="H83" s="41"/>
      <c r="I83" s="41"/>
    </row>
    <row r="84" ht="12.75" customHeight="1" spans="1:9" x14ac:dyDescent="0.25">
      <c r="A84" s="35" t="s">
        <v>75</v>
      </c>
      <c r="B84" s="35" t="s">
        <v>47</v>
      </c>
      <c r="C84" s="36" t="s">
        <v>76</v>
      </c>
      <c r="D84" s="37" t="s">
        <v>77</v>
      </c>
      <c r="E84" s="38" t="s">
        <v>27</v>
      </c>
      <c r="F84" s="39">
        <v>2649</v>
      </c>
      <c r="G84" s="40"/>
      <c r="H84" s="41"/>
      <c r="I84" s="41"/>
    </row>
    <row r="85" ht="12.75" customHeight="1" spans="1:9" x14ac:dyDescent="0.25">
      <c r="A85" s="35" t="s">
        <v>75</v>
      </c>
      <c r="B85" s="35" t="s">
        <v>48</v>
      </c>
      <c r="C85" s="36" t="s">
        <v>76</v>
      </c>
      <c r="D85" s="37" t="s">
        <v>80</v>
      </c>
      <c r="E85" s="38" t="s">
        <v>27</v>
      </c>
      <c r="F85" s="39">
        <v>2649</v>
      </c>
      <c r="G85" s="40"/>
      <c r="H85" s="41"/>
      <c r="I85" s="41"/>
    </row>
    <row r="86" ht="12.75" customHeight="1" spans="1:9" x14ac:dyDescent="0.25">
      <c r="A86" s="35" t="s">
        <v>75</v>
      </c>
      <c r="B86" s="35" t="s">
        <v>54</v>
      </c>
      <c r="C86" s="36" t="s">
        <v>81</v>
      </c>
      <c r="D86" s="37" t="s">
        <v>85</v>
      </c>
      <c r="E86" s="38" t="s">
        <v>27</v>
      </c>
      <c r="F86" s="39">
        <v>318</v>
      </c>
      <c r="G86" s="40"/>
      <c r="H86" s="41"/>
      <c r="I86" s="41"/>
    </row>
    <row r="87" ht="12.75" customHeight="1" spans="1:9" x14ac:dyDescent="0.25">
      <c r="A87" s="35" t="s">
        <v>75</v>
      </c>
      <c r="B87" s="35" t="s">
        <v>54</v>
      </c>
      <c r="C87" s="36" t="s">
        <v>81</v>
      </c>
      <c r="D87" s="37" t="s">
        <v>82</v>
      </c>
      <c r="E87" s="38" t="s">
        <v>27</v>
      </c>
      <c r="F87" s="39">
        <v>636</v>
      </c>
      <c r="G87" s="40"/>
      <c r="H87" s="41"/>
      <c r="I87" s="41"/>
    </row>
    <row r="88" ht="12.75" customHeight="1" spans="1:9" x14ac:dyDescent="0.25">
      <c r="A88" s="35" t="s">
        <v>75</v>
      </c>
      <c r="B88" s="35" t="s">
        <v>54</v>
      </c>
      <c r="C88" s="36" t="s">
        <v>81</v>
      </c>
      <c r="D88" s="37" t="s">
        <v>86</v>
      </c>
      <c r="E88" s="38" t="s">
        <v>27</v>
      </c>
      <c r="F88" s="39">
        <v>689</v>
      </c>
      <c r="G88" s="40"/>
      <c r="H88" s="41"/>
      <c r="I88" s="41"/>
    </row>
    <row r="89" ht="12.75" customHeight="1" spans="1:9" x14ac:dyDescent="0.25">
      <c r="A89" s="35" t="s">
        <v>75</v>
      </c>
      <c r="B89" s="35" t="s">
        <v>54</v>
      </c>
      <c r="C89" s="36" t="s">
        <v>81</v>
      </c>
      <c r="D89" s="37" t="s">
        <v>84</v>
      </c>
      <c r="E89" s="38" t="s">
        <v>27</v>
      </c>
      <c r="F89" s="39">
        <v>1007</v>
      </c>
      <c r="G89" s="40"/>
      <c r="H89" s="41"/>
      <c r="I89" s="41"/>
    </row>
    <row r="90" ht="12.75" customHeight="1" spans="1:9" x14ac:dyDescent="0.25">
      <c r="A90" s="35" t="s">
        <v>75</v>
      </c>
      <c r="B90" s="35" t="s">
        <v>59</v>
      </c>
      <c r="C90" s="36" t="s">
        <v>76</v>
      </c>
      <c r="D90" s="37" t="s">
        <v>87</v>
      </c>
      <c r="E90" s="38" t="s">
        <v>27</v>
      </c>
      <c r="F90" s="39">
        <v>2626</v>
      </c>
      <c r="G90" s="40"/>
      <c r="H90" s="41"/>
      <c r="I90" s="41"/>
    </row>
    <row r="91" ht="12.75" customHeight="1" spans="1:9" x14ac:dyDescent="0.25">
      <c r="A91" s="35" t="s">
        <v>75</v>
      </c>
      <c r="B91" s="35" t="s">
        <v>47</v>
      </c>
      <c r="C91" s="36" t="s">
        <v>76</v>
      </c>
      <c r="D91" s="37" t="s">
        <v>77</v>
      </c>
      <c r="E91" s="38" t="s">
        <v>27</v>
      </c>
      <c r="F91" s="39">
        <v>1272</v>
      </c>
      <c r="G91" s="40"/>
      <c r="H91" s="41"/>
      <c r="I91" s="41"/>
    </row>
    <row r="92" ht="12.75" customHeight="1" spans="1:9" x14ac:dyDescent="0.25">
      <c r="A92" s="35" t="s">
        <v>75</v>
      </c>
      <c r="B92" s="35" t="s">
        <v>48</v>
      </c>
      <c r="C92" s="36" t="s">
        <v>76</v>
      </c>
      <c r="D92" s="37" t="s">
        <v>80</v>
      </c>
      <c r="E92" s="38" t="s">
        <v>27</v>
      </c>
      <c r="F92" s="39">
        <v>1272</v>
      </c>
      <c r="G92" s="40"/>
      <c r="H92" s="41"/>
      <c r="I92" s="41"/>
    </row>
    <row r="93" ht="12.75" customHeight="1" spans="1:9" x14ac:dyDescent="0.25">
      <c r="A93" s="35" t="s">
        <v>75</v>
      </c>
      <c r="B93" s="35" t="s">
        <v>54</v>
      </c>
      <c r="C93" s="36" t="s">
        <v>81</v>
      </c>
      <c r="D93" s="37" t="s">
        <v>83</v>
      </c>
      <c r="E93" s="38" t="s">
        <v>27</v>
      </c>
      <c r="F93" s="39">
        <v>318</v>
      </c>
      <c r="G93" s="40"/>
      <c r="H93" s="41"/>
      <c r="I93" s="41"/>
    </row>
    <row r="94" ht="12.75" customHeight="1" spans="1:9" x14ac:dyDescent="0.25">
      <c r="A94" s="35" t="s">
        <v>75</v>
      </c>
      <c r="B94" s="35" t="s">
        <v>54</v>
      </c>
      <c r="C94" s="36" t="s">
        <v>81</v>
      </c>
      <c r="D94" s="37" t="s">
        <v>86</v>
      </c>
      <c r="E94" s="38" t="s">
        <v>27</v>
      </c>
      <c r="F94" s="39">
        <v>318</v>
      </c>
      <c r="G94" s="40"/>
      <c r="H94" s="41"/>
      <c r="I94" s="41"/>
    </row>
    <row r="95" ht="12.75" customHeight="1" spans="1:9" x14ac:dyDescent="0.25">
      <c r="A95" s="35" t="s">
        <v>75</v>
      </c>
      <c r="B95" s="35" t="s">
        <v>54</v>
      </c>
      <c r="C95" s="36" t="s">
        <v>81</v>
      </c>
      <c r="D95" s="37" t="s">
        <v>85</v>
      </c>
      <c r="E95" s="38" t="s">
        <v>27</v>
      </c>
      <c r="F95" s="39">
        <v>636</v>
      </c>
      <c r="G95" s="40"/>
      <c r="H95" s="41"/>
      <c r="I95" s="41"/>
    </row>
    <row r="96" ht="12.75" customHeight="1" spans="1:9" x14ac:dyDescent="0.25">
      <c r="A96" s="35" t="s">
        <v>75</v>
      </c>
      <c r="B96" s="35" t="s">
        <v>59</v>
      </c>
      <c r="C96" s="36" t="s">
        <v>76</v>
      </c>
      <c r="D96" s="37" t="s">
        <v>87</v>
      </c>
      <c r="E96" s="38" t="s">
        <v>27</v>
      </c>
      <c r="F96" s="39">
        <v>1260</v>
      </c>
      <c r="G96" s="40"/>
      <c r="H96" s="41"/>
      <c r="I96" s="41"/>
    </row>
    <row r="97" ht="12.75" customHeight="1" spans="1:9" x14ac:dyDescent="0.25">
      <c r="A97" s="35" t="s">
        <v>75</v>
      </c>
      <c r="B97" s="35" t="s">
        <v>47</v>
      </c>
      <c r="C97" s="36" t="s">
        <v>76</v>
      </c>
      <c r="D97" s="37" t="s">
        <v>77</v>
      </c>
      <c r="E97" s="38" t="s">
        <v>27</v>
      </c>
      <c r="F97" s="39">
        <v>2121</v>
      </c>
      <c r="G97" s="40"/>
      <c r="H97" s="41"/>
      <c r="I97" s="41"/>
    </row>
    <row r="98" ht="12.75" customHeight="1" spans="1:9" x14ac:dyDescent="0.25">
      <c r="A98" s="35" t="s">
        <v>75</v>
      </c>
      <c r="B98" s="35" t="s">
        <v>48</v>
      </c>
      <c r="C98" s="36" t="s">
        <v>76</v>
      </c>
      <c r="D98" s="37" t="s">
        <v>80</v>
      </c>
      <c r="E98" s="38" t="s">
        <v>27</v>
      </c>
      <c r="F98" s="39">
        <v>2121</v>
      </c>
      <c r="G98" s="40"/>
      <c r="H98" s="41"/>
      <c r="I98" s="41"/>
    </row>
    <row r="99" ht="12.75" customHeight="1" spans="1:9" x14ac:dyDescent="0.25">
      <c r="A99" s="35" t="s">
        <v>75</v>
      </c>
      <c r="B99" s="35" t="s">
        <v>50</v>
      </c>
      <c r="C99" s="36" t="s">
        <v>76</v>
      </c>
      <c r="D99" s="37" t="s">
        <v>92</v>
      </c>
      <c r="E99" s="38" t="s">
        <v>27</v>
      </c>
      <c r="F99" s="39">
        <v>362</v>
      </c>
      <c r="G99" s="40"/>
      <c r="H99" s="41"/>
      <c r="I99" s="41"/>
    </row>
    <row r="100" ht="12.75" customHeight="1" spans="1:9" x14ac:dyDescent="0.25">
      <c r="A100" s="35" t="s">
        <v>75</v>
      </c>
      <c r="B100" s="35" t="s">
        <v>50</v>
      </c>
      <c r="C100" s="36" t="s">
        <v>76</v>
      </c>
      <c r="D100" s="37" t="s">
        <v>89</v>
      </c>
      <c r="E100" s="38" t="s">
        <v>27</v>
      </c>
      <c r="F100" s="39">
        <v>436</v>
      </c>
      <c r="G100" s="40"/>
      <c r="H100" s="41"/>
      <c r="I100" s="41"/>
    </row>
    <row r="101" ht="12.75" customHeight="1" spans="1:9" x14ac:dyDescent="0.25">
      <c r="A101" s="35" t="s">
        <v>75</v>
      </c>
      <c r="B101" s="35" t="s">
        <v>50</v>
      </c>
      <c r="C101" s="36" t="s">
        <v>76</v>
      </c>
      <c r="D101" s="37" t="s">
        <v>93</v>
      </c>
      <c r="E101" s="38" t="s">
        <v>27</v>
      </c>
      <c r="F101" s="39">
        <v>625</v>
      </c>
      <c r="G101" s="40"/>
      <c r="H101" s="41"/>
      <c r="I101" s="41"/>
    </row>
    <row r="102" ht="12.75" customHeight="1" spans="1:9" x14ac:dyDescent="0.25">
      <c r="A102" s="35" t="s">
        <v>75</v>
      </c>
      <c r="B102" s="35" t="s">
        <v>50</v>
      </c>
      <c r="C102" s="36" t="s">
        <v>76</v>
      </c>
      <c r="D102" s="37" t="s">
        <v>91</v>
      </c>
      <c r="E102" s="38" t="s">
        <v>27</v>
      </c>
      <c r="F102" s="39">
        <v>700</v>
      </c>
      <c r="G102" s="40"/>
      <c r="H102" s="41"/>
      <c r="I102" s="41"/>
    </row>
    <row r="103" ht="12.75" customHeight="1" spans="1:9" x14ac:dyDescent="0.25">
      <c r="A103" s="35" t="s">
        <v>75</v>
      </c>
      <c r="B103" s="35" t="s">
        <v>54</v>
      </c>
      <c r="C103" s="36" t="s">
        <v>81</v>
      </c>
      <c r="D103" s="37" t="s">
        <v>85</v>
      </c>
      <c r="E103" s="38" t="s">
        <v>27</v>
      </c>
      <c r="F103" s="39">
        <v>362</v>
      </c>
      <c r="G103" s="40"/>
      <c r="H103" s="41"/>
      <c r="I103" s="41"/>
    </row>
    <row r="104" ht="12.75" customHeight="1" spans="1:9" x14ac:dyDescent="0.25">
      <c r="A104" s="35" t="s">
        <v>75</v>
      </c>
      <c r="B104" s="35" t="s">
        <v>54</v>
      </c>
      <c r="C104" s="36" t="s">
        <v>81</v>
      </c>
      <c r="D104" s="37" t="s">
        <v>82</v>
      </c>
      <c r="E104" s="38" t="s">
        <v>27</v>
      </c>
      <c r="F104" s="39">
        <v>436</v>
      </c>
      <c r="G104" s="40"/>
      <c r="H104" s="41"/>
      <c r="I104" s="41"/>
    </row>
    <row r="105" ht="12.75" customHeight="1" spans="1:9" x14ac:dyDescent="0.25">
      <c r="A105" s="35" t="s">
        <v>75</v>
      </c>
      <c r="B105" s="35" t="s">
        <v>54</v>
      </c>
      <c r="C105" s="36" t="s">
        <v>81</v>
      </c>
      <c r="D105" s="37" t="s">
        <v>86</v>
      </c>
      <c r="E105" s="38" t="s">
        <v>27</v>
      </c>
      <c r="F105" s="39">
        <v>625</v>
      </c>
      <c r="G105" s="40"/>
      <c r="H105" s="41"/>
      <c r="I105" s="41"/>
    </row>
    <row r="106" ht="12.75" customHeight="1" spans="1:9" x14ac:dyDescent="0.25">
      <c r="A106" s="35" t="s">
        <v>75</v>
      </c>
      <c r="B106" s="35" t="s">
        <v>54</v>
      </c>
      <c r="C106" s="36" t="s">
        <v>81</v>
      </c>
      <c r="D106" s="37" t="s">
        <v>84</v>
      </c>
      <c r="E106" s="38" t="s">
        <v>27</v>
      </c>
      <c r="F106" s="39">
        <v>700</v>
      </c>
      <c r="G106" s="40"/>
      <c r="H106" s="41"/>
      <c r="I106" s="41"/>
    </row>
    <row r="107" ht="12.75" customHeight="1" spans="1:9" x14ac:dyDescent="0.25">
      <c r="A107" s="35" t="s">
        <v>75</v>
      </c>
      <c r="B107" s="35" t="s">
        <v>59</v>
      </c>
      <c r="C107" s="36" t="s">
        <v>76</v>
      </c>
      <c r="D107" s="37" t="s">
        <v>87</v>
      </c>
      <c r="E107" s="38" t="s">
        <v>27</v>
      </c>
      <c r="F107" s="39">
        <v>2103</v>
      </c>
      <c r="G107" s="40"/>
      <c r="H107" s="41"/>
      <c r="I107" s="41"/>
    </row>
    <row r="108" ht="12.75" customHeight="1" spans="1:9" x14ac:dyDescent="0.25">
      <c r="A108" s="35" t="s">
        <v>95</v>
      </c>
      <c r="B108" s="35" t="s">
        <v>39</v>
      </c>
      <c r="C108" s="36" t="s">
        <v>96</v>
      </c>
      <c r="D108" s="37" t="s">
        <v>97</v>
      </c>
      <c r="E108" s="38" t="s">
        <v>14</v>
      </c>
      <c r="F108" s="39">
        <v>2352</v>
      </c>
      <c r="G108" s="40">
        <v>14</v>
      </c>
      <c r="H108" s="41" t="s">
        <v>98</v>
      </c>
      <c r="I108" s="41" t="s">
        <v>99</v>
      </c>
    </row>
    <row r="109" ht="12.75" customHeight="1" spans="1:9" x14ac:dyDescent="0.25">
      <c r="A109" s="35" t="s">
        <v>95</v>
      </c>
      <c r="B109" s="35" t="s">
        <v>39</v>
      </c>
      <c r="C109" s="36" t="s">
        <v>100</v>
      </c>
      <c r="D109" s="37" t="s">
        <v>97</v>
      </c>
      <c r="E109" s="38" t="s">
        <v>14</v>
      </c>
      <c r="F109" s="39">
        <v>2372</v>
      </c>
      <c r="G109" s="40"/>
      <c r="H109" s="41"/>
      <c r="I109" s="41"/>
    </row>
    <row r="110" ht="12.75" customHeight="1" spans="1:9" x14ac:dyDescent="0.25">
      <c r="A110" s="35" t="s">
        <v>95</v>
      </c>
      <c r="B110" s="35" t="s">
        <v>39</v>
      </c>
      <c r="C110" s="36" t="s">
        <v>101</v>
      </c>
      <c r="D110" s="37" t="s">
        <v>97</v>
      </c>
      <c r="E110" s="38" t="s">
        <v>14</v>
      </c>
      <c r="F110" s="39">
        <v>2576</v>
      </c>
      <c r="G110" s="40"/>
      <c r="H110" s="41"/>
      <c r="I110" s="41"/>
    </row>
    <row r="111" ht="12.75" customHeight="1" spans="1:9" x14ac:dyDescent="0.25">
      <c r="A111" s="35" t="s">
        <v>95</v>
      </c>
      <c r="B111" s="35" t="s">
        <v>39</v>
      </c>
      <c r="C111" s="36" t="s">
        <v>102</v>
      </c>
      <c r="D111" s="37" t="s">
        <v>97</v>
      </c>
      <c r="E111" s="38" t="s">
        <v>14</v>
      </c>
      <c r="F111" s="39">
        <v>2903</v>
      </c>
      <c r="G111" s="40"/>
      <c r="H111" s="41"/>
      <c r="I111" s="41"/>
    </row>
    <row r="112" ht="12.75" customHeight="1" spans="1:9" x14ac:dyDescent="0.25">
      <c r="A112" s="35" t="s">
        <v>95</v>
      </c>
      <c r="B112" s="35" t="s">
        <v>39</v>
      </c>
      <c r="C112" s="36" t="s">
        <v>103</v>
      </c>
      <c r="D112" s="37" t="s">
        <v>97</v>
      </c>
      <c r="E112" s="38" t="s">
        <v>14</v>
      </c>
      <c r="F112" s="39">
        <v>9825</v>
      </c>
      <c r="G112" s="40"/>
      <c r="H112" s="41"/>
      <c r="I112" s="41"/>
    </row>
    <row r="113" ht="12.75" customHeight="1" spans="1:9" x14ac:dyDescent="0.25">
      <c r="A113" s="35" t="s">
        <v>95</v>
      </c>
      <c r="B113" s="35" t="s">
        <v>43</v>
      </c>
      <c r="C113" s="36" t="s">
        <v>104</v>
      </c>
      <c r="D113" s="37" t="s">
        <v>105</v>
      </c>
      <c r="E113" s="38" t="s">
        <v>44</v>
      </c>
      <c r="F113" s="39">
        <v>55476</v>
      </c>
      <c r="G113" s="40"/>
      <c r="H113" s="41"/>
      <c r="I113" s="41"/>
    </row>
    <row r="114" ht="12.75" customHeight="1" spans="1:9" x14ac:dyDescent="0.25">
      <c r="A114" s="35" t="s">
        <v>95</v>
      </c>
      <c r="B114" s="35" t="s">
        <v>51</v>
      </c>
      <c r="C114" s="36" t="s">
        <v>100</v>
      </c>
      <c r="D114" s="37" t="s">
        <v>106</v>
      </c>
      <c r="E114" s="38" t="s">
        <v>27</v>
      </c>
      <c r="F114" s="39">
        <v>4830</v>
      </c>
      <c r="G114" s="40"/>
      <c r="H114" s="41"/>
      <c r="I114" s="41"/>
    </row>
    <row r="115" ht="12.75" customHeight="1" spans="1:9" x14ac:dyDescent="0.25">
      <c r="A115" s="35" t="s">
        <v>95</v>
      </c>
      <c r="B115" s="35" t="s">
        <v>51</v>
      </c>
      <c r="C115" s="36" t="s">
        <v>101</v>
      </c>
      <c r="D115" s="37" t="s">
        <v>106</v>
      </c>
      <c r="E115" s="38" t="s">
        <v>27</v>
      </c>
      <c r="F115" s="39">
        <v>4851</v>
      </c>
      <c r="G115" s="40"/>
      <c r="H115" s="41"/>
      <c r="I115" s="41"/>
    </row>
    <row r="116" ht="12.75" customHeight="1" spans="1:9" x14ac:dyDescent="0.25">
      <c r="A116" s="35" t="s">
        <v>95</v>
      </c>
      <c r="B116" s="35" t="s">
        <v>51</v>
      </c>
      <c r="C116" s="36" t="s">
        <v>102</v>
      </c>
      <c r="D116" s="37" t="s">
        <v>106</v>
      </c>
      <c r="E116" s="38" t="s">
        <v>27</v>
      </c>
      <c r="F116" s="39">
        <v>5302</v>
      </c>
      <c r="G116" s="40"/>
      <c r="H116" s="41"/>
      <c r="I116" s="41"/>
    </row>
    <row r="117" ht="12.75" customHeight="1" spans="1:9" x14ac:dyDescent="0.25">
      <c r="A117" s="35" t="s">
        <v>95</v>
      </c>
      <c r="B117" s="35" t="s">
        <v>51</v>
      </c>
      <c r="C117" s="36" t="s">
        <v>96</v>
      </c>
      <c r="D117" s="37" t="s">
        <v>106</v>
      </c>
      <c r="E117" s="38" t="s">
        <v>27</v>
      </c>
      <c r="F117" s="39">
        <v>5650</v>
      </c>
      <c r="G117" s="40"/>
      <c r="H117" s="41"/>
      <c r="I117" s="41"/>
    </row>
    <row r="118" ht="12.75" customHeight="1" spans="1:9" x14ac:dyDescent="0.25">
      <c r="A118" s="35" t="s">
        <v>95</v>
      </c>
      <c r="B118" s="35" t="s">
        <v>51</v>
      </c>
      <c r="C118" s="36" t="s">
        <v>76</v>
      </c>
      <c r="D118" s="37" t="s">
        <v>106</v>
      </c>
      <c r="E118" s="38" t="s">
        <v>27</v>
      </c>
      <c r="F118" s="39">
        <v>14611</v>
      </c>
      <c r="G118" s="40"/>
      <c r="H118" s="41"/>
      <c r="I118" s="41"/>
    </row>
    <row r="119" ht="12.75" customHeight="1" spans="1:9" x14ac:dyDescent="0.25">
      <c r="A119" s="35" t="s">
        <v>95</v>
      </c>
      <c r="B119" s="35" t="s">
        <v>57</v>
      </c>
      <c r="C119" s="36" t="s">
        <v>101</v>
      </c>
      <c r="D119" s="37" t="s">
        <v>107</v>
      </c>
      <c r="E119" s="38" t="s">
        <v>27</v>
      </c>
      <c r="F119" s="39">
        <v>4741</v>
      </c>
      <c r="G119" s="40"/>
      <c r="H119" s="41"/>
      <c r="I119" s="41"/>
    </row>
    <row r="120" ht="12.75" customHeight="1" spans="1:9" x14ac:dyDescent="0.25">
      <c r="A120" s="35" t="s">
        <v>95</v>
      </c>
      <c r="B120" s="35" t="s">
        <v>57</v>
      </c>
      <c r="C120" s="36" t="s">
        <v>100</v>
      </c>
      <c r="D120" s="37" t="s">
        <v>107</v>
      </c>
      <c r="E120" s="38" t="s">
        <v>27</v>
      </c>
      <c r="F120" s="39">
        <v>4830</v>
      </c>
      <c r="G120" s="40"/>
      <c r="H120" s="41"/>
      <c r="I120" s="41"/>
    </row>
    <row r="121" ht="12.75" customHeight="1" spans="1:9" x14ac:dyDescent="0.25">
      <c r="A121" s="35" t="s">
        <v>95</v>
      </c>
      <c r="B121" s="35" t="s">
        <v>57</v>
      </c>
      <c r="C121" s="36" t="s">
        <v>102</v>
      </c>
      <c r="D121" s="37" t="s">
        <v>107</v>
      </c>
      <c r="E121" s="38" t="s">
        <v>27</v>
      </c>
      <c r="F121" s="39">
        <v>5432</v>
      </c>
      <c r="G121" s="40"/>
      <c r="H121" s="41"/>
      <c r="I121" s="41"/>
    </row>
    <row r="122" ht="12.75" customHeight="1" spans="1:9" x14ac:dyDescent="0.25">
      <c r="A122" s="35" t="s">
        <v>95</v>
      </c>
      <c r="B122" s="35" t="s">
        <v>57</v>
      </c>
      <c r="C122" s="36" t="s">
        <v>96</v>
      </c>
      <c r="D122" s="37" t="s">
        <v>107</v>
      </c>
      <c r="E122" s="38" t="s">
        <v>27</v>
      </c>
      <c r="F122" s="39">
        <v>5660</v>
      </c>
      <c r="G122" s="40"/>
      <c r="H122" s="41"/>
      <c r="I122" s="41"/>
    </row>
    <row r="123" ht="12.75" customHeight="1" spans="1:9" x14ac:dyDescent="0.25">
      <c r="A123" s="35" t="s">
        <v>95</v>
      </c>
      <c r="B123" s="35" t="s">
        <v>57</v>
      </c>
      <c r="C123" s="36" t="s">
        <v>76</v>
      </c>
      <c r="D123" s="37" t="s">
        <v>107</v>
      </c>
      <c r="E123" s="38" t="s">
        <v>27</v>
      </c>
      <c r="F123" s="39">
        <v>14431</v>
      </c>
      <c r="G123" s="40"/>
      <c r="H123" s="41"/>
      <c r="I123" s="41"/>
    </row>
    <row r="124" ht="12.75" customHeight="1" spans="1:9" x14ac:dyDescent="0.25">
      <c r="A124" s="35" t="s">
        <v>95</v>
      </c>
      <c r="B124" s="35" t="s">
        <v>39</v>
      </c>
      <c r="C124" s="36" t="s">
        <v>76</v>
      </c>
      <c r="D124" s="37" t="s">
        <v>97</v>
      </c>
      <c r="E124" s="38" t="s">
        <v>41</v>
      </c>
      <c r="F124" s="39">
        <v>1323</v>
      </c>
      <c r="G124" s="40"/>
      <c r="H124" s="41"/>
      <c r="I124" s="41"/>
    </row>
    <row r="125" ht="12.75" customHeight="1" spans="1:9" x14ac:dyDescent="0.25">
      <c r="A125" s="35" t="s">
        <v>95</v>
      </c>
      <c r="B125" s="35" t="s">
        <v>39</v>
      </c>
      <c r="C125" s="36" t="s">
        <v>108</v>
      </c>
      <c r="D125" s="37" t="s">
        <v>97</v>
      </c>
      <c r="E125" s="38" t="s">
        <v>14</v>
      </c>
      <c r="F125" s="39">
        <v>1855</v>
      </c>
      <c r="G125" s="40"/>
      <c r="H125" s="41"/>
      <c r="I125" s="41"/>
    </row>
    <row r="126" ht="12.75" customHeight="1" spans="1:9" x14ac:dyDescent="0.25">
      <c r="A126" s="35" t="s">
        <v>95</v>
      </c>
      <c r="B126" s="35" t="s">
        <v>39</v>
      </c>
      <c r="C126" s="36" t="s">
        <v>109</v>
      </c>
      <c r="D126" s="37" t="s">
        <v>97</v>
      </c>
      <c r="E126" s="38" t="s">
        <v>14</v>
      </c>
      <c r="F126" s="39">
        <v>1953</v>
      </c>
      <c r="G126" s="40"/>
      <c r="H126" s="41"/>
      <c r="I126" s="41"/>
    </row>
    <row r="127" ht="12.75" customHeight="1" spans="1:9" x14ac:dyDescent="0.25">
      <c r="A127" s="35" t="s">
        <v>95</v>
      </c>
      <c r="B127" s="35" t="s">
        <v>39</v>
      </c>
      <c r="C127" s="36" t="s">
        <v>110</v>
      </c>
      <c r="D127" s="37" t="s">
        <v>97</v>
      </c>
      <c r="E127" s="38" t="s">
        <v>14</v>
      </c>
      <c r="F127" s="39">
        <v>2647</v>
      </c>
      <c r="G127" s="40"/>
      <c r="H127" s="41"/>
      <c r="I127" s="41"/>
    </row>
    <row r="128" ht="12.75" customHeight="1" spans="1:9" x14ac:dyDescent="0.25">
      <c r="A128" s="35" t="s">
        <v>95</v>
      </c>
      <c r="B128" s="35" t="s">
        <v>43</v>
      </c>
      <c r="C128" s="36" t="s">
        <v>104</v>
      </c>
      <c r="D128" s="37" t="s">
        <v>105</v>
      </c>
      <c r="E128" s="38" t="s">
        <v>44</v>
      </c>
      <c r="F128" s="39">
        <v>18792</v>
      </c>
      <c r="G128" s="40"/>
      <c r="H128" s="41"/>
      <c r="I128" s="41"/>
    </row>
    <row r="129" ht="12.75" customHeight="1" spans="1:9" x14ac:dyDescent="0.25">
      <c r="A129" s="35" t="s">
        <v>95</v>
      </c>
      <c r="B129" s="35" t="s">
        <v>51</v>
      </c>
      <c r="C129" s="36" t="s">
        <v>76</v>
      </c>
      <c r="D129" s="37" t="s">
        <v>106</v>
      </c>
      <c r="E129" s="38" t="s">
        <v>27</v>
      </c>
      <c r="F129" s="39">
        <v>2025</v>
      </c>
      <c r="G129" s="40"/>
      <c r="H129" s="41"/>
      <c r="I129" s="41"/>
    </row>
    <row r="130" ht="12.75" customHeight="1" spans="1:9" x14ac:dyDescent="0.25">
      <c r="A130" s="35" t="s">
        <v>95</v>
      </c>
      <c r="B130" s="35" t="s">
        <v>51</v>
      </c>
      <c r="C130" s="36" t="s">
        <v>109</v>
      </c>
      <c r="D130" s="37" t="s">
        <v>106</v>
      </c>
      <c r="E130" s="38" t="s">
        <v>27</v>
      </c>
      <c r="F130" s="39">
        <v>2468</v>
      </c>
      <c r="G130" s="40"/>
      <c r="H130" s="41"/>
      <c r="I130" s="41"/>
    </row>
    <row r="131" ht="12.75" customHeight="1" spans="1:9" x14ac:dyDescent="0.25">
      <c r="A131" s="35" t="s">
        <v>95</v>
      </c>
      <c r="B131" s="35" t="s">
        <v>51</v>
      </c>
      <c r="C131" s="36" t="s">
        <v>108</v>
      </c>
      <c r="D131" s="37" t="s">
        <v>106</v>
      </c>
      <c r="E131" s="38" t="s">
        <v>27</v>
      </c>
      <c r="F131" s="39">
        <v>2925</v>
      </c>
      <c r="G131" s="40"/>
      <c r="H131" s="41"/>
      <c r="I131" s="41"/>
    </row>
    <row r="132" ht="12.75" customHeight="1" spans="1:9" x14ac:dyDescent="0.25">
      <c r="A132" s="35" t="s">
        <v>95</v>
      </c>
      <c r="B132" s="35" t="s">
        <v>51</v>
      </c>
      <c r="C132" s="36" t="s">
        <v>110</v>
      </c>
      <c r="D132" s="37" t="s">
        <v>106</v>
      </c>
      <c r="E132" s="38" t="s">
        <v>27</v>
      </c>
      <c r="F132" s="39">
        <v>4007</v>
      </c>
      <c r="G132" s="40"/>
      <c r="H132" s="41"/>
      <c r="I132" s="41"/>
    </row>
    <row r="133" ht="12.75" customHeight="1" spans="1:9" x14ac:dyDescent="0.25">
      <c r="A133" s="35" t="s">
        <v>95</v>
      </c>
      <c r="B133" s="35" t="s">
        <v>57</v>
      </c>
      <c r="C133" s="36" t="s">
        <v>76</v>
      </c>
      <c r="D133" s="37" t="s">
        <v>107</v>
      </c>
      <c r="E133" s="38" t="s">
        <v>27</v>
      </c>
      <c r="F133" s="39">
        <v>2025</v>
      </c>
      <c r="G133" s="40"/>
      <c r="H133" s="41"/>
      <c r="I133" s="41"/>
    </row>
    <row r="134" ht="12.75" customHeight="1" spans="1:9" x14ac:dyDescent="0.25">
      <c r="A134" s="35" t="s">
        <v>95</v>
      </c>
      <c r="B134" s="35" t="s">
        <v>57</v>
      </c>
      <c r="C134" s="36" t="s">
        <v>109</v>
      </c>
      <c r="D134" s="37" t="s">
        <v>107</v>
      </c>
      <c r="E134" s="38" t="s">
        <v>27</v>
      </c>
      <c r="F134" s="39">
        <v>2533</v>
      </c>
      <c r="G134" s="40"/>
      <c r="H134" s="41"/>
      <c r="I134" s="41"/>
    </row>
    <row r="135" ht="12.75" customHeight="1" spans="1:9" x14ac:dyDescent="0.25">
      <c r="A135" s="35" t="s">
        <v>95</v>
      </c>
      <c r="B135" s="35" t="s">
        <v>57</v>
      </c>
      <c r="C135" s="36" t="s">
        <v>108</v>
      </c>
      <c r="D135" s="37" t="s">
        <v>107</v>
      </c>
      <c r="E135" s="38" t="s">
        <v>27</v>
      </c>
      <c r="F135" s="39">
        <v>2843</v>
      </c>
      <c r="G135" s="40"/>
      <c r="H135" s="41"/>
      <c r="I135" s="41"/>
    </row>
    <row r="136" ht="12.75" customHeight="1" spans="1:9" x14ac:dyDescent="0.25">
      <c r="A136" s="35" t="s">
        <v>95</v>
      </c>
      <c r="B136" s="35" t="s">
        <v>57</v>
      </c>
      <c r="C136" s="36" t="s">
        <v>110</v>
      </c>
      <c r="D136" s="37" t="s">
        <v>107</v>
      </c>
      <c r="E136" s="38" t="s">
        <v>27</v>
      </c>
      <c r="F136" s="39">
        <v>4127</v>
      </c>
      <c r="G136" s="40"/>
      <c r="H136" s="41"/>
      <c r="I136" s="41"/>
    </row>
    <row r="137" ht="12.75" customHeight="1" spans="1:9" x14ac:dyDescent="0.25">
      <c r="A137" s="35" t="s">
        <v>95</v>
      </c>
      <c r="B137" s="35" t="s">
        <v>33</v>
      </c>
      <c r="C137" s="36" t="s">
        <v>111</v>
      </c>
      <c r="D137" s="37" t="s">
        <v>112</v>
      </c>
      <c r="E137" s="38" t="s">
        <v>27</v>
      </c>
      <c r="F137" s="39">
        <v>3185</v>
      </c>
      <c r="G137" s="40">
        <v>25</v>
      </c>
      <c r="H137" s="41" t="s">
        <v>98</v>
      </c>
      <c r="I137" s="41" t="s">
        <v>113</v>
      </c>
    </row>
    <row r="138" ht="12.75" customHeight="1" spans="1:9" x14ac:dyDescent="0.25">
      <c r="A138" s="35" t="s">
        <v>95</v>
      </c>
      <c r="B138" s="35" t="s">
        <v>33</v>
      </c>
      <c r="C138" s="36" t="s">
        <v>114</v>
      </c>
      <c r="D138" s="37" t="s">
        <v>112</v>
      </c>
      <c r="E138" s="38" t="s">
        <v>27</v>
      </c>
      <c r="F138" s="39">
        <v>4453</v>
      </c>
      <c r="G138" s="40"/>
      <c r="H138" s="41"/>
      <c r="I138" s="41"/>
    </row>
    <row r="139" ht="12.75" customHeight="1" spans="1:9" x14ac:dyDescent="0.25">
      <c r="A139" s="35" t="s">
        <v>95</v>
      </c>
      <c r="B139" s="35" t="s">
        <v>33</v>
      </c>
      <c r="C139" s="36" t="s">
        <v>115</v>
      </c>
      <c r="D139" s="37" t="s">
        <v>112</v>
      </c>
      <c r="E139" s="38" t="s">
        <v>27</v>
      </c>
      <c r="F139" s="39">
        <v>5086</v>
      </c>
      <c r="G139" s="40"/>
      <c r="H139" s="41"/>
      <c r="I139" s="41"/>
    </row>
    <row r="140" ht="12.75" customHeight="1" spans="1:9" x14ac:dyDescent="0.25">
      <c r="A140" s="35" t="s">
        <v>95</v>
      </c>
      <c r="B140" s="35" t="s">
        <v>56</v>
      </c>
      <c r="C140" s="36" t="s">
        <v>111</v>
      </c>
      <c r="D140" s="37" t="s">
        <v>116</v>
      </c>
      <c r="E140" s="38" t="s">
        <v>27</v>
      </c>
      <c r="F140" s="39">
        <v>3185</v>
      </c>
      <c r="G140" s="40"/>
      <c r="H140" s="41"/>
      <c r="I140" s="41"/>
    </row>
    <row r="141" ht="12.75" customHeight="1" spans="1:9" x14ac:dyDescent="0.25">
      <c r="A141" s="35" t="s">
        <v>95</v>
      </c>
      <c r="B141" s="35" t="s">
        <v>56</v>
      </c>
      <c r="C141" s="36" t="s">
        <v>114</v>
      </c>
      <c r="D141" s="37" t="s">
        <v>116</v>
      </c>
      <c r="E141" s="38" t="s">
        <v>27</v>
      </c>
      <c r="F141" s="39">
        <v>4453</v>
      </c>
      <c r="G141" s="40"/>
      <c r="H141" s="41"/>
      <c r="I141" s="41"/>
    </row>
    <row r="142" ht="12.75" customHeight="1" spans="1:9" x14ac:dyDescent="0.25">
      <c r="A142" s="35" t="s">
        <v>95</v>
      </c>
      <c r="B142" s="35" t="s">
        <v>56</v>
      </c>
      <c r="C142" s="36" t="s">
        <v>115</v>
      </c>
      <c r="D142" s="37" t="s">
        <v>116</v>
      </c>
      <c r="E142" s="38" t="s">
        <v>27</v>
      </c>
      <c r="F142" s="39">
        <v>5086</v>
      </c>
      <c r="G142" s="40"/>
      <c r="H142" s="41"/>
      <c r="I142" s="41"/>
    </row>
    <row r="143" ht="12.75" customHeight="1" spans="1:9" x14ac:dyDescent="0.25">
      <c r="A143" s="35" t="s">
        <v>95</v>
      </c>
      <c r="B143" s="35" t="s">
        <v>63</v>
      </c>
      <c r="C143" s="36" t="s">
        <v>111</v>
      </c>
      <c r="D143" s="37" t="s">
        <v>117</v>
      </c>
      <c r="E143" s="38" t="s">
        <v>41</v>
      </c>
      <c r="F143" s="39">
        <v>1668</v>
      </c>
      <c r="G143" s="40"/>
      <c r="H143" s="41"/>
      <c r="I143" s="41"/>
    </row>
    <row r="144" ht="12.75" customHeight="1" spans="1:9" x14ac:dyDescent="0.25">
      <c r="A144" s="35" t="s">
        <v>95</v>
      </c>
      <c r="B144" s="35" t="s">
        <v>63</v>
      </c>
      <c r="C144" s="36" t="s">
        <v>115</v>
      </c>
      <c r="D144" s="37" t="s">
        <v>117</v>
      </c>
      <c r="E144" s="38" t="s">
        <v>41</v>
      </c>
      <c r="F144" s="39">
        <v>3916</v>
      </c>
      <c r="G144" s="40"/>
      <c r="H144" s="41"/>
      <c r="I144" s="41"/>
    </row>
    <row r="145" ht="12.75" customHeight="1" spans="1:9" x14ac:dyDescent="0.25">
      <c r="A145" s="35" t="s">
        <v>95</v>
      </c>
      <c r="B145" s="35" t="s">
        <v>31</v>
      </c>
      <c r="C145" s="36" t="s">
        <v>76</v>
      </c>
      <c r="D145" s="37" t="s">
        <v>118</v>
      </c>
      <c r="E145" s="38" t="s">
        <v>27</v>
      </c>
      <c r="F145" s="39">
        <v>14793</v>
      </c>
      <c r="G145" s="40"/>
      <c r="H145" s="41"/>
      <c r="I145" s="41"/>
    </row>
    <row r="146" ht="12.75" customHeight="1" spans="1:9" x14ac:dyDescent="0.25">
      <c r="A146" s="35" t="s">
        <v>95</v>
      </c>
      <c r="B146" s="35" t="s">
        <v>32</v>
      </c>
      <c r="C146" s="36" t="s">
        <v>76</v>
      </c>
      <c r="D146" s="37" t="s">
        <v>119</v>
      </c>
      <c r="E146" s="38" t="s">
        <v>27</v>
      </c>
      <c r="F146" s="39">
        <v>14793</v>
      </c>
      <c r="G146" s="40"/>
      <c r="H146" s="41"/>
      <c r="I146" s="41"/>
    </row>
    <row r="147" ht="12.75" customHeight="1" spans="1:9" x14ac:dyDescent="0.25">
      <c r="A147" s="35" t="s">
        <v>95</v>
      </c>
      <c r="B147" s="35" t="s">
        <v>33</v>
      </c>
      <c r="C147" s="36" t="s">
        <v>76</v>
      </c>
      <c r="D147" s="37" t="s">
        <v>120</v>
      </c>
      <c r="E147" s="38" t="s">
        <v>27</v>
      </c>
      <c r="F147" s="39">
        <v>29586</v>
      </c>
      <c r="G147" s="40"/>
      <c r="H147" s="41"/>
      <c r="I147" s="41"/>
    </row>
    <row r="148" ht="12.75" customHeight="1" spans="1:9" x14ac:dyDescent="0.25">
      <c r="A148" s="35" t="s">
        <v>95</v>
      </c>
      <c r="B148" s="35" t="s">
        <v>53</v>
      </c>
      <c r="C148" s="36" t="s">
        <v>76</v>
      </c>
      <c r="D148" s="37" t="s">
        <v>121</v>
      </c>
      <c r="E148" s="38" t="s">
        <v>44</v>
      </c>
      <c r="F148" s="39">
        <v>59172</v>
      </c>
      <c r="G148" s="40"/>
      <c r="H148" s="41"/>
      <c r="I148" s="41"/>
    </row>
    <row r="149" ht="12.75" customHeight="1" spans="1:9" x14ac:dyDescent="0.25">
      <c r="A149" s="35" t="s">
        <v>95</v>
      </c>
      <c r="B149" s="35" t="s">
        <v>63</v>
      </c>
      <c r="C149" s="36" t="s">
        <v>115</v>
      </c>
      <c r="D149" s="37" t="s">
        <v>117</v>
      </c>
      <c r="E149" s="38" t="s">
        <v>41</v>
      </c>
      <c r="F149" s="39">
        <v>2396</v>
      </c>
      <c r="G149" s="40"/>
      <c r="H149" s="41"/>
      <c r="I149" s="41"/>
    </row>
    <row r="150" ht="12.75" customHeight="1" spans="1:9" x14ac:dyDescent="0.25">
      <c r="A150" s="35" t="s">
        <v>95</v>
      </c>
      <c r="B150" s="35" t="s">
        <v>63</v>
      </c>
      <c r="C150" s="36" t="s">
        <v>111</v>
      </c>
      <c r="D150" s="37" t="s">
        <v>117</v>
      </c>
      <c r="E150" s="38" t="s">
        <v>41</v>
      </c>
      <c r="F150" s="39">
        <v>1237</v>
      </c>
      <c r="G150" s="40"/>
      <c r="H150" s="41"/>
      <c r="I150" s="41"/>
    </row>
    <row r="151" ht="12.75" customHeight="1" spans="1:9" x14ac:dyDescent="0.25">
      <c r="A151" s="35" t="s">
        <v>95</v>
      </c>
      <c r="B151" s="35" t="s">
        <v>63</v>
      </c>
      <c r="C151" s="36" t="s">
        <v>115</v>
      </c>
      <c r="D151" s="37" t="s">
        <v>117</v>
      </c>
      <c r="E151" s="38" t="s">
        <v>41</v>
      </c>
      <c r="F151" s="39">
        <v>1942</v>
      </c>
      <c r="G151" s="40"/>
      <c r="H151" s="41"/>
      <c r="I151" s="41"/>
    </row>
    <row r="152" ht="12.75" customHeight="1" spans="1:9" x14ac:dyDescent="0.25">
      <c r="A152" s="35" t="s">
        <v>95</v>
      </c>
      <c r="B152" s="35" t="s">
        <v>63</v>
      </c>
      <c r="C152" s="36" t="s">
        <v>122</v>
      </c>
      <c r="D152" s="37" t="s">
        <v>117</v>
      </c>
      <c r="E152" s="38" t="s">
        <v>41</v>
      </c>
      <c r="F152" s="39">
        <v>477</v>
      </c>
      <c r="G152" s="40"/>
      <c r="H152" s="41"/>
      <c r="I152" s="41"/>
    </row>
    <row r="153" ht="12.75" customHeight="1" spans="1:9" x14ac:dyDescent="0.25">
      <c r="A153" s="35" t="s">
        <v>95</v>
      </c>
      <c r="B153" s="35" t="s">
        <v>63</v>
      </c>
      <c r="C153" s="36" t="s">
        <v>115</v>
      </c>
      <c r="D153" s="37" t="s">
        <v>117</v>
      </c>
      <c r="E153" s="38" t="s">
        <v>41</v>
      </c>
      <c r="F153" s="39">
        <v>834</v>
      </c>
      <c r="G153" s="40"/>
      <c r="H153" s="41"/>
      <c r="I153" s="41"/>
    </row>
    <row r="154" ht="12.75" customHeight="1" spans="1:9" x14ac:dyDescent="0.25">
      <c r="A154" s="35" t="s">
        <v>95</v>
      </c>
      <c r="B154" s="35" t="s">
        <v>32</v>
      </c>
      <c r="C154" s="36" t="s">
        <v>76</v>
      </c>
      <c r="D154" s="37" t="s">
        <v>119</v>
      </c>
      <c r="E154" s="38" t="s">
        <v>27</v>
      </c>
      <c r="F154" s="39">
        <v>2755</v>
      </c>
      <c r="G154" s="40"/>
      <c r="H154" s="41"/>
      <c r="I154" s="41"/>
    </row>
    <row r="155" ht="12.75" customHeight="1" spans="1:9" x14ac:dyDescent="0.25">
      <c r="A155" s="35" t="s">
        <v>95</v>
      </c>
      <c r="B155" s="35" t="s">
        <v>33</v>
      </c>
      <c r="C155" s="36" t="s">
        <v>76</v>
      </c>
      <c r="D155" s="37" t="s">
        <v>120</v>
      </c>
      <c r="E155" s="38" t="s">
        <v>27</v>
      </c>
      <c r="F155" s="39">
        <v>4132</v>
      </c>
      <c r="G155" s="40"/>
      <c r="H155" s="41"/>
      <c r="I155" s="41"/>
    </row>
    <row r="156" ht="12.75" customHeight="1" spans="1:9" x14ac:dyDescent="0.25">
      <c r="A156" s="35" t="s">
        <v>95</v>
      </c>
      <c r="B156" s="35" t="s">
        <v>53</v>
      </c>
      <c r="C156" s="36" t="s">
        <v>76</v>
      </c>
      <c r="D156" s="37" t="s">
        <v>123</v>
      </c>
      <c r="E156" s="38" t="s">
        <v>44</v>
      </c>
      <c r="F156" s="39">
        <v>648</v>
      </c>
      <c r="G156" s="40"/>
      <c r="H156" s="41"/>
      <c r="I156" s="41"/>
    </row>
    <row r="157" ht="12.75" customHeight="1" spans="1:9" x14ac:dyDescent="0.25">
      <c r="A157" s="35" t="s">
        <v>95</v>
      </c>
      <c r="B157" s="35" t="s">
        <v>53</v>
      </c>
      <c r="C157" s="36" t="s">
        <v>76</v>
      </c>
      <c r="D157" s="37" t="s">
        <v>124</v>
      </c>
      <c r="E157" s="38" t="s">
        <v>44</v>
      </c>
      <c r="F157" s="39">
        <v>5510</v>
      </c>
      <c r="G157" s="40"/>
      <c r="H157" s="41"/>
      <c r="I157" s="41"/>
    </row>
    <row r="158" ht="12.75" customHeight="1" spans="1:9" x14ac:dyDescent="0.25">
      <c r="A158" s="35" t="s">
        <v>95</v>
      </c>
      <c r="B158" s="35" t="s">
        <v>56</v>
      </c>
      <c r="C158" s="36" t="s">
        <v>76</v>
      </c>
      <c r="D158" s="37" t="s">
        <v>116</v>
      </c>
      <c r="E158" s="38" t="s">
        <v>27</v>
      </c>
      <c r="F158" s="39">
        <v>1378</v>
      </c>
      <c r="G158" s="40"/>
      <c r="H158" s="41"/>
      <c r="I158" s="41"/>
    </row>
    <row r="159" ht="12.75" customHeight="1" spans="1:9" x14ac:dyDescent="0.25">
      <c r="A159" s="35" t="s">
        <v>95</v>
      </c>
      <c r="B159" s="35" t="s">
        <v>32</v>
      </c>
      <c r="C159" s="36" t="s">
        <v>76</v>
      </c>
      <c r="D159" s="37" t="s">
        <v>119</v>
      </c>
      <c r="E159" s="38" t="s">
        <v>27</v>
      </c>
      <c r="F159" s="39">
        <v>1910</v>
      </c>
      <c r="G159" s="40"/>
      <c r="H159" s="41"/>
      <c r="I159" s="41"/>
    </row>
    <row r="160" ht="12.75" customHeight="1" spans="1:9" x14ac:dyDescent="0.25">
      <c r="A160" s="35" t="s">
        <v>95</v>
      </c>
      <c r="B160" s="35" t="s">
        <v>33</v>
      </c>
      <c r="C160" s="36" t="s">
        <v>76</v>
      </c>
      <c r="D160" s="37" t="s">
        <v>120</v>
      </c>
      <c r="E160" s="38" t="s">
        <v>27</v>
      </c>
      <c r="F160" s="39">
        <v>2864</v>
      </c>
      <c r="G160" s="40"/>
      <c r="H160" s="41"/>
      <c r="I160" s="41"/>
    </row>
    <row r="161" ht="12.75" customHeight="1" spans="1:9" x14ac:dyDescent="0.25">
      <c r="A161" s="35" t="s">
        <v>95</v>
      </c>
      <c r="B161" s="35" t="s">
        <v>53</v>
      </c>
      <c r="C161" s="36" t="s">
        <v>76</v>
      </c>
      <c r="D161" s="37" t="s">
        <v>123</v>
      </c>
      <c r="E161" s="38" t="s">
        <v>44</v>
      </c>
      <c r="F161" s="39">
        <v>955</v>
      </c>
      <c r="G161" s="40"/>
      <c r="H161" s="41"/>
      <c r="I161" s="41"/>
    </row>
    <row r="162" ht="12.75" customHeight="1" spans="1:9" x14ac:dyDescent="0.25">
      <c r="A162" s="35" t="s">
        <v>95</v>
      </c>
      <c r="B162" s="35" t="s">
        <v>53</v>
      </c>
      <c r="C162" s="36" t="s">
        <v>76</v>
      </c>
      <c r="D162" s="37" t="s">
        <v>124</v>
      </c>
      <c r="E162" s="38" t="s">
        <v>44</v>
      </c>
      <c r="F162" s="39">
        <v>3819</v>
      </c>
      <c r="G162" s="40"/>
      <c r="H162" s="41"/>
      <c r="I162" s="41"/>
    </row>
    <row r="163" ht="12.75" customHeight="1" spans="1:9" x14ac:dyDescent="0.25">
      <c r="A163" s="35" t="s">
        <v>95</v>
      </c>
      <c r="B163" s="35" t="s">
        <v>56</v>
      </c>
      <c r="C163" s="36" t="s">
        <v>76</v>
      </c>
      <c r="D163" s="37" t="s">
        <v>116</v>
      </c>
      <c r="E163" s="38" t="s">
        <v>27</v>
      </c>
      <c r="F163" s="39">
        <v>955</v>
      </c>
      <c r="G163" s="40"/>
      <c r="H163" s="41"/>
      <c r="I163" s="41"/>
    </row>
    <row r="164" ht="12.75" customHeight="1" spans="1:9" x14ac:dyDescent="0.25">
      <c r="A164" s="35" t="s">
        <v>95</v>
      </c>
      <c r="B164" s="35" t="s">
        <v>31</v>
      </c>
      <c r="C164" s="36" t="s">
        <v>76</v>
      </c>
      <c r="D164" s="37" t="s">
        <v>118</v>
      </c>
      <c r="E164" s="38" t="s">
        <v>27</v>
      </c>
      <c r="F164" s="39">
        <v>2123</v>
      </c>
      <c r="G164" s="40"/>
      <c r="H164" s="41"/>
      <c r="I164" s="41"/>
    </row>
    <row r="165" ht="12.75" customHeight="1" spans="1:9" x14ac:dyDescent="0.25">
      <c r="A165" s="35" t="s">
        <v>95</v>
      </c>
      <c r="B165" s="35" t="s">
        <v>33</v>
      </c>
      <c r="C165" s="36" t="s">
        <v>76</v>
      </c>
      <c r="D165" s="37" t="s">
        <v>112</v>
      </c>
      <c r="E165" s="38" t="s">
        <v>27</v>
      </c>
      <c r="F165" s="39">
        <v>2123</v>
      </c>
      <c r="G165" s="40"/>
      <c r="H165" s="41"/>
      <c r="I165" s="41"/>
    </row>
    <row r="166" ht="12.75" customHeight="1" spans="1:9" x14ac:dyDescent="0.25">
      <c r="A166" s="35" t="s">
        <v>95</v>
      </c>
      <c r="B166" s="35" t="s">
        <v>39</v>
      </c>
      <c r="C166" s="36" t="s">
        <v>103</v>
      </c>
      <c r="D166" s="37" t="s">
        <v>125</v>
      </c>
      <c r="E166" s="38" t="s">
        <v>41</v>
      </c>
      <c r="F166" s="39">
        <v>2431</v>
      </c>
      <c r="G166" s="40"/>
      <c r="H166" s="41"/>
      <c r="I166" s="41"/>
    </row>
    <row r="167" ht="12.75" customHeight="1" spans="1:9" x14ac:dyDescent="0.25">
      <c r="A167" s="35" t="s">
        <v>95</v>
      </c>
      <c r="B167" s="35" t="s">
        <v>40</v>
      </c>
      <c r="C167" s="36" t="s">
        <v>126</v>
      </c>
      <c r="D167" s="37" t="s">
        <v>127</v>
      </c>
      <c r="E167" s="38" t="s">
        <v>41</v>
      </c>
      <c r="F167" s="39">
        <v>94</v>
      </c>
      <c r="G167" s="40"/>
      <c r="H167" s="41"/>
      <c r="I167" s="41"/>
    </row>
    <row r="168" ht="12.75" customHeight="1" spans="1:9" x14ac:dyDescent="0.25">
      <c r="A168" s="35" t="s">
        <v>95</v>
      </c>
      <c r="B168" s="35" t="s">
        <v>56</v>
      </c>
      <c r="C168" s="36" t="s">
        <v>76</v>
      </c>
      <c r="D168" s="37" t="s">
        <v>116</v>
      </c>
      <c r="E168" s="38" t="s">
        <v>27</v>
      </c>
      <c r="F168" s="39">
        <v>2123</v>
      </c>
      <c r="G168" s="40"/>
      <c r="H168" s="41"/>
      <c r="I168" s="41"/>
    </row>
    <row r="169" ht="12.75" customHeight="1" spans="1:9" x14ac:dyDescent="0.25">
      <c r="A169" s="35" t="s">
        <v>95</v>
      </c>
      <c r="B169" s="35" t="s">
        <v>61</v>
      </c>
      <c r="C169" s="36" t="s">
        <v>76</v>
      </c>
      <c r="D169" s="37" t="s">
        <v>128</v>
      </c>
      <c r="E169" s="38" t="s">
        <v>27</v>
      </c>
      <c r="F169" s="39">
        <v>2123</v>
      </c>
      <c r="G169" s="40"/>
      <c r="H169" s="41"/>
      <c r="I169" s="41"/>
    </row>
    <row r="170" ht="12.75" customHeight="1" spans="1:9" x14ac:dyDescent="0.25">
      <c r="A170" s="35" t="s">
        <v>95</v>
      </c>
      <c r="B170" s="35" t="s">
        <v>61</v>
      </c>
      <c r="C170" s="36" t="s">
        <v>76</v>
      </c>
      <c r="D170" s="37" t="s">
        <v>129</v>
      </c>
      <c r="E170" s="38" t="s">
        <v>27</v>
      </c>
      <c r="F170" s="39">
        <v>6369</v>
      </c>
      <c r="G170" s="40"/>
      <c r="H170" s="41"/>
      <c r="I170" s="41"/>
    </row>
    <row r="171" ht="12.75" customHeight="1" spans="1:9" x14ac:dyDescent="0.25">
      <c r="A171" s="35" t="s">
        <v>95</v>
      </c>
      <c r="B171" s="35" t="s">
        <v>62</v>
      </c>
      <c r="C171" s="36" t="s">
        <v>76</v>
      </c>
      <c r="D171" s="37" t="s">
        <v>130</v>
      </c>
      <c r="E171" s="38" t="s">
        <v>27</v>
      </c>
      <c r="F171" s="39">
        <v>2123</v>
      </c>
      <c r="G171" s="40"/>
      <c r="H171" s="41"/>
      <c r="I171" s="41"/>
    </row>
    <row r="172" ht="12.75" customHeight="1" spans="1:9" x14ac:dyDescent="0.25">
      <c r="A172" s="35" t="s">
        <v>95</v>
      </c>
      <c r="B172" s="35" t="s">
        <v>62</v>
      </c>
      <c r="C172" s="36" t="s">
        <v>76</v>
      </c>
      <c r="D172" s="37" t="s">
        <v>129</v>
      </c>
      <c r="E172" s="38" t="s">
        <v>27</v>
      </c>
      <c r="F172" s="39">
        <v>6369</v>
      </c>
      <c r="G172" s="40"/>
      <c r="H172" s="41"/>
      <c r="I172" s="41"/>
    </row>
    <row r="173" ht="12.75" customHeight="1" spans="1:9" x14ac:dyDescent="0.25">
      <c r="A173" s="35" t="s">
        <v>95</v>
      </c>
      <c r="B173" s="35" t="s">
        <v>63</v>
      </c>
      <c r="C173" s="36" t="s">
        <v>76</v>
      </c>
      <c r="D173" s="37" t="s">
        <v>117</v>
      </c>
      <c r="E173" s="38" t="s">
        <v>41</v>
      </c>
      <c r="F173" s="39">
        <v>1797</v>
      </c>
      <c r="G173" s="40"/>
      <c r="H173" s="41"/>
      <c r="I173" s="41"/>
    </row>
    <row r="174" ht="12.75" customHeight="1" spans="1:9" x14ac:dyDescent="0.25">
      <c r="A174" s="35" t="s">
        <v>95</v>
      </c>
      <c r="B174" s="35" t="s">
        <v>63</v>
      </c>
      <c r="C174" s="36" t="s">
        <v>76</v>
      </c>
      <c r="D174" s="37" t="s">
        <v>117</v>
      </c>
      <c r="E174" s="38" t="s">
        <v>41</v>
      </c>
      <c r="F174" s="39">
        <v>1092</v>
      </c>
      <c r="G174" s="40"/>
      <c r="H174" s="41"/>
      <c r="I174" s="41"/>
    </row>
    <row r="175" ht="12.75" customHeight="1" spans="1:9" x14ac:dyDescent="0.25">
      <c r="A175" s="35" t="s">
        <v>95</v>
      </c>
      <c r="B175" s="35" t="s">
        <v>33</v>
      </c>
      <c r="C175" s="36" t="s">
        <v>76</v>
      </c>
      <c r="D175" s="37" t="s">
        <v>112</v>
      </c>
      <c r="E175" s="38" t="s">
        <v>27</v>
      </c>
      <c r="F175" s="39">
        <v>6363</v>
      </c>
      <c r="G175" s="40"/>
      <c r="H175" s="41"/>
      <c r="I175" s="41"/>
    </row>
    <row r="176" ht="12.75" customHeight="1" spans="1:9" x14ac:dyDescent="0.25">
      <c r="A176" s="35" t="s">
        <v>95</v>
      </c>
      <c r="B176" s="35" t="s">
        <v>40</v>
      </c>
      <c r="C176" s="36" t="s">
        <v>126</v>
      </c>
      <c r="D176" s="37" t="s">
        <v>127</v>
      </c>
      <c r="E176" s="38" t="s">
        <v>41</v>
      </c>
      <c r="F176" s="39">
        <v>199</v>
      </c>
      <c r="G176" s="40"/>
      <c r="H176" s="41"/>
      <c r="I176" s="41"/>
    </row>
    <row r="177" ht="12.75" customHeight="1" spans="1:9" x14ac:dyDescent="0.25">
      <c r="A177" s="35" t="s">
        <v>95</v>
      </c>
      <c r="B177" s="35" t="s">
        <v>40</v>
      </c>
      <c r="C177" s="36" t="s">
        <v>76</v>
      </c>
      <c r="D177" s="37" t="s">
        <v>127</v>
      </c>
      <c r="E177" s="38" t="s">
        <v>41</v>
      </c>
      <c r="F177" s="39">
        <v>4905</v>
      </c>
      <c r="G177" s="40"/>
      <c r="H177" s="41"/>
      <c r="I177" s="41"/>
    </row>
    <row r="178" ht="12.75" customHeight="1" spans="1:9" x14ac:dyDescent="0.25">
      <c r="A178" s="35" t="s">
        <v>95</v>
      </c>
      <c r="B178" s="35" t="s">
        <v>53</v>
      </c>
      <c r="C178" s="36" t="s">
        <v>76</v>
      </c>
      <c r="D178" s="37" t="s">
        <v>123</v>
      </c>
      <c r="E178" s="38" t="s">
        <v>44</v>
      </c>
      <c r="F178" s="39">
        <v>2121</v>
      </c>
      <c r="G178" s="40"/>
      <c r="H178" s="41"/>
      <c r="I178" s="41"/>
    </row>
    <row r="179" ht="12.75" customHeight="1" spans="1:9" x14ac:dyDescent="0.25">
      <c r="A179" s="35" t="s">
        <v>95</v>
      </c>
      <c r="B179" s="35" t="s">
        <v>53</v>
      </c>
      <c r="C179" s="36" t="s">
        <v>76</v>
      </c>
      <c r="D179" s="37" t="s">
        <v>121</v>
      </c>
      <c r="E179" s="38" t="s">
        <v>44</v>
      </c>
      <c r="F179" s="39">
        <v>8484</v>
      </c>
      <c r="G179" s="40"/>
      <c r="H179" s="41"/>
      <c r="I179" s="41"/>
    </row>
    <row r="180" ht="12.75" customHeight="1" spans="1:9" x14ac:dyDescent="0.25">
      <c r="A180" s="35" t="s">
        <v>95</v>
      </c>
      <c r="B180" s="35" t="s">
        <v>55</v>
      </c>
      <c r="C180" s="36" t="s">
        <v>76</v>
      </c>
      <c r="D180" s="37" t="s">
        <v>131</v>
      </c>
      <c r="E180" s="38" t="s">
        <v>27</v>
      </c>
      <c r="F180" s="39">
        <v>2099</v>
      </c>
      <c r="G180" s="40"/>
      <c r="H180" s="41"/>
      <c r="I180" s="41"/>
    </row>
    <row r="181" ht="12.75" customHeight="1" spans="1:9" x14ac:dyDescent="0.25">
      <c r="A181" s="35" t="s">
        <v>95</v>
      </c>
      <c r="B181" s="35" t="s">
        <v>56</v>
      </c>
      <c r="C181" s="36" t="s">
        <v>76</v>
      </c>
      <c r="D181" s="37" t="s">
        <v>116</v>
      </c>
      <c r="E181" s="38" t="s">
        <v>27</v>
      </c>
      <c r="F181" s="39">
        <v>4242</v>
      </c>
      <c r="G181" s="40"/>
      <c r="H181" s="41"/>
      <c r="I181" s="41"/>
    </row>
    <row r="182" ht="12.75" customHeight="1" spans="1:9" x14ac:dyDescent="0.25">
      <c r="A182" s="35" t="s">
        <v>132</v>
      </c>
      <c r="B182" s="35" t="s">
        <v>13</v>
      </c>
      <c r="C182" s="36" t="s">
        <v>133</v>
      </c>
      <c r="D182" s="37" t="s">
        <v>17</v>
      </c>
      <c r="E182" s="38" t="s">
        <v>14</v>
      </c>
      <c r="F182" s="39">
        <v>15</v>
      </c>
      <c r="G182" s="40">
        <v>9</v>
      </c>
      <c r="H182" s="41" t="s">
        <v>21</v>
      </c>
      <c r="I182" s="41" t="s">
        <v>134</v>
      </c>
    </row>
    <row r="183" ht="12.75" customHeight="1" spans="1:9" x14ac:dyDescent="0.25">
      <c r="A183" s="35" t="s">
        <v>132</v>
      </c>
      <c r="B183" s="35" t="s">
        <v>13</v>
      </c>
      <c r="C183" s="36" t="s">
        <v>133</v>
      </c>
      <c r="D183" s="37" t="s">
        <v>17</v>
      </c>
      <c r="E183" s="38" t="s">
        <v>14</v>
      </c>
      <c r="F183" s="39">
        <v>460</v>
      </c>
      <c r="G183" s="40"/>
      <c r="H183" s="41"/>
      <c r="I183" s="41"/>
    </row>
    <row r="184" ht="12.75" customHeight="1" spans="1:9" x14ac:dyDescent="0.25">
      <c r="A184" s="35" t="s">
        <v>132</v>
      </c>
      <c r="B184" s="35" t="s">
        <v>20</v>
      </c>
      <c r="C184" s="36" t="s">
        <v>135</v>
      </c>
      <c r="D184" s="37" t="s">
        <v>17</v>
      </c>
      <c r="E184" s="38" t="s">
        <v>14</v>
      </c>
      <c r="F184" s="39">
        <v>18</v>
      </c>
      <c r="G184" s="40"/>
      <c r="H184" s="41"/>
      <c r="I184" s="41"/>
    </row>
    <row r="185" ht="12.75" customHeight="1" spans="1:9" x14ac:dyDescent="0.25">
      <c r="A185" s="35" t="s">
        <v>132</v>
      </c>
      <c r="B185" s="35" t="s">
        <v>20</v>
      </c>
      <c r="C185" s="36" t="s">
        <v>135</v>
      </c>
      <c r="D185" s="37" t="s">
        <v>17</v>
      </c>
      <c r="E185" s="38" t="s">
        <v>14</v>
      </c>
      <c r="F185" s="39">
        <v>60</v>
      </c>
      <c r="G185" s="40"/>
      <c r="H185" s="41"/>
      <c r="I185" s="41"/>
    </row>
    <row r="186" ht="12.75" customHeight="1" spans="1:9" x14ac:dyDescent="0.25">
      <c r="A186" s="35" t="s">
        <v>132</v>
      </c>
      <c r="B186" s="35" t="s">
        <v>13</v>
      </c>
      <c r="C186" s="36" t="s">
        <v>133</v>
      </c>
      <c r="D186" s="37" t="s">
        <v>17</v>
      </c>
      <c r="E186" s="38" t="s">
        <v>14</v>
      </c>
      <c r="F186" s="39">
        <v>65</v>
      </c>
      <c r="G186" s="40"/>
      <c r="H186" s="41"/>
      <c r="I186" s="41"/>
    </row>
    <row r="187" ht="12.75" customHeight="1" spans="1:9" x14ac:dyDescent="0.25">
      <c r="A187" s="35" t="s">
        <v>132</v>
      </c>
      <c r="B187" s="35" t="s">
        <v>13</v>
      </c>
      <c r="C187" s="36" t="s">
        <v>133</v>
      </c>
      <c r="D187" s="37" t="s">
        <v>17</v>
      </c>
      <c r="E187" s="38" t="s">
        <v>14</v>
      </c>
      <c r="F187" s="39">
        <v>305</v>
      </c>
      <c r="G187" s="40"/>
      <c r="H187" s="41"/>
      <c r="I187" s="41"/>
    </row>
    <row r="188" ht="12.75" customHeight="1" spans="1:9" x14ac:dyDescent="0.25">
      <c r="A188" s="35" t="s">
        <v>132</v>
      </c>
      <c r="B188" s="35" t="s">
        <v>20</v>
      </c>
      <c r="C188" s="36" t="s">
        <v>135</v>
      </c>
      <c r="D188" s="37" t="s">
        <v>17</v>
      </c>
      <c r="E188" s="38" t="s">
        <v>14</v>
      </c>
      <c r="F188" s="39">
        <v>47</v>
      </c>
      <c r="G188" s="40"/>
      <c r="H188" s="41"/>
      <c r="I188" s="41"/>
    </row>
    <row r="189" ht="12.75" customHeight="1" spans="1:9" x14ac:dyDescent="0.25">
      <c r="A189" s="35" t="s">
        <v>132</v>
      </c>
      <c r="B189" s="35" t="s">
        <v>13</v>
      </c>
      <c r="C189" s="36" t="s">
        <v>136</v>
      </c>
      <c r="D189" s="37" t="s">
        <v>17</v>
      </c>
      <c r="E189" s="38" t="s">
        <v>14</v>
      </c>
      <c r="F189" s="39">
        <v>9</v>
      </c>
      <c r="G189" s="40"/>
      <c r="H189" s="41"/>
      <c r="I189" s="41"/>
    </row>
    <row r="190" ht="12.75" customHeight="1" spans="1:9" x14ac:dyDescent="0.25">
      <c r="A190" s="35" t="s">
        <v>132</v>
      </c>
      <c r="B190" s="35" t="s">
        <v>13</v>
      </c>
      <c r="C190" s="36" t="s">
        <v>136</v>
      </c>
      <c r="D190" s="37" t="s">
        <v>17</v>
      </c>
      <c r="E190" s="38" t="s">
        <v>14</v>
      </c>
      <c r="F190" s="39">
        <v>116</v>
      </c>
      <c r="G190" s="40"/>
      <c r="H190" s="41"/>
      <c r="I190" s="41"/>
    </row>
    <row r="191" ht="12.75" customHeight="1" spans="1:9" x14ac:dyDescent="0.25">
      <c r="A191" s="35" t="s">
        <v>137</v>
      </c>
      <c r="B191" s="35" t="s">
        <v>35</v>
      </c>
      <c r="C191" s="36" t="s">
        <v>76</v>
      </c>
      <c r="D191" s="37" t="s">
        <v>138</v>
      </c>
      <c r="E191" s="38" t="s">
        <v>14</v>
      </c>
      <c r="F191" s="39">
        <v>5465</v>
      </c>
      <c r="G191" s="40">
        <v>5</v>
      </c>
      <c r="H191" s="41" t="s">
        <v>139</v>
      </c>
      <c r="I191" s="41" t="s">
        <v>140</v>
      </c>
    </row>
    <row r="192" ht="12.75" customHeight="1" spans="1:9" x14ac:dyDescent="0.25">
      <c r="A192" s="35" t="s">
        <v>137</v>
      </c>
      <c r="B192" s="35" t="s">
        <v>35</v>
      </c>
      <c r="C192" s="36" t="s">
        <v>76</v>
      </c>
      <c r="D192" s="37" t="s">
        <v>138</v>
      </c>
      <c r="E192" s="38" t="s">
        <v>14</v>
      </c>
      <c r="F192" s="39">
        <v>7566</v>
      </c>
      <c r="G192" s="40"/>
      <c r="H192" s="41"/>
      <c r="I192" s="41"/>
    </row>
    <row r="193" ht="12.75" customHeight="1" spans="1:9" x14ac:dyDescent="0.25">
      <c r="A193" s="35" t="s">
        <v>137</v>
      </c>
      <c r="B193" s="35" t="s">
        <v>35</v>
      </c>
      <c r="C193" s="36" t="s">
        <v>76</v>
      </c>
      <c r="D193" s="37" t="s">
        <v>138</v>
      </c>
      <c r="E193" s="38" t="s">
        <v>14</v>
      </c>
      <c r="F193" s="39">
        <v>2138</v>
      </c>
      <c r="G193" s="40"/>
      <c r="H193" s="41"/>
      <c r="I193" s="41"/>
    </row>
    <row r="194" ht="12.75" customHeight="1" spans="1:9" x14ac:dyDescent="0.25">
      <c r="A194" s="35" t="s">
        <v>137</v>
      </c>
      <c r="B194" s="35" t="s">
        <v>35</v>
      </c>
      <c r="C194" s="36" t="s">
        <v>76</v>
      </c>
      <c r="D194" s="37" t="s">
        <v>138</v>
      </c>
      <c r="E194" s="38" t="s">
        <v>14</v>
      </c>
      <c r="F194" s="39">
        <v>337</v>
      </c>
      <c r="G194" s="40"/>
      <c r="H194" s="41"/>
      <c r="I194" s="41"/>
    </row>
    <row r="195" ht="12.75" customHeight="1" spans="1:9" x14ac:dyDescent="0.25">
      <c r="A195" s="35" t="s">
        <v>137</v>
      </c>
      <c r="B195" s="35" t="s">
        <v>35</v>
      </c>
      <c r="C195" s="36" t="s">
        <v>76</v>
      </c>
      <c r="D195" s="37" t="s">
        <v>138</v>
      </c>
      <c r="E195" s="38" t="s">
        <v>14</v>
      </c>
      <c r="F195" s="39">
        <v>8494</v>
      </c>
      <c r="G195" s="40"/>
      <c r="H195" s="41"/>
      <c r="I195" s="41"/>
    </row>
    <row r="196" ht="12.75" customHeight="1" spans="1:9" x14ac:dyDescent="0.25">
      <c r="A196" s="35" t="s">
        <v>137</v>
      </c>
      <c r="B196" s="35" t="s">
        <v>37</v>
      </c>
      <c r="C196" s="36" t="s">
        <v>141</v>
      </c>
      <c r="D196" s="37" t="s">
        <v>138</v>
      </c>
      <c r="E196" s="38" t="s">
        <v>14</v>
      </c>
      <c r="F196" s="39">
        <v>22</v>
      </c>
      <c r="G196" s="40">
        <v>16</v>
      </c>
      <c r="H196" s="41" t="s">
        <v>78</v>
      </c>
      <c r="I196" s="41" t="s">
        <v>142</v>
      </c>
    </row>
    <row r="197" ht="12.75" customHeight="1" spans="1:9" x14ac:dyDescent="0.25">
      <c r="A197" s="35" t="s">
        <v>137</v>
      </c>
      <c r="B197" s="35" t="s">
        <v>37</v>
      </c>
      <c r="C197" s="36" t="s">
        <v>103</v>
      </c>
      <c r="D197" s="37" t="s">
        <v>143</v>
      </c>
      <c r="E197" s="38" t="s">
        <v>14</v>
      </c>
      <c r="F197" s="39">
        <v>33</v>
      </c>
      <c r="G197" s="40"/>
      <c r="H197" s="41"/>
      <c r="I197" s="41"/>
    </row>
    <row r="198" ht="12.75" customHeight="1" spans="1:9" x14ac:dyDescent="0.25">
      <c r="A198" s="35" t="s">
        <v>137</v>
      </c>
      <c r="B198" s="35" t="s">
        <v>37</v>
      </c>
      <c r="C198" s="36" t="s">
        <v>103</v>
      </c>
      <c r="D198" s="37" t="s">
        <v>144</v>
      </c>
      <c r="E198" s="38" t="s">
        <v>14</v>
      </c>
      <c r="F198" s="39">
        <v>47</v>
      </c>
      <c r="G198" s="40"/>
      <c r="H198" s="41"/>
      <c r="I198" s="41"/>
    </row>
    <row r="199" ht="12.75" customHeight="1" spans="1:9" x14ac:dyDescent="0.25">
      <c r="A199" s="35" t="s">
        <v>137</v>
      </c>
      <c r="B199" s="35" t="s">
        <v>37</v>
      </c>
      <c r="C199" s="36" t="s">
        <v>103</v>
      </c>
      <c r="D199" s="37" t="s">
        <v>143</v>
      </c>
      <c r="E199" s="38" t="s">
        <v>14</v>
      </c>
      <c r="F199" s="39">
        <v>55</v>
      </c>
      <c r="G199" s="40"/>
      <c r="H199" s="41"/>
      <c r="I199" s="41"/>
    </row>
    <row r="200" ht="12.75" customHeight="1" spans="1:9" x14ac:dyDescent="0.25">
      <c r="A200" s="35" t="s">
        <v>137</v>
      </c>
      <c r="B200" s="35" t="s">
        <v>37</v>
      </c>
      <c r="C200" s="36" t="s">
        <v>145</v>
      </c>
      <c r="D200" s="37" t="s">
        <v>138</v>
      </c>
      <c r="E200" s="38" t="s">
        <v>14</v>
      </c>
      <c r="F200" s="39">
        <v>55</v>
      </c>
      <c r="G200" s="40"/>
      <c r="H200" s="41"/>
      <c r="I200" s="41"/>
    </row>
    <row r="201" ht="12.75" customHeight="1" spans="1:9" x14ac:dyDescent="0.25">
      <c r="A201" s="35" t="s">
        <v>137</v>
      </c>
      <c r="B201" s="35" t="s">
        <v>37</v>
      </c>
      <c r="C201" s="36" t="s">
        <v>141</v>
      </c>
      <c r="D201" s="37" t="s">
        <v>138</v>
      </c>
      <c r="E201" s="38" t="s">
        <v>14</v>
      </c>
      <c r="F201" s="39">
        <v>63</v>
      </c>
      <c r="G201" s="40"/>
      <c r="H201" s="41"/>
      <c r="I201" s="41"/>
    </row>
    <row r="202" ht="12.75" customHeight="1" spans="1:9" x14ac:dyDescent="0.25">
      <c r="A202" s="35" t="s">
        <v>137</v>
      </c>
      <c r="B202" s="35" t="s">
        <v>37</v>
      </c>
      <c r="C202" s="36" t="s">
        <v>146</v>
      </c>
      <c r="D202" s="37" t="s">
        <v>138</v>
      </c>
      <c r="E202" s="38" t="s">
        <v>14</v>
      </c>
      <c r="F202" s="39">
        <v>66</v>
      </c>
      <c r="G202" s="40"/>
      <c r="H202" s="41"/>
      <c r="I202" s="41"/>
    </row>
    <row r="203" ht="12.75" customHeight="1" spans="1:9" x14ac:dyDescent="0.25">
      <c r="A203" s="35" t="s">
        <v>137</v>
      </c>
      <c r="B203" s="35" t="s">
        <v>37</v>
      </c>
      <c r="C203" s="36" t="s">
        <v>147</v>
      </c>
      <c r="D203" s="37" t="s">
        <v>138</v>
      </c>
      <c r="E203" s="38" t="s">
        <v>14</v>
      </c>
      <c r="F203" s="39">
        <v>77</v>
      </c>
      <c r="G203" s="40"/>
      <c r="H203" s="41"/>
      <c r="I203" s="41"/>
    </row>
    <row r="204" ht="12.75" customHeight="1" spans="1:9" x14ac:dyDescent="0.25">
      <c r="A204" s="35" t="s">
        <v>137</v>
      </c>
      <c r="B204" s="35" t="s">
        <v>37</v>
      </c>
      <c r="C204" s="36" t="s">
        <v>148</v>
      </c>
      <c r="D204" s="37" t="s">
        <v>138</v>
      </c>
      <c r="E204" s="38" t="s">
        <v>14</v>
      </c>
      <c r="F204" s="39">
        <v>77</v>
      </c>
      <c r="G204" s="40"/>
      <c r="H204" s="41"/>
      <c r="I204" s="41"/>
    </row>
    <row r="205" ht="12.75" customHeight="1" spans="1:9" x14ac:dyDescent="0.25">
      <c r="A205" s="35" t="s">
        <v>137</v>
      </c>
      <c r="B205" s="35" t="s">
        <v>37</v>
      </c>
      <c r="C205" s="36" t="s">
        <v>149</v>
      </c>
      <c r="D205" s="37" t="s">
        <v>138</v>
      </c>
      <c r="E205" s="38" t="s">
        <v>14</v>
      </c>
      <c r="F205" s="39">
        <v>80</v>
      </c>
      <c r="G205" s="40"/>
      <c r="H205" s="41"/>
      <c r="I205" s="41"/>
    </row>
    <row r="206" ht="12.75" customHeight="1" spans="1:9" x14ac:dyDescent="0.25">
      <c r="A206" s="35" t="s">
        <v>137</v>
      </c>
      <c r="B206" s="35" t="s">
        <v>37</v>
      </c>
      <c r="C206" s="36" t="s">
        <v>103</v>
      </c>
      <c r="D206" s="37" t="s">
        <v>144</v>
      </c>
      <c r="E206" s="38" t="s">
        <v>14</v>
      </c>
      <c r="F206" s="39">
        <v>109</v>
      </c>
      <c r="G206" s="40"/>
      <c r="H206" s="41"/>
      <c r="I206" s="41"/>
    </row>
    <row r="207" ht="12.75" customHeight="1" spans="1:9" x14ac:dyDescent="0.25">
      <c r="A207" s="35" t="s">
        <v>137</v>
      </c>
      <c r="B207" s="35" t="s">
        <v>37</v>
      </c>
      <c r="C207" s="36" t="s">
        <v>150</v>
      </c>
      <c r="D207" s="37" t="s">
        <v>138</v>
      </c>
      <c r="E207" s="38" t="s">
        <v>14</v>
      </c>
      <c r="F207" s="39">
        <v>110</v>
      </c>
      <c r="G207" s="40"/>
      <c r="H207" s="41"/>
      <c r="I207" s="41"/>
    </row>
    <row r="208" ht="12.75" customHeight="1" spans="1:9" x14ac:dyDescent="0.25">
      <c r="A208" s="35" t="s">
        <v>137</v>
      </c>
      <c r="B208" s="35" t="s">
        <v>37</v>
      </c>
      <c r="C208" s="36" t="s">
        <v>150</v>
      </c>
      <c r="D208" s="37" t="s">
        <v>138</v>
      </c>
      <c r="E208" s="38" t="s">
        <v>14</v>
      </c>
      <c r="F208" s="39">
        <v>110</v>
      </c>
      <c r="G208" s="40"/>
      <c r="H208" s="41"/>
      <c r="I208" s="41"/>
    </row>
    <row r="209" ht="12.75" customHeight="1" spans="1:9" x14ac:dyDescent="0.25">
      <c r="A209" s="35" t="s">
        <v>137</v>
      </c>
      <c r="B209" s="35" t="s">
        <v>37</v>
      </c>
      <c r="C209" s="36" t="s">
        <v>147</v>
      </c>
      <c r="D209" s="37" t="s">
        <v>138</v>
      </c>
      <c r="E209" s="38" t="s">
        <v>14</v>
      </c>
      <c r="F209" s="39">
        <v>130</v>
      </c>
      <c r="G209" s="40"/>
      <c r="H209" s="41"/>
      <c r="I209" s="41"/>
    </row>
    <row r="210" ht="12.75" customHeight="1" spans="1:9" x14ac:dyDescent="0.25">
      <c r="A210" s="35" t="s">
        <v>137</v>
      </c>
      <c r="B210" s="35" t="s">
        <v>37</v>
      </c>
      <c r="C210" s="36" t="s">
        <v>148</v>
      </c>
      <c r="D210" s="37" t="s">
        <v>138</v>
      </c>
      <c r="E210" s="38" t="s">
        <v>14</v>
      </c>
      <c r="F210" s="39">
        <v>133</v>
      </c>
      <c r="G210" s="40"/>
      <c r="H210" s="41"/>
      <c r="I210" s="41"/>
    </row>
    <row r="211" ht="12.75" customHeight="1" spans="1:9" x14ac:dyDescent="0.25">
      <c r="A211" s="35" t="s">
        <v>137</v>
      </c>
      <c r="B211" s="35" t="s">
        <v>37</v>
      </c>
      <c r="C211" s="36" t="s">
        <v>147</v>
      </c>
      <c r="D211" s="37" t="s">
        <v>138</v>
      </c>
      <c r="E211" s="38" t="s">
        <v>14</v>
      </c>
      <c r="F211" s="39">
        <v>148</v>
      </c>
      <c r="G211" s="40"/>
      <c r="H211" s="41"/>
      <c r="I211" s="41"/>
    </row>
    <row r="212" ht="12.75" customHeight="1" spans="1:9" x14ac:dyDescent="0.25">
      <c r="A212" s="35" t="s">
        <v>137</v>
      </c>
      <c r="B212" s="35" t="s">
        <v>37</v>
      </c>
      <c r="C212" s="36" t="s">
        <v>145</v>
      </c>
      <c r="D212" s="37" t="s">
        <v>138</v>
      </c>
      <c r="E212" s="38" t="s">
        <v>14</v>
      </c>
      <c r="F212" s="39">
        <v>152</v>
      </c>
      <c r="G212" s="40"/>
      <c r="H212" s="41"/>
      <c r="I212" s="41"/>
    </row>
    <row r="213" ht="12.75" customHeight="1" spans="1:9" x14ac:dyDescent="0.25">
      <c r="A213" s="35" t="s">
        <v>137</v>
      </c>
      <c r="B213" s="35" t="s">
        <v>37</v>
      </c>
      <c r="C213" s="36" t="s">
        <v>147</v>
      </c>
      <c r="D213" s="37" t="s">
        <v>138</v>
      </c>
      <c r="E213" s="38" t="s">
        <v>14</v>
      </c>
      <c r="F213" s="39">
        <v>173</v>
      </c>
      <c r="G213" s="40"/>
      <c r="H213" s="41"/>
      <c r="I213" s="41"/>
    </row>
    <row r="214" ht="12.75" customHeight="1" spans="1:9" x14ac:dyDescent="0.25">
      <c r="A214" s="35" t="s">
        <v>137</v>
      </c>
      <c r="B214" s="35" t="s">
        <v>37</v>
      </c>
      <c r="C214" s="36" t="s">
        <v>149</v>
      </c>
      <c r="D214" s="37" t="s">
        <v>138</v>
      </c>
      <c r="E214" s="38" t="s">
        <v>14</v>
      </c>
      <c r="F214" s="39">
        <v>179</v>
      </c>
      <c r="G214" s="40"/>
      <c r="H214" s="41"/>
      <c r="I214" s="41"/>
    </row>
    <row r="215" ht="12.75" customHeight="1" spans="1:9" x14ac:dyDescent="0.25">
      <c r="A215" s="35" t="s">
        <v>137</v>
      </c>
      <c r="B215" s="35" t="s">
        <v>37</v>
      </c>
      <c r="C215" s="36" t="s">
        <v>103</v>
      </c>
      <c r="D215" s="37" t="s">
        <v>144</v>
      </c>
      <c r="E215" s="38" t="s">
        <v>14</v>
      </c>
      <c r="F215" s="39">
        <v>214</v>
      </c>
      <c r="G215" s="40"/>
      <c r="H215" s="41"/>
      <c r="I215" s="41"/>
    </row>
    <row r="216" ht="12.75" customHeight="1" spans="1:9" x14ac:dyDescent="0.25">
      <c r="A216" s="35" t="s">
        <v>137</v>
      </c>
      <c r="B216" s="35" t="s">
        <v>37</v>
      </c>
      <c r="C216" s="36" t="s">
        <v>149</v>
      </c>
      <c r="D216" s="37" t="s">
        <v>138</v>
      </c>
      <c r="E216" s="38" t="s">
        <v>14</v>
      </c>
      <c r="F216" s="39">
        <v>221</v>
      </c>
      <c r="G216" s="40"/>
      <c r="H216" s="41"/>
      <c r="I216" s="41"/>
    </row>
    <row r="217" ht="12.75" customHeight="1" spans="1:9" x14ac:dyDescent="0.25">
      <c r="A217" s="35" t="s">
        <v>137</v>
      </c>
      <c r="B217" s="35" t="s">
        <v>37</v>
      </c>
      <c r="C217" s="36" t="s">
        <v>141</v>
      </c>
      <c r="D217" s="37" t="s">
        <v>138</v>
      </c>
      <c r="E217" s="38" t="s">
        <v>14</v>
      </c>
      <c r="F217" s="39">
        <v>231</v>
      </c>
      <c r="G217" s="40"/>
      <c r="H217" s="41"/>
      <c r="I217" s="41"/>
    </row>
    <row r="218" ht="12.75" customHeight="1" spans="1:9" x14ac:dyDescent="0.25">
      <c r="A218" s="35" t="s">
        <v>137</v>
      </c>
      <c r="B218" s="35" t="s">
        <v>37</v>
      </c>
      <c r="C218" s="36" t="s">
        <v>103</v>
      </c>
      <c r="D218" s="37" t="s">
        <v>144</v>
      </c>
      <c r="E218" s="38" t="s">
        <v>14</v>
      </c>
      <c r="F218" s="39">
        <v>260</v>
      </c>
      <c r="G218" s="40"/>
      <c r="H218" s="41"/>
      <c r="I218" s="41"/>
    </row>
    <row r="219" ht="12.75" customHeight="1" spans="1:9" x14ac:dyDescent="0.25">
      <c r="A219" s="35" t="s">
        <v>137</v>
      </c>
      <c r="B219" s="35" t="s">
        <v>37</v>
      </c>
      <c r="C219" s="36" t="s">
        <v>145</v>
      </c>
      <c r="D219" s="37" t="s">
        <v>138</v>
      </c>
      <c r="E219" s="38" t="s">
        <v>14</v>
      </c>
      <c r="F219" s="39">
        <v>282</v>
      </c>
      <c r="G219" s="40"/>
      <c r="H219" s="41"/>
      <c r="I219" s="41"/>
    </row>
    <row r="220" ht="12.75" customHeight="1" spans="1:9" x14ac:dyDescent="0.25">
      <c r="A220" s="35" t="s">
        <v>137</v>
      </c>
      <c r="B220" s="35" t="s">
        <v>37</v>
      </c>
      <c r="C220" s="36" t="s">
        <v>148</v>
      </c>
      <c r="D220" s="37" t="s">
        <v>138</v>
      </c>
      <c r="E220" s="38" t="s">
        <v>14</v>
      </c>
      <c r="F220" s="39">
        <v>310</v>
      </c>
      <c r="G220" s="40"/>
      <c r="H220" s="41"/>
      <c r="I220" s="41"/>
    </row>
    <row r="221" ht="12.75" customHeight="1" spans="1:9" x14ac:dyDescent="0.25">
      <c r="A221" s="35" t="s">
        <v>137</v>
      </c>
      <c r="B221" s="35" t="s">
        <v>37</v>
      </c>
      <c r="C221" s="36" t="s">
        <v>147</v>
      </c>
      <c r="D221" s="37" t="s">
        <v>138</v>
      </c>
      <c r="E221" s="38" t="s">
        <v>14</v>
      </c>
      <c r="F221" s="39">
        <v>310</v>
      </c>
      <c r="G221" s="40"/>
      <c r="H221" s="41"/>
      <c r="I221" s="41"/>
    </row>
    <row r="222" ht="12.75" customHeight="1" spans="1:9" x14ac:dyDescent="0.25">
      <c r="A222" s="35" t="s">
        <v>137</v>
      </c>
      <c r="B222" s="35" t="s">
        <v>37</v>
      </c>
      <c r="C222" s="36" t="s">
        <v>141</v>
      </c>
      <c r="D222" s="37" t="s">
        <v>138</v>
      </c>
      <c r="E222" s="38" t="s">
        <v>14</v>
      </c>
      <c r="F222" s="39">
        <v>340</v>
      </c>
      <c r="G222" s="40"/>
      <c r="H222" s="41"/>
      <c r="I222" s="41"/>
    </row>
    <row r="223" ht="12.75" customHeight="1" spans="1:9" x14ac:dyDescent="0.25">
      <c r="A223" s="35" t="s">
        <v>137</v>
      </c>
      <c r="B223" s="35" t="s">
        <v>37</v>
      </c>
      <c r="C223" s="36" t="s">
        <v>145</v>
      </c>
      <c r="D223" s="37" t="s">
        <v>138</v>
      </c>
      <c r="E223" s="38" t="s">
        <v>14</v>
      </c>
      <c r="F223" s="39">
        <v>357</v>
      </c>
      <c r="G223" s="40"/>
      <c r="H223" s="41"/>
      <c r="I223" s="41"/>
    </row>
    <row r="224" ht="12.75" customHeight="1" spans="1:9" x14ac:dyDescent="0.25">
      <c r="A224" s="35" t="s">
        <v>137</v>
      </c>
      <c r="B224" s="35" t="s">
        <v>37</v>
      </c>
      <c r="C224" s="36" t="s">
        <v>146</v>
      </c>
      <c r="D224" s="37" t="s">
        <v>138</v>
      </c>
      <c r="E224" s="38" t="s">
        <v>14</v>
      </c>
      <c r="F224" s="39">
        <v>358</v>
      </c>
      <c r="G224" s="40"/>
      <c r="H224" s="41"/>
      <c r="I224" s="41"/>
    </row>
    <row r="225" ht="12.75" customHeight="1" spans="1:9" x14ac:dyDescent="0.25">
      <c r="A225" s="35" t="s">
        <v>137</v>
      </c>
      <c r="B225" s="35" t="s">
        <v>37</v>
      </c>
      <c r="C225" s="36" t="s">
        <v>141</v>
      </c>
      <c r="D225" s="37" t="s">
        <v>138</v>
      </c>
      <c r="E225" s="38" t="s">
        <v>14</v>
      </c>
      <c r="F225" s="39">
        <v>382</v>
      </c>
      <c r="G225" s="40"/>
      <c r="H225" s="41"/>
      <c r="I225" s="41"/>
    </row>
    <row r="226" ht="12.75" customHeight="1" spans="1:9" x14ac:dyDescent="0.25">
      <c r="A226" s="35" t="s">
        <v>137</v>
      </c>
      <c r="B226" s="35" t="s">
        <v>37</v>
      </c>
      <c r="C226" s="36" t="s">
        <v>151</v>
      </c>
      <c r="D226" s="37" t="s">
        <v>138</v>
      </c>
      <c r="E226" s="38" t="s">
        <v>14</v>
      </c>
      <c r="F226" s="39">
        <v>442</v>
      </c>
      <c r="G226" s="40"/>
      <c r="H226" s="41"/>
      <c r="I226" s="41"/>
    </row>
    <row r="227" ht="12.75" customHeight="1" spans="1:9" x14ac:dyDescent="0.25">
      <c r="A227" s="35" t="s">
        <v>137</v>
      </c>
      <c r="B227" s="35" t="s">
        <v>37</v>
      </c>
      <c r="C227" s="36" t="s">
        <v>141</v>
      </c>
      <c r="D227" s="37" t="s">
        <v>138</v>
      </c>
      <c r="E227" s="38" t="s">
        <v>14</v>
      </c>
      <c r="F227" s="39">
        <v>696</v>
      </c>
      <c r="G227" s="40"/>
      <c r="H227" s="41"/>
      <c r="I227" s="41"/>
    </row>
    <row r="228" ht="12.75" customHeight="1" spans="1:9" x14ac:dyDescent="0.25">
      <c r="A228" s="35" t="s">
        <v>137</v>
      </c>
      <c r="B228" s="35" t="s">
        <v>37</v>
      </c>
      <c r="C228" s="36" t="s">
        <v>147</v>
      </c>
      <c r="D228" s="37" t="s">
        <v>138</v>
      </c>
      <c r="E228" s="38" t="s">
        <v>14</v>
      </c>
      <c r="F228" s="39">
        <v>696</v>
      </c>
      <c r="G228" s="40"/>
      <c r="H228" s="41"/>
      <c r="I228" s="41"/>
    </row>
    <row r="229" ht="12.75" customHeight="1" spans="1:9" x14ac:dyDescent="0.25">
      <c r="A229" s="35" t="s">
        <v>137</v>
      </c>
      <c r="B229" s="35" t="s">
        <v>37</v>
      </c>
      <c r="C229" s="36" t="s">
        <v>145</v>
      </c>
      <c r="D229" s="37" t="s">
        <v>138</v>
      </c>
      <c r="E229" s="38" t="s">
        <v>14</v>
      </c>
      <c r="F229" s="39">
        <v>696</v>
      </c>
      <c r="G229" s="40"/>
      <c r="H229" s="41"/>
      <c r="I229" s="41"/>
    </row>
    <row r="230" ht="12.75" customHeight="1" spans="1:9" x14ac:dyDescent="0.25">
      <c r="A230" s="35" t="s">
        <v>137</v>
      </c>
      <c r="B230" s="35" t="s">
        <v>37</v>
      </c>
      <c r="C230" s="36" t="s">
        <v>145</v>
      </c>
      <c r="D230" s="37" t="s">
        <v>138</v>
      </c>
      <c r="E230" s="38" t="s">
        <v>14</v>
      </c>
      <c r="F230" s="39">
        <v>973</v>
      </c>
      <c r="G230" s="40"/>
      <c r="H230" s="41"/>
      <c r="I230" s="41"/>
    </row>
    <row r="231" ht="12.75" customHeight="1" spans="1:9" x14ac:dyDescent="0.25">
      <c r="A231" s="35" t="s">
        <v>137</v>
      </c>
      <c r="B231" s="35" t="s">
        <v>37</v>
      </c>
      <c r="C231" s="36" t="s">
        <v>103</v>
      </c>
      <c r="D231" s="37" t="s">
        <v>143</v>
      </c>
      <c r="E231" s="38" t="s">
        <v>14</v>
      </c>
      <c r="F231" s="39">
        <v>992</v>
      </c>
      <c r="G231" s="40"/>
      <c r="H231" s="41"/>
      <c r="I231" s="41"/>
    </row>
    <row r="232" ht="12.75" customHeight="1" spans="1:9" x14ac:dyDescent="0.25">
      <c r="A232" s="35" t="s">
        <v>137</v>
      </c>
      <c r="B232" s="35" t="s">
        <v>37</v>
      </c>
      <c r="C232" s="36" t="s">
        <v>150</v>
      </c>
      <c r="D232" s="37" t="s">
        <v>138</v>
      </c>
      <c r="E232" s="38" t="s">
        <v>14</v>
      </c>
      <c r="F232" s="39">
        <v>1100</v>
      </c>
      <c r="G232" s="40"/>
      <c r="H232" s="41"/>
      <c r="I232" s="41"/>
    </row>
    <row r="233" ht="12.75" customHeight="1" spans="1:9" x14ac:dyDescent="0.25">
      <c r="A233" s="35" t="s">
        <v>137</v>
      </c>
      <c r="B233" s="35" t="s">
        <v>37</v>
      </c>
      <c r="C233" s="36" t="s">
        <v>151</v>
      </c>
      <c r="D233" s="37" t="s">
        <v>138</v>
      </c>
      <c r="E233" s="38" t="s">
        <v>14</v>
      </c>
      <c r="F233" s="39">
        <v>1118</v>
      </c>
      <c r="G233" s="40"/>
      <c r="H233" s="41"/>
      <c r="I233" s="41"/>
    </row>
    <row r="234" ht="12.75" customHeight="1" spans="1:9" x14ac:dyDescent="0.25">
      <c r="A234" s="35" t="s">
        <v>137</v>
      </c>
      <c r="B234" s="35" t="s">
        <v>37</v>
      </c>
      <c r="C234" s="36" t="s">
        <v>147</v>
      </c>
      <c r="D234" s="37" t="s">
        <v>138</v>
      </c>
      <c r="E234" s="38" t="s">
        <v>14</v>
      </c>
      <c r="F234" s="39">
        <v>1340</v>
      </c>
      <c r="G234" s="40"/>
      <c r="H234" s="41"/>
      <c r="I234" s="41"/>
    </row>
    <row r="235" ht="12.75" customHeight="1" spans="1:9" x14ac:dyDescent="0.25">
      <c r="A235" s="35" t="s">
        <v>137</v>
      </c>
      <c r="B235" s="35" t="s">
        <v>37</v>
      </c>
      <c r="C235" s="36" t="s">
        <v>145</v>
      </c>
      <c r="D235" s="37" t="s">
        <v>138</v>
      </c>
      <c r="E235" s="38" t="s">
        <v>14</v>
      </c>
      <c r="F235" s="39">
        <v>1436</v>
      </c>
      <c r="G235" s="40"/>
      <c r="H235" s="41"/>
      <c r="I235" s="41"/>
    </row>
    <row r="236" ht="12.75" customHeight="1" spans="1:9" x14ac:dyDescent="0.25">
      <c r="A236" s="35" t="s">
        <v>137</v>
      </c>
      <c r="B236" s="35" t="s">
        <v>37</v>
      </c>
      <c r="C236" s="36" t="s">
        <v>147</v>
      </c>
      <c r="D236" s="37" t="s">
        <v>138</v>
      </c>
      <c r="E236" s="38" t="s">
        <v>14</v>
      </c>
      <c r="F236" s="39">
        <v>1534</v>
      </c>
      <c r="G236" s="40"/>
      <c r="H236" s="41"/>
      <c r="I236" s="41"/>
    </row>
    <row r="237" ht="12.75" customHeight="1" spans="1:9" x14ac:dyDescent="0.25">
      <c r="A237" s="35" t="s">
        <v>137</v>
      </c>
      <c r="B237" s="35" t="s">
        <v>37</v>
      </c>
      <c r="C237" s="36" t="s">
        <v>145</v>
      </c>
      <c r="D237" s="37" t="s">
        <v>138</v>
      </c>
      <c r="E237" s="38" t="s">
        <v>14</v>
      </c>
      <c r="F237" s="39">
        <v>1573</v>
      </c>
      <c r="G237" s="40"/>
      <c r="H237" s="41"/>
      <c r="I237" s="41"/>
    </row>
    <row r="238" ht="12.75" customHeight="1" spans="1:9" x14ac:dyDescent="0.25">
      <c r="A238" s="35" t="s">
        <v>137</v>
      </c>
      <c r="B238" s="35" t="s">
        <v>37</v>
      </c>
      <c r="C238" s="36" t="s">
        <v>146</v>
      </c>
      <c r="D238" s="37" t="s">
        <v>138</v>
      </c>
      <c r="E238" s="38" t="s">
        <v>14</v>
      </c>
      <c r="F238" s="39">
        <v>1660</v>
      </c>
      <c r="G238" s="40"/>
      <c r="H238" s="41"/>
      <c r="I238" s="41"/>
    </row>
    <row r="239" ht="12.75" customHeight="1" spans="1:9" x14ac:dyDescent="0.25">
      <c r="A239" s="35" t="s">
        <v>137</v>
      </c>
      <c r="B239" s="35" t="s">
        <v>37</v>
      </c>
      <c r="C239" s="36" t="s">
        <v>146</v>
      </c>
      <c r="D239" s="37" t="s">
        <v>138</v>
      </c>
      <c r="E239" s="38" t="s">
        <v>14</v>
      </c>
      <c r="F239" s="39">
        <v>1876</v>
      </c>
      <c r="G239" s="40"/>
      <c r="H239" s="41"/>
      <c r="I239" s="41"/>
    </row>
    <row r="240" ht="12.75" customHeight="1" spans="1:9" x14ac:dyDescent="0.25">
      <c r="A240" s="35" t="s">
        <v>137</v>
      </c>
      <c r="B240" s="35" t="s">
        <v>37</v>
      </c>
      <c r="C240" s="36" t="s">
        <v>141</v>
      </c>
      <c r="D240" s="37" t="s">
        <v>138</v>
      </c>
      <c r="E240" s="38" t="s">
        <v>14</v>
      </c>
      <c r="F240" s="39">
        <v>2306</v>
      </c>
      <c r="G240" s="40"/>
      <c r="H240" s="41"/>
      <c r="I240" s="41"/>
    </row>
    <row r="241" ht="12.75" customHeight="1" spans="1:9" x14ac:dyDescent="0.25">
      <c r="A241" s="35" t="s">
        <v>137</v>
      </c>
      <c r="B241" s="35" t="s">
        <v>37</v>
      </c>
      <c r="C241" s="36" t="s">
        <v>145</v>
      </c>
      <c r="D241" s="37" t="s">
        <v>138</v>
      </c>
      <c r="E241" s="38" t="s">
        <v>14</v>
      </c>
      <c r="F241" s="39">
        <v>2616</v>
      </c>
      <c r="G241" s="40"/>
      <c r="H241" s="41"/>
      <c r="I241" s="41"/>
    </row>
    <row r="242" ht="12.75" customHeight="1" spans="1:9" x14ac:dyDescent="0.25">
      <c r="A242" s="35" t="s">
        <v>137</v>
      </c>
      <c r="B242" s="35" t="s">
        <v>37</v>
      </c>
      <c r="C242" s="36" t="s">
        <v>151</v>
      </c>
      <c r="D242" s="37" t="s">
        <v>138</v>
      </c>
      <c r="E242" s="38" t="s">
        <v>14</v>
      </c>
      <c r="F242" s="39">
        <v>3760</v>
      </c>
      <c r="G242" s="40"/>
      <c r="H242" s="41"/>
      <c r="I242" s="41"/>
    </row>
    <row r="243" ht="12.75" customHeight="1" spans="1:9" x14ac:dyDescent="0.25">
      <c r="A243" s="35" t="s">
        <v>137</v>
      </c>
      <c r="B243" s="35" t="s">
        <v>37</v>
      </c>
      <c r="C243" s="36" t="s">
        <v>147</v>
      </c>
      <c r="D243" s="37" t="s">
        <v>138</v>
      </c>
      <c r="E243" s="38" t="s">
        <v>14</v>
      </c>
      <c r="F243" s="39">
        <v>342</v>
      </c>
      <c r="G243" s="40"/>
      <c r="H243" s="41"/>
      <c r="I243" s="41"/>
    </row>
    <row r="244" ht="12.75" customHeight="1" spans="1:9" x14ac:dyDescent="0.25">
      <c r="A244" s="35" t="s">
        <v>137</v>
      </c>
      <c r="B244" s="35" t="s">
        <v>37</v>
      </c>
      <c r="C244" s="36" t="s">
        <v>145</v>
      </c>
      <c r="D244" s="37" t="s">
        <v>138</v>
      </c>
      <c r="E244" s="38" t="s">
        <v>14</v>
      </c>
      <c r="F244" s="39">
        <v>700</v>
      </c>
      <c r="G244" s="40"/>
      <c r="H244" s="41"/>
      <c r="I244" s="41"/>
    </row>
    <row r="245" ht="12.75" customHeight="1" spans="1:9" x14ac:dyDescent="0.25">
      <c r="A245" s="35" t="s">
        <v>152</v>
      </c>
      <c r="B245" s="35" t="s">
        <v>23</v>
      </c>
      <c r="C245" s="36" t="s">
        <v>153</v>
      </c>
      <c r="D245" s="37" t="s">
        <v>21</v>
      </c>
      <c r="E245" s="38" t="s">
        <v>24</v>
      </c>
      <c r="F245" s="39">
        <v>2</v>
      </c>
      <c r="G245" s="40">
        <v>518</v>
      </c>
      <c r="H245" s="41" t="s">
        <v>154</v>
      </c>
      <c r="I245" s="41" t="s">
        <v>155</v>
      </c>
    </row>
    <row r="246" ht="12.75" customHeight="1" spans="1:9" x14ac:dyDescent="0.25">
      <c r="A246" s="35" t="s">
        <v>152</v>
      </c>
      <c r="B246" s="35" t="s">
        <v>23</v>
      </c>
      <c r="C246" s="36" t="s">
        <v>153</v>
      </c>
      <c r="D246" s="37" t="s">
        <v>21</v>
      </c>
      <c r="E246" s="38" t="s">
        <v>24</v>
      </c>
      <c r="F246" s="39">
        <v>724</v>
      </c>
      <c r="G246" s="40"/>
      <c r="H246" s="41"/>
      <c r="I246" s="41"/>
    </row>
    <row r="247" ht="12.75" customHeight="1" spans="1:9" x14ac:dyDescent="0.25">
      <c r="A247" s="35" t="s">
        <v>152</v>
      </c>
      <c r="B247" s="35" t="s">
        <v>23</v>
      </c>
      <c r="C247" s="36" t="s">
        <v>153</v>
      </c>
      <c r="D247" s="37" t="s">
        <v>21</v>
      </c>
      <c r="E247" s="38" t="s">
        <v>24</v>
      </c>
      <c r="F247" s="39">
        <v>2679</v>
      </c>
      <c r="G247" s="40"/>
      <c r="H247" s="41"/>
      <c r="I247" s="41"/>
    </row>
    <row r="248" ht="12.75" customHeight="1" spans="1:9" x14ac:dyDescent="0.25">
      <c r="A248" s="35" t="s">
        <v>152</v>
      </c>
      <c r="B248" s="35" t="s">
        <v>23</v>
      </c>
      <c r="C248" s="36" t="s">
        <v>153</v>
      </c>
      <c r="D248" s="37" t="s">
        <v>21</v>
      </c>
      <c r="E248" s="38" t="s">
        <v>24</v>
      </c>
      <c r="F248" s="39">
        <v>875</v>
      </c>
      <c r="G248" s="40"/>
      <c r="H248" s="41"/>
      <c r="I248" s="41"/>
    </row>
    <row r="249" ht="12.75" customHeight="1" spans="1:9" x14ac:dyDescent="0.25">
      <c r="A249" s="35" t="s">
        <v>152</v>
      </c>
      <c r="B249" s="35" t="s">
        <v>46</v>
      </c>
      <c r="C249" s="36" t="s">
        <v>21</v>
      </c>
      <c r="D249" s="37" t="s">
        <v>21</v>
      </c>
      <c r="E249" s="38" t="s">
        <v>24</v>
      </c>
      <c r="F249" s="39">
        <v>1</v>
      </c>
      <c r="G249" s="40"/>
      <c r="H249" s="41"/>
      <c r="I249" s="41"/>
    </row>
    <row r="250" ht="12.75" customHeight="1" spans="1:9" x14ac:dyDescent="0.25">
      <c r="A250" s="35" t="s">
        <v>152</v>
      </c>
      <c r="B250" s="35" t="s">
        <v>46</v>
      </c>
      <c r="C250" s="36" t="s">
        <v>21</v>
      </c>
      <c r="D250" s="37" t="s">
        <v>21</v>
      </c>
      <c r="E250" s="38" t="s">
        <v>24</v>
      </c>
      <c r="F250" s="39">
        <v>172</v>
      </c>
      <c r="G250" s="40"/>
      <c r="H250" s="41"/>
      <c r="I250" s="41"/>
    </row>
    <row r="251" ht="12.75" customHeight="1" spans="1:9" x14ac:dyDescent="0.25">
      <c r="A251" s="35" t="s">
        <v>152</v>
      </c>
      <c r="B251" s="35" t="s">
        <v>46</v>
      </c>
      <c r="C251" s="36" t="s">
        <v>21</v>
      </c>
      <c r="D251" s="37" t="s">
        <v>21</v>
      </c>
      <c r="E251" s="38" t="s">
        <v>24</v>
      </c>
      <c r="F251" s="39">
        <v>547</v>
      </c>
      <c r="G251" s="40"/>
      <c r="H251" s="41"/>
      <c r="I251" s="41"/>
    </row>
    <row r="252" ht="12.75" customHeight="1" spans="1:9" x14ac:dyDescent="0.25">
      <c r="A252" s="35" t="s">
        <v>156</v>
      </c>
      <c r="B252" s="35" t="s">
        <v>26</v>
      </c>
      <c r="C252" s="36" t="s">
        <v>157</v>
      </c>
      <c r="D252" s="37" t="s">
        <v>158</v>
      </c>
      <c r="E252" s="38" t="s">
        <v>27</v>
      </c>
      <c r="F252" s="39">
        <v>1038</v>
      </c>
      <c r="G252" s="40">
        <v>2</v>
      </c>
      <c r="H252" s="41" t="s">
        <v>159</v>
      </c>
      <c r="I252" s="41" t="s">
        <v>21</v>
      </c>
    </row>
    <row r="253" ht="12.75" customHeight="1" spans="1:9" x14ac:dyDescent="0.25">
      <c r="A253" s="35" t="s">
        <v>156</v>
      </c>
      <c r="B253" s="35" t="s">
        <v>26</v>
      </c>
      <c r="C253" s="36" t="s">
        <v>157</v>
      </c>
      <c r="D253" s="37" t="s">
        <v>158</v>
      </c>
      <c r="E253" s="38" t="s">
        <v>27</v>
      </c>
      <c r="F253" s="39">
        <v>1557</v>
      </c>
      <c r="G253" s="40"/>
      <c r="H253" s="41"/>
      <c r="I253" s="41"/>
    </row>
    <row r="254" ht="12.75" customHeight="1" spans="1:9" x14ac:dyDescent="0.25">
      <c r="A254" s="35" t="s">
        <v>156</v>
      </c>
      <c r="B254" s="35" t="s">
        <v>26</v>
      </c>
      <c r="C254" s="36" t="s">
        <v>157</v>
      </c>
      <c r="D254" s="37" t="s">
        <v>158</v>
      </c>
      <c r="E254" s="38" t="s">
        <v>27</v>
      </c>
      <c r="F254" s="39">
        <v>1866</v>
      </c>
      <c r="G254" s="40"/>
      <c r="H254" s="41"/>
      <c r="I254" s="41"/>
    </row>
    <row r="255" ht="12.75" customHeight="1" spans="1:9" x14ac:dyDescent="0.25">
      <c r="A255" s="35" t="s">
        <v>156</v>
      </c>
      <c r="B255" s="35" t="s">
        <v>28</v>
      </c>
      <c r="C255" s="36" t="s">
        <v>157</v>
      </c>
      <c r="D255" s="37" t="s">
        <v>160</v>
      </c>
      <c r="E255" s="38" t="s">
        <v>27</v>
      </c>
      <c r="F255" s="39">
        <v>1038</v>
      </c>
      <c r="G255" s="40"/>
      <c r="H255" s="41"/>
      <c r="I255" s="41"/>
    </row>
    <row r="256" ht="12.75" customHeight="1" spans="1:9" x14ac:dyDescent="0.25">
      <c r="A256" s="35" t="s">
        <v>156</v>
      </c>
      <c r="B256" s="35" t="s">
        <v>28</v>
      </c>
      <c r="C256" s="36" t="s">
        <v>157</v>
      </c>
      <c r="D256" s="37" t="s">
        <v>160</v>
      </c>
      <c r="E256" s="38" t="s">
        <v>27</v>
      </c>
      <c r="F256" s="39">
        <v>1557</v>
      </c>
      <c r="G256" s="40"/>
      <c r="H256" s="41"/>
      <c r="I256" s="41"/>
    </row>
    <row r="257" ht="12.75" customHeight="1" spans="1:9" x14ac:dyDescent="0.25">
      <c r="A257" s="35" t="s">
        <v>156</v>
      </c>
      <c r="B257" s="35" t="s">
        <v>28</v>
      </c>
      <c r="C257" s="36" t="s">
        <v>157</v>
      </c>
      <c r="D257" s="37" t="s">
        <v>160</v>
      </c>
      <c r="E257" s="38" t="s">
        <v>27</v>
      </c>
      <c r="F257" s="39">
        <v>1866</v>
      </c>
      <c r="G257" s="40"/>
      <c r="H257" s="41"/>
      <c r="I257" s="41"/>
    </row>
    <row r="258" ht="12.75" customHeight="1" spans="1:9" x14ac:dyDescent="0.25">
      <c r="A258" s="35" t="s">
        <v>156</v>
      </c>
      <c r="B258" s="35" t="s">
        <v>29</v>
      </c>
      <c r="C258" s="36" t="s">
        <v>157</v>
      </c>
      <c r="D258" s="37" t="s">
        <v>161</v>
      </c>
      <c r="E258" s="38" t="s">
        <v>27</v>
      </c>
      <c r="F258" s="39">
        <v>1038</v>
      </c>
      <c r="G258" s="40"/>
      <c r="H258" s="41"/>
      <c r="I258" s="41"/>
    </row>
    <row r="259" ht="12.75" customHeight="1" spans="1:9" x14ac:dyDescent="0.25">
      <c r="A259" s="35" t="s">
        <v>156</v>
      </c>
      <c r="B259" s="35" t="s">
        <v>29</v>
      </c>
      <c r="C259" s="36" t="s">
        <v>157</v>
      </c>
      <c r="D259" s="37" t="s">
        <v>161</v>
      </c>
      <c r="E259" s="38" t="s">
        <v>27</v>
      </c>
      <c r="F259" s="39">
        <v>1557</v>
      </c>
      <c r="G259" s="40"/>
      <c r="H259" s="41"/>
      <c r="I259" s="41"/>
    </row>
    <row r="260" ht="12.75" customHeight="1" spans="1:9" x14ac:dyDescent="0.25">
      <c r="A260" s="35" t="s">
        <v>156</v>
      </c>
      <c r="B260" s="35" t="s">
        <v>29</v>
      </c>
      <c r="C260" s="36" t="s">
        <v>157</v>
      </c>
      <c r="D260" s="37" t="s">
        <v>161</v>
      </c>
      <c r="E260" s="38" t="s">
        <v>27</v>
      </c>
      <c r="F260" s="39">
        <v>1866</v>
      </c>
      <c r="G260" s="40"/>
      <c r="H260" s="41"/>
      <c r="I260" s="41"/>
    </row>
    <row r="261" ht="12.75" customHeight="1" spans="1:9" x14ac:dyDescent="0.25">
      <c r="A261" s="42" t="s">
        <v>162</v>
      </c>
      <c r="B261" s="43" t="s">
        <v>163</v>
      </c>
      <c r="C261" s="44"/>
      <c r="D261" s="44"/>
      <c r="E261" s="44"/>
      <c r="F261" s="45">
        <f>=SUM(F4:F260)</f>
      </c>
      <c r="G261" s="46">
        <f>=SUM(G4:G260)</f>
      </c>
      <c r="H261" s="44"/>
      <c r="I261" s="44"/>
    </row>
  </sheetData>
  <mergeCells count="25">
    <mergeCell ref="A1:I1"/>
    <mergeCell ref="G4:G107"/>
    <mergeCell ref="H4:H107"/>
    <mergeCell ref="I4:I107"/>
    <mergeCell ref="G108:G136"/>
    <mergeCell ref="H108:H136"/>
    <mergeCell ref="I108:I136"/>
    <mergeCell ref="G137:G181"/>
    <mergeCell ref="H137:H181"/>
    <mergeCell ref="I137:I181"/>
    <mergeCell ref="G182:G190"/>
    <mergeCell ref="H182:H190"/>
    <mergeCell ref="I182:I190"/>
    <mergeCell ref="G191:G195"/>
    <mergeCell ref="H191:H195"/>
    <mergeCell ref="I191:I195"/>
    <mergeCell ref="G196:G244"/>
    <mergeCell ref="H196:H244"/>
    <mergeCell ref="I196:I244"/>
    <mergeCell ref="G245:G251"/>
    <mergeCell ref="H245:H251"/>
    <mergeCell ref="I245:I251"/>
    <mergeCell ref="G252:G260"/>
    <mergeCell ref="H252:H260"/>
    <mergeCell ref="I252:I260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164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165</v>
      </c>
      <c r="B2" s="48"/>
      <c r="C2" s="48"/>
      <c r="F2" s="49"/>
      <c r="G2" s="50" t="s">
        <v>166</v>
      </c>
      <c r="H2" s="48"/>
      <c r="I2" s="48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168</v>
      </c>
      <c r="F4" s="49"/>
      <c r="G4" s="53" t="s">
        <v>169</v>
      </c>
      <c r="J4" s="54"/>
      <c r="K4" s="54">
        <v>46093.625</v>
      </c>
    </row>
    <row r="5" ht="15" customHeight="1" spans="1:9" x14ac:dyDescent="0.25">
      <c r="A5" s="1" t="s">
        <v>170</v>
      </c>
      <c r="F5" s="49"/>
      <c r="G5" s="50" t="s">
        <v>171</v>
      </c>
      <c r="H5" s="48"/>
      <c r="I5" s="55"/>
    </row>
    <row r="6" ht="15" customHeight="1" spans="1:11" x14ac:dyDescent="0.25">
      <c r="A6" s="1" t="s">
        <v>172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7"/>
      <c r="H7" s="51"/>
      <c r="I7" s="51"/>
      <c r="J7" s="58" t="s">
        <v>174</v>
      </c>
      <c r="K7" s="59"/>
    </row>
    <row r="8" ht="15" customHeight="1" spans="1:11" x14ac:dyDescent="0.25">
      <c r="A8" s="51" t="s">
        <v>175</v>
      </c>
      <c r="B8" s="51"/>
      <c r="C8" s="51"/>
      <c r="F8" s="49"/>
      <c r="G8" s="50" t="s">
        <v>176</v>
      </c>
      <c r="H8" s="48"/>
      <c r="I8" s="48"/>
      <c r="J8" s="55"/>
      <c r="K8" s="60"/>
    </row>
    <row r="9" ht="15" customHeight="1" spans="1:11" x14ac:dyDescent="0.25">
      <c r="A9" s="1" t="s">
        <v>177</v>
      </c>
      <c r="F9" s="49"/>
      <c r="G9" s="1" t="s">
        <v>174</v>
      </c>
      <c r="K9" s="59"/>
    </row>
    <row r="10" ht="15" customHeight="1" spans="1:11" x14ac:dyDescent="0.25">
      <c r="A10" s="1" t="s">
        <v>178</v>
      </c>
      <c r="F10" s="49"/>
      <c r="G10" s="61" t="s">
        <v>174</v>
      </c>
      <c r="H10" s="61"/>
      <c r="I10" s="61"/>
      <c r="J10" s="61"/>
      <c r="K10" s="59"/>
    </row>
    <row r="11" ht="15" customHeight="1" spans="1:11" x14ac:dyDescent="0.25">
      <c r="A11" s="1" t="s">
        <v>179</v>
      </c>
      <c r="F11" s="49"/>
      <c r="G11" s="50" t="s">
        <v>180</v>
      </c>
      <c r="H11" s="48"/>
      <c r="K11" s="62"/>
    </row>
    <row r="12" ht="15" customHeight="1" spans="1:11" x14ac:dyDescent="0.25">
      <c r="A12" s="61" t="s">
        <v>181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182</v>
      </c>
      <c r="F13" s="49"/>
      <c r="G13" s="3"/>
      <c r="I13" s="67"/>
      <c r="J13" s="68"/>
      <c r="K13" s="65"/>
    </row>
    <row r="14" ht="15" customHeight="1" spans="1:11" x14ac:dyDescent="0.25">
      <c r="A14" s="69" t="s">
        <v>183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184</v>
      </c>
      <c r="B16" s="48"/>
      <c r="C16" s="57"/>
      <c r="D16" s="48" t="s">
        <v>185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174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186</v>
      </c>
      <c r="B18" s="73"/>
      <c r="C18" s="73"/>
      <c r="D18" s="74" t="s">
        <v>187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188</v>
      </c>
      <c r="B19" s="48"/>
      <c r="C19" s="49"/>
      <c r="D19" s="48" t="s">
        <v>189</v>
      </c>
      <c r="E19" s="48"/>
      <c r="F19" s="70"/>
      <c r="K19" s="65"/>
    </row>
    <row r="20" ht="15" customHeight="1" spans="1:11" x14ac:dyDescent="0.25">
      <c r="A20" s="1" t="s">
        <v>174</v>
      </c>
      <c r="C20" s="49"/>
      <c r="D20" s="1" t="s">
        <v>174</v>
      </c>
      <c r="F20" s="49"/>
      <c r="G20" s="1" t="s">
        <v>174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190</v>
      </c>
      <c r="B22" s="78"/>
      <c r="C22" s="78"/>
      <c r="D22" s="79" t="s">
        <v>191</v>
      </c>
      <c r="E22" s="79"/>
      <c r="F22" s="79"/>
      <c r="G22" s="79" t="s">
        <v>192</v>
      </c>
      <c r="H22" s="79"/>
      <c r="I22" s="80" t="s">
        <v>193</v>
      </c>
      <c r="J22" s="81" t="s">
        <v>194</v>
      </c>
      <c r="K22" s="81"/>
    </row>
    <row r="23" ht="15" customHeight="1" spans="1:9" x14ac:dyDescent="0.25">
      <c r="A23" s="1" t="s">
        <v>174</v>
      </c>
      <c r="C23" s="49"/>
      <c r="F23" s="49"/>
      <c r="H23" s="49"/>
      <c r="I23" s="49"/>
    </row>
    <row r="24" ht="15" customHeight="1" spans="1:9" x14ac:dyDescent="0.25">
      <c r="A24" s="1" t="s">
        <v>174</v>
      </c>
      <c r="G24" s="82" t="s">
        <v>195</v>
      </c>
      <c r="H24" s="82"/>
      <c r="I24" s="82"/>
    </row>
    <row r="25" ht="15" customHeight="1" spans="1:11" x14ac:dyDescent="0.25">
      <c r="A25" s="83" t="s">
        <v>196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197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198</v>
      </c>
      <c r="E27" s="51"/>
      <c r="F27" s="51"/>
      <c r="K27" s="86"/>
    </row>
    <row r="28" ht="15" customHeight="1" spans="1:11" x14ac:dyDescent="0.25">
      <c r="A28" s="87" t="s">
        <v>199</v>
      </c>
      <c r="K28" s="86"/>
    </row>
    <row r="29" ht="15" customHeight="1" spans="1:10" x14ac:dyDescent="0.25">
      <c r="A29" s="87" t="s">
        <v>200</v>
      </c>
      <c r="F29" s="3"/>
      <c r="G29" s="88"/>
      <c r="H29" s="89"/>
      <c r="I29" s="90"/>
      <c r="J29" s="91"/>
    </row>
    <row r="30" ht="15" customHeight="1" spans="1:10" x14ac:dyDescent="0.25">
      <c r="A30" s="87" t="s">
        <v>201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202</v>
      </c>
      <c r="B31" s="88"/>
      <c r="C31" s="3"/>
      <c r="D31" s="92" t="s">
        <v>162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203</v>
      </c>
      <c r="B40" s="66"/>
      <c r="C40" s="66"/>
      <c r="D40" s="66"/>
      <c r="E40" s="66"/>
      <c r="F40" s="66"/>
    </row>
    <row r="41" ht="15" customHeight="1" spans="1:11" x14ac:dyDescent="0.25">
      <c r="A41" s="66" t="s">
        <v>204</v>
      </c>
      <c r="B41" s="66"/>
      <c r="C41" s="66"/>
      <c r="H41" s="97" t="s">
        <v>205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206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207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0.91</v>
      </c>
      <c r="E4" s="111">
        <v>970</v>
      </c>
      <c r="F4" s="112" t="s">
        <v>14</v>
      </c>
      <c r="G4" s="110">
        <v>882.7</v>
      </c>
      <c r="H4" s="113" t="s">
        <v>15</v>
      </c>
      <c r="I4" s="114">
        <v>8.37</v>
      </c>
      <c r="J4" s="103" t="s">
        <v>16</v>
      </c>
      <c r="K4" s="98" t="s">
        <v>208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19</v>
      </c>
      <c r="C5" s="109" t="s">
        <v>20</v>
      </c>
      <c r="D5" s="110">
        <v>1.08</v>
      </c>
      <c r="E5" s="111">
        <v>125</v>
      </c>
      <c r="F5" s="112" t="s">
        <v>14</v>
      </c>
      <c r="G5" s="110">
        <v>135</v>
      </c>
      <c r="H5" s="113" t="s">
        <v>15</v>
      </c>
      <c r="I5" s="114">
        <v>1.08</v>
      </c>
      <c r="J5" s="103" t="s">
        <v>16</v>
      </c>
      <c r="K5" s="98" t="s">
        <v>209</v>
      </c>
      <c r="L5" s="98" t="s">
        <v>21</v>
      </c>
      <c r="M5" s="98" t="s">
        <v>18</v>
      </c>
    </row>
    <row r="6" ht="12" customHeight="1" spans="1:13" x14ac:dyDescent="0.25">
      <c r="A6" s="108">
        <v>3</v>
      </c>
      <c r="B6" s="109" t="s">
        <v>22</v>
      </c>
      <c r="C6" s="109" t="s">
        <v>23</v>
      </c>
      <c r="D6" s="110">
        <v>3.35</v>
      </c>
      <c r="E6" s="111">
        <v>4280</v>
      </c>
      <c r="F6" s="112" t="s">
        <v>24</v>
      </c>
      <c r="G6" s="110">
        <v>14338</v>
      </c>
      <c r="H6" s="113" t="s">
        <v>15</v>
      </c>
      <c r="I6" s="114">
        <v>36.91</v>
      </c>
      <c r="J6" s="103" t="s">
        <v>16</v>
      </c>
      <c r="K6" s="98" t="s">
        <v>210</v>
      </c>
      <c r="L6" s="98" t="s">
        <v>21</v>
      </c>
      <c r="M6" s="98" t="s">
        <v>18</v>
      </c>
    </row>
    <row r="7" ht="12" customHeight="1" spans="1:13" x14ac:dyDescent="0.25">
      <c r="A7" s="108">
        <v>4</v>
      </c>
      <c r="B7" s="109" t="s">
        <v>25</v>
      </c>
      <c r="C7" s="109" t="s">
        <v>26</v>
      </c>
      <c r="D7" s="110">
        <v>0.04</v>
      </c>
      <c r="E7" s="111">
        <v>4461</v>
      </c>
      <c r="F7" s="112" t="s">
        <v>27</v>
      </c>
      <c r="G7" s="110">
        <v>178.44</v>
      </c>
      <c r="H7" s="113" t="s">
        <v>15</v>
      </c>
      <c r="I7" s="114">
        <v>38.47</v>
      </c>
      <c r="J7" s="103" t="s">
        <v>16</v>
      </c>
      <c r="K7" s="98" t="s">
        <v>211</v>
      </c>
      <c r="L7" s="98" t="s">
        <v>21</v>
      </c>
      <c r="M7" s="98" t="s">
        <v>21</v>
      </c>
    </row>
    <row r="8" ht="12" customHeight="1" spans="1:13" x14ac:dyDescent="0.25">
      <c r="A8" s="108">
        <v>5</v>
      </c>
      <c r="B8" s="109" t="s">
        <v>25</v>
      </c>
      <c r="C8" s="109" t="s">
        <v>28</v>
      </c>
      <c r="D8" s="110">
        <v>0.07</v>
      </c>
      <c r="E8" s="111">
        <v>4461</v>
      </c>
      <c r="F8" s="112" t="s">
        <v>27</v>
      </c>
      <c r="G8" s="110">
        <v>312.27</v>
      </c>
      <c r="H8" s="113" t="s">
        <v>15</v>
      </c>
      <c r="I8" s="114">
        <v>38.47</v>
      </c>
      <c r="J8" s="103" t="s">
        <v>16</v>
      </c>
      <c r="K8" s="98" t="s">
        <v>211</v>
      </c>
      <c r="L8" s="98" t="s">
        <v>21</v>
      </c>
      <c r="M8" s="98" t="s">
        <v>21</v>
      </c>
    </row>
    <row r="9" ht="12" customHeight="1" spans="1:13" x14ac:dyDescent="0.25">
      <c r="A9" s="108">
        <v>6</v>
      </c>
      <c r="B9" s="109" t="s">
        <v>25</v>
      </c>
      <c r="C9" s="109" t="s">
        <v>29</v>
      </c>
      <c r="D9" s="110">
        <v>0.09</v>
      </c>
      <c r="E9" s="111">
        <v>4461</v>
      </c>
      <c r="F9" s="112" t="s">
        <v>27</v>
      </c>
      <c r="G9" s="110">
        <v>401.49</v>
      </c>
      <c r="H9" s="113" t="s">
        <v>15</v>
      </c>
      <c r="I9" s="114">
        <v>38.47</v>
      </c>
      <c r="J9" s="103" t="s">
        <v>16</v>
      </c>
      <c r="K9" s="98" t="s">
        <v>211</v>
      </c>
      <c r="L9" s="98" t="s">
        <v>21</v>
      </c>
      <c r="M9" s="98" t="s">
        <v>21</v>
      </c>
    </row>
    <row r="10" ht="12" customHeight="1" spans="1:13" x14ac:dyDescent="0.25">
      <c r="A10" s="108">
        <v>7</v>
      </c>
      <c r="B10" s="109" t="s">
        <v>30</v>
      </c>
      <c r="C10" s="109" t="s">
        <v>31</v>
      </c>
      <c r="D10" s="110">
        <v>0.04</v>
      </c>
      <c r="E10" s="111">
        <v>16916</v>
      </c>
      <c r="F10" s="112" t="s">
        <v>27</v>
      </c>
      <c r="G10" s="110">
        <v>676.64</v>
      </c>
      <c r="H10" s="113" t="s">
        <v>15</v>
      </c>
      <c r="I10" s="114">
        <v>145.87</v>
      </c>
      <c r="J10" s="103" t="s">
        <v>16</v>
      </c>
      <c r="K10" s="98" t="s">
        <v>212</v>
      </c>
      <c r="L10" s="98" t="s">
        <v>21</v>
      </c>
      <c r="M10" s="98" t="s">
        <v>21</v>
      </c>
    </row>
    <row r="11" ht="12" customHeight="1" spans="1:13" x14ac:dyDescent="0.25">
      <c r="A11" s="108">
        <v>8</v>
      </c>
      <c r="B11" s="109" t="s">
        <v>30</v>
      </c>
      <c r="C11" s="109" t="s">
        <v>32</v>
      </c>
      <c r="D11" s="110">
        <v>0.06</v>
      </c>
      <c r="E11" s="111">
        <v>19458</v>
      </c>
      <c r="F11" s="112" t="s">
        <v>27</v>
      </c>
      <c r="G11" s="110">
        <v>1167.48</v>
      </c>
      <c r="H11" s="113" t="s">
        <v>15</v>
      </c>
      <c r="I11" s="114">
        <v>167.79</v>
      </c>
      <c r="J11" s="103" t="s">
        <v>16</v>
      </c>
      <c r="K11" s="98" t="s">
        <v>212</v>
      </c>
      <c r="L11" s="98" t="s">
        <v>21</v>
      </c>
      <c r="M11" s="98" t="s">
        <v>21</v>
      </c>
    </row>
    <row r="12" ht="12" customHeight="1" spans="1:13" x14ac:dyDescent="0.25">
      <c r="A12" s="108">
        <v>9</v>
      </c>
      <c r="B12" s="109" t="s">
        <v>30</v>
      </c>
      <c r="C12" s="109" t="s">
        <v>33</v>
      </c>
      <c r="D12" s="110">
        <v>0.0163</v>
      </c>
      <c r="E12" s="111">
        <v>57792</v>
      </c>
      <c r="F12" s="112" t="s">
        <v>27</v>
      </c>
      <c r="G12" s="110">
        <v>942.01</v>
      </c>
      <c r="H12" s="113" t="s">
        <v>15</v>
      </c>
      <c r="I12" s="114">
        <v>498.35</v>
      </c>
      <c r="J12" s="103" t="s">
        <v>16</v>
      </c>
      <c r="K12" s="98" t="s">
        <v>212</v>
      </c>
      <c r="L12" s="98" t="s">
        <v>21</v>
      </c>
      <c r="M12" s="98" t="s">
        <v>21</v>
      </c>
    </row>
    <row r="13" ht="12" customHeight="1" spans="1:13" x14ac:dyDescent="0.25">
      <c r="A13" s="108">
        <v>10</v>
      </c>
      <c r="B13" s="109" t="s">
        <v>34</v>
      </c>
      <c r="C13" s="109" t="s">
        <v>35</v>
      </c>
      <c r="D13" s="110">
        <v>0.03</v>
      </c>
      <c r="E13" s="111">
        <v>24000</v>
      </c>
      <c r="F13" s="112" t="s">
        <v>14</v>
      </c>
      <c r="G13" s="110">
        <v>720</v>
      </c>
      <c r="H13" s="113" t="s">
        <v>15</v>
      </c>
      <c r="I13" s="114">
        <v>206.96</v>
      </c>
      <c r="J13" s="103" t="s">
        <v>16</v>
      </c>
      <c r="K13" s="98" t="s">
        <v>213</v>
      </c>
      <c r="L13" s="98" t="s">
        <v>21</v>
      </c>
      <c r="M13" s="98" t="s">
        <v>21</v>
      </c>
    </row>
    <row r="14" ht="12" customHeight="1" spans="1:13" x14ac:dyDescent="0.25">
      <c r="A14" s="108">
        <v>11</v>
      </c>
      <c r="B14" s="109" t="s">
        <v>36</v>
      </c>
      <c r="C14" s="109" t="s">
        <v>37</v>
      </c>
      <c r="D14" s="110">
        <v>0.01</v>
      </c>
      <c r="E14" s="111">
        <v>30940</v>
      </c>
      <c r="F14" s="112" t="s">
        <v>14</v>
      </c>
      <c r="G14" s="110">
        <v>309.4</v>
      </c>
      <c r="H14" s="113" t="s">
        <v>15</v>
      </c>
      <c r="I14" s="114">
        <v>266.8</v>
      </c>
      <c r="J14" s="103" t="s">
        <v>16</v>
      </c>
      <c r="K14" s="98" t="s">
        <v>37</v>
      </c>
      <c r="L14" s="98" t="s">
        <v>21</v>
      </c>
      <c r="M14" s="98" t="s">
        <v>21</v>
      </c>
    </row>
    <row r="15" ht="12" customHeight="1" spans="1:13" x14ac:dyDescent="0.25">
      <c r="A15" s="108">
        <v>12</v>
      </c>
      <c r="B15" s="109" t="s">
        <v>38</v>
      </c>
      <c r="C15" s="109" t="s">
        <v>39</v>
      </c>
      <c r="D15" s="110">
        <v>0.0616</v>
      </c>
      <c r="E15" s="111">
        <v>30237</v>
      </c>
      <c r="F15" s="112" t="s">
        <v>14</v>
      </c>
      <c r="G15" s="110">
        <v>1862.6</v>
      </c>
      <c r="H15" s="113" t="s">
        <v>15</v>
      </c>
      <c r="I15" s="114">
        <v>260.73</v>
      </c>
      <c r="J15" s="103" t="s">
        <v>16</v>
      </c>
      <c r="K15" s="98" t="s">
        <v>214</v>
      </c>
      <c r="L15" s="98" t="s">
        <v>21</v>
      </c>
      <c r="M15" s="98" t="s">
        <v>21</v>
      </c>
    </row>
    <row r="16" ht="12" customHeight="1" spans="1:13" x14ac:dyDescent="0.25">
      <c r="A16" s="108">
        <v>13</v>
      </c>
      <c r="B16" s="109" t="s">
        <v>38</v>
      </c>
      <c r="C16" s="109" t="s">
        <v>40</v>
      </c>
      <c r="D16" s="110">
        <v>0.0828</v>
      </c>
      <c r="E16" s="111">
        <v>5198</v>
      </c>
      <c r="F16" s="112" t="s">
        <v>41</v>
      </c>
      <c r="G16" s="110">
        <v>430.39</v>
      </c>
      <c r="H16" s="113" t="s">
        <v>15</v>
      </c>
      <c r="I16" s="114">
        <v>44.83</v>
      </c>
      <c r="J16" s="103" t="s">
        <v>16</v>
      </c>
      <c r="K16" s="98" t="s">
        <v>214</v>
      </c>
      <c r="L16" s="98" t="s">
        <v>21</v>
      </c>
      <c r="M16" s="98" t="s">
        <v>21</v>
      </c>
    </row>
    <row r="17" ht="12" customHeight="1" spans="1:13" x14ac:dyDescent="0.25">
      <c r="A17" s="108">
        <v>14</v>
      </c>
      <c r="B17" s="109" t="s">
        <v>42</v>
      </c>
      <c r="C17" s="109" t="s">
        <v>43</v>
      </c>
      <c r="D17" s="110">
        <v>0.02</v>
      </c>
      <c r="E17" s="111">
        <v>74268</v>
      </c>
      <c r="F17" s="112" t="s">
        <v>44</v>
      </c>
      <c r="G17" s="110">
        <v>1485.36</v>
      </c>
      <c r="H17" s="113" t="s">
        <v>15</v>
      </c>
      <c r="I17" s="114">
        <v>640.43</v>
      </c>
      <c r="J17" s="103" t="s">
        <v>16</v>
      </c>
      <c r="K17" s="98" t="s">
        <v>215</v>
      </c>
      <c r="L17" s="98" t="s">
        <v>21</v>
      </c>
      <c r="M17" s="98" t="s">
        <v>21</v>
      </c>
    </row>
    <row r="18" ht="12" customHeight="1" spans="1:13" x14ac:dyDescent="0.25">
      <c r="A18" s="108">
        <v>15</v>
      </c>
      <c r="B18" s="109" t="s">
        <v>45</v>
      </c>
      <c r="C18" s="109" t="s">
        <v>46</v>
      </c>
      <c r="D18" s="110">
        <v>4.96</v>
      </c>
      <c r="E18" s="111">
        <v>720</v>
      </c>
      <c r="F18" s="112" t="s">
        <v>24</v>
      </c>
      <c r="G18" s="110">
        <v>3571.2</v>
      </c>
      <c r="H18" s="113" t="s">
        <v>15</v>
      </c>
      <c r="I18" s="114">
        <v>6.21</v>
      </c>
      <c r="J18" s="103" t="s">
        <v>16</v>
      </c>
      <c r="K18" s="98" t="s">
        <v>216</v>
      </c>
      <c r="L18" s="98" t="s">
        <v>21</v>
      </c>
      <c r="M18" s="98" t="s">
        <v>21</v>
      </c>
    </row>
    <row r="19" ht="12" customHeight="1" spans="1:13" x14ac:dyDescent="0.25">
      <c r="A19" s="108">
        <v>16</v>
      </c>
      <c r="B19" s="109" t="s">
        <v>25</v>
      </c>
      <c r="C19" s="109" t="s">
        <v>47</v>
      </c>
      <c r="D19" s="110">
        <v>0.03</v>
      </c>
      <c r="E19" s="111">
        <v>39862</v>
      </c>
      <c r="F19" s="112" t="s">
        <v>27</v>
      </c>
      <c r="G19" s="110">
        <v>1195.86</v>
      </c>
      <c r="H19" s="113" t="s">
        <v>15</v>
      </c>
      <c r="I19" s="114">
        <v>343.74</v>
      </c>
      <c r="J19" s="103" t="s">
        <v>16</v>
      </c>
      <c r="K19" s="98" t="s">
        <v>211</v>
      </c>
      <c r="L19" s="98" t="s">
        <v>21</v>
      </c>
      <c r="M19" s="98" t="s">
        <v>21</v>
      </c>
    </row>
    <row r="20" ht="12" customHeight="1" spans="1:13" x14ac:dyDescent="0.25">
      <c r="A20" s="108">
        <v>17</v>
      </c>
      <c r="B20" s="109" t="s">
        <v>25</v>
      </c>
      <c r="C20" s="109" t="s">
        <v>48</v>
      </c>
      <c r="D20" s="110">
        <v>0.03</v>
      </c>
      <c r="E20" s="111">
        <v>39862</v>
      </c>
      <c r="F20" s="112" t="s">
        <v>27</v>
      </c>
      <c r="G20" s="110">
        <v>1195.86</v>
      </c>
      <c r="H20" s="113" t="s">
        <v>15</v>
      </c>
      <c r="I20" s="114">
        <v>343.74</v>
      </c>
      <c r="J20" s="103" t="s">
        <v>16</v>
      </c>
      <c r="K20" s="98" t="s">
        <v>211</v>
      </c>
      <c r="L20" s="98" t="s">
        <v>21</v>
      </c>
      <c r="M20" s="98" t="s">
        <v>21</v>
      </c>
    </row>
    <row r="21" ht="12" customHeight="1" spans="1:13" x14ac:dyDescent="0.25">
      <c r="A21" s="108">
        <v>18</v>
      </c>
      <c r="B21" s="109" t="s">
        <v>49</v>
      </c>
      <c r="C21" s="109" t="s">
        <v>50</v>
      </c>
      <c r="D21" s="110">
        <v>0.08</v>
      </c>
      <c r="E21" s="111">
        <v>31719</v>
      </c>
      <c r="F21" s="112" t="s">
        <v>27</v>
      </c>
      <c r="G21" s="110">
        <v>2537.52</v>
      </c>
      <c r="H21" s="113" t="s">
        <v>15</v>
      </c>
      <c r="I21" s="114">
        <v>273.53</v>
      </c>
      <c r="J21" s="103" t="s">
        <v>16</v>
      </c>
      <c r="K21" s="98" t="s">
        <v>217</v>
      </c>
      <c r="L21" s="98" t="s">
        <v>21</v>
      </c>
      <c r="M21" s="98" t="s">
        <v>21</v>
      </c>
    </row>
    <row r="22" ht="12" customHeight="1" spans="1:13" x14ac:dyDescent="0.25">
      <c r="A22" s="108">
        <v>19</v>
      </c>
      <c r="B22" s="109" t="s">
        <v>30</v>
      </c>
      <c r="C22" s="109" t="s">
        <v>51</v>
      </c>
      <c r="D22" s="110">
        <v>0.03</v>
      </c>
      <c r="E22" s="111">
        <v>46669</v>
      </c>
      <c r="F22" s="112" t="s">
        <v>27</v>
      </c>
      <c r="G22" s="110">
        <v>1400.07</v>
      </c>
      <c r="H22" s="113" t="s">
        <v>15</v>
      </c>
      <c r="I22" s="114">
        <v>402.43</v>
      </c>
      <c r="J22" s="103" t="s">
        <v>16</v>
      </c>
      <c r="K22" s="98" t="s">
        <v>212</v>
      </c>
      <c r="L22" s="98" t="s">
        <v>21</v>
      </c>
      <c r="M22" s="98" t="s">
        <v>21</v>
      </c>
    </row>
    <row r="23" ht="12" customHeight="1" spans="1:13" x14ac:dyDescent="0.25">
      <c r="A23" s="108">
        <v>20</v>
      </c>
      <c r="B23" s="109" t="s">
        <v>52</v>
      </c>
      <c r="C23" s="109" t="s">
        <v>53</v>
      </c>
      <c r="D23" s="110">
        <v>0.0205</v>
      </c>
      <c r="E23" s="111">
        <v>80709</v>
      </c>
      <c r="F23" s="112" t="s">
        <v>44</v>
      </c>
      <c r="G23" s="110">
        <v>1654.53</v>
      </c>
      <c r="H23" s="113" t="s">
        <v>15</v>
      </c>
      <c r="I23" s="114">
        <v>695.97</v>
      </c>
      <c r="J23" s="103" t="s">
        <v>16</v>
      </c>
      <c r="K23" s="98" t="s">
        <v>218</v>
      </c>
      <c r="L23" s="98" t="s">
        <v>21</v>
      </c>
      <c r="M23" s="98" t="s">
        <v>21</v>
      </c>
    </row>
    <row r="24" ht="12" customHeight="1" spans="1:13" x14ac:dyDescent="0.25">
      <c r="A24" s="108">
        <v>21</v>
      </c>
      <c r="B24" s="109" t="s">
        <v>25</v>
      </c>
      <c r="C24" s="109" t="s">
        <v>54</v>
      </c>
      <c r="D24" s="110">
        <v>0.01</v>
      </c>
      <c r="E24" s="111">
        <v>39877</v>
      </c>
      <c r="F24" s="112" t="s">
        <v>27</v>
      </c>
      <c r="G24" s="110">
        <v>398.77</v>
      </c>
      <c r="H24" s="113" t="s">
        <v>15</v>
      </c>
      <c r="I24" s="114">
        <v>343.88</v>
      </c>
      <c r="J24" s="103" t="s">
        <v>16</v>
      </c>
      <c r="K24" s="98" t="s">
        <v>219</v>
      </c>
      <c r="L24" s="98" t="s">
        <v>21</v>
      </c>
      <c r="M24" s="98" t="s">
        <v>21</v>
      </c>
    </row>
    <row r="25" ht="12" customHeight="1" spans="1:13" x14ac:dyDescent="0.25">
      <c r="A25" s="108">
        <v>22</v>
      </c>
      <c r="B25" s="109" t="s">
        <v>30</v>
      </c>
      <c r="C25" s="109" t="s">
        <v>55</v>
      </c>
      <c r="D25" s="110">
        <v>0.04</v>
      </c>
      <c r="E25" s="111">
        <v>2099</v>
      </c>
      <c r="F25" s="112" t="s">
        <v>27</v>
      </c>
      <c r="G25" s="110">
        <v>83.96</v>
      </c>
      <c r="H25" s="113" t="s">
        <v>15</v>
      </c>
      <c r="I25" s="114">
        <v>18.1</v>
      </c>
      <c r="J25" s="103" t="s">
        <v>16</v>
      </c>
      <c r="K25" s="98" t="s">
        <v>212</v>
      </c>
      <c r="L25" s="98" t="s">
        <v>21</v>
      </c>
      <c r="M25" s="98" t="s">
        <v>21</v>
      </c>
    </row>
    <row r="26" ht="12" customHeight="1" spans="1:13" x14ac:dyDescent="0.25">
      <c r="A26" s="108">
        <v>23</v>
      </c>
      <c r="B26" s="109" t="s">
        <v>30</v>
      </c>
      <c r="C26" s="109" t="s">
        <v>56</v>
      </c>
      <c r="D26" s="110">
        <v>0.04</v>
      </c>
      <c r="E26" s="111">
        <v>21422</v>
      </c>
      <c r="F26" s="112" t="s">
        <v>27</v>
      </c>
      <c r="G26" s="110">
        <v>856.88</v>
      </c>
      <c r="H26" s="113" t="s">
        <v>15</v>
      </c>
      <c r="I26" s="114">
        <v>184.73</v>
      </c>
      <c r="J26" s="103" t="s">
        <v>16</v>
      </c>
      <c r="K26" s="98" t="s">
        <v>212</v>
      </c>
      <c r="L26" s="98" t="s">
        <v>21</v>
      </c>
      <c r="M26" s="98" t="s">
        <v>21</v>
      </c>
    </row>
    <row r="27" ht="12" customHeight="1" spans="1:13" x14ac:dyDescent="0.25">
      <c r="A27" s="108">
        <v>24</v>
      </c>
      <c r="B27" s="109" t="s">
        <v>30</v>
      </c>
      <c r="C27" s="109" t="s">
        <v>57</v>
      </c>
      <c r="D27" s="110">
        <v>0.04</v>
      </c>
      <c r="E27" s="111">
        <v>46622</v>
      </c>
      <c r="F27" s="112" t="s">
        <v>27</v>
      </c>
      <c r="G27" s="110">
        <v>1864.88</v>
      </c>
      <c r="H27" s="113" t="s">
        <v>15</v>
      </c>
      <c r="I27" s="114">
        <v>402.03</v>
      </c>
      <c r="J27" s="103" t="s">
        <v>16</v>
      </c>
      <c r="K27" s="98" t="s">
        <v>212</v>
      </c>
      <c r="L27" s="98" t="s">
        <v>21</v>
      </c>
      <c r="M27" s="98" t="s">
        <v>21</v>
      </c>
    </row>
    <row r="28" ht="12" customHeight="1" spans="1:13" x14ac:dyDescent="0.25">
      <c r="A28" s="108">
        <v>25</v>
      </c>
      <c r="B28" s="109" t="s">
        <v>58</v>
      </c>
      <c r="C28" s="109" t="s">
        <v>59</v>
      </c>
      <c r="D28" s="110">
        <v>0.02</v>
      </c>
      <c r="E28" s="111">
        <v>39612</v>
      </c>
      <c r="F28" s="112" t="s">
        <v>27</v>
      </c>
      <c r="G28" s="110">
        <v>792.24</v>
      </c>
      <c r="H28" s="113" t="s">
        <v>15</v>
      </c>
      <c r="I28" s="114">
        <v>341.56</v>
      </c>
      <c r="J28" s="103" t="s">
        <v>16</v>
      </c>
      <c r="K28" s="98" t="s">
        <v>220</v>
      </c>
      <c r="L28" s="98" t="s">
        <v>21</v>
      </c>
      <c r="M28" s="98" t="s">
        <v>21</v>
      </c>
    </row>
    <row r="29" ht="12" customHeight="1" spans="1:13" x14ac:dyDescent="0.25">
      <c r="A29" s="108">
        <v>26</v>
      </c>
      <c r="B29" s="109" t="s">
        <v>60</v>
      </c>
      <c r="C29" s="109" t="s">
        <v>61</v>
      </c>
      <c r="D29" s="110">
        <v>0.05</v>
      </c>
      <c r="E29" s="111">
        <v>8492</v>
      </c>
      <c r="F29" s="112" t="s">
        <v>27</v>
      </c>
      <c r="G29" s="110">
        <v>424.6</v>
      </c>
      <c r="H29" s="113" t="s">
        <v>15</v>
      </c>
      <c r="I29" s="114">
        <v>73.23</v>
      </c>
      <c r="J29" s="103" t="s">
        <v>16</v>
      </c>
      <c r="K29" s="98" t="s">
        <v>221</v>
      </c>
      <c r="L29" s="98" t="s">
        <v>21</v>
      </c>
      <c r="M29" s="98" t="s">
        <v>21</v>
      </c>
    </row>
    <row r="30" ht="12" customHeight="1" spans="1:13" x14ac:dyDescent="0.25">
      <c r="A30" s="108">
        <v>27</v>
      </c>
      <c r="B30" s="109" t="s">
        <v>60</v>
      </c>
      <c r="C30" s="109" t="s">
        <v>62</v>
      </c>
      <c r="D30" s="110">
        <v>0.0625</v>
      </c>
      <c r="E30" s="111">
        <v>8492</v>
      </c>
      <c r="F30" s="112" t="s">
        <v>27</v>
      </c>
      <c r="G30" s="110">
        <v>530.75</v>
      </c>
      <c r="H30" s="113" t="s">
        <v>15</v>
      </c>
      <c r="I30" s="114">
        <v>73.23</v>
      </c>
      <c r="J30" s="103" t="s">
        <v>16</v>
      </c>
      <c r="K30" s="98" t="s">
        <v>221</v>
      </c>
      <c r="L30" s="98" t="s">
        <v>21</v>
      </c>
      <c r="M30" s="98" t="s">
        <v>21</v>
      </c>
    </row>
    <row r="31" ht="12" customHeight="1" spans="1:13" x14ac:dyDescent="0.25">
      <c r="A31" s="108">
        <v>28</v>
      </c>
      <c r="B31" s="109" t="s">
        <v>36</v>
      </c>
      <c r="C31" s="109" t="s">
        <v>63</v>
      </c>
      <c r="D31" s="110">
        <v>0.17</v>
      </c>
      <c r="E31" s="111">
        <v>15359</v>
      </c>
      <c r="F31" s="112" t="s">
        <v>41</v>
      </c>
      <c r="G31" s="110">
        <v>2611.03</v>
      </c>
      <c r="H31" s="113" t="s">
        <v>15</v>
      </c>
      <c r="I31" s="114">
        <v>132.38999999999703</v>
      </c>
      <c r="J31" s="103" t="s">
        <v>16</v>
      </c>
      <c r="K31" s="98" t="s">
        <v>37</v>
      </c>
      <c r="L31" s="98" t="s">
        <v>21</v>
      </c>
      <c r="M31" s="98" t="s">
        <v>21</v>
      </c>
    </row>
    <row r="32" ht="12.75" customHeight="1" spans="1:11" x14ac:dyDescent="0.25">
      <c r="A32" s="115"/>
      <c r="B32" s="116" t="s">
        <v>64</v>
      </c>
      <c r="C32" s="116"/>
      <c r="D32" s="117"/>
      <c r="E32" s="118">
        <f>=SUM(E4:E31)</f>
      </c>
      <c r="F32" s="119"/>
      <c r="G32" s="120">
        <f>=SUM(G4:G31)</f>
      </c>
      <c r="H32" s="121"/>
      <c r="I32" s="122">
        <f>=SUM(I4:I31)</f>
      </c>
      <c r="J32" s="103" t="s">
        <v>16</v>
      </c>
      <c r="K32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222</v>
      </c>
      <c r="B1" s="2"/>
      <c r="C1" s="2"/>
      <c r="D1" s="2"/>
      <c r="E1" s="2"/>
      <c r="F1" s="2"/>
      <c r="G1" s="2"/>
      <c r="H1" s="29"/>
      <c r="I1" s="29" t="s">
        <v>169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223</v>
      </c>
      <c r="B3" s="126" t="s">
        <v>224</v>
      </c>
      <c r="C3" s="126" t="s">
        <v>225</v>
      </c>
      <c r="D3" s="125" t="s">
        <v>226</v>
      </c>
      <c r="E3" s="125" t="s">
        <v>70</v>
      </c>
      <c r="F3" s="125" t="s">
        <v>227</v>
      </c>
      <c r="G3" s="127"/>
      <c r="H3" s="12"/>
      <c r="I3" s="12"/>
    </row>
    <row r="4" ht="12.75" customHeight="1" spans="1:13" x14ac:dyDescent="0.25">
      <c r="A4" s="11">
        <v>1</v>
      </c>
      <c r="B4" s="6" t="s">
        <v>228</v>
      </c>
      <c r="C4" s="128" t="s">
        <v>229</v>
      </c>
      <c r="D4" s="129">
        <v>31635</v>
      </c>
      <c r="E4" s="11"/>
      <c r="F4" s="130">
        <v>46093.625</v>
      </c>
      <c r="G4" s="131"/>
      <c r="H4" s="29"/>
      <c r="I4" s="29"/>
      <c r="J4" s="132"/>
      <c r="K4" s="132"/>
      <c r="L4" s="132"/>
      <c r="M4" s="132"/>
    </row>
    <row r="5" ht="12.75" customHeight="1" spans="1:13" x14ac:dyDescent="0.25">
      <c r="A5" s="11">
        <v>2</v>
      </c>
      <c r="B5" s="6" t="s">
        <v>230</v>
      </c>
      <c r="C5" s="128" t="s">
        <v>229</v>
      </c>
      <c r="D5" s="129">
        <v>20374</v>
      </c>
      <c r="E5" s="29"/>
      <c r="F5" s="133">
        <v>46093.625</v>
      </c>
      <c r="G5" s="29"/>
      <c r="H5" s="29"/>
      <c r="I5" s="29"/>
      <c r="J5" s="132"/>
      <c r="K5" s="132"/>
      <c r="L5" s="132"/>
      <c r="M5" s="132"/>
    </row>
    <row r="7" spans="1:9" x14ac:dyDescent="0.25">
      <c r="A7" s="134" t="s">
        <v>223</v>
      </c>
      <c r="B7" s="134" t="s">
        <v>231</v>
      </c>
      <c r="C7" s="134" t="s">
        <v>232</v>
      </c>
      <c r="D7" s="134" t="s">
        <v>4</v>
      </c>
      <c r="E7" s="134" t="s">
        <v>5</v>
      </c>
      <c r="F7" s="134" t="s">
        <v>6</v>
      </c>
      <c r="G7" s="134" t="s">
        <v>7</v>
      </c>
      <c r="H7" s="134" t="s">
        <v>8</v>
      </c>
      <c r="I7" s="134" t="s">
        <v>9</v>
      </c>
    </row>
    <row r="9" spans="1:13" x14ac:dyDescent="0.25">
      <c r="A9" s="135"/>
      <c r="B9" s="135" t="s">
        <v>64</v>
      </c>
      <c r="C9" s="135"/>
      <c r="D9" s="136"/>
      <c r="E9" s="137">
        <f>=SUM(E8:E8)</f>
      </c>
      <c r="F9" s="135"/>
      <c r="G9" s="137">
        <f>=SUM(G8:G8)</f>
      </c>
      <c r="H9" s="135"/>
      <c r="I9" s="135"/>
      <c r="J9" s="132"/>
      <c r="K9" s="132"/>
      <c r="L9" s="132"/>
      <c r="M9" s="132"/>
    </row>
    <row r="11" spans="1:9" x14ac:dyDescent="0.25">
      <c r="A11" s="3" t="s">
        <v>233</v>
      </c>
      <c r="B11" s="3" t="s">
        <v>222</v>
      </c>
      <c r="C11" s="3" t="s">
        <v>222</v>
      </c>
      <c r="D11" t="s">
        <v>222</v>
      </c>
      <c r="E11" s="3" t="s">
        <v>222</v>
      </c>
      <c r="F11" s="3" t="s">
        <v>222</v>
      </c>
      <c r="G11" s="3" t="s">
        <v>222</v>
      </c>
      <c r="I11" s="3" t="s">
        <v>21</v>
      </c>
    </row>
    <row r="13" spans="1:6" x14ac:dyDescent="0.25">
      <c r="A13" s="3" t="s">
        <v>223</v>
      </c>
      <c r="B13" s="3" t="s">
        <v>224</v>
      </c>
      <c r="C13" s="3" t="s">
        <v>225</v>
      </c>
      <c r="D13" t="s">
        <v>226</v>
      </c>
      <c r="E13" s="3" t="s">
        <v>70</v>
      </c>
      <c r="F13" s="3" t="s">
        <v>227</v>
      </c>
    </row>
    <row r="14" spans="1:13" x14ac:dyDescent="0.25">
      <c r="A14" s="29">
        <v>1</v>
      </c>
      <c r="B14" s="29" t="s">
        <v>234</v>
      </c>
      <c r="C14" s="138" t="s">
        <v>235</v>
      </c>
      <c r="D14" s="129">
        <v>14662</v>
      </c>
      <c r="E14" s="29"/>
      <c r="F14" s="139">
        <v>46093.625</v>
      </c>
      <c r="G14" s="29"/>
      <c r="H14" s="29"/>
      <c r="I14" s="29"/>
      <c r="J14" s="132"/>
      <c r="K14" s="132"/>
      <c r="L14" s="132"/>
      <c r="M14" s="132"/>
    </row>
    <row r="15" spans="1:13" x14ac:dyDescent="0.25">
      <c r="A15" s="29">
        <v>2</v>
      </c>
      <c r="B15" s="29" t="s">
        <v>236</v>
      </c>
      <c r="C15" s="138" t="s">
        <v>235</v>
      </c>
      <c r="D15" s="129">
        <v>16747</v>
      </c>
      <c r="E15" s="29"/>
      <c r="F15" s="139">
        <v>46093.625</v>
      </c>
      <c r="G15" s="29"/>
      <c r="H15" s="29"/>
      <c r="I15" s="29"/>
      <c r="J15" s="132"/>
      <c r="K15" s="132"/>
      <c r="L15" s="132"/>
      <c r="M15" s="132"/>
    </row>
    <row r="16" spans="1:13" x14ac:dyDescent="0.25">
      <c r="A16" s="29">
        <v>3</v>
      </c>
      <c r="B16" s="29" t="s">
        <v>237</v>
      </c>
      <c r="C16" s="138" t="s">
        <v>235</v>
      </c>
      <c r="D16" s="129">
        <v>6309</v>
      </c>
      <c r="E16" s="29"/>
      <c r="F16" s="139">
        <v>46093.625</v>
      </c>
      <c r="G16" s="29"/>
      <c r="H16" s="29"/>
      <c r="I16" s="29"/>
      <c r="J16" s="132"/>
      <c r="K16" s="132"/>
      <c r="L16" s="132"/>
      <c r="M16" s="132"/>
    </row>
    <row r="18" spans="1:9" x14ac:dyDescent="0.25">
      <c r="A18" s="134" t="s">
        <v>223</v>
      </c>
      <c r="B18" s="134" t="s">
        <v>231</v>
      </c>
      <c r="C18" s="134" t="s">
        <v>232</v>
      </c>
      <c r="D18" s="134" t="s">
        <v>4</v>
      </c>
      <c r="E18" s="134" t="s">
        <v>5</v>
      </c>
      <c r="F18" s="134" t="s">
        <v>6</v>
      </c>
      <c r="G18" s="134" t="s">
        <v>7</v>
      </c>
      <c r="H18" s="134" t="s">
        <v>8</v>
      </c>
      <c r="I18" s="134" t="s">
        <v>9</v>
      </c>
    </row>
    <row r="20" spans="1:13" x14ac:dyDescent="0.25">
      <c r="A20" s="135"/>
      <c r="B20" s="135" t="s">
        <v>64</v>
      </c>
      <c r="C20" s="135"/>
      <c r="D20" s="136"/>
      <c r="E20" s="137">
        <f>=SUM(E19:E19)</f>
      </c>
      <c r="F20" s="135"/>
      <c r="G20" s="137">
        <f>=SUM(G19:G19)</f>
      </c>
      <c r="H20" s="135"/>
      <c r="I20" s="135"/>
      <c r="J20" s="132"/>
      <c r="K20" s="132"/>
      <c r="L20" s="132"/>
      <c r="M20" s="132"/>
    </row>
    <row r="22" spans="1:9" x14ac:dyDescent="0.25">
      <c r="A22" s="3" t="s">
        <v>238</v>
      </c>
      <c r="B22" s="3" t="s">
        <v>222</v>
      </c>
      <c r="C22" s="3" t="s">
        <v>222</v>
      </c>
      <c r="D22" t="s">
        <v>222</v>
      </c>
      <c r="E22" s="3" t="s">
        <v>222</v>
      </c>
      <c r="F22" s="3" t="s">
        <v>222</v>
      </c>
      <c r="G22" s="3" t="s">
        <v>222</v>
      </c>
      <c r="I22" s="3" t="s">
        <v>21</v>
      </c>
    </row>
    <row r="24" spans="1:6" x14ac:dyDescent="0.25">
      <c r="A24" s="3" t="s">
        <v>223</v>
      </c>
      <c r="B24" s="3" t="s">
        <v>224</v>
      </c>
      <c r="C24" s="3" t="s">
        <v>225</v>
      </c>
      <c r="D24" t="s">
        <v>226</v>
      </c>
      <c r="E24" s="3" t="s">
        <v>70</v>
      </c>
      <c r="F24" s="3" t="s">
        <v>227</v>
      </c>
    </row>
    <row r="25" spans="1:13" x14ac:dyDescent="0.25">
      <c r="A25" s="29">
        <v>1</v>
      </c>
      <c r="B25" s="29" t="s">
        <v>239</v>
      </c>
      <c r="C25" s="138" t="s">
        <v>240</v>
      </c>
      <c r="D25" s="129">
        <v>3499</v>
      </c>
      <c r="E25" s="29"/>
      <c r="F25" s="139">
        <v>46093.625</v>
      </c>
      <c r="G25" s="29"/>
      <c r="H25" s="29"/>
      <c r="I25" s="29"/>
      <c r="J25" s="132"/>
      <c r="K25" s="132"/>
      <c r="L25" s="132"/>
      <c r="M25" s="132"/>
    </row>
    <row r="26" spans="1:13" x14ac:dyDescent="0.25">
      <c r="A26" s="29">
        <v>2</v>
      </c>
      <c r="B26" s="29" t="s">
        <v>241</v>
      </c>
      <c r="C26" s="138" t="s">
        <v>242</v>
      </c>
      <c r="D26" s="129">
        <v>2142</v>
      </c>
      <c r="E26" s="29"/>
      <c r="F26" s="139">
        <v>46093.625</v>
      </c>
      <c r="G26" s="29"/>
      <c r="H26" s="29"/>
      <c r="I26" s="29"/>
      <c r="J26" s="132"/>
      <c r="K26" s="132"/>
      <c r="L26" s="132"/>
      <c r="M26" s="132"/>
    </row>
    <row r="28" spans="1:9" x14ac:dyDescent="0.25">
      <c r="A28" s="134" t="s">
        <v>223</v>
      </c>
      <c r="B28" s="134" t="s">
        <v>231</v>
      </c>
      <c r="C28" s="134" t="s">
        <v>232</v>
      </c>
      <c r="D28" s="134" t="s">
        <v>4</v>
      </c>
      <c r="E28" s="134" t="s">
        <v>5</v>
      </c>
      <c r="F28" s="134" t="s">
        <v>6</v>
      </c>
      <c r="G28" s="134" t="s">
        <v>7</v>
      </c>
      <c r="H28" s="134" t="s">
        <v>8</v>
      </c>
      <c r="I28" s="134" t="s">
        <v>9</v>
      </c>
    </row>
    <row r="30" spans="1:13" x14ac:dyDescent="0.25">
      <c r="A30" s="135"/>
      <c r="B30" s="135" t="s">
        <v>64</v>
      </c>
      <c r="C30" s="135"/>
      <c r="D30" s="136"/>
      <c r="E30" s="137">
        <f>=SUM(E29:E29)</f>
      </c>
      <c r="F30" s="135"/>
      <c r="G30" s="137">
        <f>=SUM(G29:G29)</f>
      </c>
      <c r="H30" s="135"/>
      <c r="I30" s="135"/>
      <c r="J30" s="132"/>
      <c r="K30" s="132"/>
      <c r="L30" s="132"/>
      <c r="M30" s="132"/>
    </row>
    <row r="32" spans="1:9" x14ac:dyDescent="0.25">
      <c r="A32" s="3" t="s">
        <v>243</v>
      </c>
      <c r="B32" s="3" t="s">
        <v>222</v>
      </c>
      <c r="C32" s="3" t="s">
        <v>222</v>
      </c>
      <c r="D32" t="s">
        <v>222</v>
      </c>
      <c r="E32" s="3" t="s">
        <v>222</v>
      </c>
      <c r="F32" s="3" t="s">
        <v>222</v>
      </c>
      <c r="G32" s="3" t="s">
        <v>222</v>
      </c>
      <c r="I32" s="3" t="s">
        <v>21</v>
      </c>
    </row>
    <row r="34" spans="1:6" x14ac:dyDescent="0.25">
      <c r="A34" s="3" t="s">
        <v>223</v>
      </c>
      <c r="B34" s="3" t="s">
        <v>224</v>
      </c>
      <c r="C34" s="3" t="s">
        <v>225</v>
      </c>
      <c r="D34" t="s">
        <v>226</v>
      </c>
      <c r="E34" s="3" t="s">
        <v>70</v>
      </c>
      <c r="F34" s="3" t="s">
        <v>227</v>
      </c>
    </row>
    <row r="35" spans="1:13" x14ac:dyDescent="0.25">
      <c r="A35" s="29">
        <v>1</v>
      </c>
      <c r="B35" s="29" t="s">
        <v>244</v>
      </c>
      <c r="C35" s="138" t="s">
        <v>245</v>
      </c>
      <c r="D35" s="129">
        <v>6223</v>
      </c>
      <c r="E35" s="29"/>
      <c r="F35" s="139">
        <v>46093.625</v>
      </c>
      <c r="G35" s="29"/>
      <c r="H35" s="29"/>
      <c r="I35" s="29"/>
      <c r="J35" s="132"/>
      <c r="K35" s="132"/>
      <c r="L35" s="132"/>
      <c r="M35" s="132"/>
    </row>
    <row r="37" spans="1:9" x14ac:dyDescent="0.25">
      <c r="A37" s="134" t="s">
        <v>223</v>
      </c>
      <c r="B37" s="134" t="s">
        <v>231</v>
      </c>
      <c r="C37" s="134" t="s">
        <v>232</v>
      </c>
      <c r="D37" s="134" t="s">
        <v>4</v>
      </c>
      <c r="E37" s="134" t="s">
        <v>5</v>
      </c>
      <c r="F37" s="134" t="s">
        <v>6</v>
      </c>
      <c r="G37" s="134" t="s">
        <v>7</v>
      </c>
      <c r="H37" s="134" t="s">
        <v>8</v>
      </c>
      <c r="I37" s="134" t="s">
        <v>9</v>
      </c>
    </row>
    <row r="39" spans="1:13" x14ac:dyDescent="0.25">
      <c r="A39" s="135"/>
      <c r="B39" s="135" t="s">
        <v>64</v>
      </c>
      <c r="C39" s="135"/>
      <c r="D39" s="136"/>
      <c r="E39" s="137">
        <f>=SUM(E38:E38)</f>
      </c>
      <c r="F39" s="135"/>
      <c r="G39" s="137">
        <f>=SUM(G38:G38)</f>
      </c>
      <c r="H39" s="135"/>
      <c r="I39" s="135"/>
      <c r="J39" s="132"/>
      <c r="K39" s="132"/>
      <c r="L39" s="132"/>
      <c r="M39" s="132"/>
    </row>
    <row r="41" spans="1:9" x14ac:dyDescent="0.25">
      <c r="A41" s="3" t="s">
        <v>246</v>
      </c>
      <c r="B41" s="3" t="s">
        <v>222</v>
      </c>
      <c r="C41" s="3" t="s">
        <v>222</v>
      </c>
      <c r="D41" t="s">
        <v>222</v>
      </c>
      <c r="E41" s="3" t="s">
        <v>222</v>
      </c>
      <c r="F41" s="3" t="s">
        <v>222</v>
      </c>
      <c r="G41" s="3" t="s">
        <v>222</v>
      </c>
      <c r="I41" s="3" t="s">
        <v>21</v>
      </c>
    </row>
    <row r="43" spans="1:6" x14ac:dyDescent="0.25">
      <c r="A43" s="3" t="s">
        <v>223</v>
      </c>
      <c r="B43" s="3" t="s">
        <v>224</v>
      </c>
      <c r="C43" s="3" t="s">
        <v>225</v>
      </c>
      <c r="D43" t="s">
        <v>226</v>
      </c>
      <c r="E43" s="3" t="s">
        <v>70</v>
      </c>
      <c r="F43" s="3" t="s">
        <v>227</v>
      </c>
    </row>
    <row r="44" spans="1:13" x14ac:dyDescent="0.25">
      <c r="A44" s="29">
        <v>1</v>
      </c>
      <c r="B44" s="29" t="s">
        <v>247</v>
      </c>
      <c r="C44" s="138" t="s">
        <v>248</v>
      </c>
      <c r="D44" s="129">
        <v>7708</v>
      </c>
      <c r="E44" s="29"/>
      <c r="F44" s="139">
        <v>46093.625</v>
      </c>
      <c r="G44" s="29"/>
      <c r="H44" s="29"/>
      <c r="I44" s="29"/>
      <c r="J44" s="132"/>
      <c r="K44" s="132"/>
      <c r="L44" s="132"/>
      <c r="M44" s="132"/>
    </row>
    <row r="46" spans="1:9" x14ac:dyDescent="0.25">
      <c r="A46" s="134" t="s">
        <v>223</v>
      </c>
      <c r="B46" s="134" t="s">
        <v>231</v>
      </c>
      <c r="C46" s="134" t="s">
        <v>232</v>
      </c>
      <c r="D46" s="134" t="s">
        <v>4</v>
      </c>
      <c r="E46" s="134" t="s">
        <v>5</v>
      </c>
      <c r="F46" s="134" t="s">
        <v>6</v>
      </c>
      <c r="G46" s="134" t="s">
        <v>7</v>
      </c>
      <c r="H46" s="134" t="s">
        <v>8</v>
      </c>
      <c r="I46" s="134" t="s">
        <v>9</v>
      </c>
    </row>
    <row r="48" spans="1:13" x14ac:dyDescent="0.25">
      <c r="A48" s="135"/>
      <c r="B48" s="135" t="s">
        <v>64</v>
      </c>
      <c r="C48" s="135"/>
      <c r="D48" s="136"/>
      <c r="E48" s="137">
        <f>=SUM(E47:E47)</f>
      </c>
      <c r="F48" s="135"/>
      <c r="G48" s="137">
        <f>=SUM(G47:G47)</f>
      </c>
      <c r="H48" s="135"/>
      <c r="I48" s="135"/>
      <c r="J48" s="132"/>
      <c r="K48" s="132"/>
      <c r="L48" s="132"/>
      <c r="M48" s="132"/>
    </row>
    <row r="50" spans="1:9" x14ac:dyDescent="0.25">
      <c r="A50" s="3" t="s">
        <v>249</v>
      </c>
      <c r="B50" s="3" t="s">
        <v>222</v>
      </c>
      <c r="C50" s="3" t="s">
        <v>222</v>
      </c>
      <c r="D50" t="s">
        <v>222</v>
      </c>
      <c r="E50" s="3" t="s">
        <v>222</v>
      </c>
      <c r="F50" s="3" t="s">
        <v>222</v>
      </c>
      <c r="G50" s="3" t="s">
        <v>222</v>
      </c>
      <c r="I50" s="3" t="s">
        <v>21</v>
      </c>
    </row>
    <row r="52" spans="1:6" x14ac:dyDescent="0.25">
      <c r="A52" s="3" t="s">
        <v>223</v>
      </c>
      <c r="B52" s="3" t="s">
        <v>224</v>
      </c>
      <c r="C52" s="3" t="s">
        <v>225</v>
      </c>
      <c r="D52" t="s">
        <v>226</v>
      </c>
      <c r="E52" s="3" t="s">
        <v>70</v>
      </c>
      <c r="F52" s="3" t="s">
        <v>227</v>
      </c>
    </row>
    <row r="53" spans="1:13" x14ac:dyDescent="0.25">
      <c r="A53" s="29">
        <v>1</v>
      </c>
      <c r="B53" s="29" t="s">
        <v>250</v>
      </c>
      <c r="C53" s="138" t="s">
        <v>251</v>
      </c>
      <c r="D53" s="129">
        <v>6286</v>
      </c>
      <c r="E53" s="29"/>
      <c r="F53" s="139">
        <v>46093.625</v>
      </c>
      <c r="G53" s="29"/>
      <c r="H53" s="29"/>
      <c r="I53" s="29"/>
      <c r="J53" s="132"/>
      <c r="K53" s="132"/>
      <c r="L53" s="132"/>
      <c r="M53" s="132"/>
    </row>
    <row r="55" spans="1:9" x14ac:dyDescent="0.25">
      <c r="A55" s="134" t="s">
        <v>223</v>
      </c>
      <c r="B55" s="134" t="s">
        <v>231</v>
      </c>
      <c r="C55" s="134" t="s">
        <v>232</v>
      </c>
      <c r="D55" s="134" t="s">
        <v>4</v>
      </c>
      <c r="E55" s="134" t="s">
        <v>5</v>
      </c>
      <c r="F55" s="134" t="s">
        <v>6</v>
      </c>
      <c r="G55" s="134" t="s">
        <v>7</v>
      </c>
      <c r="H55" s="134" t="s">
        <v>8</v>
      </c>
      <c r="I55" s="134" t="s">
        <v>9</v>
      </c>
    </row>
    <row r="57" spans="1:13" x14ac:dyDescent="0.25">
      <c r="A57" s="135"/>
      <c r="B57" s="135" t="s">
        <v>64</v>
      </c>
      <c r="C57" s="135"/>
      <c r="D57" s="136"/>
      <c r="E57" s="137">
        <f>=SUM(E56:E56)</f>
      </c>
      <c r="F57" s="135"/>
      <c r="G57" s="137">
        <f>=SUM(G56:G56)</f>
      </c>
      <c r="H57" s="135"/>
      <c r="I57" s="135"/>
      <c r="J57" s="132"/>
      <c r="K57" s="132"/>
      <c r="L57" s="132"/>
      <c r="M57" s="132"/>
    </row>
    <row r="59" spans="1:9" x14ac:dyDescent="0.25">
      <c r="A59" s="3" t="s">
        <v>252</v>
      </c>
      <c r="B59" s="3" t="s">
        <v>222</v>
      </c>
      <c r="C59" s="3" t="s">
        <v>222</v>
      </c>
      <c r="D59" t="s">
        <v>222</v>
      </c>
      <c r="E59" s="3" t="s">
        <v>222</v>
      </c>
      <c r="F59" s="3" t="s">
        <v>222</v>
      </c>
      <c r="G59" s="3" t="s">
        <v>222</v>
      </c>
      <c r="I59" s="3" t="s">
        <v>21</v>
      </c>
    </row>
    <row r="61" spans="1:6" x14ac:dyDescent="0.25">
      <c r="A61" s="3" t="s">
        <v>223</v>
      </c>
      <c r="B61" s="3" t="s">
        <v>224</v>
      </c>
      <c r="C61" s="3" t="s">
        <v>225</v>
      </c>
      <c r="D61" t="s">
        <v>226</v>
      </c>
      <c r="E61" s="3" t="s">
        <v>70</v>
      </c>
      <c r="F61" s="3" t="s">
        <v>227</v>
      </c>
    </row>
    <row r="62" spans="1:13" x14ac:dyDescent="0.25">
      <c r="A62" s="29">
        <v>1</v>
      </c>
      <c r="B62" s="29" t="s">
        <v>253</v>
      </c>
      <c r="C62" s="138" t="s">
        <v>254</v>
      </c>
      <c r="D62" s="129">
        <v>1433</v>
      </c>
      <c r="E62" s="29"/>
      <c r="F62" s="139">
        <v>46093.625</v>
      </c>
      <c r="G62" s="29"/>
      <c r="H62" s="29"/>
      <c r="I62" s="29"/>
      <c r="J62" s="132"/>
      <c r="K62" s="132"/>
      <c r="L62" s="132"/>
      <c r="M62" s="132"/>
    </row>
    <row r="63" spans="1:13" x14ac:dyDescent="0.25">
      <c r="A63" s="29">
        <v>2</v>
      </c>
      <c r="B63" s="29" t="s">
        <v>255</v>
      </c>
      <c r="C63" s="138" t="s">
        <v>256</v>
      </c>
      <c r="D63" s="129">
        <v>1368</v>
      </c>
      <c r="E63" s="29"/>
      <c r="F63" s="139">
        <v>46093.625</v>
      </c>
      <c r="G63" s="29"/>
      <c r="H63" s="29"/>
      <c r="I63" s="29"/>
      <c r="J63" s="132"/>
      <c r="K63" s="132"/>
      <c r="L63" s="132"/>
      <c r="M63" s="132"/>
    </row>
    <row r="64" spans="1:13" x14ac:dyDescent="0.25">
      <c r="A64" s="29">
        <v>3</v>
      </c>
      <c r="B64" s="29" t="s">
        <v>257</v>
      </c>
      <c r="C64" s="138" t="s">
        <v>258</v>
      </c>
      <c r="D64" s="129">
        <v>1956</v>
      </c>
      <c r="E64" s="29"/>
      <c r="F64" s="139">
        <v>46093.625</v>
      </c>
      <c r="G64" s="29"/>
      <c r="H64" s="29"/>
      <c r="I64" s="29"/>
      <c r="J64" s="132"/>
      <c r="K64" s="132"/>
      <c r="L64" s="132"/>
      <c r="M64" s="132"/>
    </row>
    <row r="65" spans="1:13" x14ac:dyDescent="0.25">
      <c r="A65" s="29">
        <v>4</v>
      </c>
      <c r="B65" s="29" t="s">
        <v>259</v>
      </c>
      <c r="C65" s="138" t="s">
        <v>260</v>
      </c>
      <c r="D65" s="129">
        <v>988</v>
      </c>
      <c r="E65" s="29"/>
      <c r="F65" s="139">
        <v>46093.625</v>
      </c>
      <c r="G65" s="29"/>
      <c r="H65" s="29"/>
      <c r="I65" s="29"/>
      <c r="J65" s="132"/>
      <c r="K65" s="132"/>
      <c r="L65" s="132"/>
      <c r="M65" s="132"/>
    </row>
    <row r="66" spans="1:13" x14ac:dyDescent="0.25">
      <c r="A66" s="29">
        <v>5</v>
      </c>
      <c r="B66" s="29" t="s">
        <v>261</v>
      </c>
      <c r="C66" s="138" t="s">
        <v>262</v>
      </c>
      <c r="D66" s="129">
        <v>897</v>
      </c>
      <c r="E66" s="29"/>
      <c r="F66" s="139">
        <v>46093.625</v>
      </c>
      <c r="G66" s="29"/>
      <c r="H66" s="29"/>
      <c r="I66" s="29"/>
      <c r="J66" s="132"/>
      <c r="K66" s="132"/>
      <c r="L66" s="132"/>
      <c r="M66" s="132"/>
    </row>
    <row r="67" spans="1:13" x14ac:dyDescent="0.25">
      <c r="A67" s="29">
        <v>6</v>
      </c>
      <c r="B67" s="29" t="s">
        <v>263</v>
      </c>
      <c r="C67" s="138" t="s">
        <v>264</v>
      </c>
      <c r="D67" s="129">
        <v>1142</v>
      </c>
      <c r="E67" s="29"/>
      <c r="F67" s="139">
        <v>46093.625</v>
      </c>
      <c r="G67" s="29"/>
      <c r="H67" s="29"/>
      <c r="I67" s="29"/>
      <c r="J67" s="132"/>
      <c r="K67" s="132"/>
      <c r="L67" s="132"/>
      <c r="M67" s="132"/>
    </row>
    <row r="68" spans="1:13" x14ac:dyDescent="0.25">
      <c r="A68" s="29">
        <v>7</v>
      </c>
      <c r="B68" s="29" t="s">
        <v>265</v>
      </c>
      <c r="C68" s="138" t="s">
        <v>266</v>
      </c>
      <c r="D68" s="129">
        <v>874</v>
      </c>
      <c r="E68" s="29"/>
      <c r="F68" s="139">
        <v>46093.625</v>
      </c>
      <c r="G68" s="29"/>
      <c r="H68" s="29"/>
      <c r="I68" s="29"/>
      <c r="J68" s="132"/>
      <c r="K68" s="132"/>
      <c r="L68" s="132"/>
      <c r="M68" s="132"/>
    </row>
    <row r="69" spans="1:13" x14ac:dyDescent="0.25">
      <c r="A69" s="29">
        <v>8</v>
      </c>
      <c r="B69" s="29" t="s">
        <v>267</v>
      </c>
      <c r="C69" s="138" t="s">
        <v>268</v>
      </c>
      <c r="D69" s="129">
        <v>516</v>
      </c>
      <c r="E69" s="29"/>
      <c r="F69" s="139">
        <v>46093.625</v>
      </c>
      <c r="G69" s="29"/>
      <c r="H69" s="29"/>
      <c r="I69" s="29"/>
      <c r="J69" s="132"/>
      <c r="K69" s="132"/>
      <c r="L69" s="132"/>
      <c r="M69" s="132"/>
    </row>
    <row r="70" spans="1:13" x14ac:dyDescent="0.25">
      <c r="A70" s="29">
        <v>9</v>
      </c>
      <c r="B70" s="29" t="s">
        <v>269</v>
      </c>
      <c r="C70" s="138" t="s">
        <v>270</v>
      </c>
      <c r="D70" s="129">
        <v>2664</v>
      </c>
      <c r="E70" s="29"/>
      <c r="F70" s="139">
        <v>46093.625</v>
      </c>
      <c r="G70" s="29"/>
      <c r="H70" s="29"/>
      <c r="I70" s="29"/>
      <c r="J70" s="132"/>
      <c r="K70" s="132"/>
      <c r="L70" s="132"/>
      <c r="M70" s="132"/>
    </row>
    <row r="71" spans="1:13" x14ac:dyDescent="0.25">
      <c r="A71" s="29">
        <v>10</v>
      </c>
      <c r="B71" s="29" t="s">
        <v>271</v>
      </c>
      <c r="C71" s="138" t="s">
        <v>272</v>
      </c>
      <c r="D71" s="129">
        <v>1727</v>
      </c>
      <c r="E71" s="29"/>
      <c r="F71" s="139">
        <v>46093.625</v>
      </c>
      <c r="G71" s="29"/>
      <c r="H71" s="29"/>
      <c r="I71" s="29"/>
      <c r="J71" s="132"/>
      <c r="K71" s="132"/>
      <c r="L71" s="132"/>
      <c r="M71" s="132"/>
    </row>
    <row r="73" spans="1:9" x14ac:dyDescent="0.25">
      <c r="A73" s="134" t="s">
        <v>223</v>
      </c>
      <c r="B73" s="134" t="s">
        <v>231</v>
      </c>
      <c r="C73" s="134" t="s">
        <v>232</v>
      </c>
      <c r="D73" s="134" t="s">
        <v>4</v>
      </c>
      <c r="E73" s="134" t="s">
        <v>5</v>
      </c>
      <c r="F73" s="134" t="s">
        <v>6</v>
      </c>
      <c r="G73" s="134" t="s">
        <v>7</v>
      </c>
      <c r="H73" s="134" t="s">
        <v>8</v>
      </c>
      <c r="I73" s="134" t="s">
        <v>9</v>
      </c>
    </row>
    <row r="74" spans="1:13" x14ac:dyDescent="0.25">
      <c r="A74" s="29">
        <v>1</v>
      </c>
      <c r="B74" s="29" t="s">
        <v>36</v>
      </c>
      <c r="C74" s="138" t="s">
        <v>37</v>
      </c>
      <c r="D74" s="140">
        <v>0.01</v>
      </c>
      <c r="E74" s="140">
        <v>223</v>
      </c>
      <c r="F74" s="29" t="s">
        <v>14</v>
      </c>
      <c r="G74" s="140">
        <v>2.23</v>
      </c>
      <c r="H74" s="29" t="s">
        <v>15</v>
      </c>
      <c r="I74" s="140">
        <v>1.92</v>
      </c>
      <c r="J74" s="132" t="s">
        <v>16</v>
      </c>
      <c r="K74" s="132" t="s">
        <v>37</v>
      </c>
      <c r="L74" s="132" t="s">
        <v>21</v>
      </c>
      <c r="M74" s="132" t="s">
        <v>21</v>
      </c>
    </row>
    <row r="75" spans="1:13" x14ac:dyDescent="0.25">
      <c r="A75" s="29">
        <v>2</v>
      </c>
      <c r="B75" s="29" t="s">
        <v>36</v>
      </c>
      <c r="C75" s="138" t="s">
        <v>37</v>
      </c>
      <c r="D75" s="140">
        <v>0.01</v>
      </c>
      <c r="E75" s="140">
        <v>29045</v>
      </c>
      <c r="F75" s="29" t="s">
        <v>14</v>
      </c>
      <c r="G75" s="140">
        <v>290.45</v>
      </c>
      <c r="H75" s="29" t="s">
        <v>15</v>
      </c>
      <c r="I75" s="140">
        <v>250.46</v>
      </c>
      <c r="J75" s="132" t="s">
        <v>16</v>
      </c>
      <c r="K75" s="132" t="s">
        <v>37</v>
      </c>
      <c r="L75" s="132" t="s">
        <v>21</v>
      </c>
      <c r="M75" s="132" t="s">
        <v>21</v>
      </c>
    </row>
    <row r="76" spans="1:13" x14ac:dyDescent="0.25">
      <c r="A76" s="29">
        <v>3</v>
      </c>
      <c r="B76" s="29" t="s">
        <v>273</v>
      </c>
      <c r="C76" s="138" t="s">
        <v>37</v>
      </c>
      <c r="D76" s="140">
        <v>0.01</v>
      </c>
      <c r="E76" s="140">
        <v>630</v>
      </c>
      <c r="F76" s="29" t="s">
        <v>14</v>
      </c>
      <c r="G76" s="140">
        <v>6.3</v>
      </c>
      <c r="H76" s="29" t="s">
        <v>15</v>
      </c>
      <c r="I76" s="140">
        <v>5.43</v>
      </c>
      <c r="J76" s="132" t="s">
        <v>16</v>
      </c>
      <c r="K76" s="132" t="s">
        <v>274</v>
      </c>
      <c r="L76" s="132" t="s">
        <v>21</v>
      </c>
      <c r="M76" s="132" t="s">
        <v>21</v>
      </c>
    </row>
    <row r="77" spans="1:13" x14ac:dyDescent="0.25">
      <c r="A77" s="135"/>
      <c r="B77" s="135" t="s">
        <v>64</v>
      </c>
      <c r="C77" s="135"/>
      <c r="D77" s="136"/>
      <c r="E77" s="137">
        <f>=SUM(E74:E76)</f>
      </c>
      <c r="F77" s="135"/>
      <c r="G77" s="137">
        <f>=SUM(G74:G76)</f>
      </c>
      <c r="H77" s="135"/>
      <c r="I77" s="135"/>
      <c r="J77" s="132"/>
      <c r="K77" s="132"/>
      <c r="L77" s="132"/>
      <c r="M77" s="132"/>
    </row>
    <row r="79" spans="1:9" x14ac:dyDescent="0.25">
      <c r="A79" s="3" t="s">
        <v>275</v>
      </c>
      <c r="B79" s="3" t="s">
        <v>222</v>
      </c>
      <c r="C79" s="3" t="s">
        <v>222</v>
      </c>
      <c r="D79" t="s">
        <v>222</v>
      </c>
      <c r="E79" s="3" t="s">
        <v>222</v>
      </c>
      <c r="F79" s="3" t="s">
        <v>222</v>
      </c>
      <c r="G79" s="3" t="s">
        <v>222</v>
      </c>
      <c r="I79" s="3" t="s">
        <v>21</v>
      </c>
    </row>
    <row r="81" spans="1:6" x14ac:dyDescent="0.25">
      <c r="A81" s="3" t="s">
        <v>223</v>
      </c>
      <c r="B81" s="3" t="s">
        <v>224</v>
      </c>
      <c r="C81" s="3" t="s">
        <v>225</v>
      </c>
      <c r="D81" t="s">
        <v>226</v>
      </c>
      <c r="E81" s="3" t="s">
        <v>70</v>
      </c>
      <c r="F81" s="3" t="s">
        <v>227</v>
      </c>
    </row>
    <row r="82" spans="1:13" x14ac:dyDescent="0.25">
      <c r="A82" s="29">
        <v>1</v>
      </c>
      <c r="B82" s="29" t="s">
        <v>276</v>
      </c>
      <c r="C82" s="138" t="s">
        <v>277</v>
      </c>
      <c r="D82" s="129">
        <v>9209</v>
      </c>
      <c r="E82" s="29"/>
      <c r="F82" s="139">
        <v>46093.625</v>
      </c>
      <c r="G82" s="29"/>
      <c r="H82" s="29"/>
      <c r="I82" s="29"/>
      <c r="J82" s="132"/>
      <c r="K82" s="132"/>
      <c r="L82" s="132"/>
      <c r="M82" s="132"/>
    </row>
    <row r="84" spans="1:9" x14ac:dyDescent="0.25">
      <c r="A84" s="134" t="s">
        <v>223</v>
      </c>
      <c r="B84" s="134" t="s">
        <v>231</v>
      </c>
      <c r="C84" s="134" t="s">
        <v>232</v>
      </c>
      <c r="D84" s="134" t="s">
        <v>4</v>
      </c>
      <c r="E84" s="134" t="s">
        <v>5</v>
      </c>
      <c r="F84" s="134" t="s">
        <v>6</v>
      </c>
      <c r="G84" s="134" t="s">
        <v>7</v>
      </c>
      <c r="H84" s="134" t="s">
        <v>8</v>
      </c>
      <c r="I84" s="134" t="s">
        <v>9</v>
      </c>
    </row>
    <row r="85" spans="1:13" x14ac:dyDescent="0.25">
      <c r="A85" s="29">
        <v>1</v>
      </c>
      <c r="B85" s="29" t="s">
        <v>38</v>
      </c>
      <c r="C85" s="138" t="s">
        <v>39</v>
      </c>
      <c r="D85" s="140">
        <v>0.06</v>
      </c>
      <c r="E85" s="140">
        <v>20028</v>
      </c>
      <c r="F85" s="29" t="s">
        <v>14</v>
      </c>
      <c r="G85" s="140">
        <v>1201.68</v>
      </c>
      <c r="H85" s="29" t="s">
        <v>15</v>
      </c>
      <c r="I85" s="140">
        <v>172.7</v>
      </c>
      <c r="J85" s="132" t="s">
        <v>16</v>
      </c>
      <c r="K85" s="132" t="s">
        <v>214</v>
      </c>
      <c r="L85" s="132" t="s">
        <v>21</v>
      </c>
      <c r="M85" s="132" t="s">
        <v>21</v>
      </c>
    </row>
    <row r="86" spans="1:13" x14ac:dyDescent="0.25">
      <c r="A86" s="29">
        <v>2</v>
      </c>
      <c r="B86" s="29" t="s">
        <v>42</v>
      </c>
      <c r="C86" s="138" t="s">
        <v>43</v>
      </c>
      <c r="D86" s="140">
        <v>0.02</v>
      </c>
      <c r="E86" s="140">
        <v>55476</v>
      </c>
      <c r="F86" s="29" t="s">
        <v>44</v>
      </c>
      <c r="G86" s="140">
        <v>1109.52</v>
      </c>
      <c r="H86" s="29" t="s">
        <v>15</v>
      </c>
      <c r="I86" s="140">
        <v>478.38</v>
      </c>
      <c r="J86" s="132" t="s">
        <v>16</v>
      </c>
      <c r="K86" s="132" t="s">
        <v>215</v>
      </c>
      <c r="L86" s="132" t="s">
        <v>21</v>
      </c>
      <c r="M86" s="132" t="s">
        <v>21</v>
      </c>
    </row>
    <row r="87" spans="1:13" x14ac:dyDescent="0.25">
      <c r="A87" s="29">
        <v>3</v>
      </c>
      <c r="B87" s="29" t="s">
        <v>30</v>
      </c>
      <c r="C87" s="138" t="s">
        <v>51</v>
      </c>
      <c r="D87" s="140">
        <v>0.03</v>
      </c>
      <c r="E87" s="140">
        <v>35244</v>
      </c>
      <c r="F87" s="29" t="s">
        <v>27</v>
      </c>
      <c r="G87" s="140">
        <v>1057.32</v>
      </c>
      <c r="H87" s="29" t="s">
        <v>15</v>
      </c>
      <c r="I87" s="140">
        <v>303.91</v>
      </c>
      <c r="J87" s="132" t="s">
        <v>16</v>
      </c>
      <c r="K87" s="132" t="s">
        <v>212</v>
      </c>
      <c r="L87" s="132" t="s">
        <v>21</v>
      </c>
      <c r="M87" s="132" t="s">
        <v>21</v>
      </c>
    </row>
    <row r="88" spans="1:13" x14ac:dyDescent="0.25">
      <c r="A88" s="29">
        <v>4</v>
      </c>
      <c r="B88" s="29" t="s">
        <v>30</v>
      </c>
      <c r="C88" s="138" t="s">
        <v>57</v>
      </c>
      <c r="D88" s="140">
        <v>0.04</v>
      </c>
      <c r="E88" s="140">
        <v>35094</v>
      </c>
      <c r="F88" s="29" t="s">
        <v>27</v>
      </c>
      <c r="G88" s="140">
        <v>1403.76</v>
      </c>
      <c r="H88" s="29" t="s">
        <v>15</v>
      </c>
      <c r="I88" s="140">
        <v>302.62</v>
      </c>
      <c r="J88" s="132" t="s">
        <v>16</v>
      </c>
      <c r="K88" s="132" t="s">
        <v>212</v>
      </c>
      <c r="L88" s="132" t="s">
        <v>21</v>
      </c>
      <c r="M88" s="132" t="s">
        <v>21</v>
      </c>
    </row>
    <row r="89" spans="1:13" x14ac:dyDescent="0.25">
      <c r="A89" s="135"/>
      <c r="B89" s="135" t="s">
        <v>64</v>
      </c>
      <c r="C89" s="135"/>
      <c r="D89" s="136"/>
      <c r="E89" s="137">
        <f>=SUM(E85:E88)</f>
      </c>
      <c r="F89" s="135"/>
      <c r="G89" s="137">
        <f>=SUM(G85:G88)</f>
      </c>
      <c r="H89" s="135"/>
      <c r="I89" s="135"/>
      <c r="J89" s="132"/>
      <c r="K89" s="132"/>
      <c r="L89" s="132"/>
      <c r="M89" s="132"/>
    </row>
    <row r="91" spans="1:9" x14ac:dyDescent="0.25">
      <c r="A91" s="3" t="s">
        <v>278</v>
      </c>
      <c r="B91" s="3" t="s">
        <v>222</v>
      </c>
      <c r="C91" s="3" t="s">
        <v>222</v>
      </c>
      <c r="D91" t="s">
        <v>222</v>
      </c>
      <c r="E91" s="3" t="s">
        <v>222</v>
      </c>
      <c r="F91" s="3" t="s">
        <v>222</v>
      </c>
      <c r="G91" s="3" t="s">
        <v>222</v>
      </c>
      <c r="I91" s="3" t="s">
        <v>21</v>
      </c>
    </row>
    <row r="93" spans="1:6" x14ac:dyDescent="0.25">
      <c r="A93" s="3" t="s">
        <v>223</v>
      </c>
      <c r="B93" s="3" t="s">
        <v>224</v>
      </c>
      <c r="C93" s="3" t="s">
        <v>225</v>
      </c>
      <c r="D93" t="s">
        <v>226</v>
      </c>
      <c r="E93" s="3" t="s">
        <v>70</v>
      </c>
      <c r="F93" s="3" t="s">
        <v>227</v>
      </c>
    </row>
    <row r="94" spans="1:13" x14ac:dyDescent="0.25">
      <c r="A94" s="29">
        <v>1</v>
      </c>
      <c r="B94" s="29" t="s">
        <v>279</v>
      </c>
      <c r="C94" s="138" t="s">
        <v>280</v>
      </c>
      <c r="D94" s="129">
        <v>3107</v>
      </c>
      <c r="E94" s="29"/>
      <c r="F94" s="139">
        <v>46093.625</v>
      </c>
      <c r="G94" s="29"/>
      <c r="H94" s="29"/>
      <c r="I94" s="29"/>
      <c r="J94" s="132"/>
      <c r="K94" s="132"/>
      <c r="L94" s="132"/>
      <c r="M94" s="132"/>
    </row>
    <row r="96" spans="1:9" x14ac:dyDescent="0.25">
      <c r="A96" s="134" t="s">
        <v>223</v>
      </c>
      <c r="B96" s="134" t="s">
        <v>231</v>
      </c>
      <c r="C96" s="134" t="s">
        <v>232</v>
      </c>
      <c r="D96" s="134" t="s">
        <v>4</v>
      </c>
      <c r="E96" s="134" t="s">
        <v>5</v>
      </c>
      <c r="F96" s="134" t="s">
        <v>6</v>
      </c>
      <c r="G96" s="134" t="s">
        <v>7</v>
      </c>
      <c r="H96" s="134" t="s">
        <v>8</v>
      </c>
      <c r="I96" s="134" t="s">
        <v>9</v>
      </c>
    </row>
    <row r="97" spans="1:13" x14ac:dyDescent="0.25">
      <c r="A97" s="29">
        <v>1</v>
      </c>
      <c r="B97" s="29" t="s">
        <v>38</v>
      </c>
      <c r="C97" s="138" t="s">
        <v>39</v>
      </c>
      <c r="D97" s="140">
        <v>0.06</v>
      </c>
      <c r="E97" s="140">
        <v>6455</v>
      </c>
      <c r="F97" s="29" t="s">
        <v>14</v>
      </c>
      <c r="G97" s="140">
        <v>387.3</v>
      </c>
      <c r="H97" s="29" t="s">
        <v>15</v>
      </c>
      <c r="I97" s="140">
        <v>55.66</v>
      </c>
      <c r="J97" s="132" t="s">
        <v>16</v>
      </c>
      <c r="K97" s="132" t="s">
        <v>214</v>
      </c>
      <c r="L97" s="132" t="s">
        <v>21</v>
      </c>
      <c r="M97" s="132" t="s">
        <v>21</v>
      </c>
    </row>
    <row r="98" spans="1:13" x14ac:dyDescent="0.25">
      <c r="A98" s="29">
        <v>2</v>
      </c>
      <c r="B98" s="29" t="s">
        <v>38</v>
      </c>
      <c r="C98" s="138" t="s">
        <v>39</v>
      </c>
      <c r="D98" s="140">
        <v>0.06</v>
      </c>
      <c r="E98" s="140">
        <v>1323</v>
      </c>
      <c r="F98" s="29" t="s">
        <v>41</v>
      </c>
      <c r="G98" s="140">
        <v>79.38</v>
      </c>
      <c r="H98" s="29" t="s">
        <v>15</v>
      </c>
      <c r="I98" s="140">
        <v>11.41</v>
      </c>
      <c r="J98" s="132" t="s">
        <v>16</v>
      </c>
      <c r="K98" s="132" t="s">
        <v>214</v>
      </c>
      <c r="L98" s="132" t="s">
        <v>21</v>
      </c>
      <c r="M98" s="132" t="s">
        <v>21</v>
      </c>
    </row>
    <row r="99" spans="1:13" x14ac:dyDescent="0.25">
      <c r="A99" s="29">
        <v>3</v>
      </c>
      <c r="B99" s="29" t="s">
        <v>42</v>
      </c>
      <c r="C99" s="138" t="s">
        <v>43</v>
      </c>
      <c r="D99" s="140">
        <v>0.02</v>
      </c>
      <c r="E99" s="140">
        <v>18792</v>
      </c>
      <c r="F99" s="29" t="s">
        <v>44</v>
      </c>
      <c r="G99" s="140">
        <v>375.84000000000003</v>
      </c>
      <c r="H99" s="29" t="s">
        <v>15</v>
      </c>
      <c r="I99" s="140">
        <v>162.05</v>
      </c>
      <c r="J99" s="132" t="s">
        <v>16</v>
      </c>
      <c r="K99" s="132" t="s">
        <v>215</v>
      </c>
      <c r="L99" s="132" t="s">
        <v>21</v>
      </c>
      <c r="M99" s="132" t="s">
        <v>21</v>
      </c>
    </row>
    <row r="100" spans="1:13" x14ac:dyDescent="0.25">
      <c r="A100" s="29">
        <v>4</v>
      </c>
      <c r="B100" s="29" t="s">
        <v>30</v>
      </c>
      <c r="C100" s="138" t="s">
        <v>51</v>
      </c>
      <c r="D100" s="140">
        <v>0.03</v>
      </c>
      <c r="E100" s="140">
        <v>11425</v>
      </c>
      <c r="F100" s="29" t="s">
        <v>27</v>
      </c>
      <c r="G100" s="140">
        <v>342.75</v>
      </c>
      <c r="H100" s="29" t="s">
        <v>15</v>
      </c>
      <c r="I100" s="140">
        <v>98.52</v>
      </c>
      <c r="J100" s="132" t="s">
        <v>16</v>
      </c>
      <c r="K100" s="132" t="s">
        <v>212</v>
      </c>
      <c r="L100" s="132" t="s">
        <v>21</v>
      </c>
      <c r="M100" s="132" t="s">
        <v>21</v>
      </c>
    </row>
    <row r="101" spans="1:13" x14ac:dyDescent="0.25">
      <c r="A101" s="29">
        <v>5</v>
      </c>
      <c r="B101" s="29" t="s">
        <v>30</v>
      </c>
      <c r="C101" s="138" t="s">
        <v>57</v>
      </c>
      <c r="D101" s="140">
        <v>0.04</v>
      </c>
      <c r="E101" s="140">
        <v>11528</v>
      </c>
      <c r="F101" s="29" t="s">
        <v>27</v>
      </c>
      <c r="G101" s="140">
        <v>461.12</v>
      </c>
      <c r="H101" s="29" t="s">
        <v>15</v>
      </c>
      <c r="I101" s="140">
        <v>99.41</v>
      </c>
      <c r="J101" s="132" t="s">
        <v>16</v>
      </c>
      <c r="K101" s="132" t="s">
        <v>212</v>
      </c>
      <c r="L101" s="132" t="s">
        <v>21</v>
      </c>
      <c r="M101" s="132" t="s">
        <v>21</v>
      </c>
    </row>
    <row r="102" spans="1:13" x14ac:dyDescent="0.25">
      <c r="A102" s="135"/>
      <c r="B102" s="135" t="s">
        <v>64</v>
      </c>
      <c r="C102" s="135"/>
      <c r="D102" s="136"/>
      <c r="E102" s="137">
        <f>=SUM(E97:E101)</f>
      </c>
      <c r="F102" s="135"/>
      <c r="G102" s="137">
        <f>=SUM(G97:G101)</f>
      </c>
      <c r="H102" s="135"/>
      <c r="I102" s="135"/>
      <c r="J102" s="132"/>
      <c r="K102" s="132"/>
      <c r="L102" s="132"/>
      <c r="M102" s="132"/>
    </row>
    <row r="104" spans="1:9" x14ac:dyDescent="0.25">
      <c r="A104" s="3" t="s">
        <v>281</v>
      </c>
      <c r="B104" s="3" t="s">
        <v>222</v>
      </c>
      <c r="C104" s="3" t="s">
        <v>222</v>
      </c>
      <c r="D104" t="s">
        <v>222</v>
      </c>
      <c r="E104" s="3" t="s">
        <v>222</v>
      </c>
      <c r="F104" s="3" t="s">
        <v>222</v>
      </c>
      <c r="G104" s="3" t="s">
        <v>222</v>
      </c>
      <c r="I104" s="3" t="s">
        <v>21</v>
      </c>
    </row>
    <row r="106" spans="1:6" x14ac:dyDescent="0.25">
      <c r="A106" s="3" t="s">
        <v>223</v>
      </c>
      <c r="B106" s="3" t="s">
        <v>224</v>
      </c>
      <c r="C106" s="3" t="s">
        <v>225</v>
      </c>
      <c r="D106" t="s">
        <v>226</v>
      </c>
      <c r="E106" s="3" t="s">
        <v>70</v>
      </c>
      <c r="F106" s="3" t="s">
        <v>227</v>
      </c>
    </row>
    <row r="107" spans="1:13" x14ac:dyDescent="0.25">
      <c r="A107" s="29">
        <v>1</v>
      </c>
      <c r="B107" s="29" t="s">
        <v>282</v>
      </c>
      <c r="C107" s="138" t="s">
        <v>283</v>
      </c>
      <c r="D107" s="129">
        <v>1029</v>
      </c>
      <c r="E107" s="29"/>
      <c r="F107" s="139">
        <v>46093.625</v>
      </c>
      <c r="G107" s="29"/>
      <c r="H107" s="29"/>
      <c r="I107" s="29"/>
      <c r="J107" s="132"/>
      <c r="K107" s="132"/>
      <c r="L107" s="132"/>
      <c r="M107" s="132"/>
    </row>
    <row r="108" spans="1:13" x14ac:dyDescent="0.25">
      <c r="A108" s="29">
        <v>2</v>
      </c>
      <c r="B108" s="29" t="s">
        <v>284</v>
      </c>
      <c r="C108" s="138" t="s">
        <v>285</v>
      </c>
      <c r="D108" s="129">
        <v>1849</v>
      </c>
      <c r="E108" s="29"/>
      <c r="F108" s="139">
        <v>46093.625</v>
      </c>
      <c r="G108" s="29"/>
      <c r="H108" s="29"/>
      <c r="I108" s="29"/>
      <c r="J108" s="132"/>
      <c r="K108" s="132"/>
      <c r="L108" s="132"/>
      <c r="M108" s="132"/>
    </row>
    <row r="109" spans="1:13" x14ac:dyDescent="0.25">
      <c r="A109" s="29">
        <v>3</v>
      </c>
      <c r="B109" s="29" t="s">
        <v>286</v>
      </c>
      <c r="C109" s="138" t="s">
        <v>287</v>
      </c>
      <c r="D109" s="129">
        <v>1543</v>
      </c>
      <c r="E109" s="29"/>
      <c r="F109" s="139">
        <v>46093.625</v>
      </c>
      <c r="G109" s="29"/>
      <c r="H109" s="29"/>
      <c r="I109" s="29"/>
      <c r="J109" s="132"/>
      <c r="K109" s="132"/>
      <c r="L109" s="132"/>
      <c r="M109" s="132"/>
    </row>
    <row r="111" spans="1:9" x14ac:dyDescent="0.25">
      <c r="A111" s="134" t="s">
        <v>223</v>
      </c>
      <c r="B111" s="134" t="s">
        <v>231</v>
      </c>
      <c r="C111" s="134" t="s">
        <v>232</v>
      </c>
      <c r="D111" s="134" t="s">
        <v>4</v>
      </c>
      <c r="E111" s="134" t="s">
        <v>5</v>
      </c>
      <c r="F111" s="134" t="s">
        <v>6</v>
      </c>
      <c r="G111" s="134" t="s">
        <v>7</v>
      </c>
      <c r="H111" s="134" t="s">
        <v>8</v>
      </c>
      <c r="I111" s="134" t="s">
        <v>9</v>
      </c>
    </row>
    <row r="112" spans="1:13" x14ac:dyDescent="0.25">
      <c r="A112" s="29">
        <v>1</v>
      </c>
      <c r="B112" s="29" t="s">
        <v>25</v>
      </c>
      <c r="C112" s="138" t="s">
        <v>26</v>
      </c>
      <c r="D112" s="140">
        <v>0.04</v>
      </c>
      <c r="E112" s="140">
        <v>4461</v>
      </c>
      <c r="F112" s="29" t="s">
        <v>27</v>
      </c>
      <c r="G112" s="140">
        <v>178.44</v>
      </c>
      <c r="H112" s="29" t="s">
        <v>15</v>
      </c>
      <c r="I112" s="140">
        <v>38.47</v>
      </c>
      <c r="J112" s="132" t="s">
        <v>16</v>
      </c>
      <c r="K112" s="132" t="s">
        <v>211</v>
      </c>
      <c r="L112" s="132" t="s">
        <v>21</v>
      </c>
      <c r="M112" s="132" t="s">
        <v>21</v>
      </c>
    </row>
    <row r="113" spans="1:13" x14ac:dyDescent="0.25">
      <c r="A113" s="29">
        <v>2</v>
      </c>
      <c r="B113" s="29" t="s">
        <v>25</v>
      </c>
      <c r="C113" s="138" t="s">
        <v>28</v>
      </c>
      <c r="D113" s="140">
        <v>0.07</v>
      </c>
      <c r="E113" s="140">
        <v>4461</v>
      </c>
      <c r="F113" s="29" t="s">
        <v>27</v>
      </c>
      <c r="G113" s="140">
        <v>312.27000000000004</v>
      </c>
      <c r="H113" s="29" t="s">
        <v>15</v>
      </c>
      <c r="I113" s="140">
        <v>38.47</v>
      </c>
      <c r="J113" s="132" t="s">
        <v>16</v>
      </c>
      <c r="K113" s="132" t="s">
        <v>211</v>
      </c>
      <c r="L113" s="132" t="s">
        <v>21</v>
      </c>
      <c r="M113" s="132" t="s">
        <v>21</v>
      </c>
    </row>
    <row r="114" spans="1:13" x14ac:dyDescent="0.25">
      <c r="A114" s="29">
        <v>3</v>
      </c>
      <c r="B114" s="29" t="s">
        <v>25</v>
      </c>
      <c r="C114" s="138" t="s">
        <v>29</v>
      </c>
      <c r="D114" s="140">
        <v>0.09</v>
      </c>
      <c r="E114" s="140">
        <v>4461</v>
      </c>
      <c r="F114" s="29" t="s">
        <v>27</v>
      </c>
      <c r="G114" s="140">
        <v>401.49</v>
      </c>
      <c r="H114" s="29" t="s">
        <v>15</v>
      </c>
      <c r="I114" s="140">
        <v>38.47</v>
      </c>
      <c r="J114" s="132" t="s">
        <v>16</v>
      </c>
      <c r="K114" s="132" t="s">
        <v>211</v>
      </c>
      <c r="L114" s="132" t="s">
        <v>21</v>
      </c>
      <c r="M114" s="132" t="s">
        <v>21</v>
      </c>
    </row>
    <row r="115" spans="1:13" x14ac:dyDescent="0.25">
      <c r="A115" s="135"/>
      <c r="B115" s="135" t="s">
        <v>64</v>
      </c>
      <c r="C115" s="135"/>
      <c r="D115" s="136"/>
      <c r="E115" s="137">
        <f>=SUM(E112:E114)</f>
      </c>
      <c r="F115" s="135"/>
      <c r="G115" s="137">
        <f>=SUM(G112:G114)</f>
      </c>
      <c r="H115" s="135"/>
      <c r="I115" s="135"/>
      <c r="J115" s="132"/>
      <c r="K115" s="132"/>
      <c r="L115" s="132"/>
      <c r="M115" s="132"/>
    </row>
    <row r="117" spans="1:9" x14ac:dyDescent="0.25">
      <c r="A117" s="3" t="s">
        <v>288</v>
      </c>
      <c r="B117" s="3" t="s">
        <v>222</v>
      </c>
      <c r="C117" s="3" t="s">
        <v>222</v>
      </c>
      <c r="D117" t="s">
        <v>222</v>
      </c>
      <c r="E117" s="3" t="s">
        <v>222</v>
      </c>
      <c r="F117" s="3" t="s">
        <v>222</v>
      </c>
      <c r="G117" s="3" t="s">
        <v>222</v>
      </c>
      <c r="I117" s="3" t="s">
        <v>21</v>
      </c>
    </row>
    <row r="119" spans="1:6" x14ac:dyDescent="0.25">
      <c r="A119" s="3" t="s">
        <v>223</v>
      </c>
      <c r="B119" s="3" t="s">
        <v>224</v>
      </c>
      <c r="C119" s="3" t="s">
        <v>225</v>
      </c>
      <c r="D119" t="s">
        <v>226</v>
      </c>
      <c r="E119" s="3" t="s">
        <v>70</v>
      </c>
      <c r="F119" s="3" t="s">
        <v>227</v>
      </c>
    </row>
    <row r="120" spans="1:13" x14ac:dyDescent="0.25">
      <c r="A120" s="29">
        <v>1</v>
      </c>
      <c r="B120" s="29" t="s">
        <v>289</v>
      </c>
      <c r="C120" s="138" t="s">
        <v>290</v>
      </c>
      <c r="D120" s="129">
        <v>4203</v>
      </c>
      <c r="E120" s="29"/>
      <c r="F120" s="139">
        <v>46093.625</v>
      </c>
      <c r="G120" s="29"/>
      <c r="H120" s="29"/>
      <c r="I120" s="29"/>
      <c r="J120" s="132"/>
      <c r="K120" s="132"/>
      <c r="L120" s="132"/>
      <c r="M120" s="132"/>
    </row>
    <row r="122" spans="1:9" x14ac:dyDescent="0.25">
      <c r="A122" s="134" t="s">
        <v>223</v>
      </c>
      <c r="B122" s="134" t="s">
        <v>231</v>
      </c>
      <c r="C122" s="134" t="s">
        <v>232</v>
      </c>
      <c r="D122" s="134" t="s">
        <v>4</v>
      </c>
      <c r="E122" s="134" t="s">
        <v>5</v>
      </c>
      <c r="F122" s="134" t="s">
        <v>6</v>
      </c>
      <c r="G122" s="134" t="s">
        <v>7</v>
      </c>
      <c r="H122" s="134" t="s">
        <v>8</v>
      </c>
      <c r="I122" s="134" t="s">
        <v>9</v>
      </c>
    </row>
    <row r="123" spans="1:13" x14ac:dyDescent="0.25">
      <c r="A123" s="29">
        <v>1</v>
      </c>
      <c r="B123" s="29" t="s">
        <v>30</v>
      </c>
      <c r="C123" s="138" t="s">
        <v>33</v>
      </c>
      <c r="D123" s="140">
        <v>0.01</v>
      </c>
      <c r="E123" s="140">
        <v>12724</v>
      </c>
      <c r="F123" s="29" t="s">
        <v>27</v>
      </c>
      <c r="G123" s="140">
        <v>127.24000000000001</v>
      </c>
      <c r="H123" s="29" t="s">
        <v>15</v>
      </c>
      <c r="I123" s="140">
        <v>109.72</v>
      </c>
      <c r="J123" s="132" t="s">
        <v>16</v>
      </c>
      <c r="K123" s="132" t="s">
        <v>212</v>
      </c>
      <c r="L123" s="132" t="s">
        <v>21</v>
      </c>
      <c r="M123" s="132" t="s">
        <v>21</v>
      </c>
    </row>
    <row r="124" spans="1:13" x14ac:dyDescent="0.25">
      <c r="A124" s="29">
        <v>2</v>
      </c>
      <c r="B124" s="29" t="s">
        <v>25</v>
      </c>
      <c r="C124" s="138" t="s">
        <v>47</v>
      </c>
      <c r="D124" s="140">
        <v>0.03</v>
      </c>
      <c r="E124" s="140">
        <v>4235</v>
      </c>
      <c r="F124" s="29" t="s">
        <v>27</v>
      </c>
      <c r="G124" s="140">
        <v>127.05</v>
      </c>
      <c r="H124" s="29" t="s">
        <v>15</v>
      </c>
      <c r="I124" s="140">
        <v>36.52</v>
      </c>
      <c r="J124" s="132" t="s">
        <v>16</v>
      </c>
      <c r="K124" s="132" t="s">
        <v>211</v>
      </c>
      <c r="L124" s="132" t="s">
        <v>21</v>
      </c>
      <c r="M124" s="132" t="s">
        <v>21</v>
      </c>
    </row>
    <row r="125" spans="1:13" x14ac:dyDescent="0.25">
      <c r="A125" s="29">
        <v>3</v>
      </c>
      <c r="B125" s="29" t="s">
        <v>25</v>
      </c>
      <c r="C125" s="138" t="s">
        <v>48</v>
      </c>
      <c r="D125" s="140">
        <v>0.03</v>
      </c>
      <c r="E125" s="140">
        <v>4235</v>
      </c>
      <c r="F125" s="29" t="s">
        <v>27</v>
      </c>
      <c r="G125" s="140">
        <v>127.05</v>
      </c>
      <c r="H125" s="29" t="s">
        <v>15</v>
      </c>
      <c r="I125" s="140">
        <v>36.52</v>
      </c>
      <c r="J125" s="132" t="s">
        <v>16</v>
      </c>
      <c r="K125" s="132" t="s">
        <v>211</v>
      </c>
      <c r="L125" s="132" t="s">
        <v>21</v>
      </c>
      <c r="M125" s="132" t="s">
        <v>21</v>
      </c>
    </row>
    <row r="126" spans="1:13" x14ac:dyDescent="0.25">
      <c r="A126" s="29">
        <v>4</v>
      </c>
      <c r="B126" s="29" t="s">
        <v>25</v>
      </c>
      <c r="C126" s="138" t="s">
        <v>54</v>
      </c>
      <c r="D126" s="140">
        <v>0.01</v>
      </c>
      <c r="E126" s="140">
        <v>4236</v>
      </c>
      <c r="F126" s="29" t="s">
        <v>27</v>
      </c>
      <c r="G126" s="140">
        <v>42.36</v>
      </c>
      <c r="H126" s="29" t="s">
        <v>15</v>
      </c>
      <c r="I126" s="140">
        <v>36.53</v>
      </c>
      <c r="J126" s="132" t="s">
        <v>16</v>
      </c>
      <c r="K126" s="132" t="s">
        <v>219</v>
      </c>
      <c r="L126" s="132" t="s">
        <v>21</v>
      </c>
      <c r="M126" s="132" t="s">
        <v>21</v>
      </c>
    </row>
    <row r="127" spans="1:13" x14ac:dyDescent="0.25">
      <c r="A127" s="29">
        <v>5</v>
      </c>
      <c r="B127" s="29" t="s">
        <v>30</v>
      </c>
      <c r="C127" s="138" t="s">
        <v>56</v>
      </c>
      <c r="D127" s="140">
        <v>0.04</v>
      </c>
      <c r="E127" s="140">
        <v>12724</v>
      </c>
      <c r="F127" s="29" t="s">
        <v>27</v>
      </c>
      <c r="G127" s="140">
        <v>508.96000000000004</v>
      </c>
      <c r="H127" s="29" t="s">
        <v>15</v>
      </c>
      <c r="I127" s="140">
        <v>109.72</v>
      </c>
      <c r="J127" s="132" t="s">
        <v>16</v>
      </c>
      <c r="K127" s="132" t="s">
        <v>212</v>
      </c>
      <c r="L127" s="132" t="s">
        <v>21</v>
      </c>
      <c r="M127" s="132" t="s">
        <v>21</v>
      </c>
    </row>
    <row r="128" spans="1:13" x14ac:dyDescent="0.25">
      <c r="A128" s="29">
        <v>6</v>
      </c>
      <c r="B128" s="29" t="s">
        <v>58</v>
      </c>
      <c r="C128" s="138" t="s">
        <v>59</v>
      </c>
      <c r="D128" s="140">
        <v>0.02</v>
      </c>
      <c r="E128" s="140">
        <v>4203</v>
      </c>
      <c r="F128" s="29" t="s">
        <v>27</v>
      </c>
      <c r="G128" s="140">
        <v>84.06</v>
      </c>
      <c r="H128" s="29" t="s">
        <v>15</v>
      </c>
      <c r="I128" s="140">
        <v>36.24</v>
      </c>
      <c r="J128" s="132" t="s">
        <v>16</v>
      </c>
      <c r="K128" s="132" t="s">
        <v>220</v>
      </c>
      <c r="L128" s="132" t="s">
        <v>21</v>
      </c>
      <c r="M128" s="132" t="s">
        <v>21</v>
      </c>
    </row>
    <row r="129" spans="1:13" x14ac:dyDescent="0.25">
      <c r="A129" s="29">
        <v>7</v>
      </c>
      <c r="B129" s="29" t="s">
        <v>36</v>
      </c>
      <c r="C129" s="138" t="s">
        <v>63</v>
      </c>
      <c r="D129" s="140">
        <v>0.17</v>
      </c>
      <c r="E129" s="140">
        <v>5584</v>
      </c>
      <c r="F129" s="29" t="s">
        <v>41</v>
      </c>
      <c r="G129" s="140">
        <v>949.2800000000001</v>
      </c>
      <c r="H129" s="29" t="s">
        <v>15</v>
      </c>
      <c r="I129" s="140">
        <v>48.15</v>
      </c>
      <c r="J129" s="132" t="s">
        <v>16</v>
      </c>
      <c r="K129" s="132" t="s">
        <v>37</v>
      </c>
      <c r="L129" s="132" t="s">
        <v>21</v>
      </c>
      <c r="M129" s="132" t="s">
        <v>21</v>
      </c>
    </row>
    <row r="130" spans="1:13" x14ac:dyDescent="0.25">
      <c r="A130" s="135"/>
      <c r="B130" s="135" t="s">
        <v>64</v>
      </c>
      <c r="C130" s="135"/>
      <c r="D130" s="136"/>
      <c r="E130" s="137">
        <f>=SUM(E123:E129)</f>
      </c>
      <c r="F130" s="135"/>
      <c r="G130" s="137">
        <f>=SUM(G123:G129)</f>
      </c>
      <c r="H130" s="135"/>
      <c r="I130" s="135"/>
      <c r="J130" s="132"/>
      <c r="K130" s="132"/>
      <c r="L130" s="132"/>
      <c r="M130" s="132"/>
    </row>
    <row r="132" spans="1:9" x14ac:dyDescent="0.25">
      <c r="A132" s="3" t="s">
        <v>291</v>
      </c>
      <c r="B132" s="3" t="s">
        <v>222</v>
      </c>
      <c r="C132" s="3" t="s">
        <v>222</v>
      </c>
      <c r="D132" t="s">
        <v>222</v>
      </c>
      <c r="E132" s="3" t="s">
        <v>222</v>
      </c>
      <c r="F132" s="3" t="s">
        <v>222</v>
      </c>
      <c r="G132" s="3" t="s">
        <v>222</v>
      </c>
      <c r="I132" s="3" t="s">
        <v>21</v>
      </c>
    </row>
    <row r="134" spans="1:6" x14ac:dyDescent="0.25">
      <c r="A134" s="3" t="s">
        <v>223</v>
      </c>
      <c r="B134" s="3" t="s">
        <v>224</v>
      </c>
      <c r="C134" s="3" t="s">
        <v>225</v>
      </c>
      <c r="D134" t="s">
        <v>226</v>
      </c>
      <c r="E134" s="3" t="s">
        <v>70</v>
      </c>
      <c r="F134" s="3" t="s">
        <v>227</v>
      </c>
    </row>
    <row r="135" spans="1:13" x14ac:dyDescent="0.25">
      <c r="A135" s="29">
        <v>1</v>
      </c>
      <c r="B135" s="29" t="s">
        <v>292</v>
      </c>
      <c r="C135" s="138" t="s">
        <v>293</v>
      </c>
      <c r="D135" s="129">
        <v>7356</v>
      </c>
      <c r="E135" s="29"/>
      <c r="F135" s="139">
        <v>46093.625</v>
      </c>
      <c r="G135" s="29"/>
      <c r="H135" s="29"/>
      <c r="I135" s="29"/>
      <c r="J135" s="132"/>
      <c r="K135" s="132"/>
      <c r="L135" s="132"/>
      <c r="M135" s="132"/>
    </row>
    <row r="137" spans="1:9" x14ac:dyDescent="0.25">
      <c r="A137" s="134" t="s">
        <v>223</v>
      </c>
      <c r="B137" s="134" t="s">
        <v>231</v>
      </c>
      <c r="C137" s="134" t="s">
        <v>232</v>
      </c>
      <c r="D137" s="134" t="s">
        <v>4</v>
      </c>
      <c r="E137" s="134" t="s">
        <v>5</v>
      </c>
      <c r="F137" s="134" t="s">
        <v>6</v>
      </c>
      <c r="G137" s="134" t="s">
        <v>7</v>
      </c>
      <c r="H137" s="134" t="s">
        <v>8</v>
      </c>
      <c r="I137" s="134" t="s">
        <v>9</v>
      </c>
    </row>
    <row r="138" spans="1:13" x14ac:dyDescent="0.25">
      <c r="A138" s="29">
        <v>1</v>
      </c>
      <c r="B138" s="29" t="s">
        <v>12</v>
      </c>
      <c r="C138" s="138" t="s">
        <v>13</v>
      </c>
      <c r="D138" s="140">
        <v>0.91</v>
      </c>
      <c r="E138" s="140">
        <v>475</v>
      </c>
      <c r="F138" s="29" t="s">
        <v>14</v>
      </c>
      <c r="G138" s="140">
        <v>432.25</v>
      </c>
      <c r="H138" s="29" t="s">
        <v>15</v>
      </c>
      <c r="I138" s="140">
        <v>4.1</v>
      </c>
      <c r="J138" s="132" t="s">
        <v>16</v>
      </c>
      <c r="K138" s="132" t="s">
        <v>208</v>
      </c>
      <c r="L138" s="132" t="s">
        <v>17</v>
      </c>
      <c r="M138" s="132" t="s">
        <v>18</v>
      </c>
    </row>
    <row r="139" spans="1:13" x14ac:dyDescent="0.25">
      <c r="A139" s="29">
        <v>2</v>
      </c>
      <c r="B139" s="29" t="s">
        <v>22</v>
      </c>
      <c r="C139" s="138" t="s">
        <v>23</v>
      </c>
      <c r="D139" s="140">
        <v>3.35</v>
      </c>
      <c r="E139" s="140">
        <v>726</v>
      </c>
      <c r="F139" s="29" t="s">
        <v>24</v>
      </c>
      <c r="G139" s="140">
        <v>2432.1</v>
      </c>
      <c r="H139" s="29" t="s">
        <v>15</v>
      </c>
      <c r="I139" s="140">
        <v>6.26</v>
      </c>
      <c r="J139" s="132" t="s">
        <v>16</v>
      </c>
      <c r="K139" s="132" t="s">
        <v>210</v>
      </c>
      <c r="L139" s="132" t="s">
        <v>21</v>
      </c>
      <c r="M139" s="132" t="s">
        <v>18</v>
      </c>
    </row>
    <row r="140" spans="1:13" x14ac:dyDescent="0.25">
      <c r="A140" s="29">
        <v>3</v>
      </c>
      <c r="B140" s="29" t="s">
        <v>30</v>
      </c>
      <c r="C140" s="138" t="s">
        <v>31</v>
      </c>
      <c r="D140" s="140">
        <v>0.04</v>
      </c>
      <c r="E140" s="140">
        <v>14793</v>
      </c>
      <c r="F140" s="29" t="s">
        <v>27</v>
      </c>
      <c r="G140" s="140">
        <v>591.72</v>
      </c>
      <c r="H140" s="29" t="s">
        <v>15</v>
      </c>
      <c r="I140" s="140">
        <v>127.56</v>
      </c>
      <c r="J140" s="132" t="s">
        <v>16</v>
      </c>
      <c r="K140" s="132" t="s">
        <v>212</v>
      </c>
      <c r="L140" s="132" t="s">
        <v>21</v>
      </c>
      <c r="M140" s="132" t="s">
        <v>21</v>
      </c>
    </row>
    <row r="141" spans="1:13" x14ac:dyDescent="0.25">
      <c r="A141" s="29">
        <v>4</v>
      </c>
      <c r="B141" s="29" t="s">
        <v>30</v>
      </c>
      <c r="C141" s="138" t="s">
        <v>32</v>
      </c>
      <c r="D141" s="140">
        <v>0.06</v>
      </c>
      <c r="E141" s="140">
        <v>14793</v>
      </c>
      <c r="F141" s="29" t="s">
        <v>27</v>
      </c>
      <c r="G141" s="140">
        <v>887.5799999999999</v>
      </c>
      <c r="H141" s="29" t="s">
        <v>15</v>
      </c>
      <c r="I141" s="140">
        <v>127.56</v>
      </c>
      <c r="J141" s="132" t="s">
        <v>16</v>
      </c>
      <c r="K141" s="132" t="s">
        <v>212</v>
      </c>
      <c r="L141" s="132" t="s">
        <v>21</v>
      </c>
      <c r="M141" s="132" t="s">
        <v>21</v>
      </c>
    </row>
    <row r="142" spans="1:13" x14ac:dyDescent="0.25">
      <c r="A142" s="29">
        <v>5</v>
      </c>
      <c r="B142" s="29" t="s">
        <v>30</v>
      </c>
      <c r="C142" s="138" t="s">
        <v>33</v>
      </c>
      <c r="D142" s="140">
        <v>0.02</v>
      </c>
      <c r="E142" s="140">
        <v>29586</v>
      </c>
      <c r="F142" s="29" t="s">
        <v>27</v>
      </c>
      <c r="G142" s="140">
        <v>591.72</v>
      </c>
      <c r="H142" s="29" t="s">
        <v>15</v>
      </c>
      <c r="I142" s="140">
        <v>255.12</v>
      </c>
      <c r="J142" s="132" t="s">
        <v>16</v>
      </c>
      <c r="K142" s="132" t="s">
        <v>212</v>
      </c>
      <c r="L142" s="132" t="s">
        <v>21</v>
      </c>
      <c r="M142" s="132" t="s">
        <v>21</v>
      </c>
    </row>
    <row r="143" spans="1:13" x14ac:dyDescent="0.25">
      <c r="A143" s="29">
        <v>6</v>
      </c>
      <c r="B143" s="29" t="s">
        <v>25</v>
      </c>
      <c r="C143" s="138" t="s">
        <v>47</v>
      </c>
      <c r="D143" s="140">
        <v>0.03</v>
      </c>
      <c r="E143" s="140">
        <v>7397</v>
      </c>
      <c r="F143" s="29" t="s">
        <v>27</v>
      </c>
      <c r="G143" s="140">
        <v>221.91</v>
      </c>
      <c r="H143" s="29" t="s">
        <v>15</v>
      </c>
      <c r="I143" s="140">
        <v>63.79</v>
      </c>
      <c r="J143" s="132" t="s">
        <v>16</v>
      </c>
      <c r="K143" s="132" t="s">
        <v>211</v>
      </c>
      <c r="L143" s="132" t="s">
        <v>21</v>
      </c>
      <c r="M143" s="132" t="s">
        <v>21</v>
      </c>
    </row>
    <row r="144" spans="1:13" x14ac:dyDescent="0.25">
      <c r="A144" s="29">
        <v>7</v>
      </c>
      <c r="B144" s="29" t="s">
        <v>25</v>
      </c>
      <c r="C144" s="138" t="s">
        <v>48</v>
      </c>
      <c r="D144" s="140">
        <v>0.03</v>
      </c>
      <c r="E144" s="140">
        <v>7397</v>
      </c>
      <c r="F144" s="29" t="s">
        <v>27</v>
      </c>
      <c r="G144" s="140">
        <v>221.91</v>
      </c>
      <c r="H144" s="29" t="s">
        <v>15</v>
      </c>
      <c r="I144" s="140">
        <v>63.79</v>
      </c>
      <c r="J144" s="132" t="s">
        <v>16</v>
      </c>
      <c r="K144" s="132" t="s">
        <v>211</v>
      </c>
      <c r="L144" s="132" t="s">
        <v>21</v>
      </c>
      <c r="M144" s="132" t="s">
        <v>21</v>
      </c>
    </row>
    <row r="145" spans="1:13" x14ac:dyDescent="0.25">
      <c r="A145" s="29">
        <v>8</v>
      </c>
      <c r="B145" s="29" t="s">
        <v>49</v>
      </c>
      <c r="C145" s="138" t="s">
        <v>50</v>
      </c>
      <c r="D145" s="140">
        <v>0.08</v>
      </c>
      <c r="E145" s="140">
        <v>7400</v>
      </c>
      <c r="F145" s="29" t="s">
        <v>27</v>
      </c>
      <c r="G145" s="140">
        <v>592</v>
      </c>
      <c r="H145" s="29" t="s">
        <v>15</v>
      </c>
      <c r="I145" s="140">
        <v>63.81</v>
      </c>
      <c r="J145" s="132" t="s">
        <v>16</v>
      </c>
      <c r="K145" s="132" t="s">
        <v>217</v>
      </c>
      <c r="L145" s="132" t="s">
        <v>21</v>
      </c>
      <c r="M145" s="132" t="s">
        <v>21</v>
      </c>
    </row>
    <row r="146" spans="1:13" x14ac:dyDescent="0.25">
      <c r="A146" s="29">
        <v>9</v>
      </c>
      <c r="B146" s="29" t="s">
        <v>52</v>
      </c>
      <c r="C146" s="138" t="s">
        <v>53</v>
      </c>
      <c r="D146" s="140">
        <v>0.02</v>
      </c>
      <c r="E146" s="140">
        <v>59172</v>
      </c>
      <c r="F146" s="29" t="s">
        <v>44</v>
      </c>
      <c r="G146" s="140">
        <v>1183.44</v>
      </c>
      <c r="H146" s="29" t="s">
        <v>15</v>
      </c>
      <c r="I146" s="140">
        <v>510.25</v>
      </c>
      <c r="J146" s="132" t="s">
        <v>16</v>
      </c>
      <c r="K146" s="132" t="s">
        <v>218</v>
      </c>
      <c r="L146" s="132" t="s">
        <v>21</v>
      </c>
      <c r="M146" s="132" t="s">
        <v>21</v>
      </c>
    </row>
    <row r="147" spans="1:13" x14ac:dyDescent="0.25">
      <c r="A147" s="29">
        <v>10</v>
      </c>
      <c r="B147" s="29" t="s">
        <v>25</v>
      </c>
      <c r="C147" s="138" t="s">
        <v>54</v>
      </c>
      <c r="D147" s="140">
        <v>0.01</v>
      </c>
      <c r="E147" s="140">
        <v>7400</v>
      </c>
      <c r="F147" s="29" t="s">
        <v>27</v>
      </c>
      <c r="G147" s="140">
        <v>74</v>
      </c>
      <c r="H147" s="29" t="s">
        <v>15</v>
      </c>
      <c r="I147" s="140">
        <v>63.81</v>
      </c>
      <c r="J147" s="132" t="s">
        <v>16</v>
      </c>
      <c r="K147" s="132" t="s">
        <v>219</v>
      </c>
      <c r="L147" s="132" t="s">
        <v>21</v>
      </c>
      <c r="M147" s="132" t="s">
        <v>21</v>
      </c>
    </row>
    <row r="148" spans="1:13" x14ac:dyDescent="0.25">
      <c r="A148" s="29">
        <v>11</v>
      </c>
      <c r="B148" s="29" t="s">
        <v>58</v>
      </c>
      <c r="C148" s="138" t="s">
        <v>59</v>
      </c>
      <c r="D148" s="140">
        <v>0.02</v>
      </c>
      <c r="E148" s="140">
        <v>7356</v>
      </c>
      <c r="F148" s="29" t="s">
        <v>27</v>
      </c>
      <c r="G148" s="140">
        <v>147.12</v>
      </c>
      <c r="H148" s="29" t="s">
        <v>15</v>
      </c>
      <c r="I148" s="140">
        <v>63.43</v>
      </c>
      <c r="J148" s="132" t="s">
        <v>16</v>
      </c>
      <c r="K148" s="132" t="s">
        <v>220</v>
      </c>
      <c r="L148" s="132" t="s">
        <v>21</v>
      </c>
      <c r="M148" s="132" t="s">
        <v>21</v>
      </c>
    </row>
    <row r="149" spans="1:13" x14ac:dyDescent="0.25">
      <c r="A149" s="29">
        <v>12</v>
      </c>
      <c r="B149" s="29" t="s">
        <v>36</v>
      </c>
      <c r="C149" s="138" t="s">
        <v>63</v>
      </c>
      <c r="D149" s="140">
        <v>0.17</v>
      </c>
      <c r="E149" s="140">
        <v>2396</v>
      </c>
      <c r="F149" s="29" t="s">
        <v>41</v>
      </c>
      <c r="G149" s="140">
        <v>407.32000000000005</v>
      </c>
      <c r="H149" s="29" t="s">
        <v>15</v>
      </c>
      <c r="I149" s="140">
        <v>20.66</v>
      </c>
      <c r="J149" s="132" t="s">
        <v>16</v>
      </c>
      <c r="K149" s="132" t="s">
        <v>37</v>
      </c>
      <c r="L149" s="132" t="s">
        <v>21</v>
      </c>
      <c r="M149" s="132" t="s">
        <v>21</v>
      </c>
    </row>
    <row r="150" spans="1:13" x14ac:dyDescent="0.25">
      <c r="A150" s="135"/>
      <c r="B150" s="135" t="s">
        <v>64</v>
      </c>
      <c r="C150" s="135"/>
      <c r="D150" s="136"/>
      <c r="E150" s="137">
        <f>=SUM(E138:E149)</f>
      </c>
      <c r="F150" s="135"/>
      <c r="G150" s="137">
        <f>=SUM(G138:G149)</f>
      </c>
      <c r="H150" s="135"/>
      <c r="I150" s="135"/>
      <c r="J150" s="132"/>
      <c r="K150" s="132"/>
      <c r="L150" s="132"/>
      <c r="M150" s="132"/>
    </row>
    <row r="152" spans="1:9" x14ac:dyDescent="0.25">
      <c r="A152" s="3" t="s">
        <v>294</v>
      </c>
      <c r="B152" s="3" t="s">
        <v>222</v>
      </c>
      <c r="C152" s="3" t="s">
        <v>222</v>
      </c>
      <c r="D152" t="s">
        <v>222</v>
      </c>
      <c r="E152" s="3" t="s">
        <v>222</v>
      </c>
      <c r="F152" s="3" t="s">
        <v>222</v>
      </c>
      <c r="G152" s="3" t="s">
        <v>222</v>
      </c>
      <c r="I152" s="3" t="s">
        <v>21</v>
      </c>
    </row>
    <row r="154" spans="1:6" x14ac:dyDescent="0.25">
      <c r="A154" s="3" t="s">
        <v>223</v>
      </c>
      <c r="B154" s="3" t="s">
        <v>224</v>
      </c>
      <c r="C154" s="3" t="s">
        <v>225</v>
      </c>
      <c r="D154" t="s">
        <v>226</v>
      </c>
      <c r="E154" s="3" t="s">
        <v>70</v>
      </c>
      <c r="F154" s="3" t="s">
        <v>227</v>
      </c>
    </row>
    <row r="155" spans="1:13" x14ac:dyDescent="0.25">
      <c r="A155" s="29">
        <v>1</v>
      </c>
      <c r="B155" s="29" t="s">
        <v>295</v>
      </c>
      <c r="C155" s="138" t="s">
        <v>296</v>
      </c>
      <c r="D155" s="129">
        <v>10503</v>
      </c>
      <c r="E155" s="29"/>
      <c r="F155" s="139">
        <v>46093.625</v>
      </c>
      <c r="G155" s="29"/>
      <c r="H155" s="29"/>
      <c r="I155" s="29"/>
      <c r="J155" s="132"/>
      <c r="K155" s="132"/>
      <c r="L155" s="132"/>
      <c r="M155" s="132"/>
    </row>
    <row r="157" spans="1:9" x14ac:dyDescent="0.25">
      <c r="A157" s="134" t="s">
        <v>223</v>
      </c>
      <c r="B157" s="134" t="s">
        <v>231</v>
      </c>
      <c r="C157" s="134" t="s">
        <v>232</v>
      </c>
      <c r="D157" s="134" t="s">
        <v>4</v>
      </c>
      <c r="E157" s="134" t="s">
        <v>5</v>
      </c>
      <c r="F157" s="134" t="s">
        <v>6</v>
      </c>
      <c r="G157" s="134" t="s">
        <v>7</v>
      </c>
      <c r="H157" s="134" t="s">
        <v>8</v>
      </c>
      <c r="I157" s="134" t="s">
        <v>9</v>
      </c>
    </row>
    <row r="158" spans="1:13" x14ac:dyDescent="0.25">
      <c r="A158" s="29">
        <v>1</v>
      </c>
      <c r="B158" s="29" t="s">
        <v>19</v>
      </c>
      <c r="C158" s="138" t="s">
        <v>20</v>
      </c>
      <c r="D158" s="140">
        <v>1.08</v>
      </c>
      <c r="E158" s="140">
        <v>78</v>
      </c>
      <c r="F158" s="29" t="s">
        <v>14</v>
      </c>
      <c r="G158" s="140">
        <v>84.24000000000001</v>
      </c>
      <c r="H158" s="29" t="s">
        <v>15</v>
      </c>
      <c r="I158" s="140">
        <v>0.67</v>
      </c>
      <c r="J158" s="132" t="s">
        <v>16</v>
      </c>
      <c r="K158" s="132" t="s">
        <v>209</v>
      </c>
      <c r="L158" s="132" t="s">
        <v>21</v>
      </c>
      <c r="M158" s="132" t="s">
        <v>18</v>
      </c>
    </row>
    <row r="159" spans="1:13" x14ac:dyDescent="0.25">
      <c r="A159" s="29">
        <v>2</v>
      </c>
      <c r="B159" s="29" t="s">
        <v>22</v>
      </c>
      <c r="C159" s="138" t="s">
        <v>23</v>
      </c>
      <c r="D159" s="140">
        <v>3.35</v>
      </c>
      <c r="E159" s="140">
        <v>2679</v>
      </c>
      <c r="F159" s="29" t="s">
        <v>24</v>
      </c>
      <c r="G159" s="140">
        <v>8974.65</v>
      </c>
      <c r="H159" s="29" t="s">
        <v>15</v>
      </c>
      <c r="I159" s="140">
        <v>23.1</v>
      </c>
      <c r="J159" s="132" t="s">
        <v>16</v>
      </c>
      <c r="K159" s="132" t="s">
        <v>210</v>
      </c>
      <c r="L159" s="132" t="s">
        <v>21</v>
      </c>
      <c r="M159" s="132" t="s">
        <v>18</v>
      </c>
    </row>
    <row r="160" spans="1:13" x14ac:dyDescent="0.25">
      <c r="A160" s="29">
        <v>3</v>
      </c>
      <c r="B160" s="29" t="s">
        <v>25</v>
      </c>
      <c r="C160" s="138" t="s">
        <v>47</v>
      </c>
      <c r="D160" s="140">
        <v>0.03</v>
      </c>
      <c r="E160" s="140">
        <v>10535</v>
      </c>
      <c r="F160" s="29" t="s">
        <v>27</v>
      </c>
      <c r="G160" s="140">
        <v>316.05</v>
      </c>
      <c r="H160" s="29" t="s">
        <v>15</v>
      </c>
      <c r="I160" s="140">
        <v>90.84</v>
      </c>
      <c r="J160" s="132" t="s">
        <v>16</v>
      </c>
      <c r="K160" s="132" t="s">
        <v>211</v>
      </c>
      <c r="L160" s="132" t="s">
        <v>21</v>
      </c>
      <c r="M160" s="132" t="s">
        <v>21</v>
      </c>
    </row>
    <row r="161" spans="1:13" x14ac:dyDescent="0.25">
      <c r="A161" s="29">
        <v>4</v>
      </c>
      <c r="B161" s="29" t="s">
        <v>25</v>
      </c>
      <c r="C161" s="138" t="s">
        <v>48</v>
      </c>
      <c r="D161" s="140">
        <v>0.03</v>
      </c>
      <c r="E161" s="140">
        <v>10535</v>
      </c>
      <c r="F161" s="29" t="s">
        <v>27</v>
      </c>
      <c r="G161" s="140">
        <v>316.05</v>
      </c>
      <c r="H161" s="29" t="s">
        <v>15</v>
      </c>
      <c r="I161" s="140">
        <v>90.84</v>
      </c>
      <c r="J161" s="132" t="s">
        <v>16</v>
      </c>
      <c r="K161" s="132" t="s">
        <v>211</v>
      </c>
      <c r="L161" s="132" t="s">
        <v>21</v>
      </c>
      <c r="M161" s="132" t="s">
        <v>21</v>
      </c>
    </row>
    <row r="162" spans="1:13" x14ac:dyDescent="0.25">
      <c r="A162" s="29">
        <v>5</v>
      </c>
      <c r="B162" s="29" t="s">
        <v>49</v>
      </c>
      <c r="C162" s="138" t="s">
        <v>50</v>
      </c>
      <c r="D162" s="140">
        <v>0.08</v>
      </c>
      <c r="E162" s="140">
        <v>10537</v>
      </c>
      <c r="F162" s="29" t="s">
        <v>27</v>
      </c>
      <c r="G162" s="140">
        <v>842.96</v>
      </c>
      <c r="H162" s="29" t="s">
        <v>15</v>
      </c>
      <c r="I162" s="140">
        <v>90.86</v>
      </c>
      <c r="J162" s="132" t="s">
        <v>16</v>
      </c>
      <c r="K162" s="132" t="s">
        <v>217</v>
      </c>
      <c r="L162" s="132" t="s">
        <v>21</v>
      </c>
      <c r="M162" s="132" t="s">
        <v>21</v>
      </c>
    </row>
    <row r="163" spans="1:13" x14ac:dyDescent="0.25">
      <c r="A163" s="29">
        <v>6</v>
      </c>
      <c r="B163" s="29" t="s">
        <v>25</v>
      </c>
      <c r="C163" s="138" t="s">
        <v>54</v>
      </c>
      <c r="D163" s="140">
        <v>0.01</v>
      </c>
      <c r="E163" s="140">
        <v>10537</v>
      </c>
      <c r="F163" s="29" t="s">
        <v>27</v>
      </c>
      <c r="G163" s="140">
        <v>105.37</v>
      </c>
      <c r="H163" s="29" t="s">
        <v>15</v>
      </c>
      <c r="I163" s="140">
        <v>90.86</v>
      </c>
      <c r="J163" s="132" t="s">
        <v>16</v>
      </c>
      <c r="K163" s="132" t="s">
        <v>219</v>
      </c>
      <c r="L163" s="132" t="s">
        <v>21</v>
      </c>
      <c r="M163" s="132" t="s">
        <v>21</v>
      </c>
    </row>
    <row r="164" spans="1:13" x14ac:dyDescent="0.25">
      <c r="A164" s="29">
        <v>7</v>
      </c>
      <c r="B164" s="29" t="s">
        <v>58</v>
      </c>
      <c r="C164" s="138" t="s">
        <v>59</v>
      </c>
      <c r="D164" s="140">
        <v>0.02</v>
      </c>
      <c r="E164" s="140">
        <v>10503</v>
      </c>
      <c r="F164" s="29" t="s">
        <v>27</v>
      </c>
      <c r="G164" s="140">
        <v>210.06</v>
      </c>
      <c r="H164" s="29" t="s">
        <v>15</v>
      </c>
      <c r="I164" s="140">
        <v>90.57</v>
      </c>
      <c r="J164" s="132" t="s">
        <v>16</v>
      </c>
      <c r="K164" s="132" t="s">
        <v>220</v>
      </c>
      <c r="L164" s="132" t="s">
        <v>21</v>
      </c>
      <c r="M164" s="132" t="s">
        <v>21</v>
      </c>
    </row>
    <row r="165" spans="1:13" x14ac:dyDescent="0.25">
      <c r="A165" s="29">
        <v>8</v>
      </c>
      <c r="B165" s="29" t="s">
        <v>36</v>
      </c>
      <c r="C165" s="138" t="s">
        <v>63</v>
      </c>
      <c r="D165" s="140">
        <v>0.17</v>
      </c>
      <c r="E165" s="140">
        <v>3179</v>
      </c>
      <c r="F165" s="29" t="s">
        <v>41</v>
      </c>
      <c r="G165" s="140">
        <v>540.4300000000001</v>
      </c>
      <c r="H165" s="29" t="s">
        <v>15</v>
      </c>
      <c r="I165" s="140">
        <v>27.41</v>
      </c>
      <c r="J165" s="132" t="s">
        <v>16</v>
      </c>
      <c r="K165" s="132" t="s">
        <v>37</v>
      </c>
      <c r="L165" s="132" t="s">
        <v>21</v>
      </c>
      <c r="M165" s="132" t="s">
        <v>21</v>
      </c>
    </row>
    <row r="166" spans="1:13" x14ac:dyDescent="0.25">
      <c r="A166" s="135"/>
      <c r="B166" s="135" t="s">
        <v>64</v>
      </c>
      <c r="C166" s="135"/>
      <c r="D166" s="136"/>
      <c r="E166" s="137">
        <f>=SUM(E158:E165)</f>
      </c>
      <c r="F166" s="135"/>
      <c r="G166" s="137">
        <f>=SUM(G158:G165)</f>
      </c>
      <c r="H166" s="135"/>
      <c r="I166" s="135"/>
      <c r="J166" s="132"/>
      <c r="K166" s="132"/>
      <c r="L166" s="132"/>
      <c r="M166" s="132"/>
    </row>
    <row r="168" spans="1:9" x14ac:dyDescent="0.25">
      <c r="A168" s="3" t="s">
        <v>297</v>
      </c>
      <c r="B168" s="3" t="s">
        <v>222</v>
      </c>
      <c r="C168" s="3" t="s">
        <v>222</v>
      </c>
      <c r="D168" t="s">
        <v>222</v>
      </c>
      <c r="E168" s="3" t="s">
        <v>222</v>
      </c>
      <c r="F168" s="3" t="s">
        <v>222</v>
      </c>
      <c r="G168" s="3" t="s">
        <v>222</v>
      </c>
      <c r="I168" s="3" t="s">
        <v>21</v>
      </c>
    </row>
    <row r="170" spans="1:6" x14ac:dyDescent="0.25">
      <c r="A170" s="3" t="s">
        <v>223</v>
      </c>
      <c r="B170" s="3" t="s">
        <v>224</v>
      </c>
      <c r="C170" s="3" t="s">
        <v>225</v>
      </c>
      <c r="D170" t="s">
        <v>226</v>
      </c>
      <c r="E170" s="3" t="s">
        <v>70</v>
      </c>
      <c r="F170" s="3" t="s">
        <v>227</v>
      </c>
    </row>
    <row r="171" spans="1:13" x14ac:dyDescent="0.25">
      <c r="A171" s="29">
        <v>1</v>
      </c>
      <c r="B171" s="29" t="s">
        <v>298</v>
      </c>
      <c r="C171" s="138" t="s">
        <v>299</v>
      </c>
      <c r="D171" s="129">
        <v>4204</v>
      </c>
      <c r="E171" s="29"/>
      <c r="F171" s="139">
        <v>46093.625</v>
      </c>
      <c r="G171" s="29"/>
      <c r="H171" s="29"/>
      <c r="I171" s="29"/>
      <c r="J171" s="132"/>
      <c r="K171" s="132"/>
      <c r="L171" s="132"/>
      <c r="M171" s="132"/>
    </row>
    <row r="173" spans="1:9" x14ac:dyDescent="0.25">
      <c r="A173" s="134" t="s">
        <v>223</v>
      </c>
      <c r="B173" s="134" t="s">
        <v>231</v>
      </c>
      <c r="C173" s="134" t="s">
        <v>232</v>
      </c>
      <c r="D173" s="134" t="s">
        <v>4</v>
      </c>
      <c r="E173" s="134" t="s">
        <v>5</v>
      </c>
      <c r="F173" s="134" t="s">
        <v>6</v>
      </c>
      <c r="G173" s="134" t="s">
        <v>7</v>
      </c>
      <c r="H173" s="134" t="s">
        <v>8</v>
      </c>
      <c r="I173" s="134" t="s">
        <v>9</v>
      </c>
    </row>
    <row r="174" spans="1:13" x14ac:dyDescent="0.25">
      <c r="A174" s="29">
        <v>1</v>
      </c>
      <c r="B174" s="29" t="s">
        <v>12</v>
      </c>
      <c r="C174" s="138" t="s">
        <v>13</v>
      </c>
      <c r="D174" s="140">
        <v>0.91</v>
      </c>
      <c r="E174" s="140">
        <v>370</v>
      </c>
      <c r="F174" s="29" t="s">
        <v>14</v>
      </c>
      <c r="G174" s="140">
        <v>336.7</v>
      </c>
      <c r="H174" s="29" t="s">
        <v>15</v>
      </c>
      <c r="I174" s="140">
        <v>3.19</v>
      </c>
      <c r="J174" s="132" t="s">
        <v>16</v>
      </c>
      <c r="K174" s="132" t="s">
        <v>208</v>
      </c>
      <c r="L174" s="132" t="s">
        <v>17</v>
      </c>
      <c r="M174" s="132" t="s">
        <v>18</v>
      </c>
    </row>
    <row r="175" spans="1:13" x14ac:dyDescent="0.25">
      <c r="A175" s="29">
        <v>2</v>
      </c>
      <c r="B175" s="29" t="s">
        <v>19</v>
      </c>
      <c r="C175" s="138" t="s">
        <v>20</v>
      </c>
      <c r="D175" s="140">
        <v>1.08</v>
      </c>
      <c r="E175" s="140">
        <v>47</v>
      </c>
      <c r="F175" s="29" t="s">
        <v>14</v>
      </c>
      <c r="G175" s="140">
        <v>50.760000000000005</v>
      </c>
      <c r="H175" s="29" t="s">
        <v>15</v>
      </c>
      <c r="I175" s="140">
        <v>0.41</v>
      </c>
      <c r="J175" s="132" t="s">
        <v>16</v>
      </c>
      <c r="K175" s="132" t="s">
        <v>209</v>
      </c>
      <c r="L175" s="132" t="s">
        <v>21</v>
      </c>
      <c r="M175" s="132" t="s">
        <v>18</v>
      </c>
    </row>
    <row r="176" spans="1:13" x14ac:dyDescent="0.25">
      <c r="A176" s="29">
        <v>3</v>
      </c>
      <c r="B176" s="29" t="s">
        <v>22</v>
      </c>
      <c r="C176" s="138" t="s">
        <v>23</v>
      </c>
      <c r="D176" s="140">
        <v>3.35</v>
      </c>
      <c r="E176" s="140">
        <v>875</v>
      </c>
      <c r="F176" s="29" t="s">
        <v>24</v>
      </c>
      <c r="G176" s="140">
        <v>2931.25</v>
      </c>
      <c r="H176" s="29" t="s">
        <v>15</v>
      </c>
      <c r="I176" s="140">
        <v>7.55</v>
      </c>
      <c r="J176" s="132" t="s">
        <v>16</v>
      </c>
      <c r="K176" s="132" t="s">
        <v>210</v>
      </c>
      <c r="L176" s="132" t="s">
        <v>21</v>
      </c>
      <c r="M176" s="132" t="s">
        <v>18</v>
      </c>
    </row>
    <row r="177" spans="1:13" x14ac:dyDescent="0.25">
      <c r="A177" s="29">
        <v>4</v>
      </c>
      <c r="B177" s="29" t="s">
        <v>25</v>
      </c>
      <c r="C177" s="138" t="s">
        <v>47</v>
      </c>
      <c r="D177" s="140">
        <v>0.03</v>
      </c>
      <c r="E177" s="140">
        <v>4236</v>
      </c>
      <c r="F177" s="29" t="s">
        <v>27</v>
      </c>
      <c r="G177" s="140">
        <v>127.08</v>
      </c>
      <c r="H177" s="29" t="s">
        <v>15</v>
      </c>
      <c r="I177" s="140">
        <v>36.53</v>
      </c>
      <c r="J177" s="132" t="s">
        <v>16</v>
      </c>
      <c r="K177" s="132" t="s">
        <v>211</v>
      </c>
      <c r="L177" s="132" t="s">
        <v>21</v>
      </c>
      <c r="M177" s="132" t="s">
        <v>21</v>
      </c>
    </row>
    <row r="178" spans="1:13" x14ac:dyDescent="0.25">
      <c r="A178" s="29">
        <v>5</v>
      </c>
      <c r="B178" s="29" t="s">
        <v>25</v>
      </c>
      <c r="C178" s="138" t="s">
        <v>48</v>
      </c>
      <c r="D178" s="140">
        <v>0.03</v>
      </c>
      <c r="E178" s="140">
        <v>4236</v>
      </c>
      <c r="F178" s="29" t="s">
        <v>27</v>
      </c>
      <c r="G178" s="140">
        <v>127.08</v>
      </c>
      <c r="H178" s="29" t="s">
        <v>15</v>
      </c>
      <c r="I178" s="140">
        <v>36.53</v>
      </c>
      <c r="J178" s="132" t="s">
        <v>16</v>
      </c>
      <c r="K178" s="132" t="s">
        <v>211</v>
      </c>
      <c r="L178" s="132" t="s">
        <v>21</v>
      </c>
      <c r="M178" s="132" t="s">
        <v>21</v>
      </c>
    </row>
    <row r="179" spans="1:13" x14ac:dyDescent="0.25">
      <c r="A179" s="29">
        <v>6</v>
      </c>
      <c r="B179" s="29" t="s">
        <v>49</v>
      </c>
      <c r="C179" s="138" t="s">
        <v>50</v>
      </c>
      <c r="D179" s="140">
        <v>0.08</v>
      </c>
      <c r="E179" s="140">
        <v>4236</v>
      </c>
      <c r="F179" s="29" t="s">
        <v>27</v>
      </c>
      <c r="G179" s="140">
        <v>338.88</v>
      </c>
      <c r="H179" s="29" t="s">
        <v>15</v>
      </c>
      <c r="I179" s="140">
        <v>36.53</v>
      </c>
      <c r="J179" s="132" t="s">
        <v>16</v>
      </c>
      <c r="K179" s="132" t="s">
        <v>217</v>
      </c>
      <c r="L179" s="132" t="s">
        <v>21</v>
      </c>
      <c r="M179" s="132" t="s">
        <v>21</v>
      </c>
    </row>
    <row r="180" spans="1:13" x14ac:dyDescent="0.25">
      <c r="A180" s="29">
        <v>7</v>
      </c>
      <c r="B180" s="29" t="s">
        <v>25</v>
      </c>
      <c r="C180" s="138" t="s">
        <v>54</v>
      </c>
      <c r="D180" s="140">
        <v>0.01</v>
      </c>
      <c r="E180" s="140">
        <v>4236</v>
      </c>
      <c r="F180" s="29" t="s">
        <v>27</v>
      </c>
      <c r="G180" s="140">
        <v>42.36</v>
      </c>
      <c r="H180" s="29" t="s">
        <v>15</v>
      </c>
      <c r="I180" s="140">
        <v>36.53</v>
      </c>
      <c r="J180" s="132" t="s">
        <v>16</v>
      </c>
      <c r="K180" s="132" t="s">
        <v>219</v>
      </c>
      <c r="L180" s="132" t="s">
        <v>21</v>
      </c>
      <c r="M180" s="132" t="s">
        <v>21</v>
      </c>
    </row>
    <row r="181" spans="1:13" x14ac:dyDescent="0.25">
      <c r="A181" s="29">
        <v>8</v>
      </c>
      <c r="B181" s="29" t="s">
        <v>58</v>
      </c>
      <c r="C181" s="138" t="s">
        <v>59</v>
      </c>
      <c r="D181" s="140">
        <v>0.02</v>
      </c>
      <c r="E181" s="140">
        <v>4204</v>
      </c>
      <c r="F181" s="29" t="s">
        <v>27</v>
      </c>
      <c r="G181" s="140">
        <v>84.08</v>
      </c>
      <c r="H181" s="29" t="s">
        <v>15</v>
      </c>
      <c r="I181" s="140">
        <v>36.25</v>
      </c>
      <c r="J181" s="132" t="s">
        <v>16</v>
      </c>
      <c r="K181" s="132" t="s">
        <v>220</v>
      </c>
      <c r="L181" s="132" t="s">
        <v>21</v>
      </c>
      <c r="M181" s="132" t="s">
        <v>21</v>
      </c>
    </row>
    <row r="182" spans="1:13" x14ac:dyDescent="0.25">
      <c r="A182" s="29">
        <v>9</v>
      </c>
      <c r="B182" s="29" t="s">
        <v>36</v>
      </c>
      <c r="C182" s="138" t="s">
        <v>63</v>
      </c>
      <c r="D182" s="140">
        <v>0.17</v>
      </c>
      <c r="E182" s="140">
        <v>1311</v>
      </c>
      <c r="F182" s="29" t="s">
        <v>41</v>
      </c>
      <c r="G182" s="140">
        <v>222.87</v>
      </c>
      <c r="H182" s="29" t="s">
        <v>15</v>
      </c>
      <c r="I182" s="140">
        <v>11.3</v>
      </c>
      <c r="J182" s="132" t="s">
        <v>16</v>
      </c>
      <c r="K182" s="132" t="s">
        <v>37</v>
      </c>
      <c r="L182" s="132" t="s">
        <v>21</v>
      </c>
      <c r="M182" s="132" t="s">
        <v>21</v>
      </c>
    </row>
    <row r="183" spans="1:13" x14ac:dyDescent="0.25">
      <c r="A183" s="135"/>
      <c r="B183" s="135" t="s">
        <v>64</v>
      </c>
      <c r="C183" s="135"/>
      <c r="D183" s="136"/>
      <c r="E183" s="137">
        <f>=SUM(E174:E182)</f>
      </c>
      <c r="F183" s="135"/>
      <c r="G183" s="137">
        <f>=SUM(G174:G182)</f>
      </c>
      <c r="H183" s="135"/>
      <c r="I183" s="135"/>
      <c r="J183" s="132"/>
      <c r="K183" s="132"/>
      <c r="L183" s="132"/>
      <c r="M183" s="132"/>
    </row>
    <row r="185" spans="1:9" x14ac:dyDescent="0.25">
      <c r="A185" s="3" t="s">
        <v>300</v>
      </c>
      <c r="B185" s="3" t="s">
        <v>222</v>
      </c>
      <c r="C185" s="3" t="s">
        <v>222</v>
      </c>
      <c r="D185" t="s">
        <v>222</v>
      </c>
      <c r="E185" s="3" t="s">
        <v>222</v>
      </c>
      <c r="F185" s="3" t="s">
        <v>222</v>
      </c>
      <c r="G185" s="3" t="s">
        <v>222</v>
      </c>
      <c r="I185" s="3" t="s">
        <v>21</v>
      </c>
    </row>
    <row r="187" spans="1:6" x14ac:dyDescent="0.25">
      <c r="A187" s="3" t="s">
        <v>223</v>
      </c>
      <c r="B187" s="3" t="s">
        <v>224</v>
      </c>
      <c r="C187" s="3" t="s">
        <v>225</v>
      </c>
      <c r="D187" t="s">
        <v>226</v>
      </c>
      <c r="E187" s="3" t="s">
        <v>70</v>
      </c>
      <c r="F187" s="3" t="s">
        <v>227</v>
      </c>
    </row>
    <row r="188" spans="1:13" x14ac:dyDescent="0.25">
      <c r="A188" s="29">
        <v>1</v>
      </c>
      <c r="B188" s="29" t="s">
        <v>301</v>
      </c>
      <c r="C188" s="138" t="s">
        <v>302</v>
      </c>
      <c r="D188" s="129">
        <v>4202</v>
      </c>
      <c r="E188" s="29"/>
      <c r="F188" s="139">
        <v>46093.625</v>
      </c>
      <c r="G188" s="29"/>
      <c r="H188" s="29"/>
      <c r="I188" s="29"/>
      <c r="J188" s="132"/>
      <c r="K188" s="132"/>
      <c r="L188" s="132"/>
      <c r="M188" s="132"/>
    </row>
    <row r="190" spans="1:9" x14ac:dyDescent="0.25">
      <c r="A190" s="134" t="s">
        <v>223</v>
      </c>
      <c r="B190" s="134" t="s">
        <v>231</v>
      </c>
      <c r="C190" s="134" t="s">
        <v>232</v>
      </c>
      <c r="D190" s="134" t="s">
        <v>4</v>
      </c>
      <c r="E190" s="134" t="s">
        <v>5</v>
      </c>
      <c r="F190" s="134" t="s">
        <v>6</v>
      </c>
      <c r="G190" s="134" t="s">
        <v>7</v>
      </c>
      <c r="H190" s="134" t="s">
        <v>8</v>
      </c>
      <c r="I190" s="134" t="s">
        <v>9</v>
      </c>
    </row>
    <row r="191" spans="1:13" x14ac:dyDescent="0.25">
      <c r="A191" s="29">
        <v>1</v>
      </c>
      <c r="B191" s="29" t="s">
        <v>30</v>
      </c>
      <c r="C191" s="138" t="s">
        <v>32</v>
      </c>
      <c r="D191" s="140">
        <v>0.06</v>
      </c>
      <c r="E191" s="140">
        <v>2755</v>
      </c>
      <c r="F191" s="29" t="s">
        <v>27</v>
      </c>
      <c r="G191" s="140">
        <v>165.29999999999998</v>
      </c>
      <c r="H191" s="29" t="s">
        <v>15</v>
      </c>
      <c r="I191" s="140">
        <v>23.76</v>
      </c>
      <c r="J191" s="132" t="s">
        <v>16</v>
      </c>
      <c r="K191" s="132" t="s">
        <v>212</v>
      </c>
      <c r="L191" s="132" t="s">
        <v>21</v>
      </c>
      <c r="M191" s="132" t="s">
        <v>21</v>
      </c>
    </row>
    <row r="192" spans="1:13" x14ac:dyDescent="0.25">
      <c r="A192" s="29">
        <v>2</v>
      </c>
      <c r="B192" s="29" t="s">
        <v>30</v>
      </c>
      <c r="C192" s="138" t="s">
        <v>33</v>
      </c>
      <c r="D192" s="140">
        <v>0.02</v>
      </c>
      <c r="E192" s="140">
        <v>4132</v>
      </c>
      <c r="F192" s="29" t="s">
        <v>27</v>
      </c>
      <c r="G192" s="140">
        <v>82.64</v>
      </c>
      <c r="H192" s="29" t="s">
        <v>15</v>
      </c>
      <c r="I192" s="140">
        <v>35.63</v>
      </c>
      <c r="J192" s="132" t="s">
        <v>16</v>
      </c>
      <c r="K192" s="132" t="s">
        <v>212</v>
      </c>
      <c r="L192" s="132" t="s">
        <v>21</v>
      </c>
      <c r="M192" s="132" t="s">
        <v>21</v>
      </c>
    </row>
    <row r="193" spans="1:13" x14ac:dyDescent="0.25">
      <c r="A193" s="29">
        <v>3</v>
      </c>
      <c r="B193" s="29" t="s">
        <v>45</v>
      </c>
      <c r="C193" s="138" t="s">
        <v>46</v>
      </c>
      <c r="D193" s="140">
        <v>4.96</v>
      </c>
      <c r="E193" s="140">
        <v>173</v>
      </c>
      <c r="F193" s="29" t="s">
        <v>24</v>
      </c>
      <c r="G193" s="140">
        <v>858.08</v>
      </c>
      <c r="H193" s="29" t="s">
        <v>15</v>
      </c>
      <c r="I193" s="140">
        <v>1.49</v>
      </c>
      <c r="J193" s="132" t="s">
        <v>16</v>
      </c>
      <c r="K193" s="132" t="s">
        <v>216</v>
      </c>
      <c r="L193" s="132" t="s">
        <v>21</v>
      </c>
      <c r="M193" s="132" t="s">
        <v>21</v>
      </c>
    </row>
    <row r="194" spans="1:13" x14ac:dyDescent="0.25">
      <c r="A194" s="29">
        <v>4</v>
      </c>
      <c r="B194" s="29" t="s">
        <v>25</v>
      </c>
      <c r="C194" s="138" t="s">
        <v>47</v>
      </c>
      <c r="D194" s="140">
        <v>0.03</v>
      </c>
      <c r="E194" s="140">
        <v>4234</v>
      </c>
      <c r="F194" s="29" t="s">
        <v>27</v>
      </c>
      <c r="G194" s="140">
        <v>127.02</v>
      </c>
      <c r="H194" s="29" t="s">
        <v>15</v>
      </c>
      <c r="I194" s="140">
        <v>36.51</v>
      </c>
      <c r="J194" s="132" t="s">
        <v>16</v>
      </c>
      <c r="K194" s="132" t="s">
        <v>211</v>
      </c>
      <c r="L194" s="132" t="s">
        <v>21</v>
      </c>
      <c r="M194" s="132" t="s">
        <v>21</v>
      </c>
    </row>
    <row r="195" spans="1:13" x14ac:dyDescent="0.25">
      <c r="A195" s="29">
        <v>5</v>
      </c>
      <c r="B195" s="29" t="s">
        <v>25</v>
      </c>
      <c r="C195" s="138" t="s">
        <v>48</v>
      </c>
      <c r="D195" s="140">
        <v>0.03</v>
      </c>
      <c r="E195" s="140">
        <v>4234</v>
      </c>
      <c r="F195" s="29" t="s">
        <v>27</v>
      </c>
      <c r="G195" s="140">
        <v>127.02</v>
      </c>
      <c r="H195" s="29" t="s">
        <v>15</v>
      </c>
      <c r="I195" s="140">
        <v>36.51</v>
      </c>
      <c r="J195" s="132" t="s">
        <v>16</v>
      </c>
      <c r="K195" s="132" t="s">
        <v>211</v>
      </c>
      <c r="L195" s="132" t="s">
        <v>21</v>
      </c>
      <c r="M195" s="132" t="s">
        <v>21</v>
      </c>
    </row>
    <row r="196" spans="1:13" x14ac:dyDescent="0.25">
      <c r="A196" s="29">
        <v>6</v>
      </c>
      <c r="B196" s="29" t="s">
        <v>49</v>
      </c>
      <c r="C196" s="138" t="s">
        <v>50</v>
      </c>
      <c r="D196" s="140">
        <v>0.08</v>
      </c>
      <c r="E196" s="140">
        <v>4237</v>
      </c>
      <c r="F196" s="29" t="s">
        <v>27</v>
      </c>
      <c r="G196" s="140">
        <v>338.96</v>
      </c>
      <c r="H196" s="29" t="s">
        <v>15</v>
      </c>
      <c r="I196" s="140">
        <v>36.54</v>
      </c>
      <c r="J196" s="132" t="s">
        <v>16</v>
      </c>
      <c r="K196" s="132" t="s">
        <v>217</v>
      </c>
      <c r="L196" s="132" t="s">
        <v>21</v>
      </c>
      <c r="M196" s="132" t="s">
        <v>21</v>
      </c>
    </row>
    <row r="197" spans="1:13" x14ac:dyDescent="0.25">
      <c r="A197" s="29">
        <v>7</v>
      </c>
      <c r="B197" s="29" t="s">
        <v>52</v>
      </c>
      <c r="C197" s="138" t="s">
        <v>53</v>
      </c>
      <c r="D197" s="140">
        <v>0.02</v>
      </c>
      <c r="E197" s="140">
        <v>5510</v>
      </c>
      <c r="F197" s="29" t="s">
        <v>44</v>
      </c>
      <c r="G197" s="140">
        <v>110.2</v>
      </c>
      <c r="H197" s="29" t="s">
        <v>15</v>
      </c>
      <c r="I197" s="140">
        <v>47.51</v>
      </c>
      <c r="J197" s="132" t="s">
        <v>16</v>
      </c>
      <c r="K197" s="132" t="s">
        <v>218</v>
      </c>
      <c r="L197" s="132" t="s">
        <v>21</v>
      </c>
      <c r="M197" s="132" t="s">
        <v>21</v>
      </c>
    </row>
    <row r="198" spans="1:13" x14ac:dyDescent="0.25">
      <c r="A198" s="29">
        <v>8</v>
      </c>
      <c r="B198" s="29" t="s">
        <v>52</v>
      </c>
      <c r="C198" s="138" t="s">
        <v>53</v>
      </c>
      <c r="D198" s="140">
        <v>0.03</v>
      </c>
      <c r="E198" s="140">
        <v>648</v>
      </c>
      <c r="F198" s="29" t="s">
        <v>44</v>
      </c>
      <c r="G198" s="140">
        <v>19.439999999999998</v>
      </c>
      <c r="H198" s="29" t="s">
        <v>15</v>
      </c>
      <c r="I198" s="140">
        <v>5.59</v>
      </c>
      <c r="J198" s="132" t="s">
        <v>16</v>
      </c>
      <c r="K198" s="132" t="s">
        <v>218</v>
      </c>
      <c r="L198" s="132" t="s">
        <v>21</v>
      </c>
      <c r="M198" s="132" t="s">
        <v>21</v>
      </c>
    </row>
    <row r="199" spans="1:13" x14ac:dyDescent="0.25">
      <c r="A199" s="29">
        <v>9</v>
      </c>
      <c r="B199" s="29" t="s">
        <v>25</v>
      </c>
      <c r="C199" s="138" t="s">
        <v>54</v>
      </c>
      <c r="D199" s="140">
        <v>0.01</v>
      </c>
      <c r="E199" s="140">
        <v>4237</v>
      </c>
      <c r="F199" s="29" t="s">
        <v>27</v>
      </c>
      <c r="G199" s="140">
        <v>42.37</v>
      </c>
      <c r="H199" s="29" t="s">
        <v>15</v>
      </c>
      <c r="I199" s="140">
        <v>36.54</v>
      </c>
      <c r="J199" s="132" t="s">
        <v>16</v>
      </c>
      <c r="K199" s="132" t="s">
        <v>219</v>
      </c>
      <c r="L199" s="132" t="s">
        <v>21</v>
      </c>
      <c r="M199" s="132" t="s">
        <v>21</v>
      </c>
    </row>
    <row r="200" spans="1:13" x14ac:dyDescent="0.25">
      <c r="A200" s="29">
        <v>10</v>
      </c>
      <c r="B200" s="29" t="s">
        <v>30</v>
      </c>
      <c r="C200" s="138" t="s">
        <v>56</v>
      </c>
      <c r="D200" s="140">
        <v>0.04</v>
      </c>
      <c r="E200" s="140">
        <v>1378</v>
      </c>
      <c r="F200" s="29" t="s">
        <v>27</v>
      </c>
      <c r="G200" s="140">
        <v>55.120000000000005</v>
      </c>
      <c r="H200" s="29" t="s">
        <v>15</v>
      </c>
      <c r="I200" s="140">
        <v>11.88</v>
      </c>
      <c r="J200" s="132" t="s">
        <v>16</v>
      </c>
      <c r="K200" s="132" t="s">
        <v>212</v>
      </c>
      <c r="L200" s="132" t="s">
        <v>21</v>
      </c>
      <c r="M200" s="132" t="s">
        <v>21</v>
      </c>
    </row>
    <row r="201" spans="1:13" x14ac:dyDescent="0.25">
      <c r="A201" s="29">
        <v>11</v>
      </c>
      <c r="B201" s="29" t="s">
        <v>58</v>
      </c>
      <c r="C201" s="138" t="s">
        <v>59</v>
      </c>
      <c r="D201" s="140">
        <v>0.02</v>
      </c>
      <c r="E201" s="140">
        <v>4202</v>
      </c>
      <c r="F201" s="29" t="s">
        <v>27</v>
      </c>
      <c r="G201" s="140">
        <v>84.04</v>
      </c>
      <c r="H201" s="29" t="s">
        <v>15</v>
      </c>
      <c r="I201" s="140">
        <v>36.23</v>
      </c>
      <c r="J201" s="132" t="s">
        <v>16</v>
      </c>
      <c r="K201" s="132" t="s">
        <v>220</v>
      </c>
      <c r="L201" s="132" t="s">
        <v>21</v>
      </c>
      <c r="M201" s="132" t="s">
        <v>21</v>
      </c>
    </row>
    <row r="202" spans="1:13" x14ac:dyDescent="0.25">
      <c r="A202" s="135"/>
      <c r="B202" s="135" t="s">
        <v>64</v>
      </c>
      <c r="C202" s="135"/>
      <c r="D202" s="136"/>
      <c r="E202" s="137">
        <f>=SUM(E191:E201)</f>
      </c>
      <c r="F202" s="135"/>
      <c r="G202" s="137">
        <f>=SUM(G191:G201)</f>
      </c>
      <c r="H202" s="135"/>
      <c r="I202" s="135"/>
      <c r="J202" s="132"/>
      <c r="K202" s="132"/>
      <c r="L202" s="132"/>
      <c r="M202" s="132"/>
    </row>
    <row r="204" spans="1:9" x14ac:dyDescent="0.25">
      <c r="A204" s="3" t="s">
        <v>303</v>
      </c>
      <c r="B204" s="3" t="s">
        <v>222</v>
      </c>
      <c r="C204" s="3" t="s">
        <v>222</v>
      </c>
      <c r="D204" t="s">
        <v>222</v>
      </c>
      <c r="E204" s="3" t="s">
        <v>222</v>
      </c>
      <c r="F204" s="3" t="s">
        <v>222</v>
      </c>
      <c r="G204" s="3" t="s">
        <v>222</v>
      </c>
      <c r="I204" s="3" t="s">
        <v>21</v>
      </c>
    </row>
    <row r="206" spans="1:6" x14ac:dyDescent="0.25">
      <c r="A206" s="3" t="s">
        <v>223</v>
      </c>
      <c r="B206" s="3" t="s">
        <v>224</v>
      </c>
      <c r="C206" s="3" t="s">
        <v>225</v>
      </c>
      <c r="D206" t="s">
        <v>226</v>
      </c>
      <c r="E206" s="3" t="s">
        <v>70</v>
      </c>
      <c r="F206" s="3" t="s">
        <v>227</v>
      </c>
    </row>
    <row r="207" spans="1:13" x14ac:dyDescent="0.25">
      <c r="A207" s="29">
        <v>1</v>
      </c>
      <c r="B207" s="29" t="s">
        <v>304</v>
      </c>
      <c r="C207" s="138" t="s">
        <v>305</v>
      </c>
      <c r="D207" s="129">
        <v>2103</v>
      </c>
      <c r="E207" s="29"/>
      <c r="F207" s="139">
        <v>46093.625</v>
      </c>
      <c r="G207" s="29"/>
      <c r="H207" s="29"/>
      <c r="I207" s="29"/>
      <c r="J207" s="132"/>
      <c r="K207" s="132"/>
      <c r="L207" s="132"/>
      <c r="M207" s="132"/>
    </row>
    <row r="209" spans="1:9" x14ac:dyDescent="0.25">
      <c r="A209" s="134" t="s">
        <v>223</v>
      </c>
      <c r="B209" s="134" t="s">
        <v>231</v>
      </c>
      <c r="C209" s="134" t="s">
        <v>232</v>
      </c>
      <c r="D209" s="134" t="s">
        <v>4</v>
      </c>
      <c r="E209" s="134" t="s">
        <v>5</v>
      </c>
      <c r="F209" s="134" t="s">
        <v>6</v>
      </c>
      <c r="G209" s="134" t="s">
        <v>7</v>
      </c>
      <c r="H209" s="134" t="s">
        <v>8</v>
      </c>
      <c r="I209" s="134" t="s">
        <v>9</v>
      </c>
    </row>
    <row r="210" spans="1:13" x14ac:dyDescent="0.25">
      <c r="A210" s="29">
        <v>1</v>
      </c>
      <c r="B210" s="29" t="s">
        <v>306</v>
      </c>
      <c r="C210" s="138" t="s">
        <v>13</v>
      </c>
      <c r="D210" s="140">
        <v>0.91</v>
      </c>
      <c r="E210" s="140">
        <v>125</v>
      </c>
      <c r="F210" s="29" t="s">
        <v>14</v>
      </c>
      <c r="G210" s="140">
        <v>113.75</v>
      </c>
      <c r="H210" s="29" t="s">
        <v>15</v>
      </c>
      <c r="I210" s="140">
        <v>1.08</v>
      </c>
      <c r="J210" s="132" t="s">
        <v>16</v>
      </c>
      <c r="K210" s="132" t="s">
        <v>307</v>
      </c>
      <c r="L210" s="132" t="s">
        <v>21</v>
      </c>
      <c r="M210" s="132" t="s">
        <v>18</v>
      </c>
    </row>
    <row r="211" spans="1:13" x14ac:dyDescent="0.25">
      <c r="A211" s="29">
        <v>2</v>
      </c>
      <c r="B211" s="29" t="s">
        <v>30</v>
      </c>
      <c r="C211" s="138" t="s">
        <v>32</v>
      </c>
      <c r="D211" s="140">
        <v>0.06</v>
      </c>
      <c r="E211" s="140">
        <v>1910</v>
      </c>
      <c r="F211" s="29" t="s">
        <v>27</v>
      </c>
      <c r="G211" s="140">
        <v>114.6</v>
      </c>
      <c r="H211" s="29" t="s">
        <v>15</v>
      </c>
      <c r="I211" s="140">
        <v>16.47</v>
      </c>
      <c r="J211" s="132" t="s">
        <v>16</v>
      </c>
      <c r="K211" s="132" t="s">
        <v>212</v>
      </c>
      <c r="L211" s="132" t="s">
        <v>21</v>
      </c>
      <c r="M211" s="132" t="s">
        <v>21</v>
      </c>
    </row>
    <row r="212" spans="1:13" x14ac:dyDescent="0.25">
      <c r="A212" s="29">
        <v>3</v>
      </c>
      <c r="B212" s="29" t="s">
        <v>30</v>
      </c>
      <c r="C212" s="138" t="s">
        <v>33</v>
      </c>
      <c r="D212" s="140">
        <v>0.02</v>
      </c>
      <c r="E212" s="140">
        <v>2864</v>
      </c>
      <c r="F212" s="29" t="s">
        <v>27</v>
      </c>
      <c r="G212" s="140">
        <v>57.28</v>
      </c>
      <c r="H212" s="29" t="s">
        <v>15</v>
      </c>
      <c r="I212" s="140">
        <v>24.7</v>
      </c>
      <c r="J212" s="132" t="s">
        <v>16</v>
      </c>
      <c r="K212" s="132" t="s">
        <v>212</v>
      </c>
      <c r="L212" s="132" t="s">
        <v>21</v>
      </c>
      <c r="M212" s="132" t="s">
        <v>21</v>
      </c>
    </row>
    <row r="213" spans="1:13" x14ac:dyDescent="0.25">
      <c r="A213" s="29">
        <v>4</v>
      </c>
      <c r="B213" s="29" t="s">
        <v>45</v>
      </c>
      <c r="C213" s="138" t="s">
        <v>46</v>
      </c>
      <c r="D213" s="140">
        <v>4.96</v>
      </c>
      <c r="E213" s="140">
        <v>547</v>
      </c>
      <c r="F213" s="29" t="s">
        <v>24</v>
      </c>
      <c r="G213" s="140">
        <v>2713.12</v>
      </c>
      <c r="H213" s="29" t="s">
        <v>15</v>
      </c>
      <c r="I213" s="140">
        <v>4.72</v>
      </c>
      <c r="J213" s="132" t="s">
        <v>16</v>
      </c>
      <c r="K213" s="132" t="s">
        <v>216</v>
      </c>
      <c r="L213" s="132" t="s">
        <v>21</v>
      </c>
      <c r="M213" s="132" t="s">
        <v>21</v>
      </c>
    </row>
    <row r="214" spans="1:13" x14ac:dyDescent="0.25">
      <c r="A214" s="29">
        <v>5</v>
      </c>
      <c r="B214" s="29" t="s">
        <v>25</v>
      </c>
      <c r="C214" s="138" t="s">
        <v>47</v>
      </c>
      <c r="D214" s="140">
        <v>0.03</v>
      </c>
      <c r="E214" s="140">
        <v>2121</v>
      </c>
      <c r="F214" s="29" t="s">
        <v>27</v>
      </c>
      <c r="G214" s="140">
        <v>63.629999999999995</v>
      </c>
      <c r="H214" s="29" t="s">
        <v>15</v>
      </c>
      <c r="I214" s="140">
        <v>18.29</v>
      </c>
      <c r="J214" s="132" t="s">
        <v>16</v>
      </c>
      <c r="K214" s="132" t="s">
        <v>211</v>
      </c>
      <c r="L214" s="132" t="s">
        <v>21</v>
      </c>
      <c r="M214" s="132" t="s">
        <v>21</v>
      </c>
    </row>
    <row r="215" spans="1:13" x14ac:dyDescent="0.25">
      <c r="A215" s="29">
        <v>6</v>
      </c>
      <c r="B215" s="29" t="s">
        <v>25</v>
      </c>
      <c r="C215" s="138" t="s">
        <v>48</v>
      </c>
      <c r="D215" s="140">
        <v>0.03</v>
      </c>
      <c r="E215" s="140">
        <v>2121</v>
      </c>
      <c r="F215" s="29" t="s">
        <v>27</v>
      </c>
      <c r="G215" s="140">
        <v>63.629999999999995</v>
      </c>
      <c r="H215" s="29" t="s">
        <v>15</v>
      </c>
      <c r="I215" s="140">
        <v>18.29</v>
      </c>
      <c r="J215" s="132" t="s">
        <v>16</v>
      </c>
      <c r="K215" s="132" t="s">
        <v>211</v>
      </c>
      <c r="L215" s="132" t="s">
        <v>21</v>
      </c>
      <c r="M215" s="132" t="s">
        <v>21</v>
      </c>
    </row>
    <row r="216" spans="1:13" x14ac:dyDescent="0.25">
      <c r="A216" s="29">
        <v>7</v>
      </c>
      <c r="B216" s="29" t="s">
        <v>49</v>
      </c>
      <c r="C216" s="138" t="s">
        <v>50</v>
      </c>
      <c r="D216" s="140">
        <v>0.08</v>
      </c>
      <c r="E216" s="140">
        <v>2123</v>
      </c>
      <c r="F216" s="29" t="s">
        <v>27</v>
      </c>
      <c r="G216" s="140">
        <v>169.84</v>
      </c>
      <c r="H216" s="29" t="s">
        <v>15</v>
      </c>
      <c r="I216" s="140">
        <v>18.31</v>
      </c>
      <c r="J216" s="132" t="s">
        <v>16</v>
      </c>
      <c r="K216" s="132" t="s">
        <v>217</v>
      </c>
      <c r="L216" s="132" t="s">
        <v>21</v>
      </c>
      <c r="M216" s="132" t="s">
        <v>21</v>
      </c>
    </row>
    <row r="217" spans="1:13" x14ac:dyDescent="0.25">
      <c r="A217" s="29">
        <v>8</v>
      </c>
      <c r="B217" s="29" t="s">
        <v>52</v>
      </c>
      <c r="C217" s="138" t="s">
        <v>53</v>
      </c>
      <c r="D217" s="140">
        <v>0.03</v>
      </c>
      <c r="E217" s="140">
        <v>955</v>
      </c>
      <c r="F217" s="29" t="s">
        <v>44</v>
      </c>
      <c r="G217" s="140">
        <v>28.65</v>
      </c>
      <c r="H217" s="29" t="s">
        <v>15</v>
      </c>
      <c r="I217" s="140">
        <v>8.24</v>
      </c>
      <c r="J217" s="132" t="s">
        <v>16</v>
      </c>
      <c r="K217" s="132" t="s">
        <v>218</v>
      </c>
      <c r="L217" s="132" t="s">
        <v>21</v>
      </c>
      <c r="M217" s="132" t="s">
        <v>21</v>
      </c>
    </row>
    <row r="218" spans="1:13" x14ac:dyDescent="0.25">
      <c r="A218" s="29">
        <v>9</v>
      </c>
      <c r="B218" s="29" t="s">
        <v>52</v>
      </c>
      <c r="C218" s="138" t="s">
        <v>53</v>
      </c>
      <c r="D218" s="140">
        <v>0.02</v>
      </c>
      <c r="E218" s="140">
        <v>3819</v>
      </c>
      <c r="F218" s="29" t="s">
        <v>44</v>
      </c>
      <c r="G218" s="140">
        <v>76.38</v>
      </c>
      <c r="H218" s="29" t="s">
        <v>15</v>
      </c>
      <c r="I218" s="140">
        <v>32.93</v>
      </c>
      <c r="J218" s="132" t="s">
        <v>16</v>
      </c>
      <c r="K218" s="132" t="s">
        <v>218</v>
      </c>
      <c r="L218" s="132" t="s">
        <v>21</v>
      </c>
      <c r="M218" s="132" t="s">
        <v>21</v>
      </c>
    </row>
    <row r="219" spans="1:13" x14ac:dyDescent="0.25">
      <c r="A219" s="29">
        <v>10</v>
      </c>
      <c r="B219" s="29" t="s">
        <v>25</v>
      </c>
      <c r="C219" s="138" t="s">
        <v>54</v>
      </c>
      <c r="D219" s="140">
        <v>0.01</v>
      </c>
      <c r="E219" s="140">
        <v>2123</v>
      </c>
      <c r="F219" s="29" t="s">
        <v>27</v>
      </c>
      <c r="G219" s="140">
        <v>21.23</v>
      </c>
      <c r="H219" s="29" t="s">
        <v>15</v>
      </c>
      <c r="I219" s="140">
        <v>18.31</v>
      </c>
      <c r="J219" s="132" t="s">
        <v>16</v>
      </c>
      <c r="K219" s="132" t="s">
        <v>219</v>
      </c>
      <c r="L219" s="132" t="s">
        <v>21</v>
      </c>
      <c r="M219" s="132" t="s">
        <v>21</v>
      </c>
    </row>
    <row r="220" spans="1:13" x14ac:dyDescent="0.25">
      <c r="A220" s="29">
        <v>11</v>
      </c>
      <c r="B220" s="29" t="s">
        <v>30</v>
      </c>
      <c r="C220" s="138" t="s">
        <v>56</v>
      </c>
      <c r="D220" s="140">
        <v>0.04</v>
      </c>
      <c r="E220" s="140">
        <v>955</v>
      </c>
      <c r="F220" s="29" t="s">
        <v>27</v>
      </c>
      <c r="G220" s="140">
        <v>38.2</v>
      </c>
      <c r="H220" s="29" t="s">
        <v>15</v>
      </c>
      <c r="I220" s="140">
        <v>8.24</v>
      </c>
      <c r="J220" s="132" t="s">
        <v>16</v>
      </c>
      <c r="K220" s="132" t="s">
        <v>212</v>
      </c>
      <c r="L220" s="132" t="s">
        <v>21</v>
      </c>
      <c r="M220" s="132" t="s">
        <v>21</v>
      </c>
    </row>
    <row r="221" spans="1:13" x14ac:dyDescent="0.25">
      <c r="A221" s="29">
        <v>12</v>
      </c>
      <c r="B221" s="29" t="s">
        <v>58</v>
      </c>
      <c r="C221" s="138" t="s">
        <v>59</v>
      </c>
      <c r="D221" s="140">
        <v>0.02</v>
      </c>
      <c r="E221" s="140">
        <v>2103</v>
      </c>
      <c r="F221" s="29" t="s">
        <v>27</v>
      </c>
      <c r="G221" s="140">
        <v>42.06</v>
      </c>
      <c r="H221" s="29" t="s">
        <v>15</v>
      </c>
      <c r="I221" s="140">
        <v>18.13</v>
      </c>
      <c r="J221" s="132" t="s">
        <v>16</v>
      </c>
      <c r="K221" s="132" t="s">
        <v>220</v>
      </c>
      <c r="L221" s="132" t="s">
        <v>21</v>
      </c>
      <c r="M221" s="132" t="s">
        <v>21</v>
      </c>
    </row>
    <row r="222" spans="1:13" x14ac:dyDescent="0.25">
      <c r="A222" s="135"/>
      <c r="B222" s="135" t="s">
        <v>64</v>
      </c>
      <c r="C222" s="135"/>
      <c r="D222" s="136"/>
      <c r="E222" s="137">
        <f>=SUM(E210:E221)</f>
      </c>
      <c r="F222" s="135"/>
      <c r="G222" s="137">
        <f>=SUM(G210:G221)</f>
      </c>
      <c r="H222" s="135"/>
      <c r="I222" s="135"/>
      <c r="J222" s="132"/>
      <c r="K222" s="132"/>
      <c r="L222" s="132"/>
      <c r="M222" s="132"/>
    </row>
    <row r="224" spans="1:9" x14ac:dyDescent="0.25">
      <c r="A224" s="3" t="s">
        <v>308</v>
      </c>
      <c r="B224" s="3" t="s">
        <v>222</v>
      </c>
      <c r="C224" s="3" t="s">
        <v>222</v>
      </c>
      <c r="D224" t="s">
        <v>222</v>
      </c>
      <c r="E224" s="3" t="s">
        <v>222</v>
      </c>
      <c r="F224" s="3" t="s">
        <v>222</v>
      </c>
      <c r="G224" s="3" t="s">
        <v>222</v>
      </c>
      <c r="I224" s="3" t="s">
        <v>21</v>
      </c>
    </row>
    <row r="226" spans="1:6" x14ac:dyDescent="0.25">
      <c r="A226" s="3" t="s">
        <v>223</v>
      </c>
      <c r="B226" s="3" t="s">
        <v>224</v>
      </c>
      <c r="C226" s="3" t="s">
        <v>225</v>
      </c>
      <c r="D226" t="s">
        <v>226</v>
      </c>
      <c r="E226" s="3" t="s">
        <v>70</v>
      </c>
      <c r="F226" s="3" t="s">
        <v>227</v>
      </c>
    </row>
    <row r="227" spans="1:13" x14ac:dyDescent="0.25">
      <c r="A227" s="29">
        <v>1</v>
      </c>
      <c r="B227" s="29" t="s">
        <v>309</v>
      </c>
      <c r="C227" s="138" t="s">
        <v>310</v>
      </c>
      <c r="D227" s="129">
        <v>1052</v>
      </c>
      <c r="E227" s="29"/>
      <c r="F227" s="139">
        <v>46093.625</v>
      </c>
      <c r="G227" s="29"/>
      <c r="H227" s="29"/>
      <c r="I227" s="29"/>
      <c r="J227" s="132"/>
      <c r="K227" s="132"/>
      <c r="L227" s="132"/>
      <c r="M227" s="132"/>
    </row>
    <row r="229" spans="1:9" x14ac:dyDescent="0.25">
      <c r="A229" s="134" t="s">
        <v>223</v>
      </c>
      <c r="B229" s="134" t="s">
        <v>231</v>
      </c>
      <c r="C229" s="134" t="s">
        <v>232</v>
      </c>
      <c r="D229" s="134" t="s">
        <v>4</v>
      </c>
      <c r="E229" s="134" t="s">
        <v>5</v>
      </c>
      <c r="F229" s="134" t="s">
        <v>6</v>
      </c>
      <c r="G229" s="134" t="s">
        <v>7</v>
      </c>
      <c r="H229" s="134" t="s">
        <v>8</v>
      </c>
      <c r="I229" s="134" t="s">
        <v>9</v>
      </c>
    </row>
    <row r="230" spans="1:13" x14ac:dyDescent="0.25">
      <c r="A230" s="29">
        <v>1</v>
      </c>
      <c r="B230" s="29" t="s">
        <v>30</v>
      </c>
      <c r="C230" s="138" t="s">
        <v>31</v>
      </c>
      <c r="D230" s="140">
        <v>0.04</v>
      </c>
      <c r="E230" s="140">
        <v>2123</v>
      </c>
      <c r="F230" s="29" t="s">
        <v>27</v>
      </c>
      <c r="G230" s="140">
        <v>84.92</v>
      </c>
      <c r="H230" s="29" t="s">
        <v>15</v>
      </c>
      <c r="I230" s="140">
        <v>18.31</v>
      </c>
      <c r="J230" s="132" t="s">
        <v>16</v>
      </c>
      <c r="K230" s="132" t="s">
        <v>212</v>
      </c>
      <c r="L230" s="132" t="s">
        <v>21</v>
      </c>
      <c r="M230" s="132" t="s">
        <v>21</v>
      </c>
    </row>
    <row r="231" spans="1:13" x14ac:dyDescent="0.25">
      <c r="A231" s="29">
        <v>2</v>
      </c>
      <c r="B231" s="29" t="s">
        <v>30</v>
      </c>
      <c r="C231" s="138" t="s">
        <v>33</v>
      </c>
      <c r="D231" s="140">
        <v>0.01</v>
      </c>
      <c r="E231" s="140">
        <v>2123</v>
      </c>
      <c r="F231" s="29" t="s">
        <v>27</v>
      </c>
      <c r="G231" s="140">
        <v>21.23</v>
      </c>
      <c r="H231" s="29" t="s">
        <v>15</v>
      </c>
      <c r="I231" s="140">
        <v>18.31</v>
      </c>
      <c r="J231" s="132" t="s">
        <v>16</v>
      </c>
      <c r="K231" s="132" t="s">
        <v>212</v>
      </c>
      <c r="L231" s="132" t="s">
        <v>21</v>
      </c>
      <c r="M231" s="132" t="s">
        <v>21</v>
      </c>
    </row>
    <row r="232" spans="1:13" x14ac:dyDescent="0.25">
      <c r="A232" s="29">
        <v>3</v>
      </c>
      <c r="B232" s="29" t="s">
        <v>38</v>
      </c>
      <c r="C232" s="138" t="s">
        <v>39</v>
      </c>
      <c r="D232" s="140">
        <v>0.08</v>
      </c>
      <c r="E232" s="140">
        <v>2431</v>
      </c>
      <c r="F232" s="29" t="s">
        <v>41</v>
      </c>
      <c r="G232" s="140">
        <v>194.48000000000002</v>
      </c>
      <c r="H232" s="29" t="s">
        <v>15</v>
      </c>
      <c r="I232" s="140">
        <v>20.96</v>
      </c>
      <c r="J232" s="132" t="s">
        <v>16</v>
      </c>
      <c r="K232" s="132" t="s">
        <v>214</v>
      </c>
      <c r="L232" s="132" t="s">
        <v>21</v>
      </c>
      <c r="M232" s="132" t="s">
        <v>21</v>
      </c>
    </row>
    <row r="233" spans="1:13" x14ac:dyDescent="0.25">
      <c r="A233" s="29">
        <v>4</v>
      </c>
      <c r="B233" s="29" t="s">
        <v>38</v>
      </c>
      <c r="C233" s="138" t="s">
        <v>40</v>
      </c>
      <c r="D233" s="140">
        <v>0.13</v>
      </c>
      <c r="E233" s="140">
        <v>94</v>
      </c>
      <c r="F233" s="29" t="s">
        <v>41</v>
      </c>
      <c r="G233" s="140">
        <v>12.22</v>
      </c>
      <c r="H233" s="29" t="s">
        <v>15</v>
      </c>
      <c r="I233" s="140">
        <v>0.81</v>
      </c>
      <c r="J233" s="132" t="s">
        <v>16</v>
      </c>
      <c r="K233" s="132" t="s">
        <v>214</v>
      </c>
      <c r="L233" s="132" t="s">
        <v>21</v>
      </c>
      <c r="M233" s="132" t="s">
        <v>21</v>
      </c>
    </row>
    <row r="234" spans="1:13" x14ac:dyDescent="0.25">
      <c r="A234" s="29">
        <v>5</v>
      </c>
      <c r="B234" s="29" t="s">
        <v>25</v>
      </c>
      <c r="C234" s="138" t="s">
        <v>47</v>
      </c>
      <c r="D234" s="140">
        <v>0.03</v>
      </c>
      <c r="E234" s="140">
        <v>1062</v>
      </c>
      <c r="F234" s="29" t="s">
        <v>27</v>
      </c>
      <c r="G234" s="140">
        <v>31.86</v>
      </c>
      <c r="H234" s="29" t="s">
        <v>15</v>
      </c>
      <c r="I234" s="140">
        <v>9.16</v>
      </c>
      <c r="J234" s="132" t="s">
        <v>16</v>
      </c>
      <c r="K234" s="132" t="s">
        <v>211</v>
      </c>
      <c r="L234" s="132" t="s">
        <v>21</v>
      </c>
      <c r="M234" s="132" t="s">
        <v>21</v>
      </c>
    </row>
    <row r="235" spans="1:13" x14ac:dyDescent="0.25">
      <c r="A235" s="29">
        <v>6</v>
      </c>
      <c r="B235" s="29" t="s">
        <v>25</v>
      </c>
      <c r="C235" s="138" t="s">
        <v>48</v>
      </c>
      <c r="D235" s="140">
        <v>0.03</v>
      </c>
      <c r="E235" s="140">
        <v>1062</v>
      </c>
      <c r="F235" s="29" t="s">
        <v>27</v>
      </c>
      <c r="G235" s="140">
        <v>31.86</v>
      </c>
      <c r="H235" s="29" t="s">
        <v>15</v>
      </c>
      <c r="I235" s="140">
        <v>9.16</v>
      </c>
      <c r="J235" s="132" t="s">
        <v>16</v>
      </c>
      <c r="K235" s="132" t="s">
        <v>211</v>
      </c>
      <c r="L235" s="132" t="s">
        <v>21</v>
      </c>
      <c r="M235" s="132" t="s">
        <v>21</v>
      </c>
    </row>
    <row r="236" spans="1:13" x14ac:dyDescent="0.25">
      <c r="A236" s="29">
        <v>7</v>
      </c>
      <c r="B236" s="29" t="s">
        <v>49</v>
      </c>
      <c r="C236" s="138" t="s">
        <v>50</v>
      </c>
      <c r="D236" s="140">
        <v>0.08</v>
      </c>
      <c r="E236" s="140">
        <v>1063</v>
      </c>
      <c r="F236" s="29" t="s">
        <v>27</v>
      </c>
      <c r="G236" s="140">
        <v>85.04</v>
      </c>
      <c r="H236" s="29" t="s">
        <v>15</v>
      </c>
      <c r="I236" s="140">
        <v>9.17</v>
      </c>
      <c r="J236" s="132" t="s">
        <v>16</v>
      </c>
      <c r="K236" s="132" t="s">
        <v>217</v>
      </c>
      <c r="L236" s="132" t="s">
        <v>21</v>
      </c>
      <c r="M236" s="132" t="s">
        <v>21</v>
      </c>
    </row>
    <row r="237" spans="1:13" x14ac:dyDescent="0.25">
      <c r="A237" s="29">
        <v>8</v>
      </c>
      <c r="B237" s="29" t="s">
        <v>25</v>
      </c>
      <c r="C237" s="138" t="s">
        <v>54</v>
      </c>
      <c r="D237" s="140">
        <v>0.01</v>
      </c>
      <c r="E237" s="140">
        <v>1063</v>
      </c>
      <c r="F237" s="29" t="s">
        <v>27</v>
      </c>
      <c r="G237" s="140">
        <v>10.63</v>
      </c>
      <c r="H237" s="29" t="s">
        <v>15</v>
      </c>
      <c r="I237" s="140">
        <v>9.17</v>
      </c>
      <c r="J237" s="132" t="s">
        <v>16</v>
      </c>
      <c r="K237" s="132" t="s">
        <v>219</v>
      </c>
      <c r="L237" s="132" t="s">
        <v>21</v>
      </c>
      <c r="M237" s="132" t="s">
        <v>21</v>
      </c>
    </row>
    <row r="238" spans="1:13" x14ac:dyDescent="0.25">
      <c r="A238" s="29">
        <v>9</v>
      </c>
      <c r="B238" s="29" t="s">
        <v>30</v>
      </c>
      <c r="C238" s="138" t="s">
        <v>56</v>
      </c>
      <c r="D238" s="140">
        <v>0.04</v>
      </c>
      <c r="E238" s="140">
        <v>2123</v>
      </c>
      <c r="F238" s="29" t="s">
        <v>27</v>
      </c>
      <c r="G238" s="140">
        <v>84.92</v>
      </c>
      <c r="H238" s="29" t="s">
        <v>15</v>
      </c>
      <c r="I238" s="140">
        <v>18.31</v>
      </c>
      <c r="J238" s="132" t="s">
        <v>16</v>
      </c>
      <c r="K238" s="132" t="s">
        <v>212</v>
      </c>
      <c r="L238" s="132" t="s">
        <v>21</v>
      </c>
      <c r="M238" s="132" t="s">
        <v>21</v>
      </c>
    </row>
    <row r="239" spans="1:13" x14ac:dyDescent="0.25">
      <c r="A239" s="29">
        <v>10</v>
      </c>
      <c r="B239" s="29" t="s">
        <v>58</v>
      </c>
      <c r="C239" s="138" t="s">
        <v>59</v>
      </c>
      <c r="D239" s="140">
        <v>0.02</v>
      </c>
      <c r="E239" s="140">
        <v>1052</v>
      </c>
      <c r="F239" s="29" t="s">
        <v>27</v>
      </c>
      <c r="G239" s="140">
        <v>21.04</v>
      </c>
      <c r="H239" s="29" t="s">
        <v>15</v>
      </c>
      <c r="I239" s="140">
        <v>9.07</v>
      </c>
      <c r="J239" s="132" t="s">
        <v>16</v>
      </c>
      <c r="K239" s="132" t="s">
        <v>220</v>
      </c>
      <c r="L239" s="132" t="s">
        <v>21</v>
      </c>
      <c r="M239" s="132" t="s">
        <v>21</v>
      </c>
    </row>
    <row r="240" spans="1:13" x14ac:dyDescent="0.25">
      <c r="A240" s="29">
        <v>11</v>
      </c>
      <c r="B240" s="29" t="s">
        <v>60</v>
      </c>
      <c r="C240" s="138" t="s">
        <v>61</v>
      </c>
      <c r="D240" s="140">
        <v>0.05</v>
      </c>
      <c r="E240" s="140">
        <v>6369</v>
      </c>
      <c r="F240" s="29" t="s">
        <v>27</v>
      </c>
      <c r="G240" s="140">
        <v>318.45000000000005</v>
      </c>
      <c r="H240" s="29" t="s">
        <v>15</v>
      </c>
      <c r="I240" s="140">
        <v>54.92</v>
      </c>
      <c r="J240" s="132" t="s">
        <v>16</v>
      </c>
      <c r="K240" s="132" t="s">
        <v>221</v>
      </c>
      <c r="L240" s="132" t="s">
        <v>21</v>
      </c>
      <c r="M240" s="132" t="s">
        <v>21</v>
      </c>
    </row>
    <row r="241" spans="1:13" x14ac:dyDescent="0.25">
      <c r="A241" s="29">
        <v>12</v>
      </c>
      <c r="B241" s="29" t="s">
        <v>60</v>
      </c>
      <c r="C241" s="138" t="s">
        <v>61</v>
      </c>
      <c r="D241" s="140">
        <v>0.05</v>
      </c>
      <c r="E241" s="140">
        <v>2123</v>
      </c>
      <c r="F241" s="29" t="s">
        <v>27</v>
      </c>
      <c r="G241" s="140">
        <v>106.15</v>
      </c>
      <c r="H241" s="29" t="s">
        <v>15</v>
      </c>
      <c r="I241" s="140">
        <v>18.31</v>
      </c>
      <c r="J241" s="132" t="s">
        <v>16</v>
      </c>
      <c r="K241" s="132" t="s">
        <v>221</v>
      </c>
      <c r="L241" s="132" t="s">
        <v>21</v>
      </c>
      <c r="M241" s="132" t="s">
        <v>21</v>
      </c>
    </row>
    <row r="242" spans="1:13" x14ac:dyDescent="0.25">
      <c r="A242" s="29">
        <v>13</v>
      </c>
      <c r="B242" s="29" t="s">
        <v>60</v>
      </c>
      <c r="C242" s="138" t="s">
        <v>62</v>
      </c>
      <c r="D242" s="140">
        <v>0.05</v>
      </c>
      <c r="E242" s="140">
        <v>6369</v>
      </c>
      <c r="F242" s="29" t="s">
        <v>27</v>
      </c>
      <c r="G242" s="140">
        <v>318.45000000000005</v>
      </c>
      <c r="H242" s="29" t="s">
        <v>15</v>
      </c>
      <c r="I242" s="140">
        <v>54.92</v>
      </c>
      <c r="J242" s="132" t="s">
        <v>16</v>
      </c>
      <c r="K242" s="132" t="s">
        <v>221</v>
      </c>
      <c r="L242" s="132" t="s">
        <v>21</v>
      </c>
      <c r="M242" s="132" t="s">
        <v>21</v>
      </c>
    </row>
    <row r="243" spans="1:13" x14ac:dyDescent="0.25">
      <c r="A243" s="29">
        <v>14</v>
      </c>
      <c r="B243" s="29" t="s">
        <v>60</v>
      </c>
      <c r="C243" s="138" t="s">
        <v>62</v>
      </c>
      <c r="D243" s="140">
        <v>0.1</v>
      </c>
      <c r="E243" s="140">
        <v>2123</v>
      </c>
      <c r="F243" s="29" t="s">
        <v>27</v>
      </c>
      <c r="G243" s="140">
        <v>212.3</v>
      </c>
      <c r="H243" s="29" t="s">
        <v>15</v>
      </c>
      <c r="I243" s="140">
        <v>18.31</v>
      </c>
      <c r="J243" s="132" t="s">
        <v>16</v>
      </c>
      <c r="K243" s="132" t="s">
        <v>221</v>
      </c>
      <c r="L243" s="132" t="s">
        <v>21</v>
      </c>
      <c r="M243" s="132" t="s">
        <v>21</v>
      </c>
    </row>
    <row r="244" spans="1:13" x14ac:dyDescent="0.25">
      <c r="A244" s="135"/>
      <c r="B244" s="135" t="s">
        <v>64</v>
      </c>
      <c r="C244" s="135"/>
      <c r="D244" s="136"/>
      <c r="E244" s="137">
        <f>=SUM(E230:E243)</f>
      </c>
      <c r="F244" s="135"/>
      <c r="G244" s="137">
        <f>=SUM(G230:G243)</f>
      </c>
      <c r="H244" s="135"/>
      <c r="I244" s="135"/>
      <c r="J244" s="132"/>
      <c r="K244" s="132"/>
      <c r="L244" s="132"/>
      <c r="M244" s="132"/>
    </row>
    <row r="246" spans="1:9" x14ac:dyDescent="0.25">
      <c r="A246" s="3" t="s">
        <v>311</v>
      </c>
      <c r="B246" s="3" t="s">
        <v>222</v>
      </c>
      <c r="C246" s="3" t="s">
        <v>222</v>
      </c>
      <c r="D246" t="s">
        <v>222</v>
      </c>
      <c r="E246" s="3" t="s">
        <v>222</v>
      </c>
      <c r="F246" s="3" t="s">
        <v>222</v>
      </c>
      <c r="G246" s="3" t="s">
        <v>222</v>
      </c>
      <c r="I246" s="3" t="s">
        <v>21</v>
      </c>
    </row>
    <row r="248" spans="1:6" x14ac:dyDescent="0.25">
      <c r="A248" s="3" t="s">
        <v>223</v>
      </c>
      <c r="B248" s="3" t="s">
        <v>224</v>
      </c>
      <c r="C248" s="3" t="s">
        <v>225</v>
      </c>
      <c r="D248" t="s">
        <v>226</v>
      </c>
      <c r="E248" s="3" t="s">
        <v>70</v>
      </c>
      <c r="F248" s="3" t="s">
        <v>227</v>
      </c>
    </row>
    <row r="249" spans="1:13" x14ac:dyDescent="0.25">
      <c r="A249" s="29">
        <v>1</v>
      </c>
      <c r="B249" s="29" t="s">
        <v>312</v>
      </c>
      <c r="C249" s="138" t="s">
        <v>313</v>
      </c>
      <c r="D249" s="129">
        <v>2626</v>
      </c>
      <c r="E249" s="29"/>
      <c r="F249" s="139">
        <v>46093.625</v>
      </c>
      <c r="G249" s="29"/>
      <c r="H249" s="29"/>
      <c r="I249" s="29"/>
      <c r="J249" s="132"/>
      <c r="K249" s="132"/>
      <c r="L249" s="132"/>
      <c r="M249" s="132"/>
    </row>
    <row r="251" spans="1:9" x14ac:dyDescent="0.25">
      <c r="A251" s="134" t="s">
        <v>223</v>
      </c>
      <c r="B251" s="134" t="s">
        <v>231</v>
      </c>
      <c r="C251" s="134" t="s">
        <v>232</v>
      </c>
      <c r="D251" s="134" t="s">
        <v>4</v>
      </c>
      <c r="E251" s="134" t="s">
        <v>5</v>
      </c>
      <c r="F251" s="134" t="s">
        <v>6</v>
      </c>
      <c r="G251" s="134" t="s">
        <v>7</v>
      </c>
      <c r="H251" s="134" t="s">
        <v>8</v>
      </c>
      <c r="I251" s="134" t="s">
        <v>9</v>
      </c>
    </row>
    <row r="252" spans="1:13" x14ac:dyDescent="0.25">
      <c r="A252" s="29">
        <v>1</v>
      </c>
      <c r="B252" s="29" t="s">
        <v>25</v>
      </c>
      <c r="C252" s="138" t="s">
        <v>47</v>
      </c>
      <c r="D252" s="140">
        <v>0.03</v>
      </c>
      <c r="E252" s="140">
        <v>2649</v>
      </c>
      <c r="F252" s="29" t="s">
        <v>27</v>
      </c>
      <c r="G252" s="140">
        <v>79.47</v>
      </c>
      <c r="H252" s="29" t="s">
        <v>15</v>
      </c>
      <c r="I252" s="140">
        <v>22.84</v>
      </c>
      <c r="J252" s="132" t="s">
        <v>16</v>
      </c>
      <c r="K252" s="132" t="s">
        <v>211</v>
      </c>
      <c r="L252" s="132" t="s">
        <v>21</v>
      </c>
      <c r="M252" s="132" t="s">
        <v>21</v>
      </c>
    </row>
    <row r="253" spans="1:13" x14ac:dyDescent="0.25">
      <c r="A253" s="29">
        <v>2</v>
      </c>
      <c r="B253" s="29" t="s">
        <v>25</v>
      </c>
      <c r="C253" s="138" t="s">
        <v>48</v>
      </c>
      <c r="D253" s="140">
        <v>0.03</v>
      </c>
      <c r="E253" s="140">
        <v>2649</v>
      </c>
      <c r="F253" s="29" t="s">
        <v>27</v>
      </c>
      <c r="G253" s="140">
        <v>79.47</v>
      </c>
      <c r="H253" s="29" t="s">
        <v>15</v>
      </c>
      <c r="I253" s="140">
        <v>22.84</v>
      </c>
      <c r="J253" s="132" t="s">
        <v>16</v>
      </c>
      <c r="K253" s="132" t="s">
        <v>211</v>
      </c>
      <c r="L253" s="132" t="s">
        <v>21</v>
      </c>
      <c r="M253" s="132" t="s">
        <v>21</v>
      </c>
    </row>
    <row r="254" spans="1:13" x14ac:dyDescent="0.25">
      <c r="A254" s="29">
        <v>3</v>
      </c>
      <c r="B254" s="29" t="s">
        <v>25</v>
      </c>
      <c r="C254" s="138" t="s">
        <v>54</v>
      </c>
      <c r="D254" s="140">
        <v>0.01</v>
      </c>
      <c r="E254" s="140">
        <v>2650</v>
      </c>
      <c r="F254" s="29" t="s">
        <v>27</v>
      </c>
      <c r="G254" s="140">
        <v>26.5</v>
      </c>
      <c r="H254" s="29" t="s">
        <v>15</v>
      </c>
      <c r="I254" s="140">
        <v>22.85</v>
      </c>
      <c r="J254" s="132" t="s">
        <v>16</v>
      </c>
      <c r="K254" s="132" t="s">
        <v>219</v>
      </c>
      <c r="L254" s="132" t="s">
        <v>21</v>
      </c>
      <c r="M254" s="132" t="s">
        <v>21</v>
      </c>
    </row>
    <row r="255" spans="1:13" x14ac:dyDescent="0.25">
      <c r="A255" s="29">
        <v>4</v>
      </c>
      <c r="B255" s="29" t="s">
        <v>58</v>
      </c>
      <c r="C255" s="138" t="s">
        <v>59</v>
      </c>
      <c r="D255" s="140">
        <v>0.02</v>
      </c>
      <c r="E255" s="140">
        <v>2626</v>
      </c>
      <c r="F255" s="29" t="s">
        <v>27</v>
      </c>
      <c r="G255" s="140">
        <v>52.52</v>
      </c>
      <c r="H255" s="29" t="s">
        <v>15</v>
      </c>
      <c r="I255" s="140">
        <v>22.64</v>
      </c>
      <c r="J255" s="132" t="s">
        <v>16</v>
      </c>
      <c r="K255" s="132" t="s">
        <v>220</v>
      </c>
      <c r="L255" s="132" t="s">
        <v>21</v>
      </c>
      <c r="M255" s="132" t="s">
        <v>21</v>
      </c>
    </row>
    <row r="256" spans="1:13" x14ac:dyDescent="0.25">
      <c r="A256" s="29">
        <v>5</v>
      </c>
      <c r="B256" s="29" t="s">
        <v>36</v>
      </c>
      <c r="C256" s="138" t="s">
        <v>63</v>
      </c>
      <c r="D256" s="140">
        <v>0.17</v>
      </c>
      <c r="E256" s="140">
        <v>1797</v>
      </c>
      <c r="F256" s="29" t="s">
        <v>41</v>
      </c>
      <c r="G256" s="140">
        <v>305.49</v>
      </c>
      <c r="H256" s="29" t="s">
        <v>15</v>
      </c>
      <c r="I256" s="140">
        <v>15.5</v>
      </c>
      <c r="J256" s="132" t="s">
        <v>16</v>
      </c>
      <c r="K256" s="132" t="s">
        <v>37</v>
      </c>
      <c r="L256" s="132" t="s">
        <v>21</v>
      </c>
      <c r="M256" s="132" t="s">
        <v>21</v>
      </c>
    </row>
    <row r="257" spans="1:13" x14ac:dyDescent="0.25">
      <c r="A257" s="135"/>
      <c r="B257" s="135" t="s">
        <v>64</v>
      </c>
      <c r="C257" s="135"/>
      <c r="D257" s="136"/>
      <c r="E257" s="137">
        <f>=SUM(E252:E256)</f>
      </c>
      <c r="F257" s="135"/>
      <c r="G257" s="137">
        <f>=SUM(G252:G256)</f>
      </c>
      <c r="H257" s="135"/>
      <c r="I257" s="135"/>
      <c r="J257" s="132"/>
      <c r="K257" s="132"/>
      <c r="L257" s="132"/>
      <c r="M257" s="132"/>
    </row>
    <row r="259" spans="1:9" x14ac:dyDescent="0.25">
      <c r="A259" s="3" t="s">
        <v>314</v>
      </c>
      <c r="B259" s="3" t="s">
        <v>222</v>
      </c>
      <c r="C259" s="3" t="s">
        <v>222</v>
      </c>
      <c r="D259" t="s">
        <v>222</v>
      </c>
      <c r="E259" s="3" t="s">
        <v>222</v>
      </c>
      <c r="F259" s="3" t="s">
        <v>222</v>
      </c>
      <c r="G259" s="3" t="s">
        <v>222</v>
      </c>
      <c r="I259" s="3" t="s">
        <v>21</v>
      </c>
    </row>
    <row r="261" spans="1:6" x14ac:dyDescent="0.25">
      <c r="A261" s="3" t="s">
        <v>223</v>
      </c>
      <c r="B261" s="3" t="s">
        <v>224</v>
      </c>
      <c r="C261" s="3" t="s">
        <v>225</v>
      </c>
      <c r="D261" t="s">
        <v>226</v>
      </c>
      <c r="E261" s="3" t="s">
        <v>70</v>
      </c>
      <c r="F261" s="3" t="s">
        <v>227</v>
      </c>
    </row>
    <row r="262" spans="1:13" x14ac:dyDescent="0.25">
      <c r="A262" s="29">
        <v>1</v>
      </c>
      <c r="B262" s="29" t="s">
        <v>315</v>
      </c>
      <c r="C262" s="138" t="s">
        <v>316</v>
      </c>
      <c r="D262" s="129">
        <v>1260</v>
      </c>
      <c r="E262" s="29"/>
      <c r="F262" s="139">
        <v>46093.625</v>
      </c>
      <c r="G262" s="29"/>
      <c r="H262" s="29"/>
      <c r="I262" s="29"/>
      <c r="J262" s="132"/>
      <c r="K262" s="132"/>
      <c r="L262" s="132"/>
      <c r="M262" s="132"/>
    </row>
    <row r="264" spans="1:9" x14ac:dyDescent="0.25">
      <c r="A264" s="134" t="s">
        <v>223</v>
      </c>
      <c r="B264" s="134" t="s">
        <v>231</v>
      </c>
      <c r="C264" s="134" t="s">
        <v>232</v>
      </c>
      <c r="D264" s="134" t="s">
        <v>4</v>
      </c>
      <c r="E264" s="134" t="s">
        <v>5</v>
      </c>
      <c r="F264" s="134" t="s">
        <v>6</v>
      </c>
      <c r="G264" s="134" t="s">
        <v>7</v>
      </c>
      <c r="H264" s="134" t="s">
        <v>8</v>
      </c>
      <c r="I264" s="134" t="s">
        <v>9</v>
      </c>
    </row>
    <row r="265" spans="1:13" x14ac:dyDescent="0.25">
      <c r="A265" s="29">
        <v>1</v>
      </c>
      <c r="B265" s="29" t="s">
        <v>25</v>
      </c>
      <c r="C265" s="138" t="s">
        <v>47</v>
      </c>
      <c r="D265" s="140">
        <v>0.03</v>
      </c>
      <c r="E265" s="140">
        <v>1272</v>
      </c>
      <c r="F265" s="29" t="s">
        <v>27</v>
      </c>
      <c r="G265" s="140">
        <v>38.16</v>
      </c>
      <c r="H265" s="29" t="s">
        <v>15</v>
      </c>
      <c r="I265" s="140">
        <v>10.97</v>
      </c>
      <c r="J265" s="132" t="s">
        <v>16</v>
      </c>
      <c r="K265" s="132" t="s">
        <v>211</v>
      </c>
      <c r="L265" s="132" t="s">
        <v>21</v>
      </c>
      <c r="M265" s="132" t="s">
        <v>21</v>
      </c>
    </row>
    <row r="266" spans="1:13" x14ac:dyDescent="0.25">
      <c r="A266" s="29">
        <v>2</v>
      </c>
      <c r="B266" s="29" t="s">
        <v>25</v>
      </c>
      <c r="C266" s="138" t="s">
        <v>48</v>
      </c>
      <c r="D266" s="140">
        <v>0.03</v>
      </c>
      <c r="E266" s="140">
        <v>1272</v>
      </c>
      <c r="F266" s="29" t="s">
        <v>27</v>
      </c>
      <c r="G266" s="140">
        <v>38.16</v>
      </c>
      <c r="H266" s="29" t="s">
        <v>15</v>
      </c>
      <c r="I266" s="140">
        <v>10.97</v>
      </c>
      <c r="J266" s="132" t="s">
        <v>16</v>
      </c>
      <c r="K266" s="132" t="s">
        <v>211</v>
      </c>
      <c r="L266" s="132" t="s">
        <v>21</v>
      </c>
      <c r="M266" s="132" t="s">
        <v>21</v>
      </c>
    </row>
    <row r="267" spans="1:13" x14ac:dyDescent="0.25">
      <c r="A267" s="29">
        <v>3</v>
      </c>
      <c r="B267" s="29" t="s">
        <v>25</v>
      </c>
      <c r="C267" s="138" t="s">
        <v>54</v>
      </c>
      <c r="D267" s="140">
        <v>0.01</v>
      </c>
      <c r="E267" s="140">
        <v>1272</v>
      </c>
      <c r="F267" s="29" t="s">
        <v>27</v>
      </c>
      <c r="G267" s="140">
        <v>12.72</v>
      </c>
      <c r="H267" s="29" t="s">
        <v>15</v>
      </c>
      <c r="I267" s="140">
        <v>10.97</v>
      </c>
      <c r="J267" s="132" t="s">
        <v>16</v>
      </c>
      <c r="K267" s="132" t="s">
        <v>219</v>
      </c>
      <c r="L267" s="132" t="s">
        <v>21</v>
      </c>
      <c r="M267" s="132" t="s">
        <v>21</v>
      </c>
    </row>
    <row r="268" spans="1:13" x14ac:dyDescent="0.25">
      <c r="A268" s="29">
        <v>4</v>
      </c>
      <c r="B268" s="29" t="s">
        <v>58</v>
      </c>
      <c r="C268" s="138" t="s">
        <v>59</v>
      </c>
      <c r="D268" s="140">
        <v>0.02</v>
      </c>
      <c r="E268" s="140">
        <v>1260</v>
      </c>
      <c r="F268" s="29" t="s">
        <v>27</v>
      </c>
      <c r="G268" s="140">
        <v>25.2</v>
      </c>
      <c r="H268" s="29" t="s">
        <v>15</v>
      </c>
      <c r="I268" s="140">
        <v>10.87</v>
      </c>
      <c r="J268" s="132" t="s">
        <v>16</v>
      </c>
      <c r="K268" s="132" t="s">
        <v>220</v>
      </c>
      <c r="L268" s="132" t="s">
        <v>21</v>
      </c>
      <c r="M268" s="132" t="s">
        <v>21</v>
      </c>
    </row>
    <row r="269" spans="1:13" x14ac:dyDescent="0.25">
      <c r="A269" s="29">
        <v>5</v>
      </c>
      <c r="B269" s="29" t="s">
        <v>36</v>
      </c>
      <c r="C269" s="138" t="s">
        <v>63</v>
      </c>
      <c r="D269" s="140">
        <v>0.17</v>
      </c>
      <c r="E269" s="140">
        <v>1092</v>
      </c>
      <c r="F269" s="29" t="s">
        <v>41</v>
      </c>
      <c r="G269" s="140">
        <v>185.64000000000001</v>
      </c>
      <c r="H269" s="29" t="s">
        <v>15</v>
      </c>
      <c r="I269" s="140">
        <v>9.369999999997031</v>
      </c>
      <c r="J269" s="132" t="s">
        <v>16</v>
      </c>
      <c r="K269" s="132" t="s">
        <v>37</v>
      </c>
      <c r="L269" s="132" t="s">
        <v>21</v>
      </c>
      <c r="M269" s="132" t="s">
        <v>21</v>
      </c>
    </row>
    <row r="270" spans="1:13" x14ac:dyDescent="0.25">
      <c r="A270" s="135"/>
      <c r="B270" s="135" t="s">
        <v>64</v>
      </c>
      <c r="C270" s="135"/>
      <c r="D270" s="136"/>
      <c r="E270" s="137">
        <f>=SUM(E265:E269)</f>
      </c>
      <c r="F270" s="135"/>
      <c r="G270" s="137">
        <f>=SUM(G265:G269)</f>
      </c>
      <c r="H270" s="135"/>
      <c r="I270" s="135"/>
      <c r="J270" s="132"/>
      <c r="K270" s="132"/>
      <c r="L270" s="132"/>
      <c r="M270" s="132"/>
    </row>
    <row r="272" spans="1:9" x14ac:dyDescent="0.25">
      <c r="A272" s="3" t="s">
        <v>317</v>
      </c>
      <c r="B272" s="3" t="s">
        <v>222</v>
      </c>
      <c r="C272" s="3" t="s">
        <v>222</v>
      </c>
      <c r="D272" t="s">
        <v>222</v>
      </c>
      <c r="E272" s="3" t="s">
        <v>222</v>
      </c>
      <c r="F272" s="3" t="s">
        <v>222</v>
      </c>
      <c r="G272" s="3" t="s">
        <v>222</v>
      </c>
      <c r="I272" s="3" t="s">
        <v>21</v>
      </c>
    </row>
    <row r="274" spans="1:6" x14ac:dyDescent="0.25">
      <c r="A274" s="3" t="s">
        <v>223</v>
      </c>
      <c r="B274" s="3" t="s">
        <v>224</v>
      </c>
      <c r="C274" s="3" t="s">
        <v>225</v>
      </c>
      <c r="D274" t="s">
        <v>226</v>
      </c>
      <c r="E274" s="3" t="s">
        <v>70</v>
      </c>
      <c r="F274" s="3" t="s">
        <v>227</v>
      </c>
    </row>
    <row r="275" spans="1:13" x14ac:dyDescent="0.25">
      <c r="A275" s="29">
        <v>1</v>
      </c>
      <c r="B275" s="29" t="s">
        <v>318</v>
      </c>
      <c r="C275" s="138" t="s">
        <v>319</v>
      </c>
      <c r="D275" s="129">
        <v>7879</v>
      </c>
      <c r="E275" s="29"/>
      <c r="F275" s="139">
        <v>46093.625</v>
      </c>
      <c r="G275" s="29"/>
      <c r="H275" s="29"/>
      <c r="I275" s="29"/>
      <c r="J275" s="132"/>
      <c r="K275" s="132"/>
      <c r="L275" s="132"/>
      <c r="M275" s="132"/>
    </row>
    <row r="277" spans="1:9" x14ac:dyDescent="0.25">
      <c r="A277" s="134" t="s">
        <v>223</v>
      </c>
      <c r="B277" s="134" t="s">
        <v>231</v>
      </c>
      <c r="C277" s="134" t="s">
        <v>232</v>
      </c>
      <c r="D277" s="134" t="s">
        <v>4</v>
      </c>
      <c r="E277" s="134" t="s">
        <v>5</v>
      </c>
      <c r="F277" s="134" t="s">
        <v>6</v>
      </c>
      <c r="G277" s="134" t="s">
        <v>7</v>
      </c>
      <c r="H277" s="134" t="s">
        <v>8</v>
      </c>
      <c r="I277" s="134" t="s">
        <v>9</v>
      </c>
    </row>
    <row r="278" spans="1:13" x14ac:dyDescent="0.25">
      <c r="A278" s="29">
        <v>1</v>
      </c>
      <c r="B278" s="29" t="s">
        <v>34</v>
      </c>
      <c r="C278" s="138" t="s">
        <v>35</v>
      </c>
      <c r="D278" s="140">
        <v>0.03</v>
      </c>
      <c r="E278" s="140">
        <v>5465</v>
      </c>
      <c r="F278" s="29" t="s">
        <v>14</v>
      </c>
      <c r="G278" s="140">
        <v>163.95</v>
      </c>
      <c r="H278" s="29" t="s">
        <v>15</v>
      </c>
      <c r="I278" s="140">
        <v>47.13</v>
      </c>
      <c r="J278" s="132" t="s">
        <v>16</v>
      </c>
      <c r="K278" s="132" t="s">
        <v>213</v>
      </c>
      <c r="L278" s="132" t="s">
        <v>21</v>
      </c>
      <c r="M278" s="132" t="s">
        <v>21</v>
      </c>
    </row>
    <row r="279" spans="1:13" x14ac:dyDescent="0.25">
      <c r="A279" s="135"/>
      <c r="B279" s="135" t="s">
        <v>64</v>
      </c>
      <c r="C279" s="135"/>
      <c r="D279" s="136"/>
      <c r="E279" s="137">
        <f>=SUM(E278:E278)</f>
      </c>
      <c r="F279" s="135"/>
      <c r="G279" s="137">
        <f>=SUM(G278:G278)</f>
      </c>
      <c r="H279" s="135"/>
      <c r="I279" s="135"/>
      <c r="J279" s="132"/>
      <c r="K279" s="132"/>
      <c r="L279" s="132"/>
      <c r="M279" s="132"/>
    </row>
    <row r="281" spans="1:9" x14ac:dyDescent="0.25">
      <c r="A281" s="3" t="s">
        <v>320</v>
      </c>
      <c r="B281" s="3" t="s">
        <v>222</v>
      </c>
      <c r="C281" s="3" t="s">
        <v>222</v>
      </c>
      <c r="D281" t="s">
        <v>222</v>
      </c>
      <c r="E281" s="3" t="s">
        <v>222</v>
      </c>
      <c r="F281" s="3" t="s">
        <v>222</v>
      </c>
      <c r="G281" s="3" t="s">
        <v>222</v>
      </c>
      <c r="I281" s="3" t="s">
        <v>21</v>
      </c>
    </row>
    <row r="283" spans="1:6" x14ac:dyDescent="0.25">
      <c r="A283" s="3" t="s">
        <v>223</v>
      </c>
      <c r="B283" s="3" t="s">
        <v>224</v>
      </c>
      <c r="C283" s="3" t="s">
        <v>225</v>
      </c>
      <c r="D283" t="s">
        <v>226</v>
      </c>
      <c r="E283" s="3" t="s">
        <v>70</v>
      </c>
      <c r="F283" s="3" t="s">
        <v>227</v>
      </c>
    </row>
    <row r="284" spans="1:13" x14ac:dyDescent="0.25">
      <c r="A284" s="29">
        <v>1</v>
      </c>
      <c r="B284" s="29" t="s">
        <v>321</v>
      </c>
      <c r="C284" s="138" t="s">
        <v>322</v>
      </c>
      <c r="D284" s="129">
        <v>10908</v>
      </c>
      <c r="E284" s="29"/>
      <c r="F284" s="139">
        <v>46093.625</v>
      </c>
      <c r="G284" s="29"/>
      <c r="H284" s="29"/>
      <c r="I284" s="29"/>
      <c r="J284" s="132"/>
      <c r="K284" s="132"/>
      <c r="L284" s="132"/>
      <c r="M284" s="132"/>
    </row>
    <row r="286" spans="1:9" x14ac:dyDescent="0.25">
      <c r="A286" s="134" t="s">
        <v>223</v>
      </c>
      <c r="B286" s="134" t="s">
        <v>231</v>
      </c>
      <c r="C286" s="134" t="s">
        <v>232</v>
      </c>
      <c r="D286" s="134" t="s">
        <v>4</v>
      </c>
      <c r="E286" s="134" t="s">
        <v>5</v>
      </c>
      <c r="F286" s="134" t="s">
        <v>6</v>
      </c>
      <c r="G286" s="134" t="s">
        <v>7</v>
      </c>
      <c r="H286" s="134" t="s">
        <v>8</v>
      </c>
      <c r="I286" s="134" t="s">
        <v>9</v>
      </c>
    </row>
    <row r="287" spans="1:13" x14ac:dyDescent="0.25">
      <c r="A287" s="29">
        <v>1</v>
      </c>
      <c r="B287" s="29" t="s">
        <v>34</v>
      </c>
      <c r="C287" s="138" t="s">
        <v>35</v>
      </c>
      <c r="D287" s="140">
        <v>0.03</v>
      </c>
      <c r="E287" s="140">
        <v>7566</v>
      </c>
      <c r="F287" s="29" t="s">
        <v>14</v>
      </c>
      <c r="G287" s="140">
        <v>226.98</v>
      </c>
      <c r="H287" s="29" t="s">
        <v>15</v>
      </c>
      <c r="I287" s="140">
        <v>65.24</v>
      </c>
      <c r="J287" s="132" t="s">
        <v>16</v>
      </c>
      <c r="K287" s="132" t="s">
        <v>213</v>
      </c>
      <c r="L287" s="132" t="s">
        <v>21</v>
      </c>
      <c r="M287" s="132" t="s">
        <v>21</v>
      </c>
    </row>
    <row r="288" spans="1:13" x14ac:dyDescent="0.25">
      <c r="A288" s="135"/>
      <c r="B288" s="135" t="s">
        <v>64</v>
      </c>
      <c r="C288" s="135"/>
      <c r="D288" s="136"/>
      <c r="E288" s="137">
        <f>=SUM(E287:E287)</f>
      </c>
      <c r="F288" s="135"/>
      <c r="G288" s="137">
        <f>=SUM(G287:G287)</f>
      </c>
      <c r="H288" s="135"/>
      <c r="I288" s="135"/>
      <c r="J288" s="132"/>
      <c r="K288" s="132"/>
      <c r="L288" s="132"/>
      <c r="M288" s="132"/>
    </row>
    <row r="290" spans="1:9" x14ac:dyDescent="0.25">
      <c r="A290" s="3" t="s">
        <v>323</v>
      </c>
      <c r="B290" s="3" t="s">
        <v>222</v>
      </c>
      <c r="C290" s="3" t="s">
        <v>222</v>
      </c>
      <c r="D290" t="s">
        <v>222</v>
      </c>
      <c r="E290" s="3" t="s">
        <v>222</v>
      </c>
      <c r="F290" s="3" t="s">
        <v>222</v>
      </c>
      <c r="G290" s="3" t="s">
        <v>222</v>
      </c>
      <c r="I290" s="3" t="s">
        <v>21</v>
      </c>
    </row>
    <row r="292" spans="1:6" x14ac:dyDescent="0.25">
      <c r="A292" s="3" t="s">
        <v>223</v>
      </c>
      <c r="B292" s="3" t="s">
        <v>224</v>
      </c>
      <c r="C292" s="3" t="s">
        <v>225</v>
      </c>
      <c r="D292" t="s">
        <v>226</v>
      </c>
      <c r="E292" s="3" t="s">
        <v>70</v>
      </c>
      <c r="F292" s="3" t="s">
        <v>227</v>
      </c>
    </row>
    <row r="293" spans="1:13" x14ac:dyDescent="0.25">
      <c r="A293" s="29">
        <v>1</v>
      </c>
      <c r="B293" s="29" t="s">
        <v>324</v>
      </c>
      <c r="C293" s="138" t="s">
        <v>325</v>
      </c>
      <c r="D293" s="129">
        <v>3052</v>
      </c>
      <c r="E293" s="29"/>
      <c r="F293" s="139">
        <v>46093.625</v>
      </c>
      <c r="G293" s="29"/>
      <c r="H293" s="29"/>
      <c r="I293" s="29"/>
      <c r="J293" s="132"/>
      <c r="K293" s="132"/>
      <c r="L293" s="132"/>
      <c r="M293" s="132"/>
    </row>
    <row r="295" spans="1:9" x14ac:dyDescent="0.25">
      <c r="A295" s="134" t="s">
        <v>223</v>
      </c>
      <c r="B295" s="134" t="s">
        <v>231</v>
      </c>
      <c r="C295" s="134" t="s">
        <v>232</v>
      </c>
      <c r="D295" s="134" t="s">
        <v>4</v>
      </c>
      <c r="E295" s="134" t="s">
        <v>5</v>
      </c>
      <c r="F295" s="134" t="s">
        <v>6</v>
      </c>
      <c r="G295" s="134" t="s">
        <v>7</v>
      </c>
      <c r="H295" s="134" t="s">
        <v>8</v>
      </c>
      <c r="I295" s="134" t="s">
        <v>9</v>
      </c>
    </row>
    <row r="296" spans="1:13" x14ac:dyDescent="0.25">
      <c r="A296" s="29">
        <v>1</v>
      </c>
      <c r="B296" s="29" t="s">
        <v>34</v>
      </c>
      <c r="C296" s="138" t="s">
        <v>35</v>
      </c>
      <c r="D296" s="140">
        <v>0.03</v>
      </c>
      <c r="E296" s="140">
        <v>2138</v>
      </c>
      <c r="F296" s="29" t="s">
        <v>14</v>
      </c>
      <c r="G296" s="140">
        <v>64.14</v>
      </c>
      <c r="H296" s="29" t="s">
        <v>15</v>
      </c>
      <c r="I296" s="140">
        <v>18.44</v>
      </c>
      <c r="J296" s="132" t="s">
        <v>16</v>
      </c>
      <c r="K296" s="132" t="s">
        <v>213</v>
      </c>
      <c r="L296" s="132" t="s">
        <v>21</v>
      </c>
      <c r="M296" s="132" t="s">
        <v>21</v>
      </c>
    </row>
    <row r="297" spans="1:13" x14ac:dyDescent="0.25">
      <c r="A297" s="135"/>
      <c r="B297" s="135" t="s">
        <v>64</v>
      </c>
      <c r="C297" s="135"/>
      <c r="D297" s="136"/>
      <c r="E297" s="137">
        <f>=SUM(E296:E296)</f>
      </c>
      <c r="F297" s="135"/>
      <c r="G297" s="137">
        <f>=SUM(G296:G296)</f>
      </c>
      <c r="H297" s="135"/>
      <c r="I297" s="135"/>
      <c r="J297" s="132"/>
      <c r="K297" s="132"/>
      <c r="L297" s="132"/>
      <c r="M297" s="132"/>
    </row>
    <row r="299" spans="1:9" x14ac:dyDescent="0.25">
      <c r="A299" s="3" t="s">
        <v>326</v>
      </c>
      <c r="B299" s="3" t="s">
        <v>222</v>
      </c>
      <c r="C299" s="3" t="s">
        <v>222</v>
      </c>
      <c r="D299" t="s">
        <v>222</v>
      </c>
      <c r="E299" s="3" t="s">
        <v>222</v>
      </c>
      <c r="F299" s="3" t="s">
        <v>222</v>
      </c>
      <c r="G299" s="3" t="s">
        <v>222</v>
      </c>
      <c r="I299" s="3" t="s">
        <v>21</v>
      </c>
    </row>
    <row r="301" spans="1:6" x14ac:dyDescent="0.25">
      <c r="A301" s="3" t="s">
        <v>223</v>
      </c>
      <c r="B301" s="3" t="s">
        <v>224</v>
      </c>
      <c r="C301" s="3" t="s">
        <v>225</v>
      </c>
      <c r="D301" t="s">
        <v>226</v>
      </c>
      <c r="E301" s="3" t="s">
        <v>70</v>
      </c>
      <c r="F301" s="3" t="s">
        <v>227</v>
      </c>
    </row>
    <row r="302" spans="1:13" x14ac:dyDescent="0.25">
      <c r="A302" s="29">
        <v>1</v>
      </c>
      <c r="B302" s="29" t="s">
        <v>327</v>
      </c>
      <c r="C302" s="138" t="s">
        <v>328</v>
      </c>
      <c r="D302" s="129">
        <v>12245</v>
      </c>
      <c r="E302" s="29"/>
      <c r="F302" s="139">
        <v>46093.625</v>
      </c>
      <c r="G302" s="29"/>
      <c r="H302" s="29"/>
      <c r="I302" s="29"/>
      <c r="J302" s="132"/>
      <c r="K302" s="132"/>
      <c r="L302" s="132"/>
      <c r="M302" s="132"/>
    </row>
    <row r="304" spans="1:9" x14ac:dyDescent="0.25">
      <c r="A304" s="134" t="s">
        <v>223</v>
      </c>
      <c r="B304" s="134" t="s">
        <v>231</v>
      </c>
      <c r="C304" s="134" t="s">
        <v>232</v>
      </c>
      <c r="D304" s="134" t="s">
        <v>4</v>
      </c>
      <c r="E304" s="134" t="s">
        <v>5</v>
      </c>
      <c r="F304" s="134" t="s">
        <v>6</v>
      </c>
      <c r="G304" s="134" t="s">
        <v>7</v>
      </c>
      <c r="H304" s="134" t="s">
        <v>8</v>
      </c>
      <c r="I304" s="134" t="s">
        <v>9</v>
      </c>
    </row>
    <row r="305" spans="1:13" x14ac:dyDescent="0.25">
      <c r="A305" s="29">
        <v>1</v>
      </c>
      <c r="B305" s="29" t="s">
        <v>34</v>
      </c>
      <c r="C305" s="138" t="s">
        <v>35</v>
      </c>
      <c r="D305" s="140">
        <v>0.03</v>
      </c>
      <c r="E305" s="140">
        <v>8831</v>
      </c>
      <c r="F305" s="29" t="s">
        <v>14</v>
      </c>
      <c r="G305" s="140">
        <v>264.93</v>
      </c>
      <c r="H305" s="29" t="s">
        <v>15</v>
      </c>
      <c r="I305" s="140">
        <v>76.15</v>
      </c>
      <c r="J305" s="132" t="s">
        <v>16</v>
      </c>
      <c r="K305" s="132" t="s">
        <v>213</v>
      </c>
      <c r="L305" s="132" t="s">
        <v>21</v>
      </c>
      <c r="M305" s="132" t="s">
        <v>21</v>
      </c>
    </row>
    <row r="306" spans="1:13" x14ac:dyDescent="0.25">
      <c r="A306" s="135"/>
      <c r="B306" s="135" t="s">
        <v>64</v>
      </c>
      <c r="C306" s="135"/>
      <c r="D306" s="136"/>
      <c r="E306" s="137">
        <f>=SUM(E305:E305)</f>
      </c>
      <c r="F306" s="135"/>
      <c r="G306" s="137">
        <f>=SUM(G305:G305)</f>
      </c>
      <c r="H306" s="135"/>
      <c r="I306" s="135"/>
      <c r="J306" s="132"/>
      <c r="K306" s="132"/>
      <c r="L306" s="132"/>
      <c r="M306" s="132"/>
    </row>
    <row r="308" spans="1:9" x14ac:dyDescent="0.25">
      <c r="A308" s="3" t="s">
        <v>329</v>
      </c>
      <c r="B308" s="3" t="s">
        <v>222</v>
      </c>
      <c r="C308" s="3" t="s">
        <v>222</v>
      </c>
      <c r="D308" t="s">
        <v>222</v>
      </c>
      <c r="E308" s="3" t="s">
        <v>222</v>
      </c>
      <c r="F308" s="3" t="s">
        <v>222</v>
      </c>
      <c r="G308" s="3" t="s">
        <v>222</v>
      </c>
      <c r="I308" s="3" t="s">
        <v>21</v>
      </c>
    </row>
    <row r="310" spans="1:6" x14ac:dyDescent="0.25">
      <c r="A310" s="3" t="s">
        <v>223</v>
      </c>
      <c r="B310" s="3" t="s">
        <v>224</v>
      </c>
      <c r="C310" s="3" t="s">
        <v>225</v>
      </c>
      <c r="D310" t="s">
        <v>226</v>
      </c>
      <c r="E310" s="3" t="s">
        <v>70</v>
      </c>
      <c r="F310" s="3" t="s">
        <v>227</v>
      </c>
    </row>
    <row r="311" spans="1:13" x14ac:dyDescent="0.25">
      <c r="A311" s="29">
        <v>1</v>
      </c>
      <c r="B311" s="29" t="s">
        <v>330</v>
      </c>
      <c r="C311" s="138" t="s">
        <v>331</v>
      </c>
      <c r="D311" s="129">
        <v>515</v>
      </c>
      <c r="E311" s="29"/>
      <c r="F311" s="139">
        <v>46093.625</v>
      </c>
      <c r="G311" s="29"/>
      <c r="H311" s="29"/>
      <c r="I311" s="29"/>
      <c r="J311" s="132"/>
      <c r="K311" s="132"/>
      <c r="L311" s="132"/>
      <c r="M311" s="132"/>
    </row>
    <row r="312" spans="1:13" x14ac:dyDescent="0.25">
      <c r="A312" s="29">
        <v>2</v>
      </c>
      <c r="B312" s="29" t="s">
        <v>332</v>
      </c>
      <c r="C312" s="138" t="s">
        <v>333</v>
      </c>
      <c r="D312" s="129">
        <v>824</v>
      </c>
      <c r="E312" s="29"/>
      <c r="F312" s="139">
        <v>46093.625</v>
      </c>
      <c r="G312" s="29"/>
      <c r="H312" s="29"/>
      <c r="I312" s="29"/>
      <c r="J312" s="132"/>
      <c r="K312" s="132"/>
      <c r="L312" s="132"/>
      <c r="M312" s="132"/>
    </row>
    <row r="314" spans="1:9" x14ac:dyDescent="0.25">
      <c r="A314" s="134" t="s">
        <v>223</v>
      </c>
      <c r="B314" s="134" t="s">
        <v>231</v>
      </c>
      <c r="C314" s="134" t="s">
        <v>232</v>
      </c>
      <c r="D314" s="134" t="s">
        <v>4</v>
      </c>
      <c r="E314" s="134" t="s">
        <v>5</v>
      </c>
      <c r="F314" s="134" t="s">
        <v>6</v>
      </c>
      <c r="G314" s="134" t="s">
        <v>7</v>
      </c>
      <c r="H314" s="134" t="s">
        <v>8</v>
      </c>
      <c r="I314" s="134" t="s">
        <v>9</v>
      </c>
    </row>
    <row r="315" spans="1:13" x14ac:dyDescent="0.25">
      <c r="A315" s="29">
        <v>1</v>
      </c>
      <c r="B315" s="29" t="s">
        <v>36</v>
      </c>
      <c r="C315" s="138" t="s">
        <v>37</v>
      </c>
      <c r="D315" s="140">
        <v>0.01</v>
      </c>
      <c r="E315" s="140">
        <v>1042</v>
      </c>
      <c r="F315" s="29" t="s">
        <v>14</v>
      </c>
      <c r="G315" s="140">
        <v>10.42</v>
      </c>
      <c r="H315" s="29" t="s">
        <v>15</v>
      </c>
      <c r="I315" s="140">
        <v>8.99</v>
      </c>
      <c r="J315" s="132" t="s">
        <v>16</v>
      </c>
      <c r="K315" s="132" t="s">
        <v>37</v>
      </c>
      <c r="L315" s="132" t="s">
        <v>21</v>
      </c>
      <c r="M315" s="132" t="s">
        <v>21</v>
      </c>
    </row>
    <row r="316" spans="1:13" x14ac:dyDescent="0.25">
      <c r="A316" s="135"/>
      <c r="B316" s="135" t="s">
        <v>64</v>
      </c>
      <c r="C316" s="135"/>
      <c r="D316" s="136"/>
      <c r="E316" s="137">
        <f>=SUM(E315:E315)</f>
      </c>
      <c r="F316" s="135"/>
      <c r="G316" s="137">
        <f>=SUM(G315:G315)</f>
      </c>
      <c r="H316" s="135"/>
      <c r="I316" s="135"/>
      <c r="J316" s="132"/>
      <c r="K316" s="132"/>
      <c r="L316" s="132"/>
      <c r="M316" s="132"/>
    </row>
    <row r="318" spans="1:9" x14ac:dyDescent="0.25">
      <c r="A318" s="3" t="s">
        <v>334</v>
      </c>
      <c r="B318" s="3" t="s">
        <v>222</v>
      </c>
      <c r="C318" s="3" t="s">
        <v>222</v>
      </c>
      <c r="D318" t="s">
        <v>222</v>
      </c>
      <c r="E318" s="3" t="s">
        <v>222</v>
      </c>
      <c r="F318" s="3" t="s">
        <v>222</v>
      </c>
      <c r="G318" s="3" t="s">
        <v>222</v>
      </c>
      <c r="I318" s="3" t="s">
        <v>21</v>
      </c>
    </row>
    <row r="320" spans="1:6" x14ac:dyDescent="0.25">
      <c r="A320" s="3" t="s">
        <v>223</v>
      </c>
      <c r="B320" s="3" t="s">
        <v>224</v>
      </c>
      <c r="C320" s="3" t="s">
        <v>225</v>
      </c>
      <c r="D320" t="s">
        <v>226</v>
      </c>
      <c r="E320" s="3" t="s">
        <v>70</v>
      </c>
      <c r="F320" s="3" t="s">
        <v>227</v>
      </c>
    </row>
    <row r="321" spans="1:13" x14ac:dyDescent="0.25">
      <c r="A321" s="29">
        <v>1</v>
      </c>
      <c r="B321" s="29" t="s">
        <v>335</v>
      </c>
      <c r="C321" s="138" t="s">
        <v>336</v>
      </c>
      <c r="D321" s="129">
        <v>2103</v>
      </c>
      <c r="E321" s="29"/>
      <c r="F321" s="139">
        <v>46093.625</v>
      </c>
      <c r="G321" s="29"/>
      <c r="H321" s="29"/>
      <c r="I321" s="29"/>
      <c r="J321" s="132"/>
      <c r="K321" s="132"/>
      <c r="L321" s="132"/>
      <c r="M321" s="132"/>
    </row>
    <row r="323" spans="1:9" x14ac:dyDescent="0.25">
      <c r="A323" s="134" t="s">
        <v>223</v>
      </c>
      <c r="B323" s="134" t="s">
        <v>231</v>
      </c>
      <c r="C323" s="134" t="s">
        <v>232</v>
      </c>
      <c r="D323" s="134" t="s">
        <v>4</v>
      </c>
      <c r="E323" s="134" t="s">
        <v>5</v>
      </c>
      <c r="F323" s="134" t="s">
        <v>6</v>
      </c>
      <c r="G323" s="134" t="s">
        <v>7</v>
      </c>
      <c r="H323" s="134" t="s">
        <v>8</v>
      </c>
      <c r="I323" s="134" t="s">
        <v>9</v>
      </c>
    </row>
    <row r="324" spans="1:13" x14ac:dyDescent="0.25">
      <c r="A324" s="29">
        <v>1</v>
      </c>
      <c r="B324" s="29" t="s">
        <v>30</v>
      </c>
      <c r="C324" s="138" t="s">
        <v>33</v>
      </c>
      <c r="D324" s="140">
        <v>0.01</v>
      </c>
      <c r="E324" s="140">
        <v>6363</v>
      </c>
      <c r="F324" s="29" t="s">
        <v>27</v>
      </c>
      <c r="G324" s="140">
        <v>63.63</v>
      </c>
      <c r="H324" s="29" t="s">
        <v>15</v>
      </c>
      <c r="I324" s="140">
        <v>54.87</v>
      </c>
      <c r="J324" s="132" t="s">
        <v>16</v>
      </c>
      <c r="K324" s="132" t="s">
        <v>212</v>
      </c>
      <c r="L324" s="132" t="s">
        <v>21</v>
      </c>
      <c r="M324" s="132" t="s">
        <v>21</v>
      </c>
    </row>
    <row r="325" spans="1:13" x14ac:dyDescent="0.25">
      <c r="A325" s="29">
        <v>2</v>
      </c>
      <c r="B325" s="29" t="s">
        <v>38</v>
      </c>
      <c r="C325" s="138" t="s">
        <v>40</v>
      </c>
      <c r="D325" s="140">
        <v>0.13</v>
      </c>
      <c r="E325" s="140">
        <v>199</v>
      </c>
      <c r="F325" s="29" t="s">
        <v>41</v>
      </c>
      <c r="G325" s="140">
        <v>25.87</v>
      </c>
      <c r="H325" s="29" t="s">
        <v>15</v>
      </c>
      <c r="I325" s="140">
        <v>1.72</v>
      </c>
      <c r="J325" s="132" t="s">
        <v>16</v>
      </c>
      <c r="K325" s="132" t="s">
        <v>214</v>
      </c>
      <c r="L325" s="132" t="s">
        <v>21</v>
      </c>
      <c r="M325" s="132" t="s">
        <v>21</v>
      </c>
    </row>
    <row r="326" spans="1:13" x14ac:dyDescent="0.25">
      <c r="A326" s="29">
        <v>3</v>
      </c>
      <c r="B326" s="29" t="s">
        <v>38</v>
      </c>
      <c r="C326" s="138" t="s">
        <v>40</v>
      </c>
      <c r="D326" s="140">
        <v>0.08</v>
      </c>
      <c r="E326" s="140">
        <v>4905</v>
      </c>
      <c r="F326" s="29" t="s">
        <v>41</v>
      </c>
      <c r="G326" s="140">
        <v>392.40000000000003</v>
      </c>
      <c r="H326" s="29" t="s">
        <v>15</v>
      </c>
      <c r="I326" s="140">
        <v>42.3</v>
      </c>
      <c r="J326" s="132" t="s">
        <v>16</v>
      </c>
      <c r="K326" s="132" t="s">
        <v>214</v>
      </c>
      <c r="L326" s="132" t="s">
        <v>21</v>
      </c>
      <c r="M326" s="132" t="s">
        <v>21</v>
      </c>
    </row>
    <row r="327" spans="1:13" x14ac:dyDescent="0.25">
      <c r="A327" s="29">
        <v>4</v>
      </c>
      <c r="B327" s="29" t="s">
        <v>25</v>
      </c>
      <c r="C327" s="138" t="s">
        <v>47</v>
      </c>
      <c r="D327" s="140">
        <v>0.03</v>
      </c>
      <c r="E327" s="140">
        <v>2121</v>
      </c>
      <c r="F327" s="29" t="s">
        <v>27</v>
      </c>
      <c r="G327" s="140">
        <v>63.629999999999995</v>
      </c>
      <c r="H327" s="29" t="s">
        <v>15</v>
      </c>
      <c r="I327" s="140">
        <v>18.29</v>
      </c>
      <c r="J327" s="132" t="s">
        <v>16</v>
      </c>
      <c r="K327" s="132" t="s">
        <v>211</v>
      </c>
      <c r="L327" s="132" t="s">
        <v>21</v>
      </c>
      <c r="M327" s="132" t="s">
        <v>21</v>
      </c>
    </row>
    <row r="328" spans="1:13" x14ac:dyDescent="0.25">
      <c r="A328" s="29">
        <v>5</v>
      </c>
      <c r="B328" s="29" t="s">
        <v>25</v>
      </c>
      <c r="C328" s="138" t="s">
        <v>48</v>
      </c>
      <c r="D328" s="140">
        <v>0.03</v>
      </c>
      <c r="E328" s="140">
        <v>2121</v>
      </c>
      <c r="F328" s="29" t="s">
        <v>27</v>
      </c>
      <c r="G328" s="140">
        <v>63.629999999999995</v>
      </c>
      <c r="H328" s="29" t="s">
        <v>15</v>
      </c>
      <c r="I328" s="140">
        <v>18.29</v>
      </c>
      <c r="J328" s="132" t="s">
        <v>16</v>
      </c>
      <c r="K328" s="132" t="s">
        <v>211</v>
      </c>
      <c r="L328" s="132" t="s">
        <v>21</v>
      </c>
      <c r="M328" s="132" t="s">
        <v>21</v>
      </c>
    </row>
    <row r="329" spans="1:13" x14ac:dyDescent="0.25">
      <c r="A329" s="29">
        <v>6</v>
      </c>
      <c r="B329" s="29" t="s">
        <v>49</v>
      </c>
      <c r="C329" s="138" t="s">
        <v>50</v>
      </c>
      <c r="D329" s="140">
        <v>0.08</v>
      </c>
      <c r="E329" s="140">
        <v>2123</v>
      </c>
      <c r="F329" s="29" t="s">
        <v>27</v>
      </c>
      <c r="G329" s="140">
        <v>169.84</v>
      </c>
      <c r="H329" s="29" t="s">
        <v>15</v>
      </c>
      <c r="I329" s="140">
        <v>18.31</v>
      </c>
      <c r="J329" s="132" t="s">
        <v>16</v>
      </c>
      <c r="K329" s="132" t="s">
        <v>217</v>
      </c>
      <c r="L329" s="132" t="s">
        <v>21</v>
      </c>
      <c r="M329" s="132" t="s">
        <v>21</v>
      </c>
    </row>
    <row r="330" spans="1:13" x14ac:dyDescent="0.25">
      <c r="A330" s="29">
        <v>7</v>
      </c>
      <c r="B330" s="29" t="s">
        <v>52</v>
      </c>
      <c r="C330" s="138" t="s">
        <v>53</v>
      </c>
      <c r="D330" s="140">
        <v>0.02</v>
      </c>
      <c r="E330" s="140">
        <v>8484</v>
      </c>
      <c r="F330" s="29" t="s">
        <v>44</v>
      </c>
      <c r="G330" s="140">
        <v>169.68</v>
      </c>
      <c r="H330" s="29" t="s">
        <v>15</v>
      </c>
      <c r="I330" s="140">
        <v>73.16</v>
      </c>
      <c r="J330" s="132" t="s">
        <v>16</v>
      </c>
      <c r="K330" s="132" t="s">
        <v>218</v>
      </c>
      <c r="L330" s="132" t="s">
        <v>21</v>
      </c>
      <c r="M330" s="132" t="s">
        <v>21</v>
      </c>
    </row>
    <row r="331" spans="1:13" x14ac:dyDescent="0.25">
      <c r="A331" s="29">
        <v>8</v>
      </c>
      <c r="B331" s="29" t="s">
        <v>52</v>
      </c>
      <c r="C331" s="138" t="s">
        <v>53</v>
      </c>
      <c r="D331" s="140">
        <v>0.03</v>
      </c>
      <c r="E331" s="140">
        <v>2121</v>
      </c>
      <c r="F331" s="29" t="s">
        <v>44</v>
      </c>
      <c r="G331" s="140">
        <v>63.629999999999995</v>
      </c>
      <c r="H331" s="29" t="s">
        <v>15</v>
      </c>
      <c r="I331" s="140">
        <v>18.29</v>
      </c>
      <c r="J331" s="132" t="s">
        <v>16</v>
      </c>
      <c r="K331" s="132" t="s">
        <v>218</v>
      </c>
      <c r="L331" s="132" t="s">
        <v>21</v>
      </c>
      <c r="M331" s="132" t="s">
        <v>21</v>
      </c>
    </row>
    <row r="332" spans="1:13" x14ac:dyDescent="0.25">
      <c r="A332" s="29">
        <v>9</v>
      </c>
      <c r="B332" s="29" t="s">
        <v>25</v>
      </c>
      <c r="C332" s="138" t="s">
        <v>54</v>
      </c>
      <c r="D332" s="140">
        <v>0.01</v>
      </c>
      <c r="E332" s="140">
        <v>2123</v>
      </c>
      <c r="F332" s="29" t="s">
        <v>27</v>
      </c>
      <c r="G332" s="140">
        <v>21.23</v>
      </c>
      <c r="H332" s="29" t="s">
        <v>15</v>
      </c>
      <c r="I332" s="140">
        <v>18.31</v>
      </c>
      <c r="J332" s="132" t="s">
        <v>16</v>
      </c>
      <c r="K332" s="132" t="s">
        <v>219</v>
      </c>
      <c r="L332" s="132" t="s">
        <v>21</v>
      </c>
      <c r="M332" s="132" t="s">
        <v>21</v>
      </c>
    </row>
    <row r="333" spans="1:13" x14ac:dyDescent="0.25">
      <c r="A333" s="29">
        <v>10</v>
      </c>
      <c r="B333" s="29" t="s">
        <v>30</v>
      </c>
      <c r="C333" s="138" t="s">
        <v>55</v>
      </c>
      <c r="D333" s="140">
        <v>0.04</v>
      </c>
      <c r="E333" s="140">
        <v>2099</v>
      </c>
      <c r="F333" s="29" t="s">
        <v>27</v>
      </c>
      <c r="G333" s="140">
        <v>83.96000000000001</v>
      </c>
      <c r="H333" s="29" t="s">
        <v>15</v>
      </c>
      <c r="I333" s="140">
        <v>18.1</v>
      </c>
      <c r="J333" s="132" t="s">
        <v>16</v>
      </c>
      <c r="K333" s="132" t="s">
        <v>212</v>
      </c>
      <c r="L333" s="132" t="s">
        <v>21</v>
      </c>
      <c r="M333" s="132" t="s">
        <v>21</v>
      </c>
    </row>
    <row r="334" spans="1:13" x14ac:dyDescent="0.25">
      <c r="A334" s="29">
        <v>11</v>
      </c>
      <c r="B334" s="29" t="s">
        <v>30</v>
      </c>
      <c r="C334" s="138" t="s">
        <v>56</v>
      </c>
      <c r="D334" s="140">
        <v>0.04</v>
      </c>
      <c r="E334" s="140">
        <v>4242</v>
      </c>
      <c r="F334" s="29" t="s">
        <v>27</v>
      </c>
      <c r="G334" s="140">
        <v>169.68</v>
      </c>
      <c r="H334" s="29" t="s">
        <v>15</v>
      </c>
      <c r="I334" s="140">
        <v>36.58</v>
      </c>
      <c r="J334" s="132" t="s">
        <v>16</v>
      </c>
      <c r="K334" s="132" t="s">
        <v>212</v>
      </c>
      <c r="L334" s="132" t="s">
        <v>21</v>
      </c>
      <c r="M334" s="132" t="s">
        <v>21</v>
      </c>
    </row>
    <row r="335" spans="1:13" x14ac:dyDescent="0.25">
      <c r="A335" s="29">
        <v>12</v>
      </c>
      <c r="B335" s="29" t="s">
        <v>58</v>
      </c>
      <c r="C335" s="138" t="s">
        <v>59</v>
      </c>
      <c r="D335" s="140">
        <v>0.02</v>
      </c>
      <c r="E335" s="140">
        <v>2103</v>
      </c>
      <c r="F335" s="29" t="s">
        <v>27</v>
      </c>
      <c r="G335" s="140">
        <v>42.06</v>
      </c>
      <c r="H335" s="29" t="s">
        <v>15</v>
      </c>
      <c r="I335" s="140">
        <v>18.13</v>
      </c>
      <c r="J335" s="132" t="s">
        <v>16</v>
      </c>
      <c r="K335" s="132" t="s">
        <v>220</v>
      </c>
      <c r="L335" s="132" t="s">
        <v>21</v>
      </c>
      <c r="M335" s="132" t="s">
        <v>21</v>
      </c>
    </row>
    <row r="336" spans="1:13" x14ac:dyDescent="0.25">
      <c r="A336" s="135"/>
      <c r="B336" s="135" t="s">
        <v>64</v>
      </c>
      <c r="C336" s="135"/>
      <c r="D336" s="136"/>
      <c r="E336" s="137">
        <f>=SUM(E324:E335)</f>
      </c>
      <c r="F336" s="135"/>
      <c r="G336" s="137">
        <f>=SUM(G324:G335)</f>
      </c>
      <c r="H336" s="135"/>
      <c r="I336" s="135"/>
      <c r="J336" s="132"/>
      <c r="K336" s="132"/>
      <c r="L336" s="132"/>
      <c r="M336" s="132"/>
    </row>
    <row r="340" spans="5:7" x14ac:dyDescent="0.25">
      <c r="E340" s="3" t="s">
        <v>337</v>
      </c>
      <c r="G340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338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339</v>
      </c>
      <c r="B2" s="48"/>
      <c r="C2" s="48"/>
      <c r="D2" s="55"/>
      <c r="E2" s="55"/>
      <c r="F2" s="57"/>
      <c r="G2" s="50" t="s">
        <v>166</v>
      </c>
      <c r="H2" s="48"/>
      <c r="I2" s="48"/>
      <c r="J2" s="55"/>
      <c r="K2" s="55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141"/>
      <c r="J3" s="52"/>
      <c r="K3" s="52"/>
    </row>
    <row r="4" ht="15" customHeight="1" spans="1:11" x14ac:dyDescent="0.25">
      <c r="A4" s="1" t="s">
        <v>168</v>
      </c>
      <c r="F4" s="49"/>
      <c r="G4" s="142" t="s">
        <v>169</v>
      </c>
      <c r="H4" s="61"/>
      <c r="I4" s="61"/>
      <c r="J4" s="52"/>
      <c r="K4" s="54">
        <v>46093.625</v>
      </c>
    </row>
    <row r="5" ht="15" customHeight="1" spans="1:10" x14ac:dyDescent="0.25">
      <c r="A5" s="1" t="s">
        <v>170</v>
      </c>
      <c r="F5" s="49"/>
      <c r="G5" s="143" t="s">
        <v>340</v>
      </c>
      <c r="H5" s="66"/>
      <c r="J5" s="55"/>
    </row>
    <row r="6" ht="15" customHeight="1" spans="1:11" x14ac:dyDescent="0.25">
      <c r="A6" s="1" t="s">
        <v>172</v>
      </c>
      <c r="G6" s="144"/>
      <c r="H6" s="145"/>
      <c r="I6" s="146"/>
      <c r="J6" s="56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5"/>
      <c r="G7" s="144"/>
      <c r="H7" s="145"/>
      <c r="I7" s="147"/>
      <c r="J7" s="59"/>
      <c r="K7" s="59"/>
    </row>
    <row r="8" ht="15" customHeight="1" spans="1:11" x14ac:dyDescent="0.25">
      <c r="A8" s="51" t="s">
        <v>175</v>
      </c>
      <c r="B8" s="51"/>
      <c r="C8" s="51"/>
      <c r="F8" s="49"/>
      <c r="G8" s="144"/>
      <c r="H8" s="145"/>
      <c r="I8" s="147"/>
      <c r="J8" s="59"/>
      <c r="K8" s="59"/>
    </row>
    <row r="9" ht="15" customHeight="1" spans="1:11" x14ac:dyDescent="0.25">
      <c r="A9" s="1" t="s">
        <v>177</v>
      </c>
      <c r="F9" s="49"/>
      <c r="G9" s="144"/>
      <c r="H9" s="145"/>
      <c r="I9" s="147"/>
      <c r="J9" s="59"/>
      <c r="K9" s="59"/>
    </row>
    <row r="10" ht="15" customHeight="1" spans="1:11" x14ac:dyDescent="0.25">
      <c r="A10" s="1" t="s">
        <v>178</v>
      </c>
      <c r="F10" s="49"/>
      <c r="G10" s="144"/>
      <c r="H10" s="145"/>
      <c r="I10" s="147"/>
      <c r="J10" s="59"/>
      <c r="K10" s="59"/>
    </row>
    <row r="11" ht="15" customHeight="1" spans="1:11" x14ac:dyDescent="0.25">
      <c r="A11" s="1" t="s">
        <v>179</v>
      </c>
      <c r="F11" s="49"/>
      <c r="G11" s="144"/>
      <c r="H11" s="145"/>
      <c r="I11" s="147"/>
      <c r="J11" s="65"/>
      <c r="K11" s="65"/>
    </row>
    <row r="12" ht="15" customHeight="1" spans="1:11" x14ac:dyDescent="0.25">
      <c r="A12" s="61" t="s">
        <v>181</v>
      </c>
      <c r="B12" s="63"/>
      <c r="C12" s="61"/>
      <c r="D12" s="61"/>
      <c r="E12" s="61"/>
      <c r="F12" s="64"/>
      <c r="G12" s="144"/>
      <c r="H12" s="145"/>
      <c r="I12" s="147"/>
      <c r="J12" s="65"/>
      <c r="K12" s="65"/>
    </row>
    <row r="13" ht="15" customHeight="1" spans="1:11" x14ac:dyDescent="0.25">
      <c r="A13" s="66" t="s">
        <v>182</v>
      </c>
      <c r="F13" s="49"/>
      <c r="G13" s="144"/>
      <c r="H13" s="145"/>
      <c r="I13" s="147"/>
      <c r="J13" s="65"/>
      <c r="K13" s="65"/>
    </row>
    <row r="14" ht="15" customHeight="1" spans="1:11" x14ac:dyDescent="0.25">
      <c r="A14" s="148" t="s">
        <v>183</v>
      </c>
      <c r="B14" s="148"/>
      <c r="C14" s="148"/>
      <c r="G14" s="144"/>
      <c r="H14" s="145"/>
      <c r="I14" s="147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4"/>
      <c r="H15" s="145"/>
      <c r="I15" s="147"/>
      <c r="J15" s="65"/>
      <c r="K15" s="65"/>
    </row>
    <row r="16" ht="15" customHeight="1" spans="1:11" x14ac:dyDescent="0.25">
      <c r="A16" s="48" t="s">
        <v>184</v>
      </c>
      <c r="B16" s="48"/>
      <c r="C16" s="49"/>
      <c r="D16" s="48" t="s">
        <v>185</v>
      </c>
      <c r="E16" s="48"/>
      <c r="F16" s="48"/>
      <c r="G16" s="144"/>
      <c r="H16" s="145"/>
      <c r="I16" s="147"/>
      <c r="J16" s="65"/>
      <c r="K16" s="65"/>
    </row>
    <row r="17" ht="15" customHeight="1" spans="1:11" x14ac:dyDescent="0.25">
      <c r="A17" s="141"/>
      <c r="C17" s="49"/>
      <c r="D17" s="141"/>
      <c r="E17" s="141"/>
      <c r="G17" s="144"/>
      <c r="H17" s="145"/>
      <c r="I17" s="147"/>
      <c r="J17" s="65"/>
      <c r="K17" s="65"/>
    </row>
    <row r="18" ht="15" customHeight="1" spans="1:11" x14ac:dyDescent="0.25">
      <c r="A18" s="73" t="s">
        <v>186</v>
      </c>
      <c r="B18" s="73"/>
      <c r="C18" s="73"/>
      <c r="D18" s="149" t="s">
        <v>187</v>
      </c>
      <c r="E18" s="149"/>
      <c r="F18" s="149"/>
      <c r="G18" s="144"/>
      <c r="H18" s="145"/>
      <c r="I18" s="147"/>
      <c r="J18" s="65"/>
      <c r="K18" s="65"/>
    </row>
    <row r="19" ht="15" customHeight="1" spans="1:11" x14ac:dyDescent="0.25">
      <c r="A19" s="48" t="s">
        <v>188</v>
      </c>
      <c r="B19" s="48"/>
      <c r="C19" s="49"/>
      <c r="D19" s="48" t="s">
        <v>189</v>
      </c>
      <c r="E19" s="48"/>
      <c r="F19" s="48"/>
      <c r="G19" s="144"/>
      <c r="H19" s="145"/>
      <c r="I19" s="147"/>
      <c r="J19" s="65"/>
      <c r="K19" s="65"/>
    </row>
    <row r="20" ht="15" customHeight="1" spans="3:11" x14ac:dyDescent="0.25">
      <c r="C20" s="49"/>
      <c r="D20" s="150" t="s">
        <v>174</v>
      </c>
      <c r="E20" s="150"/>
      <c r="G20" s="144"/>
      <c r="H20" s="145"/>
      <c r="I20" s="147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1"/>
      <c r="H21" s="61"/>
      <c r="I21" s="152"/>
      <c r="J21" s="77"/>
      <c r="K21" s="77"/>
    </row>
    <row r="22" ht="15" customHeight="1" spans="1:11" x14ac:dyDescent="0.25">
      <c r="A22" s="78" t="s">
        <v>341</v>
      </c>
      <c r="B22" s="78"/>
      <c r="C22" s="78"/>
      <c r="D22" s="79" t="s">
        <v>342</v>
      </c>
      <c r="E22" s="79"/>
      <c r="F22" s="79"/>
      <c r="G22" s="79" t="s">
        <v>343</v>
      </c>
      <c r="H22" s="79"/>
      <c r="I22" s="80" t="s">
        <v>344</v>
      </c>
      <c r="J22" s="80" t="s">
        <v>345</v>
      </c>
      <c r="K22" s="81" t="s">
        <v>346</v>
      </c>
    </row>
    <row r="23" ht="15" customHeight="1" spans="1:10" x14ac:dyDescent="0.25">
      <c r="A23" s="1" t="s">
        <v>174</v>
      </c>
      <c r="C23" s="49"/>
      <c r="G23" s="153"/>
      <c r="H23" s="49"/>
      <c r="I23" s="154" t="s">
        <v>9</v>
      </c>
      <c r="J23" s="154" t="s">
        <v>9</v>
      </c>
    </row>
    <row r="24" ht="15" customHeight="1" spans="1:7" x14ac:dyDescent="0.25">
      <c r="A24" s="1" t="s">
        <v>174</v>
      </c>
      <c r="G24" s="1" t="s">
        <v>347</v>
      </c>
    </row>
    <row r="25" ht="15" customHeight="1" spans="4:11" x14ac:dyDescent="0.25">
      <c r="D25" s="51" t="s">
        <v>348</v>
      </c>
      <c r="E25" s="51"/>
      <c r="G25" s="155">
        <f>=VLOOKUP("TOTAL",P!A:I,7,0)</f>
      </c>
      <c r="H25" s="155"/>
      <c r="I25" s="156">
        <f>='BVT.INV'!I32</f>
      </c>
      <c r="J25" s="157">
        <f>=I25*1.1</f>
      </c>
      <c r="K25" s="84">
        <f>=J25/166</f>
      </c>
    </row>
    <row r="26" ht="15" customHeight="1" spans="4:11" x14ac:dyDescent="0.25">
      <c r="D26" s="158"/>
      <c r="E26" s="158"/>
      <c r="I26" s="159"/>
      <c r="J26" s="86"/>
      <c r="K26" s="86"/>
    </row>
    <row r="27" ht="15" customHeight="1" spans="1:11" x14ac:dyDescent="0.25">
      <c r="A27" s="160" t="s">
        <v>196</v>
      </c>
      <c r="B27" s="160"/>
      <c r="D27" s="71"/>
      <c r="E27" s="71"/>
      <c r="F27" s="161"/>
      <c r="G27" s="71"/>
      <c r="I27" s="159"/>
      <c r="J27" s="86"/>
      <c r="K27" s="86"/>
    </row>
    <row r="28" ht="15" customHeight="1" spans="1:11" x14ac:dyDescent="0.25">
      <c r="A28" s="162" t="s">
        <v>197</v>
      </c>
      <c r="D28" s="51"/>
      <c r="E28" s="71"/>
      <c r="F28" s="161"/>
      <c r="G28" s="71"/>
      <c r="I28" s="159"/>
      <c r="J28" s="86"/>
      <c r="K28" s="86"/>
    </row>
    <row r="29" ht="15" customHeight="1" spans="1:11" x14ac:dyDescent="0.25">
      <c r="A29" s="163"/>
      <c r="D29" s="51" t="s">
        <v>198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3" t="s">
        <v>199</v>
      </c>
      <c r="B30" s="163"/>
      <c r="G30" s="71"/>
      <c r="H30" s="89"/>
      <c r="I30" s="86"/>
      <c r="J30" s="157"/>
      <c r="K30" s="84"/>
    </row>
    <row r="31" ht="15" customHeight="1" spans="1:2" x14ac:dyDescent="0.25">
      <c r="A31" s="163" t="s">
        <v>200</v>
      </c>
      <c r="B31" s="164"/>
    </row>
    <row r="32" ht="15" customHeight="1" spans="1:10" x14ac:dyDescent="0.25">
      <c r="A32" s="163" t="s">
        <v>201</v>
      </c>
      <c r="B32" s="164"/>
      <c r="F32" s="163"/>
      <c r="G32" s="88"/>
      <c r="H32" s="89"/>
      <c r="J32" s="86"/>
    </row>
    <row r="33" ht="15" customHeight="1" spans="1:11" x14ac:dyDescent="0.25">
      <c r="A33" s="163" t="s">
        <v>202</v>
      </c>
      <c r="B33" s="164"/>
      <c r="D33" s="165" t="s">
        <v>162</v>
      </c>
      <c r="E33" s="166"/>
      <c r="F33" s="166"/>
      <c r="G33" s="167"/>
      <c r="H33" s="168"/>
      <c r="I33" s="166"/>
      <c r="J33" s="166"/>
      <c r="K33" s="166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9"/>
      <c r="E38" s="169"/>
      <c r="G38" s="163"/>
    </row>
    <row r="39" ht="15" customHeight="1" spans="4:7" x14ac:dyDescent="0.25">
      <c r="D39" s="169"/>
      <c r="E39" s="169"/>
      <c r="G39" s="163"/>
    </row>
    <row r="40" ht="15" customHeight="1" spans="4:7" x14ac:dyDescent="0.25">
      <c r="D40" s="169"/>
      <c r="E40" s="169"/>
      <c r="G40" s="163"/>
    </row>
    <row r="41" ht="15" customHeight="1" spans="4:7" x14ac:dyDescent="0.25">
      <c r="D41" s="169"/>
      <c r="E41" s="169"/>
      <c r="G41" s="163"/>
    </row>
    <row r="42" ht="15" customHeight="1" spans="4:7" x14ac:dyDescent="0.25">
      <c r="D42" s="169"/>
      <c r="E42" s="169"/>
      <c r="G42" s="163"/>
    </row>
    <row r="43" ht="15" customHeight="1" spans="4:7" x14ac:dyDescent="0.25">
      <c r="D43" s="169"/>
      <c r="E43" s="169"/>
      <c r="G43" s="163"/>
    </row>
    <row r="44" ht="15" customHeight="1" spans="4:7" x14ac:dyDescent="0.25">
      <c r="D44" s="169"/>
      <c r="E44" s="169"/>
      <c r="G44" s="163"/>
    </row>
    <row r="45" ht="15" customHeight="1" spans="4:7" x14ac:dyDescent="0.25">
      <c r="D45" s="169"/>
      <c r="E45" s="169"/>
      <c r="G45" s="163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349</v>
      </c>
      <c r="B51" s="66"/>
      <c r="C51" s="66"/>
      <c r="D51" s="66"/>
      <c r="E51" s="66"/>
    </row>
    <row r="52" ht="15" customHeight="1" spans="1:11" x14ac:dyDescent="0.25">
      <c r="A52" s="66" t="s">
        <v>204</v>
      </c>
      <c r="B52" s="66"/>
      <c r="C52" s="66"/>
      <c r="H52" s="97" t="s">
        <v>350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3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70" t="s">
        <v>351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x14ac:dyDescent="0.25">
      <c r="A3" s="171" t="s">
        <v>66</v>
      </c>
      <c r="B3" s="171" t="s">
        <v>352</v>
      </c>
      <c r="C3" s="171" t="s">
        <v>67</v>
      </c>
      <c r="D3" s="171" t="s">
        <v>68</v>
      </c>
      <c r="E3" s="171" t="s">
        <v>69</v>
      </c>
      <c r="F3" s="171" t="s">
        <v>70</v>
      </c>
      <c r="G3" s="171" t="s">
        <v>71</v>
      </c>
      <c r="H3" s="171" t="s">
        <v>72</v>
      </c>
      <c r="I3" s="171" t="s">
        <v>73</v>
      </c>
      <c r="J3" s="171" t="s">
        <v>74</v>
      </c>
    </row>
    <row r="4" spans="1:14" x14ac:dyDescent="0.25">
      <c r="A4" s="172" t="s">
        <v>137</v>
      </c>
      <c r="B4" s="172" t="s">
        <v>353</v>
      </c>
      <c r="C4" s="172" t="s">
        <v>37</v>
      </c>
      <c r="D4" s="172" t="s">
        <v>141</v>
      </c>
      <c r="E4" s="172" t="s">
        <v>138</v>
      </c>
      <c r="F4" s="172" t="s">
        <v>14</v>
      </c>
      <c r="G4" s="173">
        <v>22</v>
      </c>
      <c r="H4" s="174">
        <v>16</v>
      </c>
      <c r="I4" s="172" t="s">
        <v>78</v>
      </c>
      <c r="J4" s="172" t="s">
        <v>142</v>
      </c>
      <c r="K4" t="s">
        <v>36</v>
      </c>
      <c r="L4" t="s">
        <v>37</v>
      </c>
      <c r="N4" t="s">
        <v>21</v>
      </c>
    </row>
    <row r="5" spans="1:14" x14ac:dyDescent="0.25">
      <c r="A5" s="172" t="s">
        <v>137</v>
      </c>
      <c r="B5" s="172" t="s">
        <v>354</v>
      </c>
      <c r="C5" s="172" t="s">
        <v>37</v>
      </c>
      <c r="D5" s="172" t="s">
        <v>103</v>
      </c>
      <c r="E5" s="172" t="s">
        <v>143</v>
      </c>
      <c r="F5" s="172" t="s">
        <v>14</v>
      </c>
      <c r="G5" s="173">
        <v>33</v>
      </c>
      <c r="H5" s="174">
        <v>0</v>
      </c>
      <c r="I5" s="172" t="s">
        <v>78</v>
      </c>
      <c r="J5" s="172" t="s">
        <v>142</v>
      </c>
      <c r="K5" t="s">
        <v>36</v>
      </c>
      <c r="L5" t="s">
        <v>37</v>
      </c>
      <c r="N5" t="s">
        <v>21</v>
      </c>
    </row>
    <row r="6" spans="1:14" x14ac:dyDescent="0.25">
      <c r="A6" s="172" t="s">
        <v>137</v>
      </c>
      <c r="B6" s="172" t="s">
        <v>355</v>
      </c>
      <c r="C6" s="172" t="s">
        <v>37</v>
      </c>
      <c r="D6" s="172" t="s">
        <v>103</v>
      </c>
      <c r="E6" s="172" t="s">
        <v>144</v>
      </c>
      <c r="F6" s="172" t="s">
        <v>14</v>
      </c>
      <c r="G6" s="173">
        <v>47</v>
      </c>
      <c r="H6" s="174"/>
      <c r="I6" s="172"/>
      <c r="J6" s="172"/>
      <c r="K6" t="s">
        <v>273</v>
      </c>
      <c r="L6" t="s">
        <v>274</v>
      </c>
      <c r="N6" t="s">
        <v>21</v>
      </c>
    </row>
    <row r="7" spans="1:14" x14ac:dyDescent="0.25">
      <c r="A7" s="172" t="s">
        <v>137</v>
      </c>
      <c r="B7" s="172" t="s">
        <v>354</v>
      </c>
      <c r="C7" s="172" t="s">
        <v>37</v>
      </c>
      <c r="D7" s="172" t="s">
        <v>103</v>
      </c>
      <c r="E7" s="172" t="s">
        <v>143</v>
      </c>
      <c r="F7" s="172" t="s">
        <v>14</v>
      </c>
      <c r="G7" s="173">
        <v>55</v>
      </c>
      <c r="H7" s="174"/>
      <c r="I7" s="172"/>
      <c r="J7" s="172"/>
      <c r="K7" t="s">
        <v>36</v>
      </c>
      <c r="L7" t="s">
        <v>37</v>
      </c>
      <c r="N7" t="s">
        <v>21</v>
      </c>
    </row>
    <row r="8" spans="1:14" x14ac:dyDescent="0.25">
      <c r="A8" s="172" t="s">
        <v>137</v>
      </c>
      <c r="B8" s="172" t="s">
        <v>356</v>
      </c>
      <c r="C8" s="172" t="s">
        <v>37</v>
      </c>
      <c r="D8" s="172" t="s">
        <v>145</v>
      </c>
      <c r="E8" s="172" t="s">
        <v>138</v>
      </c>
      <c r="F8" s="172" t="s">
        <v>14</v>
      </c>
      <c r="G8" s="173">
        <v>55</v>
      </c>
      <c r="H8" s="174"/>
      <c r="I8" s="172"/>
      <c r="J8" s="172"/>
      <c r="K8" t="s">
        <v>36</v>
      </c>
      <c r="L8" t="s">
        <v>37</v>
      </c>
      <c r="N8" t="s">
        <v>21</v>
      </c>
    </row>
    <row r="9" spans="1:14" x14ac:dyDescent="0.25">
      <c r="A9" s="172" t="s">
        <v>137</v>
      </c>
      <c r="B9" s="172" t="s">
        <v>353</v>
      </c>
      <c r="C9" s="172" t="s">
        <v>37</v>
      </c>
      <c r="D9" s="172" t="s">
        <v>141</v>
      </c>
      <c r="E9" s="172" t="s">
        <v>138</v>
      </c>
      <c r="F9" s="172" t="s">
        <v>14</v>
      </c>
      <c r="G9" s="173">
        <v>63</v>
      </c>
      <c r="H9" s="174"/>
      <c r="I9" s="172"/>
      <c r="J9" s="172"/>
      <c r="K9" t="s">
        <v>36</v>
      </c>
      <c r="L9" t="s">
        <v>37</v>
      </c>
      <c r="N9" t="s">
        <v>21</v>
      </c>
    </row>
    <row r="10" spans="1:14" x14ac:dyDescent="0.25">
      <c r="A10" s="172" t="s">
        <v>137</v>
      </c>
      <c r="B10" s="172" t="s">
        <v>357</v>
      </c>
      <c r="C10" s="172" t="s">
        <v>37</v>
      </c>
      <c r="D10" s="172" t="s">
        <v>146</v>
      </c>
      <c r="E10" s="172" t="s">
        <v>138</v>
      </c>
      <c r="F10" s="172" t="s">
        <v>14</v>
      </c>
      <c r="G10" s="173">
        <v>66</v>
      </c>
      <c r="H10" s="174"/>
      <c r="I10" s="172"/>
      <c r="J10" s="172"/>
      <c r="K10" t="s">
        <v>36</v>
      </c>
      <c r="L10" t="s">
        <v>37</v>
      </c>
      <c r="N10" t="s">
        <v>21</v>
      </c>
    </row>
    <row r="11" spans="1:14" x14ac:dyDescent="0.25">
      <c r="A11" s="172" t="s">
        <v>137</v>
      </c>
      <c r="B11" s="172" t="s">
        <v>358</v>
      </c>
      <c r="C11" s="172" t="s">
        <v>37</v>
      </c>
      <c r="D11" s="172" t="s">
        <v>147</v>
      </c>
      <c r="E11" s="172" t="s">
        <v>138</v>
      </c>
      <c r="F11" s="172" t="s">
        <v>14</v>
      </c>
      <c r="G11" s="173">
        <v>77</v>
      </c>
      <c r="H11" s="174"/>
      <c r="I11" s="172"/>
      <c r="J11" s="172"/>
      <c r="K11" t="s">
        <v>36</v>
      </c>
      <c r="L11" t="s">
        <v>37</v>
      </c>
      <c r="N11" t="s">
        <v>21</v>
      </c>
    </row>
    <row r="12" spans="1:14" x14ac:dyDescent="0.25">
      <c r="A12" s="172" t="s">
        <v>137</v>
      </c>
      <c r="B12" s="172" t="s">
        <v>359</v>
      </c>
      <c r="C12" s="172" t="s">
        <v>37</v>
      </c>
      <c r="D12" s="172" t="s">
        <v>148</v>
      </c>
      <c r="E12" s="172" t="s">
        <v>138</v>
      </c>
      <c r="F12" s="172" t="s">
        <v>14</v>
      </c>
      <c r="G12" s="173">
        <v>77</v>
      </c>
      <c r="H12" s="174"/>
      <c r="I12" s="172"/>
      <c r="J12" s="172"/>
      <c r="K12" t="s">
        <v>36</v>
      </c>
      <c r="L12" t="s">
        <v>37</v>
      </c>
      <c r="N12" t="s">
        <v>21</v>
      </c>
    </row>
    <row r="13" spans="1:14" x14ac:dyDescent="0.25">
      <c r="A13" s="172" t="s">
        <v>137</v>
      </c>
      <c r="B13" s="172" t="s">
        <v>360</v>
      </c>
      <c r="C13" s="172" t="s">
        <v>37</v>
      </c>
      <c r="D13" s="172" t="s">
        <v>149</v>
      </c>
      <c r="E13" s="172" t="s">
        <v>138</v>
      </c>
      <c r="F13" s="172" t="s">
        <v>14</v>
      </c>
      <c r="G13" s="173">
        <v>80</v>
      </c>
      <c r="H13" s="174"/>
      <c r="I13" s="172"/>
      <c r="J13" s="172"/>
      <c r="K13" t="s">
        <v>36</v>
      </c>
      <c r="L13" t="s">
        <v>37</v>
      </c>
      <c r="N13" t="s">
        <v>21</v>
      </c>
    </row>
    <row r="14" spans="1:14" x14ac:dyDescent="0.25">
      <c r="A14" s="172" t="s">
        <v>137</v>
      </c>
      <c r="B14" s="172" t="s">
        <v>355</v>
      </c>
      <c r="C14" s="172" t="s">
        <v>37</v>
      </c>
      <c r="D14" s="172" t="s">
        <v>103</v>
      </c>
      <c r="E14" s="172" t="s">
        <v>144</v>
      </c>
      <c r="F14" s="172" t="s">
        <v>14</v>
      </c>
      <c r="G14" s="173">
        <v>109</v>
      </c>
      <c r="H14" s="174"/>
      <c r="I14" s="172"/>
      <c r="J14" s="172"/>
      <c r="K14" t="s">
        <v>273</v>
      </c>
      <c r="L14" t="s">
        <v>274</v>
      </c>
      <c r="N14" t="s">
        <v>21</v>
      </c>
    </row>
    <row r="15" spans="1:14" x14ac:dyDescent="0.25">
      <c r="A15" s="172" t="s">
        <v>137</v>
      </c>
      <c r="B15" s="172" t="s">
        <v>361</v>
      </c>
      <c r="C15" s="172" t="s">
        <v>37</v>
      </c>
      <c r="D15" s="172" t="s">
        <v>150</v>
      </c>
      <c r="E15" s="172" t="s">
        <v>138</v>
      </c>
      <c r="F15" s="172" t="s">
        <v>14</v>
      </c>
      <c r="G15" s="173">
        <v>110</v>
      </c>
      <c r="H15" s="174"/>
      <c r="I15" s="172"/>
      <c r="J15" s="172"/>
      <c r="K15" t="s">
        <v>36</v>
      </c>
      <c r="L15" t="s">
        <v>37</v>
      </c>
      <c r="N15" t="s">
        <v>21</v>
      </c>
    </row>
    <row r="16" spans="1:14" x14ac:dyDescent="0.25">
      <c r="A16" s="172" t="s">
        <v>137</v>
      </c>
      <c r="B16" s="172" t="s">
        <v>361</v>
      </c>
      <c r="C16" s="172" t="s">
        <v>37</v>
      </c>
      <c r="D16" s="172" t="s">
        <v>150</v>
      </c>
      <c r="E16" s="172" t="s">
        <v>138</v>
      </c>
      <c r="F16" s="172" t="s">
        <v>14</v>
      </c>
      <c r="G16" s="173">
        <v>110</v>
      </c>
      <c r="H16" s="174"/>
      <c r="I16" s="172"/>
      <c r="J16" s="172"/>
      <c r="K16" t="s">
        <v>36</v>
      </c>
      <c r="L16" t="s">
        <v>37</v>
      </c>
      <c r="N16" t="s">
        <v>21</v>
      </c>
    </row>
    <row r="17" spans="1:14" x14ac:dyDescent="0.25">
      <c r="A17" s="172" t="s">
        <v>137</v>
      </c>
      <c r="B17" s="172" t="s">
        <v>358</v>
      </c>
      <c r="C17" s="172" t="s">
        <v>37</v>
      </c>
      <c r="D17" s="172" t="s">
        <v>147</v>
      </c>
      <c r="E17" s="172" t="s">
        <v>138</v>
      </c>
      <c r="F17" s="172" t="s">
        <v>14</v>
      </c>
      <c r="G17" s="173">
        <v>130</v>
      </c>
      <c r="H17" s="174"/>
      <c r="I17" s="172"/>
      <c r="J17" s="172"/>
      <c r="K17" t="s">
        <v>36</v>
      </c>
      <c r="L17" t="s">
        <v>37</v>
      </c>
      <c r="N17" t="s">
        <v>21</v>
      </c>
    </row>
    <row r="18" spans="1:14" x14ac:dyDescent="0.25">
      <c r="A18" s="172" t="s">
        <v>137</v>
      </c>
      <c r="B18" s="172" t="s">
        <v>359</v>
      </c>
      <c r="C18" s="172" t="s">
        <v>37</v>
      </c>
      <c r="D18" s="172" t="s">
        <v>148</v>
      </c>
      <c r="E18" s="172" t="s">
        <v>138</v>
      </c>
      <c r="F18" s="172" t="s">
        <v>14</v>
      </c>
      <c r="G18" s="173">
        <v>133</v>
      </c>
      <c r="H18" s="174"/>
      <c r="I18" s="172"/>
      <c r="J18" s="172"/>
      <c r="K18" t="s">
        <v>36</v>
      </c>
      <c r="L18" t="s">
        <v>37</v>
      </c>
      <c r="N18" t="s">
        <v>21</v>
      </c>
    </row>
    <row r="19" spans="1:14" x14ac:dyDescent="0.25">
      <c r="A19" s="172" t="s">
        <v>137</v>
      </c>
      <c r="B19" s="172" t="s">
        <v>358</v>
      </c>
      <c r="C19" s="172" t="s">
        <v>37</v>
      </c>
      <c r="D19" s="172" t="s">
        <v>147</v>
      </c>
      <c r="E19" s="172" t="s">
        <v>138</v>
      </c>
      <c r="F19" s="172" t="s">
        <v>14</v>
      </c>
      <c r="G19" s="173">
        <v>148</v>
      </c>
      <c r="H19" s="174"/>
      <c r="I19" s="172"/>
      <c r="J19" s="172"/>
      <c r="K19" t="s">
        <v>36</v>
      </c>
      <c r="L19" t="s">
        <v>37</v>
      </c>
      <c r="N19" t="s">
        <v>21</v>
      </c>
    </row>
    <row r="20" spans="1:14" x14ac:dyDescent="0.25">
      <c r="A20" s="172" t="s">
        <v>137</v>
      </c>
      <c r="B20" s="172" t="s">
        <v>356</v>
      </c>
      <c r="C20" s="172" t="s">
        <v>37</v>
      </c>
      <c r="D20" s="172" t="s">
        <v>145</v>
      </c>
      <c r="E20" s="172" t="s">
        <v>138</v>
      </c>
      <c r="F20" s="172" t="s">
        <v>14</v>
      </c>
      <c r="G20" s="173">
        <v>152</v>
      </c>
      <c r="H20" s="174"/>
      <c r="I20" s="172"/>
      <c r="J20" s="172"/>
      <c r="K20" t="s">
        <v>36</v>
      </c>
      <c r="L20" t="s">
        <v>37</v>
      </c>
      <c r="N20" t="s">
        <v>21</v>
      </c>
    </row>
    <row r="21" spans="1:14" x14ac:dyDescent="0.25">
      <c r="A21" s="172" t="s">
        <v>137</v>
      </c>
      <c r="B21" s="172" t="s">
        <v>358</v>
      </c>
      <c r="C21" s="172" t="s">
        <v>37</v>
      </c>
      <c r="D21" s="172" t="s">
        <v>147</v>
      </c>
      <c r="E21" s="172" t="s">
        <v>138</v>
      </c>
      <c r="F21" s="172" t="s">
        <v>14</v>
      </c>
      <c r="G21" s="173">
        <v>173</v>
      </c>
      <c r="H21" s="174"/>
      <c r="I21" s="172"/>
      <c r="J21" s="172"/>
      <c r="K21" t="s">
        <v>36</v>
      </c>
      <c r="L21" t="s">
        <v>37</v>
      </c>
      <c r="N21" t="s">
        <v>21</v>
      </c>
    </row>
    <row r="22" spans="1:14" x14ac:dyDescent="0.25">
      <c r="A22" s="172" t="s">
        <v>137</v>
      </c>
      <c r="B22" s="172" t="s">
        <v>360</v>
      </c>
      <c r="C22" s="172" t="s">
        <v>37</v>
      </c>
      <c r="D22" s="172" t="s">
        <v>149</v>
      </c>
      <c r="E22" s="172" t="s">
        <v>138</v>
      </c>
      <c r="F22" s="172" t="s">
        <v>14</v>
      </c>
      <c r="G22" s="173">
        <v>179</v>
      </c>
      <c r="H22" s="174"/>
      <c r="I22" s="172"/>
      <c r="J22" s="172"/>
      <c r="K22" t="s">
        <v>36</v>
      </c>
      <c r="L22" t="s">
        <v>37</v>
      </c>
      <c r="N22" t="s">
        <v>21</v>
      </c>
    </row>
    <row r="23" spans="1:14" x14ac:dyDescent="0.25">
      <c r="A23" s="172" t="s">
        <v>137</v>
      </c>
      <c r="B23" s="172" t="s">
        <v>355</v>
      </c>
      <c r="C23" s="172" t="s">
        <v>37</v>
      </c>
      <c r="D23" s="172" t="s">
        <v>103</v>
      </c>
      <c r="E23" s="172" t="s">
        <v>144</v>
      </c>
      <c r="F23" s="172" t="s">
        <v>14</v>
      </c>
      <c r="G23" s="173">
        <v>214</v>
      </c>
      <c r="H23" s="174"/>
      <c r="I23" s="172"/>
      <c r="J23" s="172"/>
      <c r="K23" t="s">
        <v>273</v>
      </c>
      <c r="L23" t="s">
        <v>274</v>
      </c>
      <c r="N23" t="s">
        <v>21</v>
      </c>
    </row>
    <row r="24" spans="1:14" x14ac:dyDescent="0.25">
      <c r="A24" s="172" t="s">
        <v>137</v>
      </c>
      <c r="B24" s="172" t="s">
        <v>360</v>
      </c>
      <c r="C24" s="172" t="s">
        <v>37</v>
      </c>
      <c r="D24" s="172" t="s">
        <v>149</v>
      </c>
      <c r="E24" s="172" t="s">
        <v>138</v>
      </c>
      <c r="F24" s="172" t="s">
        <v>14</v>
      </c>
      <c r="G24" s="173">
        <v>221</v>
      </c>
      <c r="H24" s="174"/>
      <c r="I24" s="172"/>
      <c r="J24" s="172"/>
      <c r="K24" t="s">
        <v>36</v>
      </c>
      <c r="L24" t="s">
        <v>37</v>
      </c>
      <c r="N24" t="s">
        <v>21</v>
      </c>
    </row>
    <row r="25" spans="1:14" x14ac:dyDescent="0.25">
      <c r="A25" s="172" t="s">
        <v>137</v>
      </c>
      <c r="B25" s="172" t="s">
        <v>353</v>
      </c>
      <c r="C25" s="172" t="s">
        <v>37</v>
      </c>
      <c r="D25" s="172" t="s">
        <v>141</v>
      </c>
      <c r="E25" s="172" t="s">
        <v>138</v>
      </c>
      <c r="F25" s="172" t="s">
        <v>14</v>
      </c>
      <c r="G25" s="173">
        <v>231</v>
      </c>
      <c r="H25" s="174"/>
      <c r="I25" s="172"/>
      <c r="J25" s="172"/>
      <c r="K25" t="s">
        <v>36</v>
      </c>
      <c r="L25" t="s">
        <v>37</v>
      </c>
      <c r="N25" t="s">
        <v>21</v>
      </c>
    </row>
    <row r="26" spans="1:14" x14ac:dyDescent="0.25">
      <c r="A26" s="172" t="s">
        <v>137</v>
      </c>
      <c r="B26" s="172" t="s">
        <v>355</v>
      </c>
      <c r="C26" s="172" t="s">
        <v>37</v>
      </c>
      <c r="D26" s="172" t="s">
        <v>103</v>
      </c>
      <c r="E26" s="172" t="s">
        <v>144</v>
      </c>
      <c r="F26" s="172" t="s">
        <v>14</v>
      </c>
      <c r="G26" s="173">
        <v>260</v>
      </c>
      <c r="H26" s="174"/>
      <c r="I26" s="172"/>
      <c r="J26" s="172"/>
      <c r="K26" t="s">
        <v>273</v>
      </c>
      <c r="L26" t="s">
        <v>274</v>
      </c>
      <c r="N26" t="s">
        <v>21</v>
      </c>
    </row>
    <row r="27" spans="1:14" x14ac:dyDescent="0.25">
      <c r="A27" s="172" t="s">
        <v>137</v>
      </c>
      <c r="B27" s="172" t="s">
        <v>356</v>
      </c>
      <c r="C27" s="172" t="s">
        <v>37</v>
      </c>
      <c r="D27" s="172" t="s">
        <v>145</v>
      </c>
      <c r="E27" s="172" t="s">
        <v>138</v>
      </c>
      <c r="F27" s="172" t="s">
        <v>14</v>
      </c>
      <c r="G27" s="173">
        <v>282</v>
      </c>
      <c r="H27" s="174"/>
      <c r="I27" s="172"/>
      <c r="J27" s="172"/>
      <c r="K27" t="s">
        <v>36</v>
      </c>
      <c r="L27" t="s">
        <v>37</v>
      </c>
      <c r="N27" t="s">
        <v>21</v>
      </c>
    </row>
    <row r="28" spans="1:14" x14ac:dyDescent="0.25">
      <c r="A28" s="172" t="s">
        <v>137</v>
      </c>
      <c r="B28" s="172" t="s">
        <v>359</v>
      </c>
      <c r="C28" s="172" t="s">
        <v>37</v>
      </c>
      <c r="D28" s="172" t="s">
        <v>148</v>
      </c>
      <c r="E28" s="172" t="s">
        <v>138</v>
      </c>
      <c r="F28" s="172" t="s">
        <v>14</v>
      </c>
      <c r="G28" s="173">
        <v>310</v>
      </c>
      <c r="H28" s="174"/>
      <c r="I28" s="172"/>
      <c r="J28" s="172"/>
      <c r="K28" t="s">
        <v>36</v>
      </c>
      <c r="L28" t="s">
        <v>37</v>
      </c>
      <c r="N28" t="s">
        <v>21</v>
      </c>
    </row>
    <row r="29" spans="1:14" x14ac:dyDescent="0.25">
      <c r="A29" s="172" t="s">
        <v>137</v>
      </c>
      <c r="B29" s="172" t="s">
        <v>358</v>
      </c>
      <c r="C29" s="172" t="s">
        <v>37</v>
      </c>
      <c r="D29" s="172" t="s">
        <v>147</v>
      </c>
      <c r="E29" s="172" t="s">
        <v>138</v>
      </c>
      <c r="F29" s="172" t="s">
        <v>14</v>
      </c>
      <c r="G29" s="173">
        <v>310</v>
      </c>
      <c r="H29" s="174"/>
      <c r="I29" s="172"/>
      <c r="J29" s="172"/>
      <c r="K29" t="s">
        <v>36</v>
      </c>
      <c r="L29" t="s">
        <v>37</v>
      </c>
      <c r="N29" t="s">
        <v>21</v>
      </c>
    </row>
    <row r="30" spans="1:14" x14ac:dyDescent="0.25">
      <c r="A30" s="172" t="s">
        <v>137</v>
      </c>
      <c r="B30" s="172" t="s">
        <v>353</v>
      </c>
      <c r="C30" s="172" t="s">
        <v>37</v>
      </c>
      <c r="D30" s="172" t="s">
        <v>141</v>
      </c>
      <c r="E30" s="172" t="s">
        <v>138</v>
      </c>
      <c r="F30" s="172" t="s">
        <v>14</v>
      </c>
      <c r="G30" s="173">
        <v>340</v>
      </c>
      <c r="H30" s="174"/>
      <c r="I30" s="172"/>
      <c r="J30" s="172"/>
      <c r="K30" t="s">
        <v>36</v>
      </c>
      <c r="L30" t="s">
        <v>37</v>
      </c>
      <c r="N30" t="s">
        <v>21</v>
      </c>
    </row>
    <row r="31" spans="1:14" x14ac:dyDescent="0.25">
      <c r="A31" s="172" t="s">
        <v>137</v>
      </c>
      <c r="B31" s="172" t="s">
        <v>356</v>
      </c>
      <c r="C31" s="172" t="s">
        <v>37</v>
      </c>
      <c r="D31" s="172" t="s">
        <v>145</v>
      </c>
      <c r="E31" s="172" t="s">
        <v>138</v>
      </c>
      <c r="F31" s="172" t="s">
        <v>14</v>
      </c>
      <c r="G31" s="173">
        <v>357</v>
      </c>
      <c r="H31" s="174"/>
      <c r="I31" s="172"/>
      <c r="J31" s="172"/>
      <c r="K31" t="s">
        <v>36</v>
      </c>
      <c r="L31" t="s">
        <v>37</v>
      </c>
      <c r="N31" t="s">
        <v>21</v>
      </c>
    </row>
    <row r="32" spans="1:14" x14ac:dyDescent="0.25">
      <c r="A32" s="172" t="s">
        <v>137</v>
      </c>
      <c r="B32" s="172" t="s">
        <v>357</v>
      </c>
      <c r="C32" s="172" t="s">
        <v>37</v>
      </c>
      <c r="D32" s="172" t="s">
        <v>146</v>
      </c>
      <c r="E32" s="172" t="s">
        <v>138</v>
      </c>
      <c r="F32" s="172" t="s">
        <v>14</v>
      </c>
      <c r="G32" s="173">
        <v>358</v>
      </c>
      <c r="H32" s="174"/>
      <c r="I32" s="172"/>
      <c r="J32" s="172"/>
      <c r="K32" t="s">
        <v>36</v>
      </c>
      <c r="L32" t="s">
        <v>37</v>
      </c>
      <c r="N32" t="s">
        <v>21</v>
      </c>
    </row>
    <row r="33" spans="1:14" x14ac:dyDescent="0.25">
      <c r="A33" s="172" t="s">
        <v>137</v>
      </c>
      <c r="B33" s="172" t="s">
        <v>353</v>
      </c>
      <c r="C33" s="172" t="s">
        <v>37</v>
      </c>
      <c r="D33" s="172" t="s">
        <v>141</v>
      </c>
      <c r="E33" s="172" t="s">
        <v>138</v>
      </c>
      <c r="F33" s="172" t="s">
        <v>14</v>
      </c>
      <c r="G33" s="173">
        <v>382</v>
      </c>
      <c r="H33" s="174"/>
      <c r="I33" s="172"/>
      <c r="J33" s="172"/>
      <c r="K33" t="s">
        <v>36</v>
      </c>
      <c r="L33" t="s">
        <v>37</v>
      </c>
      <c r="N33" t="s">
        <v>21</v>
      </c>
    </row>
    <row r="34" spans="1:14" x14ac:dyDescent="0.25">
      <c r="A34" s="172" t="s">
        <v>137</v>
      </c>
      <c r="B34" s="172" t="s">
        <v>362</v>
      </c>
      <c r="C34" s="172" t="s">
        <v>37</v>
      </c>
      <c r="D34" s="172" t="s">
        <v>151</v>
      </c>
      <c r="E34" s="172" t="s">
        <v>138</v>
      </c>
      <c r="F34" s="172" t="s">
        <v>14</v>
      </c>
      <c r="G34" s="173">
        <v>442</v>
      </c>
      <c r="H34" s="174"/>
      <c r="I34" s="172"/>
      <c r="J34" s="172"/>
      <c r="K34" t="s">
        <v>36</v>
      </c>
      <c r="L34" t="s">
        <v>37</v>
      </c>
      <c r="N34" t="s">
        <v>21</v>
      </c>
    </row>
    <row r="35" spans="1:14" x14ac:dyDescent="0.25">
      <c r="A35" s="172" t="s">
        <v>137</v>
      </c>
      <c r="B35" s="172" t="s">
        <v>353</v>
      </c>
      <c r="C35" s="172" t="s">
        <v>37</v>
      </c>
      <c r="D35" s="172" t="s">
        <v>141</v>
      </c>
      <c r="E35" s="172" t="s">
        <v>138</v>
      </c>
      <c r="F35" s="172" t="s">
        <v>14</v>
      </c>
      <c r="G35" s="173">
        <v>696</v>
      </c>
      <c r="H35" s="174"/>
      <c r="I35" s="172"/>
      <c r="J35" s="172"/>
      <c r="K35" t="s">
        <v>36</v>
      </c>
      <c r="L35" t="s">
        <v>37</v>
      </c>
      <c r="N35" t="s">
        <v>21</v>
      </c>
    </row>
    <row r="36" spans="1:14" x14ac:dyDescent="0.25">
      <c r="A36" s="172" t="s">
        <v>137</v>
      </c>
      <c r="B36" s="172" t="s">
        <v>358</v>
      </c>
      <c r="C36" s="172" t="s">
        <v>37</v>
      </c>
      <c r="D36" s="172" t="s">
        <v>147</v>
      </c>
      <c r="E36" s="172" t="s">
        <v>138</v>
      </c>
      <c r="F36" s="172" t="s">
        <v>14</v>
      </c>
      <c r="G36" s="173">
        <v>696</v>
      </c>
      <c r="H36" s="174"/>
      <c r="I36" s="172"/>
      <c r="J36" s="172"/>
      <c r="K36" t="s">
        <v>36</v>
      </c>
      <c r="L36" t="s">
        <v>37</v>
      </c>
      <c r="N36" t="s">
        <v>21</v>
      </c>
    </row>
    <row r="37" spans="1:14" x14ac:dyDescent="0.25">
      <c r="A37" s="172" t="s">
        <v>137</v>
      </c>
      <c r="B37" s="172" t="s">
        <v>356</v>
      </c>
      <c r="C37" s="172" t="s">
        <v>37</v>
      </c>
      <c r="D37" s="172" t="s">
        <v>145</v>
      </c>
      <c r="E37" s="172" t="s">
        <v>138</v>
      </c>
      <c r="F37" s="172" t="s">
        <v>14</v>
      </c>
      <c r="G37" s="173">
        <v>696</v>
      </c>
      <c r="H37" s="174"/>
      <c r="I37" s="172"/>
      <c r="J37" s="172"/>
      <c r="K37" t="s">
        <v>36</v>
      </c>
      <c r="L37" t="s">
        <v>37</v>
      </c>
      <c r="N37" t="s">
        <v>21</v>
      </c>
    </row>
    <row r="38" spans="1:14" x14ac:dyDescent="0.25">
      <c r="A38" s="172" t="s">
        <v>137</v>
      </c>
      <c r="B38" s="172" t="s">
        <v>356</v>
      </c>
      <c r="C38" s="172" t="s">
        <v>37</v>
      </c>
      <c r="D38" s="172" t="s">
        <v>145</v>
      </c>
      <c r="E38" s="172" t="s">
        <v>138</v>
      </c>
      <c r="F38" s="172" t="s">
        <v>14</v>
      </c>
      <c r="G38" s="173">
        <v>973</v>
      </c>
      <c r="H38" s="174"/>
      <c r="I38" s="172"/>
      <c r="J38" s="172"/>
      <c r="K38" t="s">
        <v>36</v>
      </c>
      <c r="L38" t="s">
        <v>37</v>
      </c>
      <c r="N38" t="s">
        <v>21</v>
      </c>
    </row>
    <row r="39" spans="1:14" x14ac:dyDescent="0.25">
      <c r="A39" s="172" t="s">
        <v>137</v>
      </c>
      <c r="B39" s="172" t="s">
        <v>354</v>
      </c>
      <c r="C39" s="172" t="s">
        <v>37</v>
      </c>
      <c r="D39" s="172" t="s">
        <v>103</v>
      </c>
      <c r="E39" s="172" t="s">
        <v>143</v>
      </c>
      <c r="F39" s="172" t="s">
        <v>14</v>
      </c>
      <c r="G39" s="173">
        <v>992</v>
      </c>
      <c r="H39" s="174"/>
      <c r="I39" s="172"/>
      <c r="J39" s="172"/>
      <c r="K39" t="s">
        <v>36</v>
      </c>
      <c r="L39" t="s">
        <v>37</v>
      </c>
      <c r="N39" t="s">
        <v>21</v>
      </c>
    </row>
    <row r="40" spans="1:14" x14ac:dyDescent="0.25">
      <c r="A40" s="172" t="s">
        <v>137</v>
      </c>
      <c r="B40" s="172" t="s">
        <v>361</v>
      </c>
      <c r="C40" s="172" t="s">
        <v>37</v>
      </c>
      <c r="D40" s="172" t="s">
        <v>150</v>
      </c>
      <c r="E40" s="172" t="s">
        <v>138</v>
      </c>
      <c r="F40" s="172" t="s">
        <v>14</v>
      </c>
      <c r="G40" s="173">
        <v>1100</v>
      </c>
      <c r="H40" s="174"/>
      <c r="I40" s="172"/>
      <c r="J40" s="172"/>
      <c r="K40" t="s">
        <v>36</v>
      </c>
      <c r="L40" t="s">
        <v>37</v>
      </c>
      <c r="N40" t="s">
        <v>21</v>
      </c>
    </row>
    <row r="41" spans="1:14" x14ac:dyDescent="0.25">
      <c r="A41" s="172" t="s">
        <v>137</v>
      </c>
      <c r="B41" s="172" t="s">
        <v>362</v>
      </c>
      <c r="C41" s="172" t="s">
        <v>37</v>
      </c>
      <c r="D41" s="172" t="s">
        <v>151</v>
      </c>
      <c r="E41" s="172" t="s">
        <v>138</v>
      </c>
      <c r="F41" s="172" t="s">
        <v>14</v>
      </c>
      <c r="G41" s="173">
        <v>1118</v>
      </c>
      <c r="H41" s="174"/>
      <c r="I41" s="172"/>
      <c r="J41" s="172"/>
      <c r="K41" t="s">
        <v>36</v>
      </c>
      <c r="L41" t="s">
        <v>37</v>
      </c>
      <c r="N41" t="s">
        <v>21</v>
      </c>
    </row>
    <row r="42" spans="1:14" x14ac:dyDescent="0.25">
      <c r="A42" s="172" t="s">
        <v>137</v>
      </c>
      <c r="B42" s="172" t="s">
        <v>358</v>
      </c>
      <c r="C42" s="172" t="s">
        <v>37</v>
      </c>
      <c r="D42" s="172" t="s">
        <v>147</v>
      </c>
      <c r="E42" s="172" t="s">
        <v>138</v>
      </c>
      <c r="F42" s="172" t="s">
        <v>14</v>
      </c>
      <c r="G42" s="173">
        <v>1340</v>
      </c>
      <c r="H42" s="174"/>
      <c r="I42" s="172"/>
      <c r="J42" s="172"/>
      <c r="K42" t="s">
        <v>36</v>
      </c>
      <c r="L42" t="s">
        <v>37</v>
      </c>
      <c r="N42" t="s">
        <v>21</v>
      </c>
    </row>
    <row r="43" spans="1:14" x14ac:dyDescent="0.25">
      <c r="A43" s="172" t="s">
        <v>137</v>
      </c>
      <c r="B43" s="172" t="s">
        <v>356</v>
      </c>
      <c r="C43" s="172" t="s">
        <v>37</v>
      </c>
      <c r="D43" s="172" t="s">
        <v>145</v>
      </c>
      <c r="E43" s="172" t="s">
        <v>138</v>
      </c>
      <c r="F43" s="172" t="s">
        <v>14</v>
      </c>
      <c r="G43" s="173">
        <v>1436</v>
      </c>
      <c r="H43" s="174"/>
      <c r="I43" s="172"/>
      <c r="J43" s="172"/>
      <c r="K43" t="s">
        <v>36</v>
      </c>
      <c r="L43" t="s">
        <v>37</v>
      </c>
      <c r="N43" t="s">
        <v>21</v>
      </c>
    </row>
    <row r="44" spans="1:14" x14ac:dyDescent="0.25">
      <c r="A44" s="172" t="s">
        <v>137</v>
      </c>
      <c r="B44" s="172" t="s">
        <v>358</v>
      </c>
      <c r="C44" s="172" t="s">
        <v>37</v>
      </c>
      <c r="D44" s="172" t="s">
        <v>147</v>
      </c>
      <c r="E44" s="172" t="s">
        <v>138</v>
      </c>
      <c r="F44" s="172" t="s">
        <v>14</v>
      </c>
      <c r="G44" s="173">
        <v>1534</v>
      </c>
      <c r="H44" s="174"/>
      <c r="I44" s="172"/>
      <c r="J44" s="172"/>
      <c r="K44" t="s">
        <v>36</v>
      </c>
      <c r="L44" t="s">
        <v>37</v>
      </c>
      <c r="N44" t="s">
        <v>21</v>
      </c>
    </row>
    <row r="45" spans="1:14" x14ac:dyDescent="0.25">
      <c r="A45" s="172" t="s">
        <v>137</v>
      </c>
      <c r="B45" s="172" t="s">
        <v>356</v>
      </c>
      <c r="C45" s="172" t="s">
        <v>37</v>
      </c>
      <c r="D45" s="172" t="s">
        <v>145</v>
      </c>
      <c r="E45" s="172" t="s">
        <v>138</v>
      </c>
      <c r="F45" s="172" t="s">
        <v>14</v>
      </c>
      <c r="G45" s="173">
        <v>1573</v>
      </c>
      <c r="H45" s="174"/>
      <c r="I45" s="172"/>
      <c r="J45" s="172"/>
      <c r="K45" t="s">
        <v>36</v>
      </c>
      <c r="L45" t="s">
        <v>37</v>
      </c>
      <c r="N45" t="s">
        <v>21</v>
      </c>
    </row>
    <row r="46" spans="1:14" x14ac:dyDescent="0.25">
      <c r="A46" s="172" t="s">
        <v>137</v>
      </c>
      <c r="B46" s="172" t="s">
        <v>357</v>
      </c>
      <c r="C46" s="172" t="s">
        <v>37</v>
      </c>
      <c r="D46" s="172" t="s">
        <v>146</v>
      </c>
      <c r="E46" s="172" t="s">
        <v>138</v>
      </c>
      <c r="F46" s="172" t="s">
        <v>14</v>
      </c>
      <c r="G46" s="173">
        <v>1660</v>
      </c>
      <c r="H46" s="174"/>
      <c r="I46" s="172"/>
      <c r="J46" s="172"/>
      <c r="K46" t="s">
        <v>36</v>
      </c>
      <c r="L46" t="s">
        <v>37</v>
      </c>
      <c r="N46" t="s">
        <v>21</v>
      </c>
    </row>
    <row r="47" spans="1:14" x14ac:dyDescent="0.25">
      <c r="A47" s="172" t="s">
        <v>137</v>
      </c>
      <c r="B47" s="172" t="s">
        <v>357</v>
      </c>
      <c r="C47" s="172" t="s">
        <v>37</v>
      </c>
      <c r="D47" s="172" t="s">
        <v>146</v>
      </c>
      <c r="E47" s="172" t="s">
        <v>138</v>
      </c>
      <c r="F47" s="172" t="s">
        <v>14</v>
      </c>
      <c r="G47" s="173">
        <v>1876</v>
      </c>
      <c r="H47" s="174"/>
      <c r="I47" s="172"/>
      <c r="J47" s="172"/>
      <c r="K47" t="s">
        <v>36</v>
      </c>
      <c r="L47" t="s">
        <v>37</v>
      </c>
      <c r="N47" t="s">
        <v>21</v>
      </c>
    </row>
    <row r="48" spans="1:14" x14ac:dyDescent="0.25">
      <c r="A48" s="172" t="s">
        <v>137</v>
      </c>
      <c r="B48" s="172" t="s">
        <v>353</v>
      </c>
      <c r="C48" s="172" t="s">
        <v>37</v>
      </c>
      <c r="D48" s="172" t="s">
        <v>141</v>
      </c>
      <c r="E48" s="172" t="s">
        <v>138</v>
      </c>
      <c r="F48" s="172" t="s">
        <v>14</v>
      </c>
      <c r="G48" s="173">
        <v>2306</v>
      </c>
      <c r="H48" s="174"/>
      <c r="I48" s="172"/>
      <c r="J48" s="172"/>
      <c r="K48" t="s">
        <v>36</v>
      </c>
      <c r="L48" t="s">
        <v>37</v>
      </c>
      <c r="N48" t="s">
        <v>21</v>
      </c>
    </row>
    <row r="49" spans="1:14" x14ac:dyDescent="0.25">
      <c r="A49" s="172" t="s">
        <v>137</v>
      </c>
      <c r="B49" s="172" t="s">
        <v>356</v>
      </c>
      <c r="C49" s="172" t="s">
        <v>37</v>
      </c>
      <c r="D49" s="172" t="s">
        <v>145</v>
      </c>
      <c r="E49" s="172" t="s">
        <v>138</v>
      </c>
      <c r="F49" s="172" t="s">
        <v>14</v>
      </c>
      <c r="G49" s="173">
        <v>2616</v>
      </c>
      <c r="H49" s="174"/>
      <c r="I49" s="172"/>
      <c r="J49" s="172"/>
      <c r="K49" t="s">
        <v>36</v>
      </c>
      <c r="L49" t="s">
        <v>37</v>
      </c>
      <c r="N49" t="s">
        <v>21</v>
      </c>
    </row>
    <row r="50" spans="1:14" x14ac:dyDescent="0.25">
      <c r="A50" s="172" t="s">
        <v>137</v>
      </c>
      <c r="B50" s="172" t="s">
        <v>362</v>
      </c>
      <c r="C50" s="172" t="s">
        <v>37</v>
      </c>
      <c r="D50" s="172" t="s">
        <v>151</v>
      </c>
      <c r="E50" s="172" t="s">
        <v>138</v>
      </c>
      <c r="F50" s="172" t="s">
        <v>14</v>
      </c>
      <c r="G50" s="173">
        <v>3760</v>
      </c>
      <c r="H50" s="174"/>
      <c r="I50" s="172"/>
      <c r="J50" s="172"/>
      <c r="K50" t="s">
        <v>36</v>
      </c>
      <c r="L50" t="s">
        <v>37</v>
      </c>
      <c r="N50" t="s">
        <v>21</v>
      </c>
    </row>
    <row r="51" spans="1:14" x14ac:dyDescent="0.25">
      <c r="A51" s="175" t="s">
        <v>162</v>
      </c>
      <c r="B51" s="175"/>
      <c r="C51" s="175" t="s">
        <v>163</v>
      </c>
      <c r="D51" s="175"/>
      <c r="E51" s="175"/>
      <c r="F51" s="175"/>
      <c r="G51" s="176">
        <f>=SUM(G4:G50)</f>
      </c>
      <c r="H51" s="177">
        <f>=SUM(H4:H50)</f>
      </c>
      <c r="I51" s="175" t="s">
        <v>21</v>
      </c>
      <c r="J51" s="175" t="s">
        <v>21</v>
      </c>
    </row>
    <row r="53" spans="1:10" x14ac:dyDescent="0.25">
      <c r="A53" s="170" t="s">
        <v>363</v>
      </c>
      <c r="B53" s="170"/>
      <c r="C53" s="170"/>
      <c r="D53" s="170"/>
      <c r="E53" s="170"/>
      <c r="F53" s="170"/>
      <c r="G53" s="170"/>
      <c r="H53" s="170"/>
      <c r="I53" s="170"/>
      <c r="J53" s="170"/>
    </row>
    <row r="54" spans="1:10" x14ac:dyDescent="0.25">
      <c r="A54" s="171" t="s">
        <v>66</v>
      </c>
      <c r="B54" s="171" t="s">
        <v>352</v>
      </c>
      <c r="C54" s="171" t="s">
        <v>67</v>
      </c>
      <c r="D54" s="171" t="s">
        <v>68</v>
      </c>
      <c r="E54" s="171" t="s">
        <v>69</v>
      </c>
      <c r="F54" s="171" t="s">
        <v>70</v>
      </c>
      <c r="G54" s="171" t="s">
        <v>71</v>
      </c>
      <c r="H54" s="171" t="s">
        <v>72</v>
      </c>
      <c r="I54" s="171" t="s">
        <v>73</v>
      </c>
      <c r="J54" s="171" t="s">
        <v>74</v>
      </c>
    </row>
    <row r="55" spans="1:14" x14ac:dyDescent="0.25">
      <c r="A55" s="172" t="s">
        <v>95</v>
      </c>
      <c r="B55" s="172" t="s">
        <v>364</v>
      </c>
      <c r="C55" s="172" t="s">
        <v>39</v>
      </c>
      <c r="D55" s="172" t="s">
        <v>96</v>
      </c>
      <c r="E55" s="172" t="s">
        <v>97</v>
      </c>
      <c r="F55" s="172" t="s">
        <v>14</v>
      </c>
      <c r="G55" s="173">
        <v>2352</v>
      </c>
      <c r="H55" s="174">
        <v>14</v>
      </c>
      <c r="I55" s="172" t="s">
        <v>98</v>
      </c>
      <c r="J55" s="172" t="s">
        <v>99</v>
      </c>
      <c r="K55" t="s">
        <v>38</v>
      </c>
      <c r="L55" t="s">
        <v>214</v>
      </c>
      <c r="N55" t="s">
        <v>21</v>
      </c>
    </row>
    <row r="56" spans="1:14" x14ac:dyDescent="0.25">
      <c r="A56" s="172" t="s">
        <v>95</v>
      </c>
      <c r="B56" s="172" t="s">
        <v>365</v>
      </c>
      <c r="C56" s="172" t="s">
        <v>39</v>
      </c>
      <c r="D56" s="172" t="s">
        <v>100</v>
      </c>
      <c r="E56" s="172" t="s">
        <v>97</v>
      </c>
      <c r="F56" s="172" t="s">
        <v>14</v>
      </c>
      <c r="G56" s="173">
        <v>2372</v>
      </c>
      <c r="H56" s="174">
        <v>0</v>
      </c>
      <c r="I56" s="172" t="s">
        <v>98</v>
      </c>
      <c r="J56" s="172" t="s">
        <v>99</v>
      </c>
      <c r="K56" t="s">
        <v>38</v>
      </c>
      <c r="L56" t="s">
        <v>214</v>
      </c>
      <c r="N56" t="s">
        <v>21</v>
      </c>
    </row>
    <row r="57" spans="1:14" x14ac:dyDescent="0.25">
      <c r="A57" s="172" t="s">
        <v>95</v>
      </c>
      <c r="B57" s="172" t="s">
        <v>366</v>
      </c>
      <c r="C57" s="172" t="s">
        <v>39</v>
      </c>
      <c r="D57" s="172" t="s">
        <v>101</v>
      </c>
      <c r="E57" s="172" t="s">
        <v>97</v>
      </c>
      <c r="F57" s="172" t="s">
        <v>14</v>
      </c>
      <c r="G57" s="173">
        <v>2576</v>
      </c>
      <c r="H57" s="174"/>
      <c r="I57" s="172"/>
      <c r="J57" s="172"/>
      <c r="K57" t="s">
        <v>38</v>
      </c>
      <c r="L57" t="s">
        <v>214</v>
      </c>
      <c r="N57" t="s">
        <v>21</v>
      </c>
    </row>
    <row r="58" spans="1:14" x14ac:dyDescent="0.25">
      <c r="A58" s="172" t="s">
        <v>95</v>
      </c>
      <c r="B58" s="172" t="s">
        <v>367</v>
      </c>
      <c r="C58" s="172" t="s">
        <v>39</v>
      </c>
      <c r="D58" s="172" t="s">
        <v>102</v>
      </c>
      <c r="E58" s="172" t="s">
        <v>97</v>
      </c>
      <c r="F58" s="172" t="s">
        <v>14</v>
      </c>
      <c r="G58" s="173">
        <v>2903</v>
      </c>
      <c r="H58" s="174"/>
      <c r="I58" s="172"/>
      <c r="J58" s="172"/>
      <c r="K58" t="s">
        <v>38</v>
      </c>
      <c r="L58" t="s">
        <v>214</v>
      </c>
      <c r="N58" t="s">
        <v>21</v>
      </c>
    </row>
    <row r="59" spans="1:14" x14ac:dyDescent="0.25">
      <c r="A59" s="172" t="s">
        <v>95</v>
      </c>
      <c r="B59" s="172" t="s">
        <v>368</v>
      </c>
      <c r="C59" s="172" t="s">
        <v>39</v>
      </c>
      <c r="D59" s="172" t="s">
        <v>103</v>
      </c>
      <c r="E59" s="172" t="s">
        <v>97</v>
      </c>
      <c r="F59" s="172" t="s">
        <v>14</v>
      </c>
      <c r="G59" s="173">
        <v>9825</v>
      </c>
      <c r="H59" s="174"/>
      <c r="I59" s="172"/>
      <c r="J59" s="172"/>
      <c r="K59" t="s">
        <v>38</v>
      </c>
      <c r="L59" t="s">
        <v>214</v>
      </c>
      <c r="N59" t="s">
        <v>21</v>
      </c>
    </row>
    <row r="60" spans="1:14" x14ac:dyDescent="0.25">
      <c r="A60" s="172" t="s">
        <v>95</v>
      </c>
      <c r="B60" s="172" t="s">
        <v>369</v>
      </c>
      <c r="C60" s="172" t="s">
        <v>43</v>
      </c>
      <c r="D60" s="172" t="s">
        <v>104</v>
      </c>
      <c r="E60" s="172" t="s">
        <v>105</v>
      </c>
      <c r="F60" s="172" t="s">
        <v>44</v>
      </c>
      <c r="G60" s="173">
        <v>55476</v>
      </c>
      <c r="H60" s="174"/>
      <c r="I60" s="172"/>
      <c r="J60" s="172"/>
      <c r="K60" t="s">
        <v>42</v>
      </c>
      <c r="L60" t="s">
        <v>215</v>
      </c>
      <c r="N60" t="s">
        <v>21</v>
      </c>
    </row>
    <row r="61" spans="1:14" x14ac:dyDescent="0.25">
      <c r="A61" s="172" t="s">
        <v>95</v>
      </c>
      <c r="B61" s="172" t="s">
        <v>370</v>
      </c>
      <c r="C61" s="172" t="s">
        <v>51</v>
      </c>
      <c r="D61" s="172" t="s">
        <v>100</v>
      </c>
      <c r="E61" s="172" t="s">
        <v>106</v>
      </c>
      <c r="F61" s="172" t="s">
        <v>27</v>
      </c>
      <c r="G61" s="173">
        <v>4830</v>
      </c>
      <c r="H61" s="174"/>
      <c r="I61" s="172"/>
      <c r="J61" s="172"/>
      <c r="K61" t="s">
        <v>30</v>
      </c>
      <c r="L61" t="s">
        <v>212</v>
      </c>
      <c r="N61" t="s">
        <v>21</v>
      </c>
    </row>
    <row r="62" spans="1:14" x14ac:dyDescent="0.25">
      <c r="A62" s="172" t="s">
        <v>95</v>
      </c>
      <c r="B62" s="172" t="s">
        <v>371</v>
      </c>
      <c r="C62" s="172" t="s">
        <v>51</v>
      </c>
      <c r="D62" s="172" t="s">
        <v>101</v>
      </c>
      <c r="E62" s="172" t="s">
        <v>106</v>
      </c>
      <c r="F62" s="172" t="s">
        <v>27</v>
      </c>
      <c r="G62" s="173">
        <v>4851</v>
      </c>
      <c r="H62" s="174"/>
      <c r="I62" s="172"/>
      <c r="J62" s="172"/>
      <c r="K62" t="s">
        <v>30</v>
      </c>
      <c r="L62" t="s">
        <v>212</v>
      </c>
      <c r="N62" t="s">
        <v>21</v>
      </c>
    </row>
    <row r="63" spans="1:14" x14ac:dyDescent="0.25">
      <c r="A63" s="172" t="s">
        <v>95</v>
      </c>
      <c r="B63" s="172" t="s">
        <v>372</v>
      </c>
      <c r="C63" s="172" t="s">
        <v>51</v>
      </c>
      <c r="D63" s="172" t="s">
        <v>102</v>
      </c>
      <c r="E63" s="172" t="s">
        <v>106</v>
      </c>
      <c r="F63" s="172" t="s">
        <v>27</v>
      </c>
      <c r="G63" s="173">
        <v>5302</v>
      </c>
      <c r="H63" s="174"/>
      <c r="I63" s="172"/>
      <c r="J63" s="172"/>
      <c r="K63" t="s">
        <v>30</v>
      </c>
      <c r="L63" t="s">
        <v>212</v>
      </c>
      <c r="N63" t="s">
        <v>21</v>
      </c>
    </row>
    <row r="64" spans="1:14" x14ac:dyDescent="0.25">
      <c r="A64" s="172" t="s">
        <v>95</v>
      </c>
      <c r="B64" s="172" t="s">
        <v>373</v>
      </c>
      <c r="C64" s="172" t="s">
        <v>51</v>
      </c>
      <c r="D64" s="172" t="s">
        <v>96</v>
      </c>
      <c r="E64" s="172" t="s">
        <v>106</v>
      </c>
      <c r="F64" s="172" t="s">
        <v>27</v>
      </c>
      <c r="G64" s="173">
        <v>5650</v>
      </c>
      <c r="H64" s="174"/>
      <c r="I64" s="172"/>
      <c r="J64" s="172"/>
      <c r="K64" t="s">
        <v>30</v>
      </c>
      <c r="L64" t="s">
        <v>212</v>
      </c>
      <c r="N64" t="s">
        <v>21</v>
      </c>
    </row>
    <row r="65" spans="1:14" x14ac:dyDescent="0.25">
      <c r="A65" s="172" t="s">
        <v>95</v>
      </c>
      <c r="B65" s="172" t="s">
        <v>374</v>
      </c>
      <c r="C65" s="172" t="s">
        <v>51</v>
      </c>
      <c r="D65" s="172" t="s">
        <v>76</v>
      </c>
      <c r="E65" s="172" t="s">
        <v>106</v>
      </c>
      <c r="F65" s="172" t="s">
        <v>27</v>
      </c>
      <c r="G65" s="173">
        <v>14611</v>
      </c>
      <c r="H65" s="174"/>
      <c r="I65" s="172"/>
      <c r="J65" s="172"/>
      <c r="K65" t="s">
        <v>30</v>
      </c>
      <c r="L65" t="s">
        <v>212</v>
      </c>
      <c r="N65" t="s">
        <v>21</v>
      </c>
    </row>
    <row r="66" spans="1:14" x14ac:dyDescent="0.25">
      <c r="A66" s="172" t="s">
        <v>95</v>
      </c>
      <c r="B66" s="172" t="s">
        <v>375</v>
      </c>
      <c r="C66" s="172" t="s">
        <v>57</v>
      </c>
      <c r="D66" s="172" t="s">
        <v>101</v>
      </c>
      <c r="E66" s="172" t="s">
        <v>107</v>
      </c>
      <c r="F66" s="172" t="s">
        <v>27</v>
      </c>
      <c r="G66" s="173">
        <v>4741</v>
      </c>
      <c r="H66" s="174"/>
      <c r="I66" s="172"/>
      <c r="J66" s="172"/>
      <c r="K66" t="s">
        <v>30</v>
      </c>
      <c r="L66" t="s">
        <v>212</v>
      </c>
      <c r="N66" t="s">
        <v>21</v>
      </c>
    </row>
    <row r="67" spans="1:14" x14ac:dyDescent="0.25">
      <c r="A67" s="172" t="s">
        <v>95</v>
      </c>
      <c r="B67" s="172" t="s">
        <v>376</v>
      </c>
      <c r="C67" s="172" t="s">
        <v>57</v>
      </c>
      <c r="D67" s="172" t="s">
        <v>100</v>
      </c>
      <c r="E67" s="172" t="s">
        <v>107</v>
      </c>
      <c r="F67" s="172" t="s">
        <v>27</v>
      </c>
      <c r="G67" s="173">
        <v>4830</v>
      </c>
      <c r="H67" s="174"/>
      <c r="I67" s="172"/>
      <c r="J67" s="172"/>
      <c r="K67" t="s">
        <v>30</v>
      </c>
      <c r="L67" t="s">
        <v>212</v>
      </c>
      <c r="N67" t="s">
        <v>21</v>
      </c>
    </row>
    <row r="68" spans="1:14" x14ac:dyDescent="0.25">
      <c r="A68" s="172" t="s">
        <v>95</v>
      </c>
      <c r="B68" s="172" t="s">
        <v>377</v>
      </c>
      <c r="C68" s="172" t="s">
        <v>57</v>
      </c>
      <c r="D68" s="172" t="s">
        <v>102</v>
      </c>
      <c r="E68" s="172" t="s">
        <v>107</v>
      </c>
      <c r="F68" s="172" t="s">
        <v>27</v>
      </c>
      <c r="G68" s="173">
        <v>5432</v>
      </c>
      <c r="H68" s="174"/>
      <c r="I68" s="172"/>
      <c r="J68" s="172"/>
      <c r="K68" t="s">
        <v>30</v>
      </c>
      <c r="L68" t="s">
        <v>212</v>
      </c>
      <c r="N68" t="s">
        <v>21</v>
      </c>
    </row>
    <row r="69" spans="1:14" x14ac:dyDescent="0.25">
      <c r="A69" s="172" t="s">
        <v>95</v>
      </c>
      <c r="B69" s="172" t="s">
        <v>378</v>
      </c>
      <c r="C69" s="172" t="s">
        <v>57</v>
      </c>
      <c r="D69" s="172" t="s">
        <v>96</v>
      </c>
      <c r="E69" s="172" t="s">
        <v>107</v>
      </c>
      <c r="F69" s="172" t="s">
        <v>27</v>
      </c>
      <c r="G69" s="173">
        <v>5660</v>
      </c>
      <c r="H69" s="174"/>
      <c r="I69" s="172"/>
      <c r="J69" s="172"/>
      <c r="K69" t="s">
        <v>30</v>
      </c>
      <c r="L69" t="s">
        <v>212</v>
      </c>
      <c r="N69" t="s">
        <v>21</v>
      </c>
    </row>
    <row r="70" spans="1:14" x14ac:dyDescent="0.25">
      <c r="A70" s="172" t="s">
        <v>95</v>
      </c>
      <c r="B70" s="172" t="s">
        <v>379</v>
      </c>
      <c r="C70" s="172" t="s">
        <v>57</v>
      </c>
      <c r="D70" s="172" t="s">
        <v>76</v>
      </c>
      <c r="E70" s="172" t="s">
        <v>107</v>
      </c>
      <c r="F70" s="172" t="s">
        <v>27</v>
      </c>
      <c r="G70" s="173">
        <v>14431</v>
      </c>
      <c r="H70" s="174"/>
      <c r="I70" s="172"/>
      <c r="J70" s="172"/>
      <c r="K70" t="s">
        <v>30</v>
      </c>
      <c r="L70" t="s">
        <v>212</v>
      </c>
      <c r="N70" t="s">
        <v>21</v>
      </c>
    </row>
    <row r="71" spans="1:14" x14ac:dyDescent="0.25">
      <c r="A71" s="175" t="s">
        <v>162</v>
      </c>
      <c r="B71" s="175"/>
      <c r="C71" s="175" t="s">
        <v>163</v>
      </c>
      <c r="D71" s="175"/>
      <c r="E71" s="175"/>
      <c r="F71" s="175"/>
      <c r="G71" s="176">
        <f>=SUM(G55:G70)</f>
      </c>
      <c r="H71" s="177">
        <f>=SUM(H55:H70)</f>
      </c>
      <c r="I71" s="175" t="s">
        <v>21</v>
      </c>
      <c r="J71" s="175" t="s">
        <v>21</v>
      </c>
    </row>
    <row r="73" spans="1:10" x14ac:dyDescent="0.25">
      <c r="A73" s="170" t="s">
        <v>380</v>
      </c>
      <c r="B73" s="170"/>
      <c r="C73" s="170"/>
      <c r="D73" s="170"/>
      <c r="E73" s="170"/>
      <c r="F73" s="170"/>
      <c r="G73" s="170"/>
      <c r="H73" s="170"/>
      <c r="I73" s="170"/>
      <c r="J73" s="170"/>
    </row>
    <row r="74" spans="1:10" x14ac:dyDescent="0.25">
      <c r="A74" s="171" t="s">
        <v>66</v>
      </c>
      <c r="B74" s="171" t="s">
        <v>352</v>
      </c>
      <c r="C74" s="171" t="s">
        <v>67</v>
      </c>
      <c r="D74" s="171" t="s">
        <v>68</v>
      </c>
      <c r="E74" s="171" t="s">
        <v>69</v>
      </c>
      <c r="F74" s="171" t="s">
        <v>70</v>
      </c>
      <c r="G74" s="171" t="s">
        <v>71</v>
      </c>
      <c r="H74" s="171" t="s">
        <v>72</v>
      </c>
      <c r="I74" s="171" t="s">
        <v>73</v>
      </c>
      <c r="J74" s="171" t="s">
        <v>74</v>
      </c>
    </row>
    <row r="75" spans="1:14" x14ac:dyDescent="0.25">
      <c r="A75" s="172" t="s">
        <v>95</v>
      </c>
      <c r="B75" s="172" t="s">
        <v>381</v>
      </c>
      <c r="C75" s="172" t="s">
        <v>39</v>
      </c>
      <c r="D75" s="172" t="s">
        <v>76</v>
      </c>
      <c r="E75" s="172" t="s">
        <v>97</v>
      </c>
      <c r="F75" s="172" t="s">
        <v>41</v>
      </c>
      <c r="G75" s="173">
        <v>1323</v>
      </c>
      <c r="H75" s="174">
        <v>0</v>
      </c>
      <c r="I75" s="172" t="s">
        <v>98</v>
      </c>
      <c r="J75" s="172" t="s">
        <v>99</v>
      </c>
      <c r="K75" t="s">
        <v>38</v>
      </c>
      <c r="L75" t="s">
        <v>214</v>
      </c>
      <c r="N75" t="s">
        <v>21</v>
      </c>
    </row>
    <row r="76" spans="1:14" x14ac:dyDescent="0.25">
      <c r="A76" s="172" t="s">
        <v>95</v>
      </c>
      <c r="B76" s="172" t="s">
        <v>382</v>
      </c>
      <c r="C76" s="172" t="s">
        <v>39</v>
      </c>
      <c r="D76" s="172" t="s">
        <v>108</v>
      </c>
      <c r="E76" s="172" t="s">
        <v>97</v>
      </c>
      <c r="F76" s="172" t="s">
        <v>14</v>
      </c>
      <c r="G76" s="173">
        <v>1855</v>
      </c>
      <c r="H76" s="174"/>
      <c r="I76" s="172"/>
      <c r="J76" s="172"/>
      <c r="K76" t="s">
        <v>38</v>
      </c>
      <c r="L76" t="s">
        <v>214</v>
      </c>
      <c r="N76" t="s">
        <v>21</v>
      </c>
    </row>
    <row r="77" spans="1:14" x14ac:dyDescent="0.25">
      <c r="A77" s="172" t="s">
        <v>95</v>
      </c>
      <c r="B77" s="172" t="s">
        <v>383</v>
      </c>
      <c r="C77" s="172" t="s">
        <v>39</v>
      </c>
      <c r="D77" s="172" t="s">
        <v>109</v>
      </c>
      <c r="E77" s="172" t="s">
        <v>97</v>
      </c>
      <c r="F77" s="172" t="s">
        <v>14</v>
      </c>
      <c r="G77" s="173">
        <v>1953</v>
      </c>
      <c r="H77" s="174"/>
      <c r="I77" s="172"/>
      <c r="J77" s="172"/>
      <c r="K77" t="s">
        <v>38</v>
      </c>
      <c r="L77" t="s">
        <v>214</v>
      </c>
      <c r="N77" t="s">
        <v>21</v>
      </c>
    </row>
    <row r="78" spans="1:14" x14ac:dyDescent="0.25">
      <c r="A78" s="172" t="s">
        <v>95</v>
      </c>
      <c r="B78" s="172" t="s">
        <v>384</v>
      </c>
      <c r="C78" s="172" t="s">
        <v>39</v>
      </c>
      <c r="D78" s="172" t="s">
        <v>110</v>
      </c>
      <c r="E78" s="172" t="s">
        <v>97</v>
      </c>
      <c r="F78" s="172" t="s">
        <v>14</v>
      </c>
      <c r="G78" s="173">
        <v>2647</v>
      </c>
      <c r="H78" s="174"/>
      <c r="I78" s="172"/>
      <c r="J78" s="172"/>
      <c r="K78" t="s">
        <v>38</v>
      </c>
      <c r="L78" t="s">
        <v>214</v>
      </c>
      <c r="N78" t="s">
        <v>21</v>
      </c>
    </row>
    <row r="79" spans="1:14" x14ac:dyDescent="0.25">
      <c r="A79" s="172" t="s">
        <v>95</v>
      </c>
      <c r="B79" s="172" t="s">
        <v>369</v>
      </c>
      <c r="C79" s="172" t="s">
        <v>43</v>
      </c>
      <c r="D79" s="172" t="s">
        <v>104</v>
      </c>
      <c r="E79" s="172" t="s">
        <v>105</v>
      </c>
      <c r="F79" s="172" t="s">
        <v>44</v>
      </c>
      <c r="G79" s="173">
        <v>18792</v>
      </c>
      <c r="H79" s="174"/>
      <c r="I79" s="172"/>
      <c r="J79" s="172"/>
      <c r="K79" t="s">
        <v>42</v>
      </c>
      <c r="L79" t="s">
        <v>215</v>
      </c>
      <c r="N79" t="s">
        <v>21</v>
      </c>
    </row>
    <row r="80" spans="1:14" x14ac:dyDescent="0.25">
      <c r="A80" s="172" t="s">
        <v>95</v>
      </c>
      <c r="B80" s="172" t="s">
        <v>374</v>
      </c>
      <c r="C80" s="172" t="s">
        <v>51</v>
      </c>
      <c r="D80" s="172" t="s">
        <v>76</v>
      </c>
      <c r="E80" s="172" t="s">
        <v>106</v>
      </c>
      <c r="F80" s="172" t="s">
        <v>27</v>
      </c>
      <c r="G80" s="173">
        <v>2025</v>
      </c>
      <c r="H80" s="174"/>
      <c r="I80" s="172"/>
      <c r="J80" s="172"/>
      <c r="K80" t="s">
        <v>30</v>
      </c>
      <c r="L80" t="s">
        <v>212</v>
      </c>
      <c r="N80" t="s">
        <v>21</v>
      </c>
    </row>
    <row r="81" spans="1:14" x14ac:dyDescent="0.25">
      <c r="A81" s="172" t="s">
        <v>95</v>
      </c>
      <c r="B81" s="172" t="s">
        <v>385</v>
      </c>
      <c r="C81" s="172" t="s">
        <v>51</v>
      </c>
      <c r="D81" s="172" t="s">
        <v>109</v>
      </c>
      <c r="E81" s="172" t="s">
        <v>106</v>
      </c>
      <c r="F81" s="172" t="s">
        <v>27</v>
      </c>
      <c r="G81" s="173">
        <v>2468</v>
      </c>
      <c r="H81" s="174"/>
      <c r="I81" s="172"/>
      <c r="J81" s="172"/>
      <c r="K81" t="s">
        <v>30</v>
      </c>
      <c r="L81" t="s">
        <v>212</v>
      </c>
      <c r="N81" t="s">
        <v>21</v>
      </c>
    </row>
    <row r="82" spans="1:14" x14ac:dyDescent="0.25">
      <c r="A82" s="172" t="s">
        <v>95</v>
      </c>
      <c r="B82" s="172" t="s">
        <v>386</v>
      </c>
      <c r="C82" s="172" t="s">
        <v>51</v>
      </c>
      <c r="D82" s="172" t="s">
        <v>108</v>
      </c>
      <c r="E82" s="172" t="s">
        <v>106</v>
      </c>
      <c r="F82" s="172" t="s">
        <v>27</v>
      </c>
      <c r="G82" s="173">
        <v>2925</v>
      </c>
      <c r="H82" s="174"/>
      <c r="I82" s="172"/>
      <c r="J82" s="172"/>
      <c r="K82" t="s">
        <v>30</v>
      </c>
      <c r="L82" t="s">
        <v>212</v>
      </c>
      <c r="N82" t="s">
        <v>21</v>
      </c>
    </row>
    <row r="83" spans="1:14" x14ac:dyDescent="0.25">
      <c r="A83" s="172" t="s">
        <v>95</v>
      </c>
      <c r="B83" s="172" t="s">
        <v>387</v>
      </c>
      <c r="C83" s="172" t="s">
        <v>51</v>
      </c>
      <c r="D83" s="172" t="s">
        <v>110</v>
      </c>
      <c r="E83" s="172" t="s">
        <v>106</v>
      </c>
      <c r="F83" s="172" t="s">
        <v>27</v>
      </c>
      <c r="G83" s="173">
        <v>4007</v>
      </c>
      <c r="H83" s="174"/>
      <c r="I83" s="172"/>
      <c r="J83" s="172"/>
      <c r="K83" t="s">
        <v>30</v>
      </c>
      <c r="L83" t="s">
        <v>212</v>
      </c>
      <c r="N83" t="s">
        <v>21</v>
      </c>
    </row>
    <row r="84" spans="1:14" x14ac:dyDescent="0.25">
      <c r="A84" s="172" t="s">
        <v>95</v>
      </c>
      <c r="B84" s="172" t="s">
        <v>379</v>
      </c>
      <c r="C84" s="172" t="s">
        <v>57</v>
      </c>
      <c r="D84" s="172" t="s">
        <v>76</v>
      </c>
      <c r="E84" s="172" t="s">
        <v>107</v>
      </c>
      <c r="F84" s="172" t="s">
        <v>27</v>
      </c>
      <c r="G84" s="173">
        <v>2025</v>
      </c>
      <c r="H84" s="174"/>
      <c r="I84" s="172"/>
      <c r="J84" s="172"/>
      <c r="K84" t="s">
        <v>30</v>
      </c>
      <c r="L84" t="s">
        <v>212</v>
      </c>
      <c r="N84" t="s">
        <v>21</v>
      </c>
    </row>
    <row r="85" spans="1:14" x14ac:dyDescent="0.25">
      <c r="A85" s="172" t="s">
        <v>95</v>
      </c>
      <c r="B85" s="172" t="s">
        <v>388</v>
      </c>
      <c r="C85" s="172" t="s">
        <v>57</v>
      </c>
      <c r="D85" s="172" t="s">
        <v>109</v>
      </c>
      <c r="E85" s="172" t="s">
        <v>107</v>
      </c>
      <c r="F85" s="172" t="s">
        <v>27</v>
      </c>
      <c r="G85" s="173">
        <v>2533</v>
      </c>
      <c r="H85" s="174"/>
      <c r="I85" s="172"/>
      <c r="J85" s="172"/>
      <c r="K85" t="s">
        <v>30</v>
      </c>
      <c r="L85" t="s">
        <v>212</v>
      </c>
      <c r="N85" t="s">
        <v>21</v>
      </c>
    </row>
    <row r="86" spans="1:14" x14ac:dyDescent="0.25">
      <c r="A86" s="172" t="s">
        <v>95</v>
      </c>
      <c r="B86" s="172" t="s">
        <v>389</v>
      </c>
      <c r="C86" s="172" t="s">
        <v>57</v>
      </c>
      <c r="D86" s="172" t="s">
        <v>108</v>
      </c>
      <c r="E86" s="172" t="s">
        <v>107</v>
      </c>
      <c r="F86" s="172" t="s">
        <v>27</v>
      </c>
      <c r="G86" s="173">
        <v>2843</v>
      </c>
      <c r="H86" s="174"/>
      <c r="I86" s="172"/>
      <c r="J86" s="172"/>
      <c r="K86" t="s">
        <v>30</v>
      </c>
      <c r="L86" t="s">
        <v>212</v>
      </c>
      <c r="N86" t="s">
        <v>21</v>
      </c>
    </row>
    <row r="87" spans="1:14" x14ac:dyDescent="0.25">
      <c r="A87" s="172" t="s">
        <v>95</v>
      </c>
      <c r="B87" s="172" t="s">
        <v>390</v>
      </c>
      <c r="C87" s="172" t="s">
        <v>57</v>
      </c>
      <c r="D87" s="172" t="s">
        <v>110</v>
      </c>
      <c r="E87" s="172" t="s">
        <v>107</v>
      </c>
      <c r="F87" s="172" t="s">
        <v>27</v>
      </c>
      <c r="G87" s="173">
        <v>4127</v>
      </c>
      <c r="H87" s="174"/>
      <c r="I87" s="172"/>
      <c r="J87" s="172"/>
      <c r="K87" t="s">
        <v>30</v>
      </c>
      <c r="L87" t="s">
        <v>212</v>
      </c>
      <c r="N87" t="s">
        <v>21</v>
      </c>
    </row>
    <row r="88" spans="1:14" x14ac:dyDescent="0.25">
      <c r="A88" s="175" t="s">
        <v>162</v>
      </c>
      <c r="B88" s="175"/>
      <c r="C88" s="175" t="s">
        <v>163</v>
      </c>
      <c r="D88" s="175"/>
      <c r="E88" s="175"/>
      <c r="F88" s="175"/>
      <c r="G88" s="176">
        <f>=SUM(G75:G87)</f>
      </c>
      <c r="H88" s="177">
        <f>=SUM(H75:H87)</f>
      </c>
      <c r="I88" s="175" t="s">
        <v>21</v>
      </c>
      <c r="J88" s="175" t="s">
        <v>21</v>
      </c>
    </row>
    <row r="90" spans="1:10" x14ac:dyDescent="0.25">
      <c r="A90" s="170" t="s">
        <v>391</v>
      </c>
      <c r="B90" s="170"/>
      <c r="C90" s="170"/>
      <c r="D90" s="170"/>
      <c r="E90" s="170"/>
      <c r="F90" s="170"/>
      <c r="G90" s="170"/>
      <c r="H90" s="170"/>
      <c r="I90" s="170"/>
      <c r="J90" s="170"/>
    </row>
    <row r="91" spans="1:10" x14ac:dyDescent="0.25">
      <c r="A91" s="171" t="s">
        <v>66</v>
      </c>
      <c r="B91" s="171" t="s">
        <v>352</v>
      </c>
      <c r="C91" s="171" t="s">
        <v>67</v>
      </c>
      <c r="D91" s="171" t="s">
        <v>68</v>
      </c>
      <c r="E91" s="171" t="s">
        <v>69</v>
      </c>
      <c r="F91" s="171" t="s">
        <v>70</v>
      </c>
      <c r="G91" s="171" t="s">
        <v>71</v>
      </c>
      <c r="H91" s="171" t="s">
        <v>72</v>
      </c>
      <c r="I91" s="171" t="s">
        <v>73</v>
      </c>
      <c r="J91" s="171" t="s">
        <v>74</v>
      </c>
    </row>
    <row r="92" spans="1:14" x14ac:dyDescent="0.25">
      <c r="A92" s="172" t="s">
        <v>156</v>
      </c>
      <c r="B92" s="172" t="s">
        <v>392</v>
      </c>
      <c r="C92" s="172" t="s">
        <v>26</v>
      </c>
      <c r="D92" s="172" t="s">
        <v>157</v>
      </c>
      <c r="E92" s="172" t="s">
        <v>158</v>
      </c>
      <c r="F92" s="172" t="s">
        <v>27</v>
      </c>
      <c r="G92" s="173">
        <v>1038</v>
      </c>
      <c r="H92" s="174">
        <v>2</v>
      </c>
      <c r="I92" s="172" t="s">
        <v>159</v>
      </c>
      <c r="J92" s="172" t="s">
        <v>21</v>
      </c>
      <c r="K92" t="s">
        <v>25</v>
      </c>
      <c r="L92" t="s">
        <v>211</v>
      </c>
      <c r="N92" t="s">
        <v>21</v>
      </c>
    </row>
    <row r="93" spans="1:14" x14ac:dyDescent="0.25">
      <c r="A93" s="172" t="s">
        <v>156</v>
      </c>
      <c r="B93" s="172" t="s">
        <v>392</v>
      </c>
      <c r="C93" s="172" t="s">
        <v>26</v>
      </c>
      <c r="D93" s="172" t="s">
        <v>157</v>
      </c>
      <c r="E93" s="172" t="s">
        <v>158</v>
      </c>
      <c r="F93" s="172" t="s">
        <v>27</v>
      </c>
      <c r="G93" s="173">
        <v>1557</v>
      </c>
      <c r="H93" s="174">
        <v>0</v>
      </c>
      <c r="I93" s="172" t="s">
        <v>159</v>
      </c>
      <c r="J93" s="172" t="s">
        <v>21</v>
      </c>
      <c r="K93" t="s">
        <v>25</v>
      </c>
      <c r="L93" t="s">
        <v>211</v>
      </c>
      <c r="N93" t="s">
        <v>21</v>
      </c>
    </row>
    <row r="94" spans="1:14" x14ac:dyDescent="0.25">
      <c r="A94" s="172" t="s">
        <v>156</v>
      </c>
      <c r="B94" s="172" t="s">
        <v>392</v>
      </c>
      <c r="C94" s="172" t="s">
        <v>26</v>
      </c>
      <c r="D94" s="172" t="s">
        <v>157</v>
      </c>
      <c r="E94" s="172" t="s">
        <v>158</v>
      </c>
      <c r="F94" s="172" t="s">
        <v>27</v>
      </c>
      <c r="G94" s="173">
        <v>1866</v>
      </c>
      <c r="H94" s="174"/>
      <c r="I94" s="172"/>
      <c r="J94" s="172"/>
      <c r="K94" t="s">
        <v>25</v>
      </c>
      <c r="L94" t="s">
        <v>211</v>
      </c>
      <c r="N94" t="s">
        <v>21</v>
      </c>
    </row>
    <row r="95" spans="1:14" x14ac:dyDescent="0.25">
      <c r="A95" s="172" t="s">
        <v>156</v>
      </c>
      <c r="B95" s="172" t="s">
        <v>393</v>
      </c>
      <c r="C95" s="172" t="s">
        <v>28</v>
      </c>
      <c r="D95" s="172" t="s">
        <v>157</v>
      </c>
      <c r="E95" s="172" t="s">
        <v>160</v>
      </c>
      <c r="F95" s="172" t="s">
        <v>27</v>
      </c>
      <c r="G95" s="173">
        <v>1038</v>
      </c>
      <c r="H95" s="174"/>
      <c r="I95" s="172"/>
      <c r="J95" s="172"/>
      <c r="K95" t="s">
        <v>25</v>
      </c>
      <c r="L95" t="s">
        <v>211</v>
      </c>
      <c r="N95" t="s">
        <v>21</v>
      </c>
    </row>
    <row r="96" spans="1:14" x14ac:dyDescent="0.25">
      <c r="A96" s="172" t="s">
        <v>156</v>
      </c>
      <c r="B96" s="172" t="s">
        <v>393</v>
      </c>
      <c r="C96" s="172" t="s">
        <v>28</v>
      </c>
      <c r="D96" s="172" t="s">
        <v>157</v>
      </c>
      <c r="E96" s="172" t="s">
        <v>160</v>
      </c>
      <c r="F96" s="172" t="s">
        <v>27</v>
      </c>
      <c r="G96" s="173">
        <v>1557</v>
      </c>
      <c r="H96" s="174"/>
      <c r="I96" s="172"/>
      <c r="J96" s="172"/>
      <c r="K96" t="s">
        <v>25</v>
      </c>
      <c r="L96" t="s">
        <v>211</v>
      </c>
      <c r="N96" t="s">
        <v>21</v>
      </c>
    </row>
    <row r="97" spans="1:14" x14ac:dyDescent="0.25">
      <c r="A97" s="172" t="s">
        <v>156</v>
      </c>
      <c r="B97" s="172" t="s">
        <v>393</v>
      </c>
      <c r="C97" s="172" t="s">
        <v>28</v>
      </c>
      <c r="D97" s="172" t="s">
        <v>157</v>
      </c>
      <c r="E97" s="172" t="s">
        <v>160</v>
      </c>
      <c r="F97" s="172" t="s">
        <v>27</v>
      </c>
      <c r="G97" s="173">
        <v>1866</v>
      </c>
      <c r="H97" s="174"/>
      <c r="I97" s="172"/>
      <c r="J97" s="172"/>
      <c r="K97" t="s">
        <v>25</v>
      </c>
      <c r="L97" t="s">
        <v>211</v>
      </c>
      <c r="N97" t="s">
        <v>21</v>
      </c>
    </row>
    <row r="98" spans="1:14" x14ac:dyDescent="0.25">
      <c r="A98" s="172" t="s">
        <v>156</v>
      </c>
      <c r="B98" s="172" t="s">
        <v>394</v>
      </c>
      <c r="C98" s="172" t="s">
        <v>29</v>
      </c>
      <c r="D98" s="172" t="s">
        <v>157</v>
      </c>
      <c r="E98" s="172" t="s">
        <v>161</v>
      </c>
      <c r="F98" s="172" t="s">
        <v>27</v>
      </c>
      <c r="G98" s="173">
        <v>1038</v>
      </c>
      <c r="H98" s="174"/>
      <c r="I98" s="172"/>
      <c r="J98" s="172"/>
      <c r="K98" t="s">
        <v>25</v>
      </c>
      <c r="L98" t="s">
        <v>211</v>
      </c>
      <c r="N98" t="s">
        <v>21</v>
      </c>
    </row>
    <row r="99" spans="1:14" x14ac:dyDescent="0.25">
      <c r="A99" s="172" t="s">
        <v>156</v>
      </c>
      <c r="B99" s="172" t="s">
        <v>394</v>
      </c>
      <c r="C99" s="172" t="s">
        <v>29</v>
      </c>
      <c r="D99" s="172" t="s">
        <v>157</v>
      </c>
      <c r="E99" s="172" t="s">
        <v>161</v>
      </c>
      <c r="F99" s="172" t="s">
        <v>27</v>
      </c>
      <c r="G99" s="173">
        <v>1557</v>
      </c>
      <c r="H99" s="174"/>
      <c r="I99" s="172"/>
      <c r="J99" s="172"/>
      <c r="K99" t="s">
        <v>25</v>
      </c>
      <c r="L99" t="s">
        <v>211</v>
      </c>
      <c r="N99" t="s">
        <v>21</v>
      </c>
    </row>
    <row r="100" spans="1:14" x14ac:dyDescent="0.25">
      <c r="A100" s="172" t="s">
        <v>156</v>
      </c>
      <c r="B100" s="172" t="s">
        <v>394</v>
      </c>
      <c r="C100" s="172" t="s">
        <v>29</v>
      </c>
      <c r="D100" s="172" t="s">
        <v>157</v>
      </c>
      <c r="E100" s="172" t="s">
        <v>161</v>
      </c>
      <c r="F100" s="172" t="s">
        <v>27</v>
      </c>
      <c r="G100" s="173">
        <v>1866</v>
      </c>
      <c r="H100" s="174"/>
      <c r="I100" s="172"/>
      <c r="J100" s="172"/>
      <c r="K100" t="s">
        <v>25</v>
      </c>
      <c r="L100" t="s">
        <v>211</v>
      </c>
      <c r="N100" t="s">
        <v>21</v>
      </c>
    </row>
    <row r="101" spans="1:14" x14ac:dyDescent="0.25">
      <c r="A101" s="175" t="s">
        <v>162</v>
      </c>
      <c r="B101" s="175"/>
      <c r="C101" s="175" t="s">
        <v>163</v>
      </c>
      <c r="D101" s="175"/>
      <c r="E101" s="175"/>
      <c r="F101" s="175"/>
      <c r="G101" s="176">
        <f>=SUM(G92:G100)</f>
      </c>
      <c r="H101" s="177">
        <f>=SUM(H92:H100)</f>
      </c>
      <c r="I101" s="175" t="s">
        <v>21</v>
      </c>
      <c r="J101" s="175" t="s">
        <v>21</v>
      </c>
    </row>
    <row r="103" spans="1:10" x14ac:dyDescent="0.25">
      <c r="A103" s="170" t="s">
        <v>395</v>
      </c>
      <c r="B103" s="170"/>
      <c r="C103" s="170"/>
      <c r="D103" s="170"/>
      <c r="E103" s="170"/>
      <c r="F103" s="170"/>
      <c r="G103" s="170"/>
      <c r="H103" s="170"/>
      <c r="I103" s="170"/>
      <c r="J103" s="170"/>
    </row>
    <row r="104" spans="1:10" x14ac:dyDescent="0.25">
      <c r="A104" s="171" t="s">
        <v>66</v>
      </c>
      <c r="B104" s="171" t="s">
        <v>352</v>
      </c>
      <c r="C104" s="171" t="s">
        <v>67</v>
      </c>
      <c r="D104" s="171" t="s">
        <v>68</v>
      </c>
      <c r="E104" s="171" t="s">
        <v>69</v>
      </c>
      <c r="F104" s="171" t="s">
        <v>70</v>
      </c>
      <c r="G104" s="171" t="s">
        <v>71</v>
      </c>
      <c r="H104" s="171" t="s">
        <v>72</v>
      </c>
      <c r="I104" s="171" t="s">
        <v>73</v>
      </c>
      <c r="J104" s="171" t="s">
        <v>74</v>
      </c>
    </row>
    <row r="105" spans="1:14" x14ac:dyDescent="0.25">
      <c r="A105" s="172" t="s">
        <v>75</v>
      </c>
      <c r="B105" s="172" t="s">
        <v>396</v>
      </c>
      <c r="C105" s="172" t="s">
        <v>47</v>
      </c>
      <c r="D105" s="172" t="s">
        <v>76</v>
      </c>
      <c r="E105" s="172" t="s">
        <v>77</v>
      </c>
      <c r="F105" s="172" t="s">
        <v>27</v>
      </c>
      <c r="G105" s="173">
        <v>4235</v>
      </c>
      <c r="H105" s="174">
        <v>20</v>
      </c>
      <c r="I105" s="172" t="s">
        <v>78</v>
      </c>
      <c r="J105" s="172" t="s">
        <v>79</v>
      </c>
      <c r="K105" t="s">
        <v>25</v>
      </c>
      <c r="L105" t="s">
        <v>211</v>
      </c>
      <c r="N105" t="s">
        <v>21</v>
      </c>
    </row>
    <row r="106" spans="1:14" x14ac:dyDescent="0.25">
      <c r="A106" s="172" t="s">
        <v>75</v>
      </c>
      <c r="B106" s="172" t="s">
        <v>397</v>
      </c>
      <c r="C106" s="172" t="s">
        <v>48</v>
      </c>
      <c r="D106" s="172" t="s">
        <v>76</v>
      </c>
      <c r="E106" s="172" t="s">
        <v>80</v>
      </c>
      <c r="F106" s="172" t="s">
        <v>27</v>
      </c>
      <c r="G106" s="173">
        <v>4235</v>
      </c>
      <c r="H106" s="174">
        <v>0</v>
      </c>
      <c r="I106" s="172" t="s">
        <v>78</v>
      </c>
      <c r="J106" s="172" t="s">
        <v>79</v>
      </c>
      <c r="K106" t="s">
        <v>25</v>
      </c>
      <c r="L106" t="s">
        <v>211</v>
      </c>
      <c r="N106" t="s">
        <v>21</v>
      </c>
    </row>
    <row r="107" spans="1:14" x14ac:dyDescent="0.25">
      <c r="A107" s="172" t="s">
        <v>75</v>
      </c>
      <c r="B107" s="172" t="s">
        <v>398</v>
      </c>
      <c r="C107" s="172" t="s">
        <v>54</v>
      </c>
      <c r="D107" s="172" t="s">
        <v>81</v>
      </c>
      <c r="E107" s="172" t="s">
        <v>82</v>
      </c>
      <c r="F107" s="172" t="s">
        <v>27</v>
      </c>
      <c r="G107" s="173">
        <v>635</v>
      </c>
      <c r="H107" s="174"/>
      <c r="I107" s="172"/>
      <c r="J107" s="172"/>
      <c r="K107" t="s">
        <v>25</v>
      </c>
      <c r="L107" t="s">
        <v>219</v>
      </c>
      <c r="N107" t="s">
        <v>21</v>
      </c>
    </row>
    <row r="108" spans="1:14" x14ac:dyDescent="0.25">
      <c r="A108" s="172" t="s">
        <v>75</v>
      </c>
      <c r="B108" s="172" t="s">
        <v>399</v>
      </c>
      <c r="C108" s="172" t="s">
        <v>54</v>
      </c>
      <c r="D108" s="172" t="s">
        <v>81</v>
      </c>
      <c r="E108" s="172" t="s">
        <v>83</v>
      </c>
      <c r="F108" s="172" t="s">
        <v>27</v>
      </c>
      <c r="G108" s="173">
        <v>647</v>
      </c>
      <c r="H108" s="174"/>
      <c r="I108" s="172"/>
      <c r="J108" s="172"/>
      <c r="K108" t="s">
        <v>25</v>
      </c>
      <c r="L108" t="s">
        <v>219</v>
      </c>
      <c r="N108" t="s">
        <v>21</v>
      </c>
    </row>
    <row r="109" spans="1:14" x14ac:dyDescent="0.25">
      <c r="A109" s="172" t="s">
        <v>75</v>
      </c>
      <c r="B109" s="172" t="s">
        <v>400</v>
      </c>
      <c r="C109" s="172" t="s">
        <v>54</v>
      </c>
      <c r="D109" s="172" t="s">
        <v>81</v>
      </c>
      <c r="E109" s="172" t="s">
        <v>84</v>
      </c>
      <c r="F109" s="172" t="s">
        <v>27</v>
      </c>
      <c r="G109" s="173">
        <v>921</v>
      </c>
      <c r="H109" s="174"/>
      <c r="I109" s="172"/>
      <c r="J109" s="172"/>
      <c r="K109" t="s">
        <v>25</v>
      </c>
      <c r="L109" t="s">
        <v>219</v>
      </c>
      <c r="N109" t="s">
        <v>21</v>
      </c>
    </row>
    <row r="110" spans="1:14" x14ac:dyDescent="0.25">
      <c r="A110" s="172" t="s">
        <v>75</v>
      </c>
      <c r="B110" s="172" t="s">
        <v>401</v>
      </c>
      <c r="C110" s="172" t="s">
        <v>54</v>
      </c>
      <c r="D110" s="172" t="s">
        <v>81</v>
      </c>
      <c r="E110" s="172" t="s">
        <v>85</v>
      </c>
      <c r="F110" s="172" t="s">
        <v>27</v>
      </c>
      <c r="G110" s="173">
        <v>995</v>
      </c>
      <c r="H110" s="174"/>
      <c r="I110" s="172"/>
      <c r="J110" s="172"/>
      <c r="K110" t="s">
        <v>25</v>
      </c>
      <c r="L110" t="s">
        <v>219</v>
      </c>
      <c r="N110" t="s">
        <v>21</v>
      </c>
    </row>
    <row r="111" spans="1:14" x14ac:dyDescent="0.25">
      <c r="A111" s="172" t="s">
        <v>75</v>
      </c>
      <c r="B111" s="172" t="s">
        <v>402</v>
      </c>
      <c r="C111" s="172" t="s">
        <v>54</v>
      </c>
      <c r="D111" s="172" t="s">
        <v>81</v>
      </c>
      <c r="E111" s="172" t="s">
        <v>86</v>
      </c>
      <c r="F111" s="172" t="s">
        <v>27</v>
      </c>
      <c r="G111" s="173">
        <v>1038</v>
      </c>
      <c r="H111" s="174"/>
      <c r="I111" s="172"/>
      <c r="J111" s="172"/>
      <c r="K111" t="s">
        <v>25</v>
      </c>
      <c r="L111" t="s">
        <v>219</v>
      </c>
      <c r="N111" t="s">
        <v>21</v>
      </c>
    </row>
    <row r="112" spans="1:14" x14ac:dyDescent="0.25">
      <c r="A112" s="172" t="s">
        <v>75</v>
      </c>
      <c r="B112" s="172" t="s">
        <v>403</v>
      </c>
      <c r="C112" s="172" t="s">
        <v>59</v>
      </c>
      <c r="D112" s="172" t="s">
        <v>76</v>
      </c>
      <c r="E112" s="172" t="s">
        <v>87</v>
      </c>
      <c r="F112" s="172" t="s">
        <v>27</v>
      </c>
      <c r="G112" s="173">
        <v>4203</v>
      </c>
      <c r="H112" s="174"/>
      <c r="I112" s="172"/>
      <c r="J112" s="172"/>
      <c r="K112" t="s">
        <v>58</v>
      </c>
      <c r="L112" t="s">
        <v>220</v>
      </c>
      <c r="N112" t="s">
        <v>21</v>
      </c>
    </row>
    <row r="113" spans="1:14" x14ac:dyDescent="0.25">
      <c r="A113" s="172" t="s">
        <v>95</v>
      </c>
      <c r="B113" s="172" t="s">
        <v>404</v>
      </c>
      <c r="C113" s="172" t="s">
        <v>33</v>
      </c>
      <c r="D113" s="172" t="s">
        <v>111</v>
      </c>
      <c r="E113" s="172" t="s">
        <v>112</v>
      </c>
      <c r="F113" s="172" t="s">
        <v>27</v>
      </c>
      <c r="G113" s="173">
        <v>3185</v>
      </c>
      <c r="H113" s="174">
        <v>25</v>
      </c>
      <c r="I113" s="172" t="s">
        <v>98</v>
      </c>
      <c r="J113" s="172" t="s">
        <v>113</v>
      </c>
      <c r="K113" t="s">
        <v>30</v>
      </c>
      <c r="L113" t="s">
        <v>212</v>
      </c>
      <c r="N113" t="s">
        <v>21</v>
      </c>
    </row>
    <row r="114" spans="1:14" x14ac:dyDescent="0.25">
      <c r="A114" s="172" t="s">
        <v>95</v>
      </c>
      <c r="B114" s="172" t="s">
        <v>405</v>
      </c>
      <c r="C114" s="172" t="s">
        <v>33</v>
      </c>
      <c r="D114" s="172" t="s">
        <v>114</v>
      </c>
      <c r="E114" s="172" t="s">
        <v>112</v>
      </c>
      <c r="F114" s="172" t="s">
        <v>27</v>
      </c>
      <c r="G114" s="173">
        <v>4453</v>
      </c>
      <c r="H114" s="174">
        <v>0</v>
      </c>
      <c r="I114" s="172" t="s">
        <v>98</v>
      </c>
      <c r="J114" s="172" t="s">
        <v>113</v>
      </c>
      <c r="K114" t="s">
        <v>30</v>
      </c>
      <c r="L114" t="s">
        <v>212</v>
      </c>
      <c r="N114" t="s">
        <v>21</v>
      </c>
    </row>
    <row r="115" spans="1:14" x14ac:dyDescent="0.25">
      <c r="A115" s="172" t="s">
        <v>95</v>
      </c>
      <c r="B115" s="172" t="s">
        <v>406</v>
      </c>
      <c r="C115" s="172" t="s">
        <v>33</v>
      </c>
      <c r="D115" s="172" t="s">
        <v>115</v>
      </c>
      <c r="E115" s="172" t="s">
        <v>112</v>
      </c>
      <c r="F115" s="172" t="s">
        <v>27</v>
      </c>
      <c r="G115" s="173">
        <v>5086</v>
      </c>
      <c r="H115" s="174"/>
      <c r="I115" s="172"/>
      <c r="J115" s="172"/>
      <c r="K115" t="s">
        <v>30</v>
      </c>
      <c r="L115" t="s">
        <v>212</v>
      </c>
      <c r="N115" t="s">
        <v>21</v>
      </c>
    </row>
    <row r="116" spans="1:14" x14ac:dyDescent="0.25">
      <c r="A116" s="172" t="s">
        <v>95</v>
      </c>
      <c r="B116" s="172" t="s">
        <v>407</v>
      </c>
      <c r="C116" s="172" t="s">
        <v>56</v>
      </c>
      <c r="D116" s="172" t="s">
        <v>111</v>
      </c>
      <c r="E116" s="172" t="s">
        <v>116</v>
      </c>
      <c r="F116" s="172" t="s">
        <v>27</v>
      </c>
      <c r="G116" s="173">
        <v>3185</v>
      </c>
      <c r="H116" s="174"/>
      <c r="I116" s="172"/>
      <c r="J116" s="172"/>
      <c r="K116" t="s">
        <v>30</v>
      </c>
      <c r="L116" t="s">
        <v>212</v>
      </c>
      <c r="N116" t="s">
        <v>21</v>
      </c>
    </row>
    <row r="117" spans="1:14" x14ac:dyDescent="0.25">
      <c r="A117" s="172" t="s">
        <v>95</v>
      </c>
      <c r="B117" s="172" t="s">
        <v>408</v>
      </c>
      <c r="C117" s="172" t="s">
        <v>56</v>
      </c>
      <c r="D117" s="172" t="s">
        <v>114</v>
      </c>
      <c r="E117" s="172" t="s">
        <v>116</v>
      </c>
      <c r="F117" s="172" t="s">
        <v>27</v>
      </c>
      <c r="G117" s="173">
        <v>4453</v>
      </c>
      <c r="H117" s="174"/>
      <c r="I117" s="172"/>
      <c r="J117" s="172"/>
      <c r="K117" t="s">
        <v>30</v>
      </c>
      <c r="L117" t="s">
        <v>212</v>
      </c>
      <c r="N117" t="s">
        <v>21</v>
      </c>
    </row>
    <row r="118" spans="1:14" x14ac:dyDescent="0.25">
      <c r="A118" s="172" t="s">
        <v>95</v>
      </c>
      <c r="B118" s="172" t="s">
        <v>409</v>
      </c>
      <c r="C118" s="172" t="s">
        <v>56</v>
      </c>
      <c r="D118" s="172" t="s">
        <v>115</v>
      </c>
      <c r="E118" s="172" t="s">
        <v>116</v>
      </c>
      <c r="F118" s="172" t="s">
        <v>27</v>
      </c>
      <c r="G118" s="173">
        <v>5086</v>
      </c>
      <c r="H118" s="174"/>
      <c r="I118" s="172"/>
      <c r="J118" s="172"/>
      <c r="K118" t="s">
        <v>30</v>
      </c>
      <c r="L118" t="s">
        <v>212</v>
      </c>
      <c r="N118" t="s">
        <v>21</v>
      </c>
    </row>
    <row r="119" spans="1:14" x14ac:dyDescent="0.25">
      <c r="A119" s="172" t="s">
        <v>95</v>
      </c>
      <c r="B119" s="172" t="s">
        <v>410</v>
      </c>
      <c r="C119" s="172" t="s">
        <v>63</v>
      </c>
      <c r="D119" s="172" t="s">
        <v>111</v>
      </c>
      <c r="E119" s="172" t="s">
        <v>117</v>
      </c>
      <c r="F119" s="172" t="s">
        <v>41</v>
      </c>
      <c r="G119" s="173">
        <v>1668</v>
      </c>
      <c r="H119" s="174"/>
      <c r="I119" s="172"/>
      <c r="J119" s="172"/>
      <c r="K119" t="s">
        <v>36</v>
      </c>
      <c r="L119" t="s">
        <v>37</v>
      </c>
      <c r="N119" t="s">
        <v>21</v>
      </c>
    </row>
    <row r="120" spans="1:14" x14ac:dyDescent="0.25">
      <c r="A120" s="172" t="s">
        <v>95</v>
      </c>
      <c r="B120" s="172" t="s">
        <v>411</v>
      </c>
      <c r="C120" s="172" t="s">
        <v>63</v>
      </c>
      <c r="D120" s="172" t="s">
        <v>115</v>
      </c>
      <c r="E120" s="172" t="s">
        <v>117</v>
      </c>
      <c r="F120" s="172" t="s">
        <v>41</v>
      </c>
      <c r="G120" s="173">
        <v>3916</v>
      </c>
      <c r="H120" s="174"/>
      <c r="I120" s="172"/>
      <c r="J120" s="172"/>
      <c r="K120" t="s">
        <v>36</v>
      </c>
      <c r="L120" t="s">
        <v>37</v>
      </c>
      <c r="N120" t="s">
        <v>21</v>
      </c>
    </row>
    <row r="121" spans="1:14" x14ac:dyDescent="0.25">
      <c r="A121" s="175" t="s">
        <v>162</v>
      </c>
      <c r="B121" s="175"/>
      <c r="C121" s="175" t="s">
        <v>163</v>
      </c>
      <c r="D121" s="175"/>
      <c r="E121" s="175"/>
      <c r="F121" s="175"/>
      <c r="G121" s="176">
        <f>=SUM(G105:G120)</f>
      </c>
      <c r="H121" s="177">
        <f>=SUM(H105:H120)</f>
      </c>
      <c r="I121" s="175" t="s">
        <v>21</v>
      </c>
      <c r="J121" s="175" t="s">
        <v>21</v>
      </c>
    </row>
    <row r="123" spans="1:10" x14ac:dyDescent="0.25">
      <c r="A123" s="170" t="s">
        <v>412</v>
      </c>
      <c r="B123" s="170"/>
      <c r="C123" s="170"/>
      <c r="D123" s="170"/>
      <c r="E123" s="170"/>
      <c r="F123" s="170"/>
      <c r="G123" s="170"/>
      <c r="H123" s="170"/>
      <c r="I123" s="170"/>
      <c r="J123" s="170"/>
    </row>
    <row r="124" spans="1:10" x14ac:dyDescent="0.25">
      <c r="A124" s="171" t="s">
        <v>66</v>
      </c>
      <c r="B124" s="171" t="s">
        <v>352</v>
      </c>
      <c r="C124" s="171" t="s">
        <v>67</v>
      </c>
      <c r="D124" s="171" t="s">
        <v>68</v>
      </c>
      <c r="E124" s="171" t="s">
        <v>69</v>
      </c>
      <c r="F124" s="171" t="s">
        <v>70</v>
      </c>
      <c r="G124" s="171" t="s">
        <v>71</v>
      </c>
      <c r="H124" s="171" t="s">
        <v>72</v>
      </c>
      <c r="I124" s="171" t="s">
        <v>73</v>
      </c>
      <c r="J124" s="171" t="s">
        <v>74</v>
      </c>
    </row>
    <row r="125" spans="1:14" x14ac:dyDescent="0.25">
      <c r="A125" s="172" t="s">
        <v>75</v>
      </c>
      <c r="B125" s="172" t="s">
        <v>396</v>
      </c>
      <c r="C125" s="172" t="s">
        <v>47</v>
      </c>
      <c r="D125" s="172" t="s">
        <v>76</v>
      </c>
      <c r="E125" s="172" t="s">
        <v>77</v>
      </c>
      <c r="F125" s="172" t="s">
        <v>27</v>
      </c>
      <c r="G125" s="173">
        <v>7397</v>
      </c>
      <c r="H125" s="174">
        <v>0</v>
      </c>
      <c r="I125" s="172" t="s">
        <v>78</v>
      </c>
      <c r="J125" s="172" t="s">
        <v>79</v>
      </c>
      <c r="K125" t="s">
        <v>25</v>
      </c>
      <c r="L125" t="s">
        <v>211</v>
      </c>
      <c r="N125" t="s">
        <v>21</v>
      </c>
    </row>
    <row r="126" spans="1:14" x14ac:dyDescent="0.25">
      <c r="A126" s="172" t="s">
        <v>75</v>
      </c>
      <c r="B126" s="172" t="s">
        <v>397</v>
      </c>
      <c r="C126" s="172" t="s">
        <v>48</v>
      </c>
      <c r="D126" s="172" t="s">
        <v>76</v>
      </c>
      <c r="E126" s="172" t="s">
        <v>80</v>
      </c>
      <c r="F126" s="172" t="s">
        <v>27</v>
      </c>
      <c r="G126" s="173">
        <v>7397</v>
      </c>
      <c r="H126" s="174"/>
      <c r="I126" s="172"/>
      <c r="J126" s="172"/>
      <c r="K126" t="s">
        <v>25</v>
      </c>
      <c r="L126" t="s">
        <v>211</v>
      </c>
      <c r="N126" t="s">
        <v>21</v>
      </c>
    </row>
    <row r="127" spans="1:14" x14ac:dyDescent="0.25">
      <c r="A127" s="172" t="s">
        <v>75</v>
      </c>
      <c r="B127" s="172" t="s">
        <v>413</v>
      </c>
      <c r="C127" s="172" t="s">
        <v>50</v>
      </c>
      <c r="D127" s="172" t="s">
        <v>76</v>
      </c>
      <c r="E127" s="172" t="s">
        <v>88</v>
      </c>
      <c r="F127" s="172" t="s">
        <v>27</v>
      </c>
      <c r="G127" s="173">
        <v>214</v>
      </c>
      <c r="H127" s="174"/>
      <c r="I127" s="172"/>
      <c r="J127" s="172"/>
      <c r="K127" t="s">
        <v>49</v>
      </c>
      <c r="L127" t="s">
        <v>217</v>
      </c>
      <c r="N127" t="s">
        <v>21</v>
      </c>
    </row>
    <row r="128" spans="1:14" x14ac:dyDescent="0.25">
      <c r="A128" s="172" t="s">
        <v>75</v>
      </c>
      <c r="B128" s="172" t="s">
        <v>414</v>
      </c>
      <c r="C128" s="172" t="s">
        <v>50</v>
      </c>
      <c r="D128" s="172" t="s">
        <v>76</v>
      </c>
      <c r="E128" s="172" t="s">
        <v>89</v>
      </c>
      <c r="F128" s="172" t="s">
        <v>27</v>
      </c>
      <c r="G128" s="173">
        <v>1067</v>
      </c>
      <c r="H128" s="174"/>
      <c r="I128" s="172"/>
      <c r="J128" s="172"/>
      <c r="K128" t="s">
        <v>49</v>
      </c>
      <c r="L128" t="s">
        <v>217</v>
      </c>
      <c r="N128" t="s">
        <v>21</v>
      </c>
    </row>
    <row r="129" spans="1:14" x14ac:dyDescent="0.25">
      <c r="A129" s="172" t="s">
        <v>75</v>
      </c>
      <c r="B129" s="172" t="s">
        <v>415</v>
      </c>
      <c r="C129" s="172" t="s">
        <v>50</v>
      </c>
      <c r="D129" s="172" t="s">
        <v>76</v>
      </c>
      <c r="E129" s="172" t="s">
        <v>90</v>
      </c>
      <c r="F129" s="172" t="s">
        <v>27</v>
      </c>
      <c r="G129" s="173">
        <v>1100</v>
      </c>
      <c r="H129" s="174"/>
      <c r="I129" s="172"/>
      <c r="J129" s="172"/>
      <c r="K129" t="s">
        <v>49</v>
      </c>
      <c r="L129" t="s">
        <v>217</v>
      </c>
      <c r="N129" t="s">
        <v>21</v>
      </c>
    </row>
    <row r="130" spans="1:14" x14ac:dyDescent="0.25">
      <c r="A130" s="172" t="s">
        <v>75</v>
      </c>
      <c r="B130" s="172" t="s">
        <v>416</v>
      </c>
      <c r="C130" s="172" t="s">
        <v>50</v>
      </c>
      <c r="D130" s="172" t="s">
        <v>76</v>
      </c>
      <c r="E130" s="172" t="s">
        <v>91</v>
      </c>
      <c r="F130" s="172" t="s">
        <v>27</v>
      </c>
      <c r="G130" s="173">
        <v>1505</v>
      </c>
      <c r="H130" s="174"/>
      <c r="I130" s="172"/>
      <c r="J130" s="172"/>
      <c r="K130" t="s">
        <v>49</v>
      </c>
      <c r="L130" t="s">
        <v>217</v>
      </c>
      <c r="N130" t="s">
        <v>21</v>
      </c>
    </row>
    <row r="131" spans="1:14" x14ac:dyDescent="0.25">
      <c r="A131" s="172" t="s">
        <v>75</v>
      </c>
      <c r="B131" s="172" t="s">
        <v>417</v>
      </c>
      <c r="C131" s="172" t="s">
        <v>50</v>
      </c>
      <c r="D131" s="172" t="s">
        <v>76</v>
      </c>
      <c r="E131" s="172" t="s">
        <v>92</v>
      </c>
      <c r="F131" s="172" t="s">
        <v>27</v>
      </c>
      <c r="G131" s="173">
        <v>1756</v>
      </c>
      <c r="H131" s="174"/>
      <c r="I131" s="172"/>
      <c r="J131" s="172"/>
      <c r="K131" t="s">
        <v>49</v>
      </c>
      <c r="L131" t="s">
        <v>217</v>
      </c>
      <c r="N131" t="s">
        <v>21</v>
      </c>
    </row>
    <row r="132" spans="1:14" x14ac:dyDescent="0.25">
      <c r="A132" s="172" t="s">
        <v>75</v>
      </c>
      <c r="B132" s="172" t="s">
        <v>418</v>
      </c>
      <c r="C132" s="172" t="s">
        <v>50</v>
      </c>
      <c r="D132" s="172" t="s">
        <v>76</v>
      </c>
      <c r="E132" s="172" t="s">
        <v>93</v>
      </c>
      <c r="F132" s="172" t="s">
        <v>27</v>
      </c>
      <c r="G132" s="173">
        <v>1758</v>
      </c>
      <c r="H132" s="174"/>
      <c r="I132" s="172"/>
      <c r="J132" s="172"/>
      <c r="K132" t="s">
        <v>49</v>
      </c>
      <c r="L132" t="s">
        <v>217</v>
      </c>
      <c r="N132" t="s">
        <v>21</v>
      </c>
    </row>
    <row r="133" spans="1:14" x14ac:dyDescent="0.25">
      <c r="A133" s="172" t="s">
        <v>75</v>
      </c>
      <c r="B133" s="172" t="s">
        <v>419</v>
      </c>
      <c r="C133" s="172" t="s">
        <v>54</v>
      </c>
      <c r="D133" s="172" t="s">
        <v>81</v>
      </c>
      <c r="E133" s="172" t="s">
        <v>94</v>
      </c>
      <c r="F133" s="172" t="s">
        <v>27</v>
      </c>
      <c r="G133" s="173">
        <v>214</v>
      </c>
      <c r="H133" s="174"/>
      <c r="I133" s="172"/>
      <c r="J133" s="172"/>
      <c r="K133" t="s">
        <v>25</v>
      </c>
      <c r="L133" t="s">
        <v>219</v>
      </c>
      <c r="N133" t="s">
        <v>21</v>
      </c>
    </row>
    <row r="134" spans="1:14" x14ac:dyDescent="0.25">
      <c r="A134" s="172" t="s">
        <v>75</v>
      </c>
      <c r="B134" s="172" t="s">
        <v>398</v>
      </c>
      <c r="C134" s="172" t="s">
        <v>54</v>
      </c>
      <c r="D134" s="172" t="s">
        <v>81</v>
      </c>
      <c r="E134" s="172" t="s">
        <v>82</v>
      </c>
      <c r="F134" s="172" t="s">
        <v>27</v>
      </c>
      <c r="G134" s="173">
        <v>1067</v>
      </c>
      <c r="H134" s="174"/>
      <c r="I134" s="172"/>
      <c r="J134" s="172"/>
      <c r="K134" t="s">
        <v>25</v>
      </c>
      <c r="L134" t="s">
        <v>219</v>
      </c>
      <c r="N134" t="s">
        <v>21</v>
      </c>
    </row>
    <row r="135" spans="1:14" x14ac:dyDescent="0.25">
      <c r="A135" s="172" t="s">
        <v>75</v>
      </c>
      <c r="B135" s="172" t="s">
        <v>399</v>
      </c>
      <c r="C135" s="172" t="s">
        <v>54</v>
      </c>
      <c r="D135" s="172" t="s">
        <v>81</v>
      </c>
      <c r="E135" s="172" t="s">
        <v>83</v>
      </c>
      <c r="F135" s="172" t="s">
        <v>27</v>
      </c>
      <c r="G135" s="173">
        <v>1100</v>
      </c>
      <c r="H135" s="174"/>
      <c r="I135" s="172"/>
      <c r="J135" s="172"/>
      <c r="K135" t="s">
        <v>25</v>
      </c>
      <c r="L135" t="s">
        <v>219</v>
      </c>
      <c r="N135" t="s">
        <v>21</v>
      </c>
    </row>
    <row r="136" spans="1:14" x14ac:dyDescent="0.25">
      <c r="A136" s="172" t="s">
        <v>75</v>
      </c>
      <c r="B136" s="172" t="s">
        <v>400</v>
      </c>
      <c r="C136" s="172" t="s">
        <v>54</v>
      </c>
      <c r="D136" s="172" t="s">
        <v>81</v>
      </c>
      <c r="E136" s="172" t="s">
        <v>84</v>
      </c>
      <c r="F136" s="172" t="s">
        <v>27</v>
      </c>
      <c r="G136" s="173">
        <v>1505</v>
      </c>
      <c r="H136" s="174"/>
      <c r="I136" s="172"/>
      <c r="J136" s="172"/>
      <c r="K136" t="s">
        <v>25</v>
      </c>
      <c r="L136" t="s">
        <v>219</v>
      </c>
      <c r="N136" t="s">
        <v>21</v>
      </c>
    </row>
    <row r="137" spans="1:14" x14ac:dyDescent="0.25">
      <c r="A137" s="172" t="s">
        <v>75</v>
      </c>
      <c r="B137" s="172" t="s">
        <v>401</v>
      </c>
      <c r="C137" s="172" t="s">
        <v>54</v>
      </c>
      <c r="D137" s="172" t="s">
        <v>81</v>
      </c>
      <c r="E137" s="172" t="s">
        <v>85</v>
      </c>
      <c r="F137" s="172" t="s">
        <v>27</v>
      </c>
      <c r="G137" s="173">
        <v>1756</v>
      </c>
      <c r="H137" s="174"/>
      <c r="I137" s="172"/>
      <c r="J137" s="172"/>
      <c r="K137" t="s">
        <v>25</v>
      </c>
      <c r="L137" t="s">
        <v>219</v>
      </c>
      <c r="N137" t="s">
        <v>21</v>
      </c>
    </row>
    <row r="138" spans="1:14" x14ac:dyDescent="0.25">
      <c r="A138" s="172" t="s">
        <v>75</v>
      </c>
      <c r="B138" s="172" t="s">
        <v>402</v>
      </c>
      <c r="C138" s="172" t="s">
        <v>54</v>
      </c>
      <c r="D138" s="172" t="s">
        <v>81</v>
      </c>
      <c r="E138" s="172" t="s">
        <v>86</v>
      </c>
      <c r="F138" s="172" t="s">
        <v>27</v>
      </c>
      <c r="G138" s="173">
        <v>1758</v>
      </c>
      <c r="H138" s="174"/>
      <c r="I138" s="172"/>
      <c r="J138" s="172"/>
      <c r="K138" t="s">
        <v>25</v>
      </c>
      <c r="L138" t="s">
        <v>219</v>
      </c>
      <c r="N138" t="s">
        <v>21</v>
      </c>
    </row>
    <row r="139" spans="1:14" x14ac:dyDescent="0.25">
      <c r="A139" s="172" t="s">
        <v>75</v>
      </c>
      <c r="B139" s="172" t="s">
        <v>403</v>
      </c>
      <c r="C139" s="172" t="s">
        <v>59</v>
      </c>
      <c r="D139" s="172" t="s">
        <v>76</v>
      </c>
      <c r="E139" s="172" t="s">
        <v>87</v>
      </c>
      <c r="F139" s="172" t="s">
        <v>27</v>
      </c>
      <c r="G139" s="173">
        <v>7356</v>
      </c>
      <c r="H139" s="174"/>
      <c r="I139" s="172"/>
      <c r="J139" s="172"/>
      <c r="K139" t="s">
        <v>58</v>
      </c>
      <c r="L139" t="s">
        <v>220</v>
      </c>
      <c r="N139" t="s">
        <v>21</v>
      </c>
    </row>
    <row r="140" spans="1:14" x14ac:dyDescent="0.25">
      <c r="A140" s="172" t="s">
        <v>95</v>
      </c>
      <c r="B140" s="172" t="s">
        <v>420</v>
      </c>
      <c r="C140" s="172" t="s">
        <v>31</v>
      </c>
      <c r="D140" s="172" t="s">
        <v>76</v>
      </c>
      <c r="E140" s="172" t="s">
        <v>118</v>
      </c>
      <c r="F140" s="172" t="s">
        <v>27</v>
      </c>
      <c r="G140" s="173">
        <v>14793</v>
      </c>
      <c r="H140" s="174">
        <v>0</v>
      </c>
      <c r="I140" s="172" t="s">
        <v>98</v>
      </c>
      <c r="J140" s="172" t="s">
        <v>113</v>
      </c>
      <c r="K140" t="s">
        <v>30</v>
      </c>
      <c r="L140" t="s">
        <v>212</v>
      </c>
      <c r="N140" t="s">
        <v>21</v>
      </c>
    </row>
    <row r="141" spans="1:14" x14ac:dyDescent="0.25">
      <c r="A141" s="172" t="s">
        <v>95</v>
      </c>
      <c r="B141" s="172" t="s">
        <v>421</v>
      </c>
      <c r="C141" s="172" t="s">
        <v>32</v>
      </c>
      <c r="D141" s="172" t="s">
        <v>76</v>
      </c>
      <c r="E141" s="172" t="s">
        <v>119</v>
      </c>
      <c r="F141" s="172" t="s">
        <v>27</v>
      </c>
      <c r="G141" s="173">
        <v>14793</v>
      </c>
      <c r="H141" s="174"/>
      <c r="I141" s="172"/>
      <c r="J141" s="172"/>
      <c r="K141" t="s">
        <v>30</v>
      </c>
      <c r="L141" t="s">
        <v>212</v>
      </c>
      <c r="N141" t="s">
        <v>21</v>
      </c>
    </row>
    <row r="142" spans="1:14" x14ac:dyDescent="0.25">
      <c r="A142" s="172" t="s">
        <v>95</v>
      </c>
      <c r="B142" s="172" t="s">
        <v>422</v>
      </c>
      <c r="C142" s="172" t="s">
        <v>33</v>
      </c>
      <c r="D142" s="172" t="s">
        <v>76</v>
      </c>
      <c r="E142" s="172" t="s">
        <v>120</v>
      </c>
      <c r="F142" s="172" t="s">
        <v>27</v>
      </c>
      <c r="G142" s="173">
        <v>29586</v>
      </c>
      <c r="H142" s="174"/>
      <c r="I142" s="172"/>
      <c r="J142" s="172"/>
      <c r="K142" t="s">
        <v>30</v>
      </c>
      <c r="L142" t="s">
        <v>212</v>
      </c>
      <c r="N142" t="s">
        <v>21</v>
      </c>
    </row>
    <row r="143" spans="1:14" x14ac:dyDescent="0.25">
      <c r="A143" s="172" t="s">
        <v>95</v>
      </c>
      <c r="B143" s="172" t="s">
        <v>423</v>
      </c>
      <c r="C143" s="172" t="s">
        <v>53</v>
      </c>
      <c r="D143" s="172" t="s">
        <v>76</v>
      </c>
      <c r="E143" s="172" t="s">
        <v>121</v>
      </c>
      <c r="F143" s="172" t="s">
        <v>44</v>
      </c>
      <c r="G143" s="173">
        <v>59172</v>
      </c>
      <c r="H143" s="174"/>
      <c r="I143" s="172"/>
      <c r="J143" s="172"/>
      <c r="K143" t="s">
        <v>52</v>
      </c>
      <c r="L143" t="s">
        <v>218</v>
      </c>
      <c r="N143" t="s">
        <v>21</v>
      </c>
    </row>
    <row r="144" spans="1:14" x14ac:dyDescent="0.25">
      <c r="A144" s="172" t="s">
        <v>95</v>
      </c>
      <c r="B144" s="172" t="s">
        <v>411</v>
      </c>
      <c r="C144" s="172" t="s">
        <v>63</v>
      </c>
      <c r="D144" s="172" t="s">
        <v>115</v>
      </c>
      <c r="E144" s="172" t="s">
        <v>117</v>
      </c>
      <c r="F144" s="172" t="s">
        <v>41</v>
      </c>
      <c r="G144" s="173">
        <v>2396</v>
      </c>
      <c r="H144" s="174"/>
      <c r="I144" s="172"/>
      <c r="J144" s="172"/>
      <c r="K144" t="s">
        <v>36</v>
      </c>
      <c r="L144" t="s">
        <v>37</v>
      </c>
      <c r="N144" t="s">
        <v>21</v>
      </c>
    </row>
    <row r="145" spans="1:14" x14ac:dyDescent="0.25">
      <c r="A145" s="172" t="s">
        <v>132</v>
      </c>
      <c r="B145" s="172" t="s">
        <v>424</v>
      </c>
      <c r="C145" s="172" t="s">
        <v>13</v>
      </c>
      <c r="D145" s="172" t="s">
        <v>133</v>
      </c>
      <c r="E145" s="172" t="s">
        <v>17</v>
      </c>
      <c r="F145" s="172" t="s">
        <v>14</v>
      </c>
      <c r="G145" s="173">
        <v>15</v>
      </c>
      <c r="H145" s="174">
        <v>9</v>
      </c>
      <c r="I145" s="172" t="s">
        <v>21</v>
      </c>
      <c r="J145" s="172" t="s">
        <v>134</v>
      </c>
      <c r="K145" t="s">
        <v>12</v>
      </c>
      <c r="L145" t="s">
        <v>208</v>
      </c>
      <c r="N145" t="s">
        <v>18</v>
      </c>
    </row>
    <row r="146" spans="1:14" x14ac:dyDescent="0.25">
      <c r="A146" s="172" t="s">
        <v>132</v>
      </c>
      <c r="B146" s="172" t="s">
        <v>424</v>
      </c>
      <c r="C146" s="172" t="s">
        <v>13</v>
      </c>
      <c r="D146" s="172" t="s">
        <v>133</v>
      </c>
      <c r="E146" s="172" t="s">
        <v>17</v>
      </c>
      <c r="F146" s="172" t="s">
        <v>14</v>
      </c>
      <c r="G146" s="173">
        <v>460</v>
      </c>
      <c r="H146" s="174">
        <v>0</v>
      </c>
      <c r="I146" s="172" t="s">
        <v>21</v>
      </c>
      <c r="J146" s="172" t="s">
        <v>134</v>
      </c>
      <c r="K146" t="s">
        <v>12</v>
      </c>
      <c r="L146" t="s">
        <v>208</v>
      </c>
      <c r="N146" t="s">
        <v>18</v>
      </c>
    </row>
    <row r="147" spans="1:14" x14ac:dyDescent="0.25">
      <c r="A147" s="172" t="s">
        <v>152</v>
      </c>
      <c r="B147" s="172" t="s">
        <v>425</v>
      </c>
      <c r="C147" s="172" t="s">
        <v>23</v>
      </c>
      <c r="D147" s="172" t="s">
        <v>153</v>
      </c>
      <c r="E147" s="172" t="s">
        <v>21</v>
      </c>
      <c r="F147" s="172" t="s">
        <v>24</v>
      </c>
      <c r="G147" s="173">
        <v>2</v>
      </c>
      <c r="H147" s="174">
        <v>518</v>
      </c>
      <c r="I147" s="172" t="s">
        <v>154</v>
      </c>
      <c r="J147" s="172" t="s">
        <v>155</v>
      </c>
      <c r="K147" t="s">
        <v>22</v>
      </c>
      <c r="L147" t="s">
        <v>210</v>
      </c>
      <c r="N147" t="s">
        <v>18</v>
      </c>
    </row>
    <row r="148" spans="1:14" x14ac:dyDescent="0.25">
      <c r="A148" s="172" t="s">
        <v>152</v>
      </c>
      <c r="B148" s="172" t="s">
        <v>425</v>
      </c>
      <c r="C148" s="172" t="s">
        <v>23</v>
      </c>
      <c r="D148" s="172" t="s">
        <v>153</v>
      </c>
      <c r="E148" s="172" t="s">
        <v>21</v>
      </c>
      <c r="F148" s="172" t="s">
        <v>24</v>
      </c>
      <c r="G148" s="173">
        <v>724</v>
      </c>
      <c r="H148" s="174">
        <v>0</v>
      </c>
      <c r="I148" s="172" t="s">
        <v>154</v>
      </c>
      <c r="J148" s="172" t="s">
        <v>155</v>
      </c>
      <c r="K148" t="s">
        <v>22</v>
      </c>
      <c r="L148" t="s">
        <v>210</v>
      </c>
      <c r="N148" t="s">
        <v>18</v>
      </c>
    </row>
    <row r="149" spans="1:14" x14ac:dyDescent="0.25">
      <c r="A149" s="175" t="s">
        <v>162</v>
      </c>
      <c r="B149" s="175"/>
      <c r="C149" s="175" t="s">
        <v>163</v>
      </c>
      <c r="D149" s="175"/>
      <c r="E149" s="175"/>
      <c r="F149" s="175"/>
      <c r="G149" s="176">
        <f>=SUM(G125:G148)</f>
      </c>
      <c r="H149" s="177">
        <f>=SUM(H125:H148)</f>
      </c>
      <c r="I149" s="175" t="s">
        <v>21</v>
      </c>
      <c r="J149" s="175" t="s">
        <v>21</v>
      </c>
    </row>
    <row r="151" spans="1:10" x14ac:dyDescent="0.25">
      <c r="A151" s="170" t="s">
        <v>426</v>
      </c>
      <c r="B151" s="170"/>
      <c r="C151" s="170"/>
      <c r="D151" s="170"/>
      <c r="E151" s="170"/>
      <c r="F151" s="170"/>
      <c r="G151" s="170"/>
      <c r="H151" s="170"/>
      <c r="I151" s="170"/>
      <c r="J151" s="170"/>
    </row>
    <row r="152" spans="1:10" x14ac:dyDescent="0.25">
      <c r="A152" s="171" t="s">
        <v>66</v>
      </c>
      <c r="B152" s="171" t="s">
        <v>352</v>
      </c>
      <c r="C152" s="171" t="s">
        <v>67</v>
      </c>
      <c r="D152" s="171" t="s">
        <v>68</v>
      </c>
      <c r="E152" s="171" t="s">
        <v>69</v>
      </c>
      <c r="F152" s="171" t="s">
        <v>70</v>
      </c>
      <c r="G152" s="171" t="s">
        <v>71</v>
      </c>
      <c r="H152" s="171" t="s">
        <v>72</v>
      </c>
      <c r="I152" s="171" t="s">
        <v>73</v>
      </c>
      <c r="J152" s="171" t="s">
        <v>74</v>
      </c>
    </row>
    <row r="153" spans="1:14" x14ac:dyDescent="0.25">
      <c r="A153" s="172" t="s">
        <v>75</v>
      </c>
      <c r="B153" s="172" t="s">
        <v>396</v>
      </c>
      <c r="C153" s="172" t="s">
        <v>47</v>
      </c>
      <c r="D153" s="172" t="s">
        <v>76</v>
      </c>
      <c r="E153" s="172" t="s">
        <v>77</v>
      </c>
      <c r="F153" s="172" t="s">
        <v>27</v>
      </c>
      <c r="G153" s="173">
        <v>10535</v>
      </c>
      <c r="H153" s="174">
        <v>0</v>
      </c>
      <c r="I153" s="172" t="s">
        <v>78</v>
      </c>
      <c r="J153" s="172" t="s">
        <v>79</v>
      </c>
      <c r="K153" t="s">
        <v>25</v>
      </c>
      <c r="L153" t="s">
        <v>211</v>
      </c>
      <c r="N153" t="s">
        <v>21</v>
      </c>
    </row>
    <row r="154" spans="1:14" x14ac:dyDescent="0.25">
      <c r="A154" s="172" t="s">
        <v>75</v>
      </c>
      <c r="B154" s="172" t="s">
        <v>397</v>
      </c>
      <c r="C154" s="172" t="s">
        <v>48</v>
      </c>
      <c r="D154" s="172" t="s">
        <v>76</v>
      </c>
      <c r="E154" s="172" t="s">
        <v>80</v>
      </c>
      <c r="F154" s="172" t="s">
        <v>27</v>
      </c>
      <c r="G154" s="173">
        <v>10535</v>
      </c>
      <c r="H154" s="174"/>
      <c r="I154" s="172"/>
      <c r="J154" s="172"/>
      <c r="K154" t="s">
        <v>25</v>
      </c>
      <c r="L154" t="s">
        <v>211</v>
      </c>
      <c r="N154" t="s">
        <v>21</v>
      </c>
    </row>
    <row r="155" spans="1:14" x14ac:dyDescent="0.25">
      <c r="A155" s="172" t="s">
        <v>75</v>
      </c>
      <c r="B155" s="172" t="s">
        <v>415</v>
      </c>
      <c r="C155" s="172" t="s">
        <v>50</v>
      </c>
      <c r="D155" s="172" t="s">
        <v>76</v>
      </c>
      <c r="E155" s="172" t="s">
        <v>90</v>
      </c>
      <c r="F155" s="172" t="s">
        <v>27</v>
      </c>
      <c r="G155" s="173">
        <v>1786</v>
      </c>
      <c r="H155" s="174"/>
      <c r="I155" s="172"/>
      <c r="J155" s="172"/>
      <c r="K155" t="s">
        <v>49</v>
      </c>
      <c r="L155" t="s">
        <v>217</v>
      </c>
      <c r="N155" t="s">
        <v>21</v>
      </c>
    </row>
    <row r="156" spans="1:14" x14ac:dyDescent="0.25">
      <c r="A156" s="172" t="s">
        <v>75</v>
      </c>
      <c r="B156" s="172" t="s">
        <v>414</v>
      </c>
      <c r="C156" s="172" t="s">
        <v>50</v>
      </c>
      <c r="D156" s="172" t="s">
        <v>76</v>
      </c>
      <c r="E156" s="172" t="s">
        <v>89</v>
      </c>
      <c r="F156" s="172" t="s">
        <v>27</v>
      </c>
      <c r="G156" s="173">
        <v>1802</v>
      </c>
      <c r="H156" s="174"/>
      <c r="I156" s="172"/>
      <c r="J156" s="172"/>
      <c r="K156" t="s">
        <v>49</v>
      </c>
      <c r="L156" t="s">
        <v>217</v>
      </c>
      <c r="N156" t="s">
        <v>21</v>
      </c>
    </row>
    <row r="157" spans="1:14" x14ac:dyDescent="0.25">
      <c r="A157" s="172" t="s">
        <v>75</v>
      </c>
      <c r="B157" s="172" t="s">
        <v>416</v>
      </c>
      <c r="C157" s="172" t="s">
        <v>50</v>
      </c>
      <c r="D157" s="172" t="s">
        <v>76</v>
      </c>
      <c r="E157" s="172" t="s">
        <v>91</v>
      </c>
      <c r="F157" s="172" t="s">
        <v>27</v>
      </c>
      <c r="G157" s="173">
        <v>1945</v>
      </c>
      <c r="H157" s="174"/>
      <c r="I157" s="172"/>
      <c r="J157" s="172"/>
      <c r="K157" t="s">
        <v>49</v>
      </c>
      <c r="L157" t="s">
        <v>217</v>
      </c>
      <c r="N157" t="s">
        <v>21</v>
      </c>
    </row>
    <row r="158" spans="1:14" x14ac:dyDescent="0.25">
      <c r="A158" s="172" t="s">
        <v>75</v>
      </c>
      <c r="B158" s="172" t="s">
        <v>417</v>
      </c>
      <c r="C158" s="172" t="s">
        <v>50</v>
      </c>
      <c r="D158" s="172" t="s">
        <v>76</v>
      </c>
      <c r="E158" s="172" t="s">
        <v>92</v>
      </c>
      <c r="F158" s="172" t="s">
        <v>27</v>
      </c>
      <c r="G158" s="173">
        <v>2350</v>
      </c>
      <c r="H158" s="174"/>
      <c r="I158" s="172"/>
      <c r="J158" s="172"/>
      <c r="K158" t="s">
        <v>49</v>
      </c>
      <c r="L158" t="s">
        <v>217</v>
      </c>
      <c r="N158" t="s">
        <v>21</v>
      </c>
    </row>
    <row r="159" spans="1:14" x14ac:dyDescent="0.25">
      <c r="A159" s="172" t="s">
        <v>75</v>
      </c>
      <c r="B159" s="172" t="s">
        <v>418</v>
      </c>
      <c r="C159" s="172" t="s">
        <v>50</v>
      </c>
      <c r="D159" s="172" t="s">
        <v>76</v>
      </c>
      <c r="E159" s="172" t="s">
        <v>93</v>
      </c>
      <c r="F159" s="172" t="s">
        <v>27</v>
      </c>
      <c r="G159" s="173">
        <v>2654</v>
      </c>
      <c r="H159" s="174"/>
      <c r="I159" s="172"/>
      <c r="J159" s="172"/>
      <c r="K159" t="s">
        <v>49</v>
      </c>
      <c r="L159" t="s">
        <v>217</v>
      </c>
      <c r="N159" t="s">
        <v>21</v>
      </c>
    </row>
    <row r="160" spans="1:14" x14ac:dyDescent="0.25">
      <c r="A160" s="172" t="s">
        <v>75</v>
      </c>
      <c r="B160" s="172" t="s">
        <v>399</v>
      </c>
      <c r="C160" s="172" t="s">
        <v>54</v>
      </c>
      <c r="D160" s="172" t="s">
        <v>81</v>
      </c>
      <c r="E160" s="172" t="s">
        <v>83</v>
      </c>
      <c r="F160" s="172" t="s">
        <v>27</v>
      </c>
      <c r="G160" s="173">
        <v>1786</v>
      </c>
      <c r="H160" s="174"/>
      <c r="I160" s="172"/>
      <c r="J160" s="172"/>
      <c r="K160" t="s">
        <v>25</v>
      </c>
      <c r="L160" t="s">
        <v>219</v>
      </c>
      <c r="N160" t="s">
        <v>21</v>
      </c>
    </row>
    <row r="161" spans="1:14" x14ac:dyDescent="0.25">
      <c r="A161" s="172" t="s">
        <v>75</v>
      </c>
      <c r="B161" s="172" t="s">
        <v>398</v>
      </c>
      <c r="C161" s="172" t="s">
        <v>54</v>
      </c>
      <c r="D161" s="172" t="s">
        <v>81</v>
      </c>
      <c r="E161" s="172" t="s">
        <v>82</v>
      </c>
      <c r="F161" s="172" t="s">
        <v>27</v>
      </c>
      <c r="G161" s="173">
        <v>1802</v>
      </c>
      <c r="H161" s="174"/>
      <c r="I161" s="172"/>
      <c r="J161" s="172"/>
      <c r="K161" t="s">
        <v>25</v>
      </c>
      <c r="L161" t="s">
        <v>219</v>
      </c>
      <c r="N161" t="s">
        <v>21</v>
      </c>
    </row>
    <row r="162" spans="1:14" x14ac:dyDescent="0.25">
      <c r="A162" s="172" t="s">
        <v>75</v>
      </c>
      <c r="B162" s="172" t="s">
        <v>400</v>
      </c>
      <c r="C162" s="172" t="s">
        <v>54</v>
      </c>
      <c r="D162" s="172" t="s">
        <v>81</v>
      </c>
      <c r="E162" s="172" t="s">
        <v>84</v>
      </c>
      <c r="F162" s="172" t="s">
        <v>27</v>
      </c>
      <c r="G162" s="173">
        <v>1945</v>
      </c>
      <c r="H162" s="174"/>
      <c r="I162" s="172"/>
      <c r="J162" s="172"/>
      <c r="K162" t="s">
        <v>25</v>
      </c>
      <c r="L162" t="s">
        <v>219</v>
      </c>
      <c r="N162" t="s">
        <v>21</v>
      </c>
    </row>
    <row r="163" spans="1:14" x14ac:dyDescent="0.25">
      <c r="A163" s="172" t="s">
        <v>75</v>
      </c>
      <c r="B163" s="172" t="s">
        <v>401</v>
      </c>
      <c r="C163" s="172" t="s">
        <v>54</v>
      </c>
      <c r="D163" s="172" t="s">
        <v>81</v>
      </c>
      <c r="E163" s="172" t="s">
        <v>85</v>
      </c>
      <c r="F163" s="172" t="s">
        <v>27</v>
      </c>
      <c r="G163" s="173">
        <v>2350</v>
      </c>
      <c r="H163" s="174"/>
      <c r="I163" s="172"/>
      <c r="J163" s="172"/>
      <c r="K163" t="s">
        <v>25</v>
      </c>
      <c r="L163" t="s">
        <v>219</v>
      </c>
      <c r="N163" t="s">
        <v>21</v>
      </c>
    </row>
    <row r="164" spans="1:14" x14ac:dyDescent="0.25">
      <c r="A164" s="172" t="s">
        <v>75</v>
      </c>
      <c r="B164" s="172" t="s">
        <v>402</v>
      </c>
      <c r="C164" s="172" t="s">
        <v>54</v>
      </c>
      <c r="D164" s="172" t="s">
        <v>81</v>
      </c>
      <c r="E164" s="172" t="s">
        <v>86</v>
      </c>
      <c r="F164" s="172" t="s">
        <v>27</v>
      </c>
      <c r="G164" s="173">
        <v>2654</v>
      </c>
      <c r="H164" s="174"/>
      <c r="I164" s="172"/>
      <c r="J164" s="172"/>
      <c r="K164" t="s">
        <v>25</v>
      </c>
      <c r="L164" t="s">
        <v>219</v>
      </c>
      <c r="N164" t="s">
        <v>21</v>
      </c>
    </row>
    <row r="165" spans="1:14" x14ac:dyDescent="0.25">
      <c r="A165" s="172" t="s">
        <v>75</v>
      </c>
      <c r="B165" s="172" t="s">
        <v>403</v>
      </c>
      <c r="C165" s="172" t="s">
        <v>59</v>
      </c>
      <c r="D165" s="172" t="s">
        <v>76</v>
      </c>
      <c r="E165" s="172" t="s">
        <v>87</v>
      </c>
      <c r="F165" s="172" t="s">
        <v>27</v>
      </c>
      <c r="G165" s="173">
        <v>10503</v>
      </c>
      <c r="H165" s="174"/>
      <c r="I165" s="172"/>
      <c r="J165" s="172"/>
      <c r="K165" t="s">
        <v>58</v>
      </c>
      <c r="L165" t="s">
        <v>220</v>
      </c>
      <c r="N165" t="s">
        <v>21</v>
      </c>
    </row>
    <row r="166" spans="1:14" x14ac:dyDescent="0.25">
      <c r="A166" s="172" t="s">
        <v>95</v>
      </c>
      <c r="B166" s="172" t="s">
        <v>410</v>
      </c>
      <c r="C166" s="172" t="s">
        <v>63</v>
      </c>
      <c r="D166" s="172" t="s">
        <v>111</v>
      </c>
      <c r="E166" s="172" t="s">
        <v>117</v>
      </c>
      <c r="F166" s="172" t="s">
        <v>41</v>
      </c>
      <c r="G166" s="173">
        <v>1237</v>
      </c>
      <c r="H166" s="174">
        <v>0</v>
      </c>
      <c r="I166" s="172" t="s">
        <v>98</v>
      </c>
      <c r="J166" s="172" t="s">
        <v>113</v>
      </c>
      <c r="K166" t="s">
        <v>36</v>
      </c>
      <c r="L166" t="s">
        <v>37</v>
      </c>
      <c r="N166" t="s">
        <v>21</v>
      </c>
    </row>
    <row r="167" spans="1:14" x14ac:dyDescent="0.25">
      <c r="A167" s="172" t="s">
        <v>95</v>
      </c>
      <c r="B167" s="172" t="s">
        <v>411</v>
      </c>
      <c r="C167" s="172" t="s">
        <v>63</v>
      </c>
      <c r="D167" s="172" t="s">
        <v>115</v>
      </c>
      <c r="E167" s="172" t="s">
        <v>117</v>
      </c>
      <c r="F167" s="172" t="s">
        <v>41</v>
      </c>
      <c r="G167" s="173">
        <v>1942</v>
      </c>
      <c r="H167" s="174"/>
      <c r="I167" s="172"/>
      <c r="J167" s="172"/>
      <c r="K167" t="s">
        <v>36</v>
      </c>
      <c r="L167" t="s">
        <v>37</v>
      </c>
      <c r="N167" t="s">
        <v>21</v>
      </c>
    </row>
    <row r="168" spans="1:14" x14ac:dyDescent="0.25">
      <c r="A168" s="172" t="s">
        <v>132</v>
      </c>
      <c r="B168" s="172" t="s">
        <v>427</v>
      </c>
      <c r="C168" s="172" t="s">
        <v>20</v>
      </c>
      <c r="D168" s="172" t="s">
        <v>135</v>
      </c>
      <c r="E168" s="172" t="s">
        <v>17</v>
      </c>
      <c r="F168" s="172" t="s">
        <v>14</v>
      </c>
      <c r="G168" s="173">
        <v>18</v>
      </c>
      <c r="H168" s="174">
        <v>0</v>
      </c>
      <c r="I168" s="172" t="s">
        <v>21</v>
      </c>
      <c r="J168" s="172" t="s">
        <v>134</v>
      </c>
      <c r="K168" t="s">
        <v>19</v>
      </c>
      <c r="L168" t="s">
        <v>209</v>
      </c>
      <c r="N168" t="s">
        <v>18</v>
      </c>
    </row>
    <row r="169" spans="1:14" x14ac:dyDescent="0.25">
      <c r="A169" s="172" t="s">
        <v>132</v>
      </c>
      <c r="B169" s="172" t="s">
        <v>427</v>
      </c>
      <c r="C169" s="172" t="s">
        <v>20</v>
      </c>
      <c r="D169" s="172" t="s">
        <v>135</v>
      </c>
      <c r="E169" s="172" t="s">
        <v>17</v>
      </c>
      <c r="F169" s="172" t="s">
        <v>14</v>
      </c>
      <c r="G169" s="173">
        <v>60</v>
      </c>
      <c r="H169" s="174"/>
      <c r="I169" s="172"/>
      <c r="J169" s="172"/>
      <c r="K169" t="s">
        <v>19</v>
      </c>
      <c r="L169" t="s">
        <v>209</v>
      </c>
      <c r="N169" t="s">
        <v>18</v>
      </c>
    </row>
    <row r="170" spans="1:14" x14ac:dyDescent="0.25">
      <c r="A170" s="172" t="s">
        <v>152</v>
      </c>
      <c r="B170" s="172" t="s">
        <v>425</v>
      </c>
      <c r="C170" s="172" t="s">
        <v>23</v>
      </c>
      <c r="D170" s="172" t="s">
        <v>153</v>
      </c>
      <c r="E170" s="172" t="s">
        <v>21</v>
      </c>
      <c r="F170" s="172" t="s">
        <v>24</v>
      </c>
      <c r="G170" s="173">
        <v>2679</v>
      </c>
      <c r="H170" s="174">
        <v>0</v>
      </c>
      <c r="I170" s="172" t="s">
        <v>154</v>
      </c>
      <c r="J170" s="172" t="s">
        <v>155</v>
      </c>
      <c r="K170" t="s">
        <v>22</v>
      </c>
      <c r="L170" t="s">
        <v>210</v>
      </c>
      <c r="N170" t="s">
        <v>18</v>
      </c>
    </row>
    <row r="171" spans="1:14" x14ac:dyDescent="0.25">
      <c r="A171" s="175" t="s">
        <v>162</v>
      </c>
      <c r="B171" s="175"/>
      <c r="C171" s="175" t="s">
        <v>163</v>
      </c>
      <c r="D171" s="175"/>
      <c r="E171" s="175"/>
      <c r="F171" s="175"/>
      <c r="G171" s="176">
        <f>=SUM(G153:G170)</f>
      </c>
      <c r="H171" s="177">
        <f>=SUM(H153:H170)</f>
      </c>
      <c r="I171" s="175" t="s">
        <v>21</v>
      </c>
      <c r="J171" s="175" t="s">
        <v>21</v>
      </c>
    </row>
    <row r="173" spans="1:10" x14ac:dyDescent="0.25">
      <c r="A173" s="170" t="s">
        <v>428</v>
      </c>
      <c r="B173" s="170"/>
      <c r="C173" s="170"/>
      <c r="D173" s="170"/>
      <c r="E173" s="170"/>
      <c r="F173" s="170"/>
      <c r="G173" s="170"/>
      <c r="H173" s="170"/>
      <c r="I173" s="170"/>
      <c r="J173" s="170"/>
    </row>
    <row r="174" spans="1:10" x14ac:dyDescent="0.25">
      <c r="A174" s="171" t="s">
        <v>66</v>
      </c>
      <c r="B174" s="171" t="s">
        <v>352</v>
      </c>
      <c r="C174" s="171" t="s">
        <v>67</v>
      </c>
      <c r="D174" s="171" t="s">
        <v>68</v>
      </c>
      <c r="E174" s="171" t="s">
        <v>69</v>
      </c>
      <c r="F174" s="171" t="s">
        <v>70</v>
      </c>
      <c r="G174" s="171" t="s">
        <v>71</v>
      </c>
      <c r="H174" s="171" t="s">
        <v>72</v>
      </c>
      <c r="I174" s="171" t="s">
        <v>73</v>
      </c>
      <c r="J174" s="171" t="s">
        <v>74</v>
      </c>
    </row>
    <row r="175" spans="1:14" x14ac:dyDescent="0.25">
      <c r="A175" s="172" t="s">
        <v>75</v>
      </c>
      <c r="B175" s="172" t="s">
        <v>396</v>
      </c>
      <c r="C175" s="172" t="s">
        <v>47</v>
      </c>
      <c r="D175" s="172" t="s">
        <v>76</v>
      </c>
      <c r="E175" s="172" t="s">
        <v>77</v>
      </c>
      <c r="F175" s="172" t="s">
        <v>27</v>
      </c>
      <c r="G175" s="173">
        <v>4236</v>
      </c>
      <c r="H175" s="174">
        <v>0</v>
      </c>
      <c r="I175" s="172" t="s">
        <v>78</v>
      </c>
      <c r="J175" s="172" t="s">
        <v>79</v>
      </c>
      <c r="K175" t="s">
        <v>25</v>
      </c>
      <c r="L175" t="s">
        <v>211</v>
      </c>
      <c r="N175" t="s">
        <v>21</v>
      </c>
    </row>
    <row r="176" spans="1:14" x14ac:dyDescent="0.25">
      <c r="A176" s="172" t="s">
        <v>75</v>
      </c>
      <c r="B176" s="172" t="s">
        <v>397</v>
      </c>
      <c r="C176" s="172" t="s">
        <v>48</v>
      </c>
      <c r="D176" s="172" t="s">
        <v>76</v>
      </c>
      <c r="E176" s="172" t="s">
        <v>80</v>
      </c>
      <c r="F176" s="172" t="s">
        <v>27</v>
      </c>
      <c r="G176" s="173">
        <v>4236</v>
      </c>
      <c r="H176" s="174"/>
      <c r="I176" s="172"/>
      <c r="J176" s="172"/>
      <c r="K176" t="s">
        <v>25</v>
      </c>
      <c r="L176" t="s">
        <v>211</v>
      </c>
      <c r="N176" t="s">
        <v>21</v>
      </c>
    </row>
    <row r="177" spans="1:14" x14ac:dyDescent="0.25">
      <c r="A177" s="172" t="s">
        <v>75</v>
      </c>
      <c r="B177" s="172" t="s">
        <v>418</v>
      </c>
      <c r="C177" s="172" t="s">
        <v>50</v>
      </c>
      <c r="D177" s="172" t="s">
        <v>76</v>
      </c>
      <c r="E177" s="172" t="s">
        <v>93</v>
      </c>
      <c r="F177" s="172" t="s">
        <v>27</v>
      </c>
      <c r="G177" s="173">
        <v>752</v>
      </c>
      <c r="H177" s="174"/>
      <c r="I177" s="172"/>
      <c r="J177" s="172"/>
      <c r="K177" t="s">
        <v>49</v>
      </c>
      <c r="L177" t="s">
        <v>217</v>
      </c>
      <c r="N177" t="s">
        <v>21</v>
      </c>
    </row>
    <row r="178" spans="1:14" x14ac:dyDescent="0.25">
      <c r="A178" s="172" t="s">
        <v>75</v>
      </c>
      <c r="B178" s="172" t="s">
        <v>415</v>
      </c>
      <c r="C178" s="172" t="s">
        <v>50</v>
      </c>
      <c r="D178" s="172" t="s">
        <v>76</v>
      </c>
      <c r="E178" s="172" t="s">
        <v>90</v>
      </c>
      <c r="F178" s="172" t="s">
        <v>27</v>
      </c>
      <c r="G178" s="173">
        <v>1742</v>
      </c>
      <c r="H178" s="174"/>
      <c r="I178" s="172"/>
      <c r="J178" s="172"/>
      <c r="K178" t="s">
        <v>49</v>
      </c>
      <c r="L178" t="s">
        <v>217</v>
      </c>
      <c r="N178" t="s">
        <v>21</v>
      </c>
    </row>
    <row r="179" spans="1:14" x14ac:dyDescent="0.25">
      <c r="A179" s="172" t="s">
        <v>75</v>
      </c>
      <c r="B179" s="172" t="s">
        <v>417</v>
      </c>
      <c r="C179" s="172" t="s">
        <v>50</v>
      </c>
      <c r="D179" s="172" t="s">
        <v>76</v>
      </c>
      <c r="E179" s="172" t="s">
        <v>92</v>
      </c>
      <c r="F179" s="172" t="s">
        <v>27</v>
      </c>
      <c r="G179" s="173">
        <v>1742</v>
      </c>
      <c r="H179" s="174"/>
      <c r="I179" s="172"/>
      <c r="J179" s="172"/>
      <c r="K179" t="s">
        <v>49</v>
      </c>
      <c r="L179" t="s">
        <v>217</v>
      </c>
      <c r="N179" t="s">
        <v>21</v>
      </c>
    </row>
    <row r="180" spans="1:14" x14ac:dyDescent="0.25">
      <c r="A180" s="172" t="s">
        <v>75</v>
      </c>
      <c r="B180" s="172" t="s">
        <v>402</v>
      </c>
      <c r="C180" s="172" t="s">
        <v>54</v>
      </c>
      <c r="D180" s="172" t="s">
        <v>81</v>
      </c>
      <c r="E180" s="172" t="s">
        <v>86</v>
      </c>
      <c r="F180" s="172" t="s">
        <v>27</v>
      </c>
      <c r="G180" s="173">
        <v>752</v>
      </c>
      <c r="H180" s="174"/>
      <c r="I180" s="172"/>
      <c r="J180" s="172"/>
      <c r="K180" t="s">
        <v>25</v>
      </c>
      <c r="L180" t="s">
        <v>219</v>
      </c>
      <c r="N180" t="s">
        <v>21</v>
      </c>
    </row>
    <row r="181" spans="1:14" x14ac:dyDescent="0.25">
      <c r="A181" s="172" t="s">
        <v>75</v>
      </c>
      <c r="B181" s="172" t="s">
        <v>399</v>
      </c>
      <c r="C181" s="172" t="s">
        <v>54</v>
      </c>
      <c r="D181" s="172" t="s">
        <v>81</v>
      </c>
      <c r="E181" s="172" t="s">
        <v>83</v>
      </c>
      <c r="F181" s="172" t="s">
        <v>27</v>
      </c>
      <c r="G181" s="173">
        <v>1742</v>
      </c>
      <c r="H181" s="174"/>
      <c r="I181" s="172"/>
      <c r="J181" s="172"/>
      <c r="K181" t="s">
        <v>25</v>
      </c>
      <c r="L181" t="s">
        <v>219</v>
      </c>
      <c r="N181" t="s">
        <v>21</v>
      </c>
    </row>
    <row r="182" spans="1:14" x14ac:dyDescent="0.25">
      <c r="A182" s="172" t="s">
        <v>75</v>
      </c>
      <c r="B182" s="172" t="s">
        <v>401</v>
      </c>
      <c r="C182" s="172" t="s">
        <v>54</v>
      </c>
      <c r="D182" s="172" t="s">
        <v>81</v>
      </c>
      <c r="E182" s="172" t="s">
        <v>85</v>
      </c>
      <c r="F182" s="172" t="s">
        <v>27</v>
      </c>
      <c r="G182" s="173">
        <v>1742</v>
      </c>
      <c r="H182" s="174"/>
      <c r="I182" s="172"/>
      <c r="J182" s="172"/>
      <c r="K182" t="s">
        <v>25</v>
      </c>
      <c r="L182" t="s">
        <v>219</v>
      </c>
      <c r="N182" t="s">
        <v>21</v>
      </c>
    </row>
    <row r="183" spans="1:14" x14ac:dyDescent="0.25">
      <c r="A183" s="172" t="s">
        <v>75</v>
      </c>
      <c r="B183" s="172" t="s">
        <v>403</v>
      </c>
      <c r="C183" s="172" t="s">
        <v>59</v>
      </c>
      <c r="D183" s="172" t="s">
        <v>76</v>
      </c>
      <c r="E183" s="172" t="s">
        <v>87</v>
      </c>
      <c r="F183" s="172" t="s">
        <v>27</v>
      </c>
      <c r="G183" s="173">
        <v>4204</v>
      </c>
      <c r="H183" s="174"/>
      <c r="I183" s="172"/>
      <c r="J183" s="172"/>
      <c r="K183" t="s">
        <v>58</v>
      </c>
      <c r="L183" t="s">
        <v>220</v>
      </c>
      <c r="N183" t="s">
        <v>21</v>
      </c>
    </row>
    <row r="184" spans="1:14" x14ac:dyDescent="0.25">
      <c r="A184" s="172" t="s">
        <v>95</v>
      </c>
      <c r="B184" s="172" t="s">
        <v>429</v>
      </c>
      <c r="C184" s="172" t="s">
        <v>63</v>
      </c>
      <c r="D184" s="172" t="s">
        <v>122</v>
      </c>
      <c r="E184" s="172" t="s">
        <v>117</v>
      </c>
      <c r="F184" s="172" t="s">
        <v>41</v>
      </c>
      <c r="G184" s="173">
        <v>477</v>
      </c>
      <c r="H184" s="174">
        <v>0</v>
      </c>
      <c r="I184" s="172" t="s">
        <v>98</v>
      </c>
      <c r="J184" s="172" t="s">
        <v>113</v>
      </c>
      <c r="K184" t="s">
        <v>36</v>
      </c>
      <c r="L184" t="s">
        <v>37</v>
      </c>
      <c r="N184" t="s">
        <v>21</v>
      </c>
    </row>
    <row r="185" spans="1:14" x14ac:dyDescent="0.25">
      <c r="A185" s="172" t="s">
        <v>95</v>
      </c>
      <c r="B185" s="172" t="s">
        <v>411</v>
      </c>
      <c r="C185" s="172" t="s">
        <v>63</v>
      </c>
      <c r="D185" s="172" t="s">
        <v>115</v>
      </c>
      <c r="E185" s="172" t="s">
        <v>117</v>
      </c>
      <c r="F185" s="172" t="s">
        <v>41</v>
      </c>
      <c r="G185" s="173">
        <v>834</v>
      </c>
      <c r="H185" s="174"/>
      <c r="I185" s="172"/>
      <c r="J185" s="172"/>
      <c r="K185" t="s">
        <v>36</v>
      </c>
      <c r="L185" t="s">
        <v>37</v>
      </c>
      <c r="N185" t="s">
        <v>21</v>
      </c>
    </row>
    <row r="186" spans="1:14" x14ac:dyDescent="0.25">
      <c r="A186" s="172" t="s">
        <v>132</v>
      </c>
      <c r="B186" s="172" t="s">
        <v>424</v>
      </c>
      <c r="C186" s="172" t="s">
        <v>13</v>
      </c>
      <c r="D186" s="172" t="s">
        <v>133</v>
      </c>
      <c r="E186" s="172" t="s">
        <v>17</v>
      </c>
      <c r="F186" s="172" t="s">
        <v>14</v>
      </c>
      <c r="G186" s="173">
        <v>65</v>
      </c>
      <c r="H186" s="174">
        <v>0</v>
      </c>
      <c r="I186" s="172" t="s">
        <v>21</v>
      </c>
      <c r="J186" s="172" t="s">
        <v>134</v>
      </c>
      <c r="K186" t="s">
        <v>12</v>
      </c>
      <c r="L186" t="s">
        <v>208</v>
      </c>
      <c r="N186" t="s">
        <v>18</v>
      </c>
    </row>
    <row r="187" spans="1:14" x14ac:dyDescent="0.25">
      <c r="A187" s="172" t="s">
        <v>132</v>
      </c>
      <c r="B187" s="172" t="s">
        <v>424</v>
      </c>
      <c r="C187" s="172" t="s">
        <v>13</v>
      </c>
      <c r="D187" s="172" t="s">
        <v>133</v>
      </c>
      <c r="E187" s="172" t="s">
        <v>17</v>
      </c>
      <c r="F187" s="172" t="s">
        <v>14</v>
      </c>
      <c r="G187" s="173">
        <v>305</v>
      </c>
      <c r="H187" s="174"/>
      <c r="I187" s="172"/>
      <c r="J187" s="172"/>
      <c r="K187" t="s">
        <v>12</v>
      </c>
      <c r="L187" t="s">
        <v>208</v>
      </c>
      <c r="N187" t="s">
        <v>18</v>
      </c>
    </row>
    <row r="188" spans="1:14" x14ac:dyDescent="0.25">
      <c r="A188" s="172" t="s">
        <v>132</v>
      </c>
      <c r="B188" s="172" t="s">
        <v>427</v>
      </c>
      <c r="C188" s="172" t="s">
        <v>20</v>
      </c>
      <c r="D188" s="172" t="s">
        <v>135</v>
      </c>
      <c r="E188" s="172" t="s">
        <v>17</v>
      </c>
      <c r="F188" s="172" t="s">
        <v>14</v>
      </c>
      <c r="G188" s="173">
        <v>47</v>
      </c>
      <c r="H188" s="174"/>
      <c r="I188" s="172"/>
      <c r="J188" s="172"/>
      <c r="K188" t="s">
        <v>19</v>
      </c>
      <c r="L188" t="s">
        <v>209</v>
      </c>
      <c r="N188" t="s">
        <v>18</v>
      </c>
    </row>
    <row r="189" spans="1:14" x14ac:dyDescent="0.25">
      <c r="A189" s="172" t="s">
        <v>152</v>
      </c>
      <c r="B189" s="172" t="s">
        <v>425</v>
      </c>
      <c r="C189" s="172" t="s">
        <v>23</v>
      </c>
      <c r="D189" s="172" t="s">
        <v>153</v>
      </c>
      <c r="E189" s="172" t="s">
        <v>21</v>
      </c>
      <c r="F189" s="172" t="s">
        <v>24</v>
      </c>
      <c r="G189" s="173">
        <v>875</v>
      </c>
      <c r="H189" s="174">
        <v>0</v>
      </c>
      <c r="I189" s="172" t="s">
        <v>154</v>
      </c>
      <c r="J189" s="172" t="s">
        <v>155</v>
      </c>
      <c r="K189" t="s">
        <v>22</v>
      </c>
      <c r="L189" t="s">
        <v>210</v>
      </c>
      <c r="N189" t="s">
        <v>18</v>
      </c>
    </row>
    <row r="190" spans="1:14" x14ac:dyDescent="0.25">
      <c r="A190" s="175" t="s">
        <v>162</v>
      </c>
      <c r="B190" s="175"/>
      <c r="C190" s="175" t="s">
        <v>163</v>
      </c>
      <c r="D190" s="175"/>
      <c r="E190" s="175"/>
      <c r="F190" s="175"/>
      <c r="G190" s="176">
        <f>=SUM(G175:G189)</f>
      </c>
      <c r="H190" s="177">
        <f>=SUM(H175:H189)</f>
      </c>
      <c r="I190" s="175" t="s">
        <v>21</v>
      </c>
      <c r="J190" s="175" t="s">
        <v>21</v>
      </c>
    </row>
    <row r="192" spans="1:10" x14ac:dyDescent="0.25">
      <c r="A192" s="170" t="s">
        <v>430</v>
      </c>
      <c r="B192" s="170"/>
      <c r="C192" s="170"/>
      <c r="D192" s="170"/>
      <c r="E192" s="170"/>
      <c r="F192" s="170"/>
      <c r="G192" s="170"/>
      <c r="H192" s="170"/>
      <c r="I192" s="170"/>
      <c r="J192" s="170"/>
    </row>
    <row r="193" spans="1:10" x14ac:dyDescent="0.25">
      <c r="A193" s="171" t="s">
        <v>66</v>
      </c>
      <c r="B193" s="171" t="s">
        <v>352</v>
      </c>
      <c r="C193" s="171" t="s">
        <v>67</v>
      </c>
      <c r="D193" s="171" t="s">
        <v>68</v>
      </c>
      <c r="E193" s="171" t="s">
        <v>69</v>
      </c>
      <c r="F193" s="171" t="s">
        <v>70</v>
      </c>
      <c r="G193" s="171" t="s">
        <v>71</v>
      </c>
      <c r="H193" s="171" t="s">
        <v>72</v>
      </c>
      <c r="I193" s="171" t="s">
        <v>73</v>
      </c>
      <c r="J193" s="171" t="s">
        <v>74</v>
      </c>
    </row>
    <row r="194" spans="1:14" x14ac:dyDescent="0.25">
      <c r="A194" s="172" t="s">
        <v>75</v>
      </c>
      <c r="B194" s="172" t="s">
        <v>396</v>
      </c>
      <c r="C194" s="172" t="s">
        <v>47</v>
      </c>
      <c r="D194" s="172" t="s">
        <v>76</v>
      </c>
      <c r="E194" s="172" t="s">
        <v>77</v>
      </c>
      <c r="F194" s="172" t="s">
        <v>27</v>
      </c>
      <c r="G194" s="173">
        <v>4234</v>
      </c>
      <c r="H194" s="174">
        <v>0</v>
      </c>
      <c r="I194" s="172" t="s">
        <v>78</v>
      </c>
      <c r="J194" s="172" t="s">
        <v>79</v>
      </c>
      <c r="K194" t="s">
        <v>25</v>
      </c>
      <c r="L194" t="s">
        <v>211</v>
      </c>
      <c r="N194" t="s">
        <v>21</v>
      </c>
    </row>
    <row r="195" spans="1:14" x14ac:dyDescent="0.25">
      <c r="A195" s="172" t="s">
        <v>75</v>
      </c>
      <c r="B195" s="172" t="s">
        <v>397</v>
      </c>
      <c r="C195" s="172" t="s">
        <v>48</v>
      </c>
      <c r="D195" s="172" t="s">
        <v>76</v>
      </c>
      <c r="E195" s="172" t="s">
        <v>80</v>
      </c>
      <c r="F195" s="172" t="s">
        <v>27</v>
      </c>
      <c r="G195" s="173">
        <v>4234</v>
      </c>
      <c r="H195" s="174"/>
      <c r="I195" s="172"/>
      <c r="J195" s="172"/>
      <c r="K195" t="s">
        <v>25</v>
      </c>
      <c r="L195" t="s">
        <v>211</v>
      </c>
      <c r="N195" t="s">
        <v>21</v>
      </c>
    </row>
    <row r="196" spans="1:14" x14ac:dyDescent="0.25">
      <c r="A196" s="172" t="s">
        <v>75</v>
      </c>
      <c r="B196" s="172" t="s">
        <v>415</v>
      </c>
      <c r="C196" s="172" t="s">
        <v>50</v>
      </c>
      <c r="D196" s="172" t="s">
        <v>76</v>
      </c>
      <c r="E196" s="172" t="s">
        <v>90</v>
      </c>
      <c r="F196" s="172" t="s">
        <v>27</v>
      </c>
      <c r="G196" s="173">
        <v>287</v>
      </c>
      <c r="H196" s="174"/>
      <c r="I196" s="172"/>
      <c r="J196" s="172"/>
      <c r="K196" t="s">
        <v>49</v>
      </c>
      <c r="L196" t="s">
        <v>217</v>
      </c>
      <c r="N196" t="s">
        <v>21</v>
      </c>
    </row>
    <row r="197" spans="1:14" x14ac:dyDescent="0.25">
      <c r="A197" s="172" t="s">
        <v>75</v>
      </c>
      <c r="B197" s="172" t="s">
        <v>414</v>
      </c>
      <c r="C197" s="172" t="s">
        <v>50</v>
      </c>
      <c r="D197" s="172" t="s">
        <v>76</v>
      </c>
      <c r="E197" s="172" t="s">
        <v>89</v>
      </c>
      <c r="F197" s="172" t="s">
        <v>27</v>
      </c>
      <c r="G197" s="173">
        <v>710</v>
      </c>
      <c r="H197" s="174"/>
      <c r="I197" s="172"/>
      <c r="J197" s="172"/>
      <c r="K197" t="s">
        <v>49</v>
      </c>
      <c r="L197" t="s">
        <v>217</v>
      </c>
      <c r="N197" t="s">
        <v>21</v>
      </c>
    </row>
    <row r="198" spans="1:14" x14ac:dyDescent="0.25">
      <c r="A198" s="172" t="s">
        <v>75</v>
      </c>
      <c r="B198" s="172" t="s">
        <v>417</v>
      </c>
      <c r="C198" s="172" t="s">
        <v>50</v>
      </c>
      <c r="D198" s="172" t="s">
        <v>76</v>
      </c>
      <c r="E198" s="172" t="s">
        <v>92</v>
      </c>
      <c r="F198" s="172" t="s">
        <v>27</v>
      </c>
      <c r="G198" s="173">
        <v>863</v>
      </c>
      <c r="H198" s="174"/>
      <c r="I198" s="172"/>
      <c r="J198" s="172"/>
      <c r="K198" t="s">
        <v>49</v>
      </c>
      <c r="L198" t="s">
        <v>217</v>
      </c>
      <c r="N198" t="s">
        <v>21</v>
      </c>
    </row>
    <row r="199" spans="1:14" x14ac:dyDescent="0.25">
      <c r="A199" s="172" t="s">
        <v>75</v>
      </c>
      <c r="B199" s="172" t="s">
        <v>416</v>
      </c>
      <c r="C199" s="172" t="s">
        <v>50</v>
      </c>
      <c r="D199" s="172" t="s">
        <v>76</v>
      </c>
      <c r="E199" s="172" t="s">
        <v>91</v>
      </c>
      <c r="F199" s="172" t="s">
        <v>27</v>
      </c>
      <c r="G199" s="173">
        <v>1101</v>
      </c>
      <c r="H199" s="174"/>
      <c r="I199" s="172"/>
      <c r="J199" s="172"/>
      <c r="K199" t="s">
        <v>49</v>
      </c>
      <c r="L199" t="s">
        <v>217</v>
      </c>
      <c r="N199" t="s">
        <v>21</v>
      </c>
    </row>
    <row r="200" spans="1:14" x14ac:dyDescent="0.25">
      <c r="A200" s="172" t="s">
        <v>75</v>
      </c>
      <c r="B200" s="172" t="s">
        <v>418</v>
      </c>
      <c r="C200" s="172" t="s">
        <v>50</v>
      </c>
      <c r="D200" s="172" t="s">
        <v>76</v>
      </c>
      <c r="E200" s="172" t="s">
        <v>93</v>
      </c>
      <c r="F200" s="172" t="s">
        <v>27</v>
      </c>
      <c r="G200" s="173">
        <v>1276</v>
      </c>
      <c r="H200" s="174"/>
      <c r="I200" s="172"/>
      <c r="J200" s="172"/>
      <c r="K200" t="s">
        <v>49</v>
      </c>
      <c r="L200" t="s">
        <v>217</v>
      </c>
      <c r="N200" t="s">
        <v>21</v>
      </c>
    </row>
    <row r="201" spans="1:14" x14ac:dyDescent="0.25">
      <c r="A201" s="172" t="s">
        <v>75</v>
      </c>
      <c r="B201" s="172" t="s">
        <v>399</v>
      </c>
      <c r="C201" s="172" t="s">
        <v>54</v>
      </c>
      <c r="D201" s="172" t="s">
        <v>81</v>
      </c>
      <c r="E201" s="172" t="s">
        <v>83</v>
      </c>
      <c r="F201" s="172" t="s">
        <v>27</v>
      </c>
      <c r="G201" s="173">
        <v>287</v>
      </c>
      <c r="H201" s="174"/>
      <c r="I201" s="172"/>
      <c r="J201" s="172"/>
      <c r="K201" t="s">
        <v>25</v>
      </c>
      <c r="L201" t="s">
        <v>219</v>
      </c>
      <c r="N201" t="s">
        <v>21</v>
      </c>
    </row>
    <row r="202" spans="1:14" x14ac:dyDescent="0.25">
      <c r="A202" s="172" t="s">
        <v>75</v>
      </c>
      <c r="B202" s="172" t="s">
        <v>398</v>
      </c>
      <c r="C202" s="172" t="s">
        <v>54</v>
      </c>
      <c r="D202" s="172" t="s">
        <v>81</v>
      </c>
      <c r="E202" s="172" t="s">
        <v>82</v>
      </c>
      <c r="F202" s="172" t="s">
        <v>27</v>
      </c>
      <c r="G202" s="173">
        <v>710</v>
      </c>
      <c r="H202" s="174"/>
      <c r="I202" s="172"/>
      <c r="J202" s="172"/>
      <c r="K202" t="s">
        <v>25</v>
      </c>
      <c r="L202" t="s">
        <v>219</v>
      </c>
      <c r="N202" t="s">
        <v>21</v>
      </c>
    </row>
    <row r="203" spans="1:14" x14ac:dyDescent="0.25">
      <c r="A203" s="172" t="s">
        <v>75</v>
      </c>
      <c r="B203" s="172" t="s">
        <v>401</v>
      </c>
      <c r="C203" s="172" t="s">
        <v>54</v>
      </c>
      <c r="D203" s="172" t="s">
        <v>81</v>
      </c>
      <c r="E203" s="172" t="s">
        <v>85</v>
      </c>
      <c r="F203" s="172" t="s">
        <v>27</v>
      </c>
      <c r="G203" s="173">
        <v>863</v>
      </c>
      <c r="H203" s="174"/>
      <c r="I203" s="172"/>
      <c r="J203" s="172"/>
      <c r="K203" t="s">
        <v>25</v>
      </c>
      <c r="L203" t="s">
        <v>219</v>
      </c>
      <c r="N203" t="s">
        <v>21</v>
      </c>
    </row>
    <row r="204" spans="1:14" x14ac:dyDescent="0.25">
      <c r="A204" s="172" t="s">
        <v>75</v>
      </c>
      <c r="B204" s="172" t="s">
        <v>400</v>
      </c>
      <c r="C204" s="172" t="s">
        <v>54</v>
      </c>
      <c r="D204" s="172" t="s">
        <v>81</v>
      </c>
      <c r="E204" s="172" t="s">
        <v>84</v>
      </c>
      <c r="F204" s="172" t="s">
        <v>27</v>
      </c>
      <c r="G204" s="173">
        <v>1101</v>
      </c>
      <c r="H204" s="174"/>
      <c r="I204" s="172"/>
      <c r="J204" s="172"/>
      <c r="K204" t="s">
        <v>25</v>
      </c>
      <c r="L204" t="s">
        <v>219</v>
      </c>
      <c r="N204" t="s">
        <v>21</v>
      </c>
    </row>
    <row r="205" spans="1:14" x14ac:dyDescent="0.25">
      <c r="A205" s="172" t="s">
        <v>75</v>
      </c>
      <c r="B205" s="172" t="s">
        <v>402</v>
      </c>
      <c r="C205" s="172" t="s">
        <v>54</v>
      </c>
      <c r="D205" s="172" t="s">
        <v>81</v>
      </c>
      <c r="E205" s="172" t="s">
        <v>86</v>
      </c>
      <c r="F205" s="172" t="s">
        <v>27</v>
      </c>
      <c r="G205" s="173">
        <v>1276</v>
      </c>
      <c r="H205" s="174"/>
      <c r="I205" s="172"/>
      <c r="J205" s="172"/>
      <c r="K205" t="s">
        <v>25</v>
      </c>
      <c r="L205" t="s">
        <v>219</v>
      </c>
      <c r="N205" t="s">
        <v>21</v>
      </c>
    </row>
    <row r="206" spans="1:14" x14ac:dyDescent="0.25">
      <c r="A206" s="172" t="s">
        <v>75</v>
      </c>
      <c r="B206" s="172" t="s">
        <v>403</v>
      </c>
      <c r="C206" s="172" t="s">
        <v>59</v>
      </c>
      <c r="D206" s="172" t="s">
        <v>76</v>
      </c>
      <c r="E206" s="172" t="s">
        <v>87</v>
      </c>
      <c r="F206" s="172" t="s">
        <v>27</v>
      </c>
      <c r="G206" s="173">
        <v>4202</v>
      </c>
      <c r="H206" s="174"/>
      <c r="I206" s="172"/>
      <c r="J206" s="172"/>
      <c r="K206" t="s">
        <v>58</v>
      </c>
      <c r="L206" t="s">
        <v>220</v>
      </c>
      <c r="N206" t="s">
        <v>21</v>
      </c>
    </row>
    <row r="207" spans="1:14" x14ac:dyDescent="0.25">
      <c r="A207" s="172" t="s">
        <v>95</v>
      </c>
      <c r="B207" s="172" t="s">
        <v>421</v>
      </c>
      <c r="C207" s="172" t="s">
        <v>32</v>
      </c>
      <c r="D207" s="172" t="s">
        <v>76</v>
      </c>
      <c r="E207" s="172" t="s">
        <v>119</v>
      </c>
      <c r="F207" s="172" t="s">
        <v>27</v>
      </c>
      <c r="G207" s="173">
        <v>2755</v>
      </c>
      <c r="H207" s="174">
        <v>0</v>
      </c>
      <c r="I207" s="172" t="s">
        <v>98</v>
      </c>
      <c r="J207" s="172" t="s">
        <v>113</v>
      </c>
      <c r="K207" t="s">
        <v>30</v>
      </c>
      <c r="L207" t="s">
        <v>212</v>
      </c>
      <c r="N207" t="s">
        <v>21</v>
      </c>
    </row>
    <row r="208" spans="1:14" x14ac:dyDescent="0.25">
      <c r="A208" s="172" t="s">
        <v>95</v>
      </c>
      <c r="B208" s="172" t="s">
        <v>422</v>
      </c>
      <c r="C208" s="172" t="s">
        <v>33</v>
      </c>
      <c r="D208" s="172" t="s">
        <v>76</v>
      </c>
      <c r="E208" s="172" t="s">
        <v>120</v>
      </c>
      <c r="F208" s="172" t="s">
        <v>27</v>
      </c>
      <c r="G208" s="173">
        <v>4132</v>
      </c>
      <c r="H208" s="174"/>
      <c r="I208" s="172"/>
      <c r="J208" s="172"/>
      <c r="K208" t="s">
        <v>30</v>
      </c>
      <c r="L208" t="s">
        <v>212</v>
      </c>
      <c r="N208" t="s">
        <v>21</v>
      </c>
    </row>
    <row r="209" spans="1:14" x14ac:dyDescent="0.25">
      <c r="A209" s="172" t="s">
        <v>95</v>
      </c>
      <c r="B209" s="172" t="s">
        <v>431</v>
      </c>
      <c r="C209" s="172" t="s">
        <v>53</v>
      </c>
      <c r="D209" s="172" t="s">
        <v>76</v>
      </c>
      <c r="E209" s="172" t="s">
        <v>123</v>
      </c>
      <c r="F209" s="172" t="s">
        <v>44</v>
      </c>
      <c r="G209" s="173">
        <v>648</v>
      </c>
      <c r="H209" s="174"/>
      <c r="I209" s="172"/>
      <c r="J209" s="172"/>
      <c r="K209" t="s">
        <v>52</v>
      </c>
      <c r="L209" t="s">
        <v>218</v>
      </c>
      <c r="N209" t="s">
        <v>21</v>
      </c>
    </row>
    <row r="210" spans="1:14" x14ac:dyDescent="0.25">
      <c r="A210" s="172" t="s">
        <v>95</v>
      </c>
      <c r="B210" s="172" t="s">
        <v>432</v>
      </c>
      <c r="C210" s="172" t="s">
        <v>53</v>
      </c>
      <c r="D210" s="172" t="s">
        <v>76</v>
      </c>
      <c r="E210" s="172" t="s">
        <v>124</v>
      </c>
      <c r="F210" s="172" t="s">
        <v>44</v>
      </c>
      <c r="G210" s="173">
        <v>5510</v>
      </c>
      <c r="H210" s="174"/>
      <c r="I210" s="172"/>
      <c r="J210" s="172"/>
      <c r="K210" t="s">
        <v>52</v>
      </c>
      <c r="L210" t="s">
        <v>218</v>
      </c>
      <c r="N210" t="s">
        <v>21</v>
      </c>
    </row>
    <row r="211" spans="1:14" x14ac:dyDescent="0.25">
      <c r="A211" s="172" t="s">
        <v>95</v>
      </c>
      <c r="B211" s="172" t="s">
        <v>433</v>
      </c>
      <c r="C211" s="172" t="s">
        <v>56</v>
      </c>
      <c r="D211" s="172" t="s">
        <v>76</v>
      </c>
      <c r="E211" s="172" t="s">
        <v>116</v>
      </c>
      <c r="F211" s="172" t="s">
        <v>27</v>
      </c>
      <c r="G211" s="173">
        <v>1378</v>
      </c>
      <c r="H211" s="174"/>
      <c r="I211" s="172"/>
      <c r="J211" s="172"/>
      <c r="K211" t="s">
        <v>30</v>
      </c>
      <c r="L211" t="s">
        <v>212</v>
      </c>
      <c r="N211" t="s">
        <v>21</v>
      </c>
    </row>
    <row r="212" spans="1:14" x14ac:dyDescent="0.25">
      <c r="A212" s="172" t="s">
        <v>152</v>
      </c>
      <c r="B212" s="172" t="s">
        <v>434</v>
      </c>
      <c r="C212" s="172" t="s">
        <v>46</v>
      </c>
      <c r="D212" s="172" t="s">
        <v>21</v>
      </c>
      <c r="E212" s="172" t="s">
        <v>21</v>
      </c>
      <c r="F212" s="172" t="s">
        <v>24</v>
      </c>
      <c r="G212" s="173">
        <v>1</v>
      </c>
      <c r="H212" s="174">
        <v>0</v>
      </c>
      <c r="I212" s="172" t="s">
        <v>154</v>
      </c>
      <c r="J212" s="172" t="s">
        <v>155</v>
      </c>
      <c r="K212" t="s">
        <v>45</v>
      </c>
      <c r="L212" t="s">
        <v>216</v>
      </c>
      <c r="N212" t="s">
        <v>21</v>
      </c>
    </row>
    <row r="213" spans="1:14" x14ac:dyDescent="0.25">
      <c r="A213" s="172" t="s">
        <v>152</v>
      </c>
      <c r="B213" s="172" t="s">
        <v>434</v>
      </c>
      <c r="C213" s="172" t="s">
        <v>46</v>
      </c>
      <c r="D213" s="172" t="s">
        <v>21</v>
      </c>
      <c r="E213" s="172" t="s">
        <v>21</v>
      </c>
      <c r="F213" s="172" t="s">
        <v>24</v>
      </c>
      <c r="G213" s="173">
        <v>172</v>
      </c>
      <c r="H213" s="174"/>
      <c r="I213" s="172"/>
      <c r="J213" s="172"/>
      <c r="K213" t="s">
        <v>45</v>
      </c>
      <c r="L213" t="s">
        <v>216</v>
      </c>
      <c r="N213" t="s">
        <v>21</v>
      </c>
    </row>
    <row r="214" spans="1:14" x14ac:dyDescent="0.25">
      <c r="A214" s="175" t="s">
        <v>162</v>
      </c>
      <c r="B214" s="175"/>
      <c r="C214" s="175" t="s">
        <v>163</v>
      </c>
      <c r="D214" s="175"/>
      <c r="E214" s="175"/>
      <c r="F214" s="175"/>
      <c r="G214" s="176">
        <f>=SUM(G194:G213)</f>
      </c>
      <c r="H214" s="177">
        <f>=SUM(H194:H213)</f>
      </c>
      <c r="I214" s="175" t="s">
        <v>21</v>
      </c>
      <c r="J214" s="175" t="s">
        <v>21</v>
      </c>
    </row>
    <row r="216" spans="1:10" x14ac:dyDescent="0.25">
      <c r="A216" s="170" t="s">
        <v>435</v>
      </c>
      <c r="B216" s="170"/>
      <c r="C216" s="170"/>
      <c r="D216" s="170"/>
      <c r="E216" s="170"/>
      <c r="F216" s="170"/>
      <c r="G216" s="170"/>
      <c r="H216" s="170"/>
      <c r="I216" s="170"/>
      <c r="J216" s="170"/>
    </row>
    <row r="217" spans="1:10" x14ac:dyDescent="0.25">
      <c r="A217" s="171" t="s">
        <v>66</v>
      </c>
      <c r="B217" s="171" t="s">
        <v>352</v>
      </c>
      <c r="C217" s="171" t="s">
        <v>67</v>
      </c>
      <c r="D217" s="171" t="s">
        <v>68</v>
      </c>
      <c r="E217" s="171" t="s">
        <v>69</v>
      </c>
      <c r="F217" s="171" t="s">
        <v>70</v>
      </c>
      <c r="G217" s="171" t="s">
        <v>71</v>
      </c>
      <c r="H217" s="171" t="s">
        <v>72</v>
      </c>
      <c r="I217" s="171" t="s">
        <v>73</v>
      </c>
      <c r="J217" s="171" t="s">
        <v>74</v>
      </c>
    </row>
    <row r="218" spans="1:14" x14ac:dyDescent="0.25">
      <c r="A218" s="172" t="s">
        <v>75</v>
      </c>
      <c r="B218" s="172" t="s">
        <v>396</v>
      </c>
      <c r="C218" s="172" t="s">
        <v>47</v>
      </c>
      <c r="D218" s="172" t="s">
        <v>76</v>
      </c>
      <c r="E218" s="172" t="s">
        <v>77</v>
      </c>
      <c r="F218" s="172" t="s">
        <v>27</v>
      </c>
      <c r="G218" s="173">
        <v>2121</v>
      </c>
      <c r="H218" s="174">
        <v>0</v>
      </c>
      <c r="I218" s="172" t="s">
        <v>78</v>
      </c>
      <c r="J218" s="172" t="s">
        <v>79</v>
      </c>
      <c r="K218" t="s">
        <v>25</v>
      </c>
      <c r="L218" t="s">
        <v>211</v>
      </c>
      <c r="N218" t="s">
        <v>21</v>
      </c>
    </row>
    <row r="219" spans="1:14" x14ac:dyDescent="0.25">
      <c r="A219" s="172" t="s">
        <v>75</v>
      </c>
      <c r="B219" s="172" t="s">
        <v>397</v>
      </c>
      <c r="C219" s="172" t="s">
        <v>48</v>
      </c>
      <c r="D219" s="172" t="s">
        <v>76</v>
      </c>
      <c r="E219" s="172" t="s">
        <v>80</v>
      </c>
      <c r="F219" s="172" t="s">
        <v>27</v>
      </c>
      <c r="G219" s="173">
        <v>2121</v>
      </c>
      <c r="H219" s="174"/>
      <c r="I219" s="172"/>
      <c r="J219" s="172"/>
      <c r="K219" t="s">
        <v>25</v>
      </c>
      <c r="L219" t="s">
        <v>211</v>
      </c>
      <c r="N219" t="s">
        <v>21</v>
      </c>
    </row>
    <row r="220" spans="1:14" x14ac:dyDescent="0.25">
      <c r="A220" s="172" t="s">
        <v>75</v>
      </c>
      <c r="B220" s="172" t="s">
        <v>418</v>
      </c>
      <c r="C220" s="172" t="s">
        <v>50</v>
      </c>
      <c r="D220" s="172" t="s">
        <v>76</v>
      </c>
      <c r="E220" s="172" t="s">
        <v>93</v>
      </c>
      <c r="F220" s="172" t="s">
        <v>27</v>
      </c>
      <c r="G220" s="173">
        <v>505</v>
      </c>
      <c r="H220" s="174"/>
      <c r="I220" s="172"/>
      <c r="J220" s="172"/>
      <c r="K220" t="s">
        <v>49</v>
      </c>
      <c r="L220" t="s">
        <v>217</v>
      </c>
      <c r="N220" t="s">
        <v>21</v>
      </c>
    </row>
    <row r="221" spans="1:14" x14ac:dyDescent="0.25">
      <c r="A221" s="172" t="s">
        <v>75</v>
      </c>
      <c r="B221" s="172" t="s">
        <v>415</v>
      </c>
      <c r="C221" s="172" t="s">
        <v>50</v>
      </c>
      <c r="D221" s="172" t="s">
        <v>76</v>
      </c>
      <c r="E221" s="172" t="s">
        <v>90</v>
      </c>
      <c r="F221" s="172" t="s">
        <v>27</v>
      </c>
      <c r="G221" s="173">
        <v>780</v>
      </c>
      <c r="H221" s="174"/>
      <c r="I221" s="172"/>
      <c r="J221" s="172"/>
      <c r="K221" t="s">
        <v>49</v>
      </c>
      <c r="L221" t="s">
        <v>217</v>
      </c>
      <c r="N221" t="s">
        <v>21</v>
      </c>
    </row>
    <row r="222" spans="1:14" x14ac:dyDescent="0.25">
      <c r="A222" s="172" t="s">
        <v>75</v>
      </c>
      <c r="B222" s="172" t="s">
        <v>417</v>
      </c>
      <c r="C222" s="172" t="s">
        <v>50</v>
      </c>
      <c r="D222" s="172" t="s">
        <v>76</v>
      </c>
      <c r="E222" s="172" t="s">
        <v>92</v>
      </c>
      <c r="F222" s="172" t="s">
        <v>27</v>
      </c>
      <c r="G222" s="173">
        <v>838</v>
      </c>
      <c r="H222" s="174"/>
      <c r="I222" s="172"/>
      <c r="J222" s="172"/>
      <c r="K222" t="s">
        <v>49</v>
      </c>
      <c r="L222" t="s">
        <v>217</v>
      </c>
      <c r="N222" t="s">
        <v>21</v>
      </c>
    </row>
    <row r="223" spans="1:14" x14ac:dyDescent="0.25">
      <c r="A223" s="172" t="s">
        <v>75</v>
      </c>
      <c r="B223" s="172" t="s">
        <v>402</v>
      </c>
      <c r="C223" s="172" t="s">
        <v>54</v>
      </c>
      <c r="D223" s="172" t="s">
        <v>81</v>
      </c>
      <c r="E223" s="172" t="s">
        <v>86</v>
      </c>
      <c r="F223" s="172" t="s">
        <v>27</v>
      </c>
      <c r="G223" s="173">
        <v>505</v>
      </c>
      <c r="H223" s="174"/>
      <c r="I223" s="172"/>
      <c r="J223" s="172"/>
      <c r="K223" t="s">
        <v>25</v>
      </c>
      <c r="L223" t="s">
        <v>219</v>
      </c>
      <c r="N223" t="s">
        <v>21</v>
      </c>
    </row>
    <row r="224" spans="1:14" x14ac:dyDescent="0.25">
      <c r="A224" s="172" t="s">
        <v>75</v>
      </c>
      <c r="B224" s="172" t="s">
        <v>399</v>
      </c>
      <c r="C224" s="172" t="s">
        <v>54</v>
      </c>
      <c r="D224" s="172" t="s">
        <v>81</v>
      </c>
      <c r="E224" s="172" t="s">
        <v>83</v>
      </c>
      <c r="F224" s="172" t="s">
        <v>27</v>
      </c>
      <c r="G224" s="173">
        <v>780</v>
      </c>
      <c r="H224" s="174"/>
      <c r="I224" s="172"/>
      <c r="J224" s="172"/>
      <c r="K224" t="s">
        <v>25</v>
      </c>
      <c r="L224" t="s">
        <v>219</v>
      </c>
      <c r="N224" t="s">
        <v>21</v>
      </c>
    </row>
    <row r="225" spans="1:14" x14ac:dyDescent="0.25">
      <c r="A225" s="172" t="s">
        <v>75</v>
      </c>
      <c r="B225" s="172" t="s">
        <v>401</v>
      </c>
      <c r="C225" s="172" t="s">
        <v>54</v>
      </c>
      <c r="D225" s="172" t="s">
        <v>81</v>
      </c>
      <c r="E225" s="172" t="s">
        <v>85</v>
      </c>
      <c r="F225" s="172" t="s">
        <v>27</v>
      </c>
      <c r="G225" s="173">
        <v>838</v>
      </c>
      <c r="H225" s="174"/>
      <c r="I225" s="172"/>
      <c r="J225" s="172"/>
      <c r="K225" t="s">
        <v>25</v>
      </c>
      <c r="L225" t="s">
        <v>219</v>
      </c>
      <c r="N225" t="s">
        <v>21</v>
      </c>
    </row>
    <row r="226" spans="1:14" x14ac:dyDescent="0.25">
      <c r="A226" s="172" t="s">
        <v>75</v>
      </c>
      <c r="B226" s="172" t="s">
        <v>403</v>
      </c>
      <c r="C226" s="172" t="s">
        <v>59</v>
      </c>
      <c r="D226" s="172" t="s">
        <v>76</v>
      </c>
      <c r="E226" s="172" t="s">
        <v>87</v>
      </c>
      <c r="F226" s="172" t="s">
        <v>27</v>
      </c>
      <c r="G226" s="173">
        <v>2103</v>
      </c>
      <c r="H226" s="174"/>
      <c r="I226" s="172"/>
      <c r="J226" s="172"/>
      <c r="K226" t="s">
        <v>58</v>
      </c>
      <c r="L226" t="s">
        <v>220</v>
      </c>
      <c r="N226" t="s">
        <v>21</v>
      </c>
    </row>
    <row r="227" spans="1:14" x14ac:dyDescent="0.25">
      <c r="A227" s="172" t="s">
        <v>95</v>
      </c>
      <c r="B227" s="172" t="s">
        <v>421</v>
      </c>
      <c r="C227" s="172" t="s">
        <v>32</v>
      </c>
      <c r="D227" s="172" t="s">
        <v>76</v>
      </c>
      <c r="E227" s="172" t="s">
        <v>119</v>
      </c>
      <c r="F227" s="172" t="s">
        <v>27</v>
      </c>
      <c r="G227" s="173">
        <v>1910</v>
      </c>
      <c r="H227" s="174">
        <v>0</v>
      </c>
      <c r="I227" s="172" t="s">
        <v>98</v>
      </c>
      <c r="J227" s="172" t="s">
        <v>113</v>
      </c>
      <c r="K227" t="s">
        <v>30</v>
      </c>
      <c r="L227" t="s">
        <v>212</v>
      </c>
      <c r="N227" t="s">
        <v>21</v>
      </c>
    </row>
    <row r="228" spans="1:14" x14ac:dyDescent="0.25">
      <c r="A228" s="172" t="s">
        <v>95</v>
      </c>
      <c r="B228" s="172" t="s">
        <v>422</v>
      </c>
      <c r="C228" s="172" t="s">
        <v>33</v>
      </c>
      <c r="D228" s="172" t="s">
        <v>76</v>
      </c>
      <c r="E228" s="172" t="s">
        <v>120</v>
      </c>
      <c r="F228" s="172" t="s">
        <v>27</v>
      </c>
      <c r="G228" s="173">
        <v>2864</v>
      </c>
      <c r="H228" s="174"/>
      <c r="I228" s="172"/>
      <c r="J228" s="172"/>
      <c r="K228" t="s">
        <v>30</v>
      </c>
      <c r="L228" t="s">
        <v>212</v>
      </c>
      <c r="N228" t="s">
        <v>21</v>
      </c>
    </row>
    <row r="229" spans="1:14" x14ac:dyDescent="0.25">
      <c r="A229" s="172" t="s">
        <v>95</v>
      </c>
      <c r="B229" s="172" t="s">
        <v>431</v>
      </c>
      <c r="C229" s="172" t="s">
        <v>53</v>
      </c>
      <c r="D229" s="172" t="s">
        <v>76</v>
      </c>
      <c r="E229" s="172" t="s">
        <v>123</v>
      </c>
      <c r="F229" s="172" t="s">
        <v>44</v>
      </c>
      <c r="G229" s="173">
        <v>955</v>
      </c>
      <c r="H229" s="174"/>
      <c r="I229" s="172"/>
      <c r="J229" s="172"/>
      <c r="K229" t="s">
        <v>52</v>
      </c>
      <c r="L229" t="s">
        <v>218</v>
      </c>
      <c r="N229" t="s">
        <v>21</v>
      </c>
    </row>
    <row r="230" spans="1:14" x14ac:dyDescent="0.25">
      <c r="A230" s="172" t="s">
        <v>95</v>
      </c>
      <c r="B230" s="172" t="s">
        <v>432</v>
      </c>
      <c r="C230" s="172" t="s">
        <v>53</v>
      </c>
      <c r="D230" s="172" t="s">
        <v>76</v>
      </c>
      <c r="E230" s="172" t="s">
        <v>124</v>
      </c>
      <c r="F230" s="172" t="s">
        <v>44</v>
      </c>
      <c r="G230" s="173">
        <v>3819</v>
      </c>
      <c r="H230" s="174"/>
      <c r="I230" s="172"/>
      <c r="J230" s="172"/>
      <c r="K230" t="s">
        <v>52</v>
      </c>
      <c r="L230" t="s">
        <v>218</v>
      </c>
      <c r="N230" t="s">
        <v>21</v>
      </c>
    </row>
    <row r="231" spans="1:14" x14ac:dyDescent="0.25">
      <c r="A231" s="172" t="s">
        <v>95</v>
      </c>
      <c r="B231" s="172" t="s">
        <v>433</v>
      </c>
      <c r="C231" s="172" t="s">
        <v>56</v>
      </c>
      <c r="D231" s="172" t="s">
        <v>76</v>
      </c>
      <c r="E231" s="172" t="s">
        <v>116</v>
      </c>
      <c r="F231" s="172" t="s">
        <v>27</v>
      </c>
      <c r="G231" s="173">
        <v>955</v>
      </c>
      <c r="H231" s="174"/>
      <c r="I231" s="172"/>
      <c r="J231" s="172"/>
      <c r="K231" t="s">
        <v>30</v>
      </c>
      <c r="L231" t="s">
        <v>212</v>
      </c>
      <c r="N231" t="s">
        <v>21</v>
      </c>
    </row>
    <row r="232" spans="1:14" x14ac:dyDescent="0.25">
      <c r="A232" s="172" t="s">
        <v>132</v>
      </c>
      <c r="B232" s="172" t="s">
        <v>436</v>
      </c>
      <c r="C232" s="172" t="s">
        <v>13</v>
      </c>
      <c r="D232" s="172" t="s">
        <v>136</v>
      </c>
      <c r="E232" s="172" t="s">
        <v>17</v>
      </c>
      <c r="F232" s="172" t="s">
        <v>14</v>
      </c>
      <c r="G232" s="173">
        <v>9</v>
      </c>
      <c r="H232" s="174">
        <v>0</v>
      </c>
      <c r="I232" s="172" t="s">
        <v>21</v>
      </c>
      <c r="J232" s="172" t="s">
        <v>134</v>
      </c>
      <c r="K232" t="s">
        <v>306</v>
      </c>
      <c r="L232" t="s">
        <v>307</v>
      </c>
      <c r="N232" t="s">
        <v>18</v>
      </c>
    </row>
    <row r="233" spans="1:14" x14ac:dyDescent="0.25">
      <c r="A233" s="172" t="s">
        <v>132</v>
      </c>
      <c r="B233" s="172" t="s">
        <v>436</v>
      </c>
      <c r="C233" s="172" t="s">
        <v>13</v>
      </c>
      <c r="D233" s="172" t="s">
        <v>136</v>
      </c>
      <c r="E233" s="172" t="s">
        <v>17</v>
      </c>
      <c r="F233" s="172" t="s">
        <v>14</v>
      </c>
      <c r="G233" s="173">
        <v>116</v>
      </c>
      <c r="H233" s="174"/>
      <c r="I233" s="172"/>
      <c r="J233" s="172"/>
      <c r="K233" t="s">
        <v>306</v>
      </c>
      <c r="L233" t="s">
        <v>307</v>
      </c>
      <c r="N233" t="s">
        <v>18</v>
      </c>
    </row>
    <row r="234" spans="1:14" x14ac:dyDescent="0.25">
      <c r="A234" s="172" t="s">
        <v>152</v>
      </c>
      <c r="B234" s="172" t="s">
        <v>434</v>
      </c>
      <c r="C234" s="172" t="s">
        <v>46</v>
      </c>
      <c r="D234" s="172" t="s">
        <v>21</v>
      </c>
      <c r="E234" s="172" t="s">
        <v>21</v>
      </c>
      <c r="F234" s="172" t="s">
        <v>24</v>
      </c>
      <c r="G234" s="173">
        <v>547</v>
      </c>
      <c r="H234" s="174">
        <v>0</v>
      </c>
      <c r="I234" s="172" t="s">
        <v>154</v>
      </c>
      <c r="J234" s="172" t="s">
        <v>155</v>
      </c>
      <c r="K234" t="s">
        <v>45</v>
      </c>
      <c r="L234" t="s">
        <v>216</v>
      </c>
      <c r="N234" t="s">
        <v>21</v>
      </c>
    </row>
    <row r="235" spans="1:14" x14ac:dyDescent="0.25">
      <c r="A235" s="175" t="s">
        <v>162</v>
      </c>
      <c r="B235" s="175"/>
      <c r="C235" s="175" t="s">
        <v>163</v>
      </c>
      <c r="D235" s="175"/>
      <c r="E235" s="175"/>
      <c r="F235" s="175"/>
      <c r="G235" s="176">
        <f>=SUM(G218:G234)</f>
      </c>
      <c r="H235" s="177">
        <f>=SUM(H218:H234)</f>
      </c>
      <c r="I235" s="175" t="s">
        <v>21</v>
      </c>
      <c r="J235" s="175" t="s">
        <v>21</v>
      </c>
    </row>
    <row r="237" spans="1:10" x14ac:dyDescent="0.25">
      <c r="A237" s="170" t="s">
        <v>437</v>
      </c>
      <c r="B237" s="170"/>
      <c r="C237" s="170"/>
      <c r="D237" s="170"/>
      <c r="E237" s="170"/>
      <c r="F237" s="170"/>
      <c r="G237" s="170"/>
      <c r="H237" s="170"/>
      <c r="I237" s="170"/>
      <c r="J237" s="170"/>
    </row>
    <row r="238" spans="1:10" x14ac:dyDescent="0.25">
      <c r="A238" s="171" t="s">
        <v>66</v>
      </c>
      <c r="B238" s="171" t="s">
        <v>352</v>
      </c>
      <c r="C238" s="171" t="s">
        <v>67</v>
      </c>
      <c r="D238" s="171" t="s">
        <v>68</v>
      </c>
      <c r="E238" s="171" t="s">
        <v>69</v>
      </c>
      <c r="F238" s="171" t="s">
        <v>70</v>
      </c>
      <c r="G238" s="171" t="s">
        <v>71</v>
      </c>
      <c r="H238" s="171" t="s">
        <v>72</v>
      </c>
      <c r="I238" s="171" t="s">
        <v>73</v>
      </c>
      <c r="J238" s="171" t="s">
        <v>74</v>
      </c>
    </row>
    <row r="239" spans="1:14" x14ac:dyDescent="0.25">
      <c r="A239" s="172" t="s">
        <v>75</v>
      </c>
      <c r="B239" s="172" t="s">
        <v>396</v>
      </c>
      <c r="C239" s="172" t="s">
        <v>47</v>
      </c>
      <c r="D239" s="172" t="s">
        <v>76</v>
      </c>
      <c r="E239" s="172" t="s">
        <v>77</v>
      </c>
      <c r="F239" s="172" t="s">
        <v>27</v>
      </c>
      <c r="G239" s="173">
        <v>1062</v>
      </c>
      <c r="H239" s="174">
        <v>0</v>
      </c>
      <c r="I239" s="172" t="s">
        <v>78</v>
      </c>
      <c r="J239" s="172" t="s">
        <v>79</v>
      </c>
      <c r="K239" t="s">
        <v>25</v>
      </c>
      <c r="L239" t="s">
        <v>211</v>
      </c>
      <c r="N239" t="s">
        <v>21</v>
      </c>
    </row>
    <row r="240" spans="1:14" x14ac:dyDescent="0.25">
      <c r="A240" s="172" t="s">
        <v>75</v>
      </c>
      <c r="B240" s="172" t="s">
        <v>397</v>
      </c>
      <c r="C240" s="172" t="s">
        <v>48</v>
      </c>
      <c r="D240" s="172" t="s">
        <v>76</v>
      </c>
      <c r="E240" s="172" t="s">
        <v>80</v>
      </c>
      <c r="F240" s="172" t="s">
        <v>27</v>
      </c>
      <c r="G240" s="173">
        <v>1062</v>
      </c>
      <c r="H240" s="174"/>
      <c r="I240" s="172"/>
      <c r="J240" s="172"/>
      <c r="K240" t="s">
        <v>25</v>
      </c>
      <c r="L240" t="s">
        <v>211</v>
      </c>
      <c r="N240" t="s">
        <v>21</v>
      </c>
    </row>
    <row r="241" spans="1:14" x14ac:dyDescent="0.25">
      <c r="A241" s="172" t="s">
        <v>75</v>
      </c>
      <c r="B241" s="172" t="s">
        <v>415</v>
      </c>
      <c r="C241" s="172" t="s">
        <v>50</v>
      </c>
      <c r="D241" s="172" t="s">
        <v>76</v>
      </c>
      <c r="E241" s="172" t="s">
        <v>90</v>
      </c>
      <c r="F241" s="172" t="s">
        <v>27</v>
      </c>
      <c r="G241" s="173">
        <v>96</v>
      </c>
      <c r="H241" s="174"/>
      <c r="I241" s="172"/>
      <c r="J241" s="172"/>
      <c r="K241" t="s">
        <v>49</v>
      </c>
      <c r="L241" t="s">
        <v>217</v>
      </c>
      <c r="N241" t="s">
        <v>21</v>
      </c>
    </row>
    <row r="242" spans="1:14" x14ac:dyDescent="0.25">
      <c r="A242" s="172" t="s">
        <v>75</v>
      </c>
      <c r="B242" s="172" t="s">
        <v>417</v>
      </c>
      <c r="C242" s="172" t="s">
        <v>50</v>
      </c>
      <c r="D242" s="172" t="s">
        <v>76</v>
      </c>
      <c r="E242" s="172" t="s">
        <v>92</v>
      </c>
      <c r="F242" s="172" t="s">
        <v>27</v>
      </c>
      <c r="G242" s="173">
        <v>160</v>
      </c>
      <c r="H242" s="174"/>
      <c r="I242" s="172"/>
      <c r="J242" s="172"/>
      <c r="K242" t="s">
        <v>49</v>
      </c>
      <c r="L242" t="s">
        <v>217</v>
      </c>
      <c r="N242" t="s">
        <v>21</v>
      </c>
    </row>
    <row r="243" spans="1:14" x14ac:dyDescent="0.25">
      <c r="A243" s="172" t="s">
        <v>75</v>
      </c>
      <c r="B243" s="172" t="s">
        <v>414</v>
      </c>
      <c r="C243" s="172" t="s">
        <v>50</v>
      </c>
      <c r="D243" s="172" t="s">
        <v>76</v>
      </c>
      <c r="E243" s="172" t="s">
        <v>89</v>
      </c>
      <c r="F243" s="172" t="s">
        <v>27</v>
      </c>
      <c r="G243" s="173">
        <v>181</v>
      </c>
      <c r="H243" s="174"/>
      <c r="I243" s="172"/>
      <c r="J243" s="172"/>
      <c r="K243" t="s">
        <v>49</v>
      </c>
      <c r="L243" t="s">
        <v>217</v>
      </c>
      <c r="N243" t="s">
        <v>21</v>
      </c>
    </row>
    <row r="244" spans="1:14" x14ac:dyDescent="0.25">
      <c r="A244" s="172" t="s">
        <v>75</v>
      </c>
      <c r="B244" s="172" t="s">
        <v>416</v>
      </c>
      <c r="C244" s="172" t="s">
        <v>50</v>
      </c>
      <c r="D244" s="172" t="s">
        <v>76</v>
      </c>
      <c r="E244" s="172" t="s">
        <v>91</v>
      </c>
      <c r="F244" s="172" t="s">
        <v>27</v>
      </c>
      <c r="G244" s="173">
        <v>297</v>
      </c>
      <c r="H244" s="174"/>
      <c r="I244" s="172"/>
      <c r="J244" s="172"/>
      <c r="K244" t="s">
        <v>49</v>
      </c>
      <c r="L244" t="s">
        <v>217</v>
      </c>
      <c r="N244" t="s">
        <v>21</v>
      </c>
    </row>
    <row r="245" spans="1:14" x14ac:dyDescent="0.25">
      <c r="A245" s="172" t="s">
        <v>75</v>
      </c>
      <c r="B245" s="172" t="s">
        <v>418</v>
      </c>
      <c r="C245" s="172" t="s">
        <v>50</v>
      </c>
      <c r="D245" s="172" t="s">
        <v>76</v>
      </c>
      <c r="E245" s="172" t="s">
        <v>93</v>
      </c>
      <c r="F245" s="172" t="s">
        <v>27</v>
      </c>
      <c r="G245" s="173">
        <v>329</v>
      </c>
      <c r="H245" s="174"/>
      <c r="I245" s="172"/>
      <c r="J245" s="172"/>
      <c r="K245" t="s">
        <v>49</v>
      </c>
      <c r="L245" t="s">
        <v>217</v>
      </c>
      <c r="N245" t="s">
        <v>21</v>
      </c>
    </row>
    <row r="246" spans="1:14" x14ac:dyDescent="0.25">
      <c r="A246" s="172" t="s">
        <v>75</v>
      </c>
      <c r="B246" s="172" t="s">
        <v>399</v>
      </c>
      <c r="C246" s="172" t="s">
        <v>54</v>
      </c>
      <c r="D246" s="172" t="s">
        <v>81</v>
      </c>
      <c r="E246" s="172" t="s">
        <v>83</v>
      </c>
      <c r="F246" s="172" t="s">
        <v>27</v>
      </c>
      <c r="G246" s="173">
        <v>96</v>
      </c>
      <c r="H246" s="174"/>
      <c r="I246" s="172"/>
      <c r="J246" s="172"/>
      <c r="K246" t="s">
        <v>25</v>
      </c>
      <c r="L246" t="s">
        <v>219</v>
      </c>
      <c r="N246" t="s">
        <v>21</v>
      </c>
    </row>
    <row r="247" spans="1:14" x14ac:dyDescent="0.25">
      <c r="A247" s="172" t="s">
        <v>75</v>
      </c>
      <c r="B247" s="172" t="s">
        <v>401</v>
      </c>
      <c r="C247" s="172" t="s">
        <v>54</v>
      </c>
      <c r="D247" s="172" t="s">
        <v>81</v>
      </c>
      <c r="E247" s="172" t="s">
        <v>85</v>
      </c>
      <c r="F247" s="172" t="s">
        <v>27</v>
      </c>
      <c r="G247" s="173">
        <v>160</v>
      </c>
      <c r="H247" s="174"/>
      <c r="I247" s="172"/>
      <c r="J247" s="172"/>
      <c r="K247" t="s">
        <v>25</v>
      </c>
      <c r="L247" t="s">
        <v>219</v>
      </c>
      <c r="N247" t="s">
        <v>21</v>
      </c>
    </row>
    <row r="248" spans="1:14" x14ac:dyDescent="0.25">
      <c r="A248" s="172" t="s">
        <v>75</v>
      </c>
      <c r="B248" s="172" t="s">
        <v>398</v>
      </c>
      <c r="C248" s="172" t="s">
        <v>54</v>
      </c>
      <c r="D248" s="172" t="s">
        <v>81</v>
      </c>
      <c r="E248" s="172" t="s">
        <v>82</v>
      </c>
      <c r="F248" s="172" t="s">
        <v>27</v>
      </c>
      <c r="G248" s="173">
        <v>181</v>
      </c>
      <c r="H248" s="174"/>
      <c r="I248" s="172"/>
      <c r="J248" s="172"/>
      <c r="K248" t="s">
        <v>25</v>
      </c>
      <c r="L248" t="s">
        <v>219</v>
      </c>
      <c r="N248" t="s">
        <v>21</v>
      </c>
    </row>
    <row r="249" spans="1:14" x14ac:dyDescent="0.25">
      <c r="A249" s="172" t="s">
        <v>75</v>
      </c>
      <c r="B249" s="172" t="s">
        <v>400</v>
      </c>
      <c r="C249" s="172" t="s">
        <v>54</v>
      </c>
      <c r="D249" s="172" t="s">
        <v>81</v>
      </c>
      <c r="E249" s="172" t="s">
        <v>84</v>
      </c>
      <c r="F249" s="172" t="s">
        <v>27</v>
      </c>
      <c r="G249" s="173">
        <v>297</v>
      </c>
      <c r="H249" s="174"/>
      <c r="I249" s="172"/>
      <c r="J249" s="172"/>
      <c r="K249" t="s">
        <v>25</v>
      </c>
      <c r="L249" t="s">
        <v>219</v>
      </c>
      <c r="N249" t="s">
        <v>21</v>
      </c>
    </row>
    <row r="250" spans="1:14" x14ac:dyDescent="0.25">
      <c r="A250" s="172" t="s">
        <v>75</v>
      </c>
      <c r="B250" s="172" t="s">
        <v>402</v>
      </c>
      <c r="C250" s="172" t="s">
        <v>54</v>
      </c>
      <c r="D250" s="172" t="s">
        <v>81</v>
      </c>
      <c r="E250" s="172" t="s">
        <v>86</v>
      </c>
      <c r="F250" s="172" t="s">
        <v>27</v>
      </c>
      <c r="G250" s="173">
        <v>329</v>
      </c>
      <c r="H250" s="174"/>
      <c r="I250" s="172"/>
      <c r="J250" s="172"/>
      <c r="K250" t="s">
        <v>25</v>
      </c>
      <c r="L250" t="s">
        <v>219</v>
      </c>
      <c r="N250" t="s">
        <v>21</v>
      </c>
    </row>
    <row r="251" spans="1:14" x14ac:dyDescent="0.25">
      <c r="A251" s="172" t="s">
        <v>75</v>
      </c>
      <c r="B251" s="172" t="s">
        <v>403</v>
      </c>
      <c r="C251" s="172" t="s">
        <v>59</v>
      </c>
      <c r="D251" s="172" t="s">
        <v>76</v>
      </c>
      <c r="E251" s="172" t="s">
        <v>87</v>
      </c>
      <c r="F251" s="172" t="s">
        <v>27</v>
      </c>
      <c r="G251" s="173">
        <v>1052</v>
      </c>
      <c r="H251" s="174"/>
      <c r="I251" s="172"/>
      <c r="J251" s="172"/>
      <c r="K251" t="s">
        <v>58</v>
      </c>
      <c r="L251" t="s">
        <v>220</v>
      </c>
      <c r="N251" t="s">
        <v>21</v>
      </c>
    </row>
    <row r="252" spans="1:14" x14ac:dyDescent="0.25">
      <c r="A252" s="172" t="s">
        <v>95</v>
      </c>
      <c r="B252" s="172" t="s">
        <v>420</v>
      </c>
      <c r="C252" s="172" t="s">
        <v>31</v>
      </c>
      <c r="D252" s="172" t="s">
        <v>76</v>
      </c>
      <c r="E252" s="172" t="s">
        <v>118</v>
      </c>
      <c r="F252" s="172" t="s">
        <v>27</v>
      </c>
      <c r="G252" s="173">
        <v>2123</v>
      </c>
      <c r="H252" s="174">
        <v>0</v>
      </c>
      <c r="I252" s="172" t="s">
        <v>98</v>
      </c>
      <c r="J252" s="172" t="s">
        <v>113</v>
      </c>
      <c r="K252" t="s">
        <v>30</v>
      </c>
      <c r="L252" t="s">
        <v>212</v>
      </c>
      <c r="N252" t="s">
        <v>21</v>
      </c>
    </row>
    <row r="253" spans="1:14" x14ac:dyDescent="0.25">
      <c r="A253" s="172" t="s">
        <v>95</v>
      </c>
      <c r="B253" s="172" t="s">
        <v>438</v>
      </c>
      <c r="C253" s="172" t="s">
        <v>33</v>
      </c>
      <c r="D253" s="172" t="s">
        <v>76</v>
      </c>
      <c r="E253" s="172" t="s">
        <v>112</v>
      </c>
      <c r="F253" s="172" t="s">
        <v>27</v>
      </c>
      <c r="G253" s="173">
        <v>2123</v>
      </c>
      <c r="H253" s="174"/>
      <c r="I253" s="172"/>
      <c r="J253" s="172"/>
      <c r="K253" t="s">
        <v>30</v>
      </c>
      <c r="L253" t="s">
        <v>212</v>
      </c>
      <c r="N253" t="s">
        <v>21</v>
      </c>
    </row>
    <row r="254" spans="1:14" x14ac:dyDescent="0.25">
      <c r="A254" s="172" t="s">
        <v>95</v>
      </c>
      <c r="B254" s="172" t="s">
        <v>439</v>
      </c>
      <c r="C254" s="172" t="s">
        <v>39</v>
      </c>
      <c r="D254" s="172" t="s">
        <v>103</v>
      </c>
      <c r="E254" s="172" t="s">
        <v>125</v>
      </c>
      <c r="F254" s="172" t="s">
        <v>41</v>
      </c>
      <c r="G254" s="173">
        <v>2431</v>
      </c>
      <c r="H254" s="174"/>
      <c r="I254" s="172"/>
      <c r="J254" s="172"/>
      <c r="K254" t="s">
        <v>38</v>
      </c>
      <c r="L254" t="s">
        <v>214</v>
      </c>
      <c r="N254" t="s">
        <v>21</v>
      </c>
    </row>
    <row r="255" spans="1:14" x14ac:dyDescent="0.25">
      <c r="A255" s="172" t="s">
        <v>95</v>
      </c>
      <c r="B255" s="172" t="s">
        <v>440</v>
      </c>
      <c r="C255" s="172" t="s">
        <v>40</v>
      </c>
      <c r="D255" s="172" t="s">
        <v>126</v>
      </c>
      <c r="E255" s="172" t="s">
        <v>127</v>
      </c>
      <c r="F255" s="172" t="s">
        <v>41</v>
      </c>
      <c r="G255" s="173">
        <v>94</v>
      </c>
      <c r="H255" s="174"/>
      <c r="I255" s="172"/>
      <c r="J255" s="172"/>
      <c r="K255" t="s">
        <v>38</v>
      </c>
      <c r="L255" t="s">
        <v>214</v>
      </c>
      <c r="N255" t="s">
        <v>21</v>
      </c>
    </row>
    <row r="256" spans="1:14" x14ac:dyDescent="0.25">
      <c r="A256" s="172" t="s">
        <v>95</v>
      </c>
      <c r="B256" s="172" t="s">
        <v>433</v>
      </c>
      <c r="C256" s="172" t="s">
        <v>56</v>
      </c>
      <c r="D256" s="172" t="s">
        <v>76</v>
      </c>
      <c r="E256" s="172" t="s">
        <v>116</v>
      </c>
      <c r="F256" s="172" t="s">
        <v>27</v>
      </c>
      <c r="G256" s="173">
        <v>2123</v>
      </c>
      <c r="H256" s="174"/>
      <c r="I256" s="172"/>
      <c r="J256" s="172"/>
      <c r="K256" t="s">
        <v>30</v>
      </c>
      <c r="L256" t="s">
        <v>212</v>
      </c>
      <c r="N256" t="s">
        <v>21</v>
      </c>
    </row>
    <row r="257" spans="1:14" x14ac:dyDescent="0.25">
      <c r="A257" s="172" t="s">
        <v>95</v>
      </c>
      <c r="B257" s="172" t="s">
        <v>441</v>
      </c>
      <c r="C257" s="172" t="s">
        <v>61</v>
      </c>
      <c r="D257" s="172" t="s">
        <v>76</v>
      </c>
      <c r="E257" s="172" t="s">
        <v>128</v>
      </c>
      <c r="F257" s="172" t="s">
        <v>27</v>
      </c>
      <c r="G257" s="173">
        <v>2123</v>
      </c>
      <c r="H257" s="174"/>
      <c r="I257" s="172"/>
      <c r="J257" s="172"/>
      <c r="K257" t="s">
        <v>60</v>
      </c>
      <c r="L257" t="s">
        <v>221</v>
      </c>
      <c r="N257" t="s">
        <v>21</v>
      </c>
    </row>
    <row r="258" spans="1:14" x14ac:dyDescent="0.25">
      <c r="A258" s="172" t="s">
        <v>95</v>
      </c>
      <c r="B258" s="172" t="s">
        <v>442</v>
      </c>
      <c r="C258" s="172" t="s">
        <v>61</v>
      </c>
      <c r="D258" s="172" t="s">
        <v>76</v>
      </c>
      <c r="E258" s="172" t="s">
        <v>129</v>
      </c>
      <c r="F258" s="172" t="s">
        <v>27</v>
      </c>
      <c r="G258" s="173">
        <v>6369</v>
      </c>
      <c r="H258" s="174"/>
      <c r="I258" s="172"/>
      <c r="J258" s="172"/>
      <c r="K258" t="s">
        <v>60</v>
      </c>
      <c r="L258" t="s">
        <v>221</v>
      </c>
      <c r="N258" t="s">
        <v>21</v>
      </c>
    </row>
    <row r="259" spans="1:14" x14ac:dyDescent="0.25">
      <c r="A259" s="172" t="s">
        <v>95</v>
      </c>
      <c r="B259" s="172" t="s">
        <v>443</v>
      </c>
      <c r="C259" s="172" t="s">
        <v>62</v>
      </c>
      <c r="D259" s="172" t="s">
        <v>76</v>
      </c>
      <c r="E259" s="172" t="s">
        <v>130</v>
      </c>
      <c r="F259" s="172" t="s">
        <v>27</v>
      </c>
      <c r="G259" s="173">
        <v>2123</v>
      </c>
      <c r="H259" s="174"/>
      <c r="I259" s="172"/>
      <c r="J259" s="172"/>
      <c r="K259" t="s">
        <v>60</v>
      </c>
      <c r="L259" t="s">
        <v>221</v>
      </c>
      <c r="N259" t="s">
        <v>21</v>
      </c>
    </row>
    <row r="260" spans="1:14" x14ac:dyDescent="0.25">
      <c r="A260" s="172" t="s">
        <v>95</v>
      </c>
      <c r="B260" s="172" t="s">
        <v>444</v>
      </c>
      <c r="C260" s="172" t="s">
        <v>62</v>
      </c>
      <c r="D260" s="172" t="s">
        <v>76</v>
      </c>
      <c r="E260" s="172" t="s">
        <v>129</v>
      </c>
      <c r="F260" s="172" t="s">
        <v>27</v>
      </c>
      <c r="G260" s="173">
        <v>6369</v>
      </c>
      <c r="H260" s="174"/>
      <c r="I260" s="172"/>
      <c r="J260" s="172"/>
      <c r="K260" t="s">
        <v>60</v>
      </c>
      <c r="L260" t="s">
        <v>221</v>
      </c>
      <c r="N260" t="s">
        <v>21</v>
      </c>
    </row>
    <row r="261" spans="1:14" x14ac:dyDescent="0.25">
      <c r="A261" s="175" t="s">
        <v>162</v>
      </c>
      <c r="B261" s="175"/>
      <c r="C261" s="175" t="s">
        <v>163</v>
      </c>
      <c r="D261" s="175"/>
      <c r="E261" s="175"/>
      <c r="F261" s="175"/>
      <c r="G261" s="176">
        <f>=SUM(G239:G260)</f>
      </c>
      <c r="H261" s="177">
        <f>=SUM(H239:H260)</f>
      </c>
      <c r="I261" s="175" t="s">
        <v>21</v>
      </c>
      <c r="J261" s="175" t="s">
        <v>21</v>
      </c>
    </row>
    <row r="263" spans="1:10" x14ac:dyDescent="0.25">
      <c r="A263" s="170" t="s">
        <v>445</v>
      </c>
      <c r="B263" s="170"/>
      <c r="C263" s="170"/>
      <c r="D263" s="170"/>
      <c r="E263" s="170"/>
      <c r="F263" s="170"/>
      <c r="G263" s="170"/>
      <c r="H263" s="170"/>
      <c r="I263" s="170"/>
      <c r="J263" s="170"/>
    </row>
    <row r="264" spans="1:10" x14ac:dyDescent="0.25">
      <c r="A264" s="171" t="s">
        <v>66</v>
      </c>
      <c r="B264" s="171" t="s">
        <v>352</v>
      </c>
      <c r="C264" s="171" t="s">
        <v>67</v>
      </c>
      <c r="D264" s="171" t="s">
        <v>68</v>
      </c>
      <c r="E264" s="171" t="s">
        <v>69</v>
      </c>
      <c r="F264" s="171" t="s">
        <v>70</v>
      </c>
      <c r="G264" s="171" t="s">
        <v>71</v>
      </c>
      <c r="H264" s="171" t="s">
        <v>72</v>
      </c>
      <c r="I264" s="171" t="s">
        <v>73</v>
      </c>
      <c r="J264" s="171" t="s">
        <v>74</v>
      </c>
    </row>
    <row r="265" spans="1:14" x14ac:dyDescent="0.25">
      <c r="A265" s="172" t="s">
        <v>75</v>
      </c>
      <c r="B265" s="172" t="s">
        <v>396</v>
      </c>
      <c r="C265" s="172" t="s">
        <v>47</v>
      </c>
      <c r="D265" s="172" t="s">
        <v>76</v>
      </c>
      <c r="E265" s="172" t="s">
        <v>77</v>
      </c>
      <c r="F265" s="172" t="s">
        <v>27</v>
      </c>
      <c r="G265" s="173">
        <v>2649</v>
      </c>
      <c r="H265" s="174">
        <v>0</v>
      </c>
      <c r="I265" s="172" t="s">
        <v>78</v>
      </c>
      <c r="J265" s="172" t="s">
        <v>79</v>
      </c>
      <c r="K265" t="s">
        <v>25</v>
      </c>
      <c r="L265" t="s">
        <v>211</v>
      </c>
      <c r="N265" t="s">
        <v>21</v>
      </c>
    </row>
    <row r="266" spans="1:14" x14ac:dyDescent="0.25">
      <c r="A266" s="172" t="s">
        <v>75</v>
      </c>
      <c r="B266" s="172" t="s">
        <v>397</v>
      </c>
      <c r="C266" s="172" t="s">
        <v>48</v>
      </c>
      <c r="D266" s="172" t="s">
        <v>76</v>
      </c>
      <c r="E266" s="172" t="s">
        <v>80</v>
      </c>
      <c r="F266" s="172" t="s">
        <v>27</v>
      </c>
      <c r="G266" s="173">
        <v>2649</v>
      </c>
      <c r="H266" s="174"/>
      <c r="I266" s="172"/>
      <c r="J266" s="172"/>
      <c r="K266" t="s">
        <v>25</v>
      </c>
      <c r="L266" t="s">
        <v>211</v>
      </c>
      <c r="N266" t="s">
        <v>21</v>
      </c>
    </row>
    <row r="267" spans="1:14" x14ac:dyDescent="0.25">
      <c r="A267" s="172" t="s">
        <v>75</v>
      </c>
      <c r="B267" s="172" t="s">
        <v>401</v>
      </c>
      <c r="C267" s="172" t="s">
        <v>54</v>
      </c>
      <c r="D267" s="172" t="s">
        <v>81</v>
      </c>
      <c r="E267" s="172" t="s">
        <v>85</v>
      </c>
      <c r="F267" s="172" t="s">
        <v>27</v>
      </c>
      <c r="G267" s="173">
        <v>318</v>
      </c>
      <c r="H267" s="174"/>
      <c r="I267" s="172"/>
      <c r="J267" s="172"/>
      <c r="K267" t="s">
        <v>25</v>
      </c>
      <c r="L267" t="s">
        <v>219</v>
      </c>
      <c r="N267" t="s">
        <v>21</v>
      </c>
    </row>
    <row r="268" spans="1:14" x14ac:dyDescent="0.25">
      <c r="A268" s="172" t="s">
        <v>75</v>
      </c>
      <c r="B268" s="172" t="s">
        <v>398</v>
      </c>
      <c r="C268" s="172" t="s">
        <v>54</v>
      </c>
      <c r="D268" s="172" t="s">
        <v>81</v>
      </c>
      <c r="E268" s="172" t="s">
        <v>82</v>
      </c>
      <c r="F268" s="172" t="s">
        <v>27</v>
      </c>
      <c r="G268" s="173">
        <v>636</v>
      </c>
      <c r="H268" s="174"/>
      <c r="I268" s="172"/>
      <c r="J268" s="172"/>
      <c r="K268" t="s">
        <v>25</v>
      </c>
      <c r="L268" t="s">
        <v>219</v>
      </c>
      <c r="N268" t="s">
        <v>21</v>
      </c>
    </row>
    <row r="269" spans="1:14" x14ac:dyDescent="0.25">
      <c r="A269" s="172" t="s">
        <v>75</v>
      </c>
      <c r="B269" s="172" t="s">
        <v>402</v>
      </c>
      <c r="C269" s="172" t="s">
        <v>54</v>
      </c>
      <c r="D269" s="172" t="s">
        <v>81</v>
      </c>
      <c r="E269" s="172" t="s">
        <v>86</v>
      </c>
      <c r="F269" s="172" t="s">
        <v>27</v>
      </c>
      <c r="G269" s="173">
        <v>689</v>
      </c>
      <c r="H269" s="174"/>
      <c r="I269" s="172"/>
      <c r="J269" s="172"/>
      <c r="K269" t="s">
        <v>25</v>
      </c>
      <c r="L269" t="s">
        <v>219</v>
      </c>
      <c r="N269" t="s">
        <v>21</v>
      </c>
    </row>
    <row r="270" spans="1:14" x14ac:dyDescent="0.25">
      <c r="A270" s="172" t="s">
        <v>75</v>
      </c>
      <c r="B270" s="172" t="s">
        <v>400</v>
      </c>
      <c r="C270" s="172" t="s">
        <v>54</v>
      </c>
      <c r="D270" s="172" t="s">
        <v>81</v>
      </c>
      <c r="E270" s="172" t="s">
        <v>84</v>
      </c>
      <c r="F270" s="172" t="s">
        <v>27</v>
      </c>
      <c r="G270" s="173">
        <v>1007</v>
      </c>
      <c r="H270" s="174"/>
      <c r="I270" s="172"/>
      <c r="J270" s="172"/>
      <c r="K270" t="s">
        <v>25</v>
      </c>
      <c r="L270" t="s">
        <v>219</v>
      </c>
      <c r="N270" t="s">
        <v>21</v>
      </c>
    </row>
    <row r="271" spans="1:14" x14ac:dyDescent="0.25">
      <c r="A271" s="172" t="s">
        <v>75</v>
      </c>
      <c r="B271" s="172" t="s">
        <v>403</v>
      </c>
      <c r="C271" s="172" t="s">
        <v>59</v>
      </c>
      <c r="D271" s="172" t="s">
        <v>76</v>
      </c>
      <c r="E271" s="172" t="s">
        <v>87</v>
      </c>
      <c r="F271" s="172" t="s">
        <v>27</v>
      </c>
      <c r="G271" s="173">
        <v>2626</v>
      </c>
      <c r="H271" s="174"/>
      <c r="I271" s="172"/>
      <c r="J271" s="172"/>
      <c r="K271" t="s">
        <v>58</v>
      </c>
      <c r="L271" t="s">
        <v>220</v>
      </c>
      <c r="N271" t="s">
        <v>21</v>
      </c>
    </row>
    <row r="272" spans="1:14" x14ac:dyDescent="0.25">
      <c r="A272" s="172" t="s">
        <v>95</v>
      </c>
      <c r="B272" s="172" t="s">
        <v>446</v>
      </c>
      <c r="C272" s="172" t="s">
        <v>63</v>
      </c>
      <c r="D272" s="172" t="s">
        <v>76</v>
      </c>
      <c r="E272" s="172" t="s">
        <v>117</v>
      </c>
      <c r="F272" s="172" t="s">
        <v>41</v>
      </c>
      <c r="G272" s="173">
        <v>1797</v>
      </c>
      <c r="H272" s="174">
        <v>0</v>
      </c>
      <c r="I272" s="172" t="s">
        <v>98</v>
      </c>
      <c r="J272" s="172" t="s">
        <v>113</v>
      </c>
      <c r="K272" t="s">
        <v>36</v>
      </c>
      <c r="L272" t="s">
        <v>37</v>
      </c>
      <c r="N272" t="s">
        <v>21</v>
      </c>
    </row>
    <row r="273" spans="1:14" x14ac:dyDescent="0.25">
      <c r="A273" s="175" t="s">
        <v>162</v>
      </c>
      <c r="B273" s="175"/>
      <c r="C273" s="175" t="s">
        <v>163</v>
      </c>
      <c r="D273" s="175"/>
      <c r="E273" s="175"/>
      <c r="F273" s="175"/>
      <c r="G273" s="176">
        <f>=SUM(G265:G272)</f>
      </c>
      <c r="H273" s="177">
        <f>=SUM(H265:H272)</f>
      </c>
      <c r="I273" s="175" t="s">
        <v>21</v>
      </c>
      <c r="J273" s="175" t="s">
        <v>21</v>
      </c>
    </row>
    <row r="275" spans="1:10" x14ac:dyDescent="0.25">
      <c r="A275" s="170" t="s">
        <v>447</v>
      </c>
      <c r="B275" s="170"/>
      <c r="C275" s="170"/>
      <c r="D275" s="170"/>
      <c r="E275" s="170"/>
      <c r="F275" s="170"/>
      <c r="G275" s="170"/>
      <c r="H275" s="170"/>
      <c r="I275" s="170"/>
      <c r="J275" s="170"/>
    </row>
    <row r="276" spans="1:10" x14ac:dyDescent="0.25">
      <c r="A276" s="171" t="s">
        <v>66</v>
      </c>
      <c r="B276" s="171" t="s">
        <v>352</v>
      </c>
      <c r="C276" s="171" t="s">
        <v>67</v>
      </c>
      <c r="D276" s="171" t="s">
        <v>68</v>
      </c>
      <c r="E276" s="171" t="s">
        <v>69</v>
      </c>
      <c r="F276" s="171" t="s">
        <v>70</v>
      </c>
      <c r="G276" s="171" t="s">
        <v>71</v>
      </c>
      <c r="H276" s="171" t="s">
        <v>72</v>
      </c>
      <c r="I276" s="171" t="s">
        <v>73</v>
      </c>
      <c r="J276" s="171" t="s">
        <v>74</v>
      </c>
    </row>
    <row r="277" spans="1:14" x14ac:dyDescent="0.25">
      <c r="A277" s="172" t="s">
        <v>75</v>
      </c>
      <c r="B277" s="172" t="s">
        <v>396</v>
      </c>
      <c r="C277" s="172" t="s">
        <v>47</v>
      </c>
      <c r="D277" s="172" t="s">
        <v>76</v>
      </c>
      <c r="E277" s="172" t="s">
        <v>77</v>
      </c>
      <c r="F277" s="172" t="s">
        <v>27</v>
      </c>
      <c r="G277" s="173">
        <v>1272</v>
      </c>
      <c r="H277" s="174">
        <v>0</v>
      </c>
      <c r="I277" s="172" t="s">
        <v>78</v>
      </c>
      <c r="J277" s="172" t="s">
        <v>79</v>
      </c>
      <c r="K277" t="s">
        <v>25</v>
      </c>
      <c r="L277" t="s">
        <v>211</v>
      </c>
      <c r="N277" t="s">
        <v>21</v>
      </c>
    </row>
    <row r="278" spans="1:14" x14ac:dyDescent="0.25">
      <c r="A278" s="172" t="s">
        <v>75</v>
      </c>
      <c r="B278" s="172" t="s">
        <v>397</v>
      </c>
      <c r="C278" s="172" t="s">
        <v>48</v>
      </c>
      <c r="D278" s="172" t="s">
        <v>76</v>
      </c>
      <c r="E278" s="172" t="s">
        <v>80</v>
      </c>
      <c r="F278" s="172" t="s">
        <v>27</v>
      </c>
      <c r="G278" s="173">
        <v>1272</v>
      </c>
      <c r="H278" s="174"/>
      <c r="I278" s="172"/>
      <c r="J278" s="172"/>
      <c r="K278" t="s">
        <v>25</v>
      </c>
      <c r="L278" t="s">
        <v>211</v>
      </c>
      <c r="N278" t="s">
        <v>21</v>
      </c>
    </row>
    <row r="279" spans="1:14" x14ac:dyDescent="0.25">
      <c r="A279" s="172" t="s">
        <v>75</v>
      </c>
      <c r="B279" s="172" t="s">
        <v>399</v>
      </c>
      <c r="C279" s="172" t="s">
        <v>54</v>
      </c>
      <c r="D279" s="172" t="s">
        <v>81</v>
      </c>
      <c r="E279" s="172" t="s">
        <v>83</v>
      </c>
      <c r="F279" s="172" t="s">
        <v>27</v>
      </c>
      <c r="G279" s="173">
        <v>318</v>
      </c>
      <c r="H279" s="174"/>
      <c r="I279" s="172"/>
      <c r="J279" s="172"/>
      <c r="K279" t="s">
        <v>25</v>
      </c>
      <c r="L279" t="s">
        <v>219</v>
      </c>
      <c r="N279" t="s">
        <v>21</v>
      </c>
    </row>
    <row r="280" spans="1:14" x14ac:dyDescent="0.25">
      <c r="A280" s="172" t="s">
        <v>75</v>
      </c>
      <c r="B280" s="172" t="s">
        <v>402</v>
      </c>
      <c r="C280" s="172" t="s">
        <v>54</v>
      </c>
      <c r="D280" s="172" t="s">
        <v>81</v>
      </c>
      <c r="E280" s="172" t="s">
        <v>86</v>
      </c>
      <c r="F280" s="172" t="s">
        <v>27</v>
      </c>
      <c r="G280" s="173">
        <v>318</v>
      </c>
      <c r="H280" s="174"/>
      <c r="I280" s="172"/>
      <c r="J280" s="172"/>
      <c r="K280" t="s">
        <v>25</v>
      </c>
      <c r="L280" t="s">
        <v>219</v>
      </c>
      <c r="N280" t="s">
        <v>21</v>
      </c>
    </row>
    <row r="281" spans="1:14" x14ac:dyDescent="0.25">
      <c r="A281" s="172" t="s">
        <v>75</v>
      </c>
      <c r="B281" s="172" t="s">
        <v>401</v>
      </c>
      <c r="C281" s="172" t="s">
        <v>54</v>
      </c>
      <c r="D281" s="172" t="s">
        <v>81</v>
      </c>
      <c r="E281" s="172" t="s">
        <v>85</v>
      </c>
      <c r="F281" s="172" t="s">
        <v>27</v>
      </c>
      <c r="G281" s="173">
        <v>636</v>
      </c>
      <c r="H281" s="174"/>
      <c r="I281" s="172"/>
      <c r="J281" s="172"/>
      <c r="K281" t="s">
        <v>25</v>
      </c>
      <c r="L281" t="s">
        <v>219</v>
      </c>
      <c r="N281" t="s">
        <v>21</v>
      </c>
    </row>
    <row r="282" spans="1:14" x14ac:dyDescent="0.25">
      <c r="A282" s="172" t="s">
        <v>75</v>
      </c>
      <c r="B282" s="172" t="s">
        <v>403</v>
      </c>
      <c r="C282" s="172" t="s">
        <v>59</v>
      </c>
      <c r="D282" s="172" t="s">
        <v>76</v>
      </c>
      <c r="E282" s="172" t="s">
        <v>87</v>
      </c>
      <c r="F282" s="172" t="s">
        <v>27</v>
      </c>
      <c r="G282" s="173">
        <v>1260</v>
      </c>
      <c r="H282" s="174"/>
      <c r="I282" s="172"/>
      <c r="J282" s="172"/>
      <c r="K282" t="s">
        <v>58</v>
      </c>
      <c r="L282" t="s">
        <v>220</v>
      </c>
      <c r="N282" t="s">
        <v>21</v>
      </c>
    </row>
    <row r="283" spans="1:14" x14ac:dyDescent="0.25">
      <c r="A283" s="172" t="s">
        <v>95</v>
      </c>
      <c r="B283" s="172" t="s">
        <v>446</v>
      </c>
      <c r="C283" s="172" t="s">
        <v>63</v>
      </c>
      <c r="D283" s="172" t="s">
        <v>76</v>
      </c>
      <c r="E283" s="172" t="s">
        <v>117</v>
      </c>
      <c r="F283" s="172" t="s">
        <v>41</v>
      </c>
      <c r="G283" s="173">
        <v>1092</v>
      </c>
      <c r="H283" s="174">
        <v>0</v>
      </c>
      <c r="I283" s="172" t="s">
        <v>98</v>
      </c>
      <c r="J283" s="172" t="s">
        <v>113</v>
      </c>
      <c r="K283" t="s">
        <v>36</v>
      </c>
      <c r="L283" t="s">
        <v>37</v>
      </c>
      <c r="N283" t="s">
        <v>21</v>
      </c>
    </row>
    <row r="284" spans="1:14" x14ac:dyDescent="0.25">
      <c r="A284" s="175" t="s">
        <v>162</v>
      </c>
      <c r="B284" s="175"/>
      <c r="C284" s="175" t="s">
        <v>163</v>
      </c>
      <c r="D284" s="175"/>
      <c r="E284" s="175"/>
      <c r="F284" s="175"/>
      <c r="G284" s="176">
        <f>=SUM(G277:G283)</f>
      </c>
      <c r="H284" s="177">
        <f>=SUM(H277:H283)</f>
      </c>
      <c r="I284" s="175" t="s">
        <v>21</v>
      </c>
      <c r="J284" s="175" t="s">
        <v>21</v>
      </c>
    </row>
    <row r="286" spans="1:10" x14ac:dyDescent="0.25">
      <c r="A286" s="170" t="s">
        <v>448</v>
      </c>
      <c r="B286" s="170"/>
      <c r="C286" s="170"/>
      <c r="D286" s="170"/>
      <c r="E286" s="170"/>
      <c r="F286" s="170"/>
      <c r="G286" s="170"/>
      <c r="H286" s="170"/>
      <c r="I286" s="170"/>
      <c r="J286" s="170"/>
    </row>
    <row r="287" spans="1:10" x14ac:dyDescent="0.25">
      <c r="A287" s="171" t="s">
        <v>66</v>
      </c>
      <c r="B287" s="171" t="s">
        <v>352</v>
      </c>
      <c r="C287" s="171" t="s">
        <v>67</v>
      </c>
      <c r="D287" s="171" t="s">
        <v>68</v>
      </c>
      <c r="E287" s="171" t="s">
        <v>69</v>
      </c>
      <c r="F287" s="171" t="s">
        <v>70</v>
      </c>
      <c r="G287" s="171" t="s">
        <v>71</v>
      </c>
      <c r="H287" s="171" t="s">
        <v>72</v>
      </c>
      <c r="I287" s="171" t="s">
        <v>73</v>
      </c>
      <c r="J287" s="171" t="s">
        <v>74</v>
      </c>
    </row>
    <row r="288" spans="1:14" x14ac:dyDescent="0.25">
      <c r="A288" s="172" t="s">
        <v>137</v>
      </c>
      <c r="B288" s="172" t="s">
        <v>449</v>
      </c>
      <c r="C288" s="172" t="s">
        <v>35</v>
      </c>
      <c r="D288" s="172" t="s">
        <v>76</v>
      </c>
      <c r="E288" s="172" t="s">
        <v>138</v>
      </c>
      <c r="F288" s="172" t="s">
        <v>14</v>
      </c>
      <c r="G288" s="173">
        <v>5465</v>
      </c>
      <c r="H288" s="174">
        <v>5</v>
      </c>
      <c r="I288" s="172" t="s">
        <v>139</v>
      </c>
      <c r="J288" s="172" t="s">
        <v>140</v>
      </c>
      <c r="K288" t="s">
        <v>34</v>
      </c>
      <c r="L288" t="s">
        <v>213</v>
      </c>
      <c r="N288" t="s">
        <v>21</v>
      </c>
    </row>
    <row r="289" spans="1:14" x14ac:dyDescent="0.25">
      <c r="A289" s="175" t="s">
        <v>162</v>
      </c>
      <c r="B289" s="175"/>
      <c r="C289" s="175" t="s">
        <v>163</v>
      </c>
      <c r="D289" s="175"/>
      <c r="E289" s="175"/>
      <c r="F289" s="175"/>
      <c r="G289" s="176">
        <f>=SUM(G288:G288)</f>
      </c>
      <c r="H289" s="177">
        <f>=SUM(H288:H288)</f>
      </c>
      <c r="I289" s="175" t="s">
        <v>21</v>
      </c>
      <c r="J289" s="175" t="s">
        <v>21</v>
      </c>
    </row>
    <row r="291" spans="1:10" x14ac:dyDescent="0.25">
      <c r="A291" s="170" t="s">
        <v>450</v>
      </c>
      <c r="B291" s="170"/>
      <c r="C291" s="170"/>
      <c r="D291" s="170"/>
      <c r="E291" s="170"/>
      <c r="F291" s="170"/>
      <c r="G291" s="170"/>
      <c r="H291" s="170"/>
      <c r="I291" s="170"/>
      <c r="J291" s="170"/>
    </row>
    <row r="292" spans="1:10" x14ac:dyDescent="0.25">
      <c r="A292" s="171" t="s">
        <v>66</v>
      </c>
      <c r="B292" s="171" t="s">
        <v>352</v>
      </c>
      <c r="C292" s="171" t="s">
        <v>67</v>
      </c>
      <c r="D292" s="171" t="s">
        <v>68</v>
      </c>
      <c r="E292" s="171" t="s">
        <v>69</v>
      </c>
      <c r="F292" s="171" t="s">
        <v>70</v>
      </c>
      <c r="G292" s="171" t="s">
        <v>71</v>
      </c>
      <c r="H292" s="171" t="s">
        <v>72</v>
      </c>
      <c r="I292" s="171" t="s">
        <v>73</v>
      </c>
      <c r="J292" s="171" t="s">
        <v>74</v>
      </c>
    </row>
    <row r="293" spans="1:14" x14ac:dyDescent="0.25">
      <c r="A293" s="172" t="s">
        <v>137</v>
      </c>
      <c r="B293" s="172" t="s">
        <v>449</v>
      </c>
      <c r="C293" s="172" t="s">
        <v>35</v>
      </c>
      <c r="D293" s="172" t="s">
        <v>76</v>
      </c>
      <c r="E293" s="172" t="s">
        <v>138</v>
      </c>
      <c r="F293" s="172" t="s">
        <v>14</v>
      </c>
      <c r="G293" s="173">
        <v>7566</v>
      </c>
      <c r="H293" s="174">
        <v>0</v>
      </c>
      <c r="I293" s="172" t="s">
        <v>139</v>
      </c>
      <c r="J293" s="172" t="s">
        <v>140</v>
      </c>
      <c r="K293" t="s">
        <v>34</v>
      </c>
      <c r="L293" t="s">
        <v>213</v>
      </c>
      <c r="N293" t="s">
        <v>21</v>
      </c>
    </row>
    <row r="294" spans="1:14" x14ac:dyDescent="0.25">
      <c r="A294" s="175" t="s">
        <v>162</v>
      </c>
      <c r="B294" s="175"/>
      <c r="C294" s="175" t="s">
        <v>163</v>
      </c>
      <c r="D294" s="175"/>
      <c r="E294" s="175"/>
      <c r="F294" s="175"/>
      <c r="G294" s="176">
        <f>=SUM(G293:G293)</f>
      </c>
      <c r="H294" s="177">
        <f>=SUM(H293:H293)</f>
      </c>
      <c r="I294" s="175" t="s">
        <v>21</v>
      </c>
      <c r="J294" s="175" t="s">
        <v>21</v>
      </c>
    </row>
    <row r="296" spans="1:10" x14ac:dyDescent="0.25">
      <c r="A296" s="170" t="s">
        <v>451</v>
      </c>
      <c r="B296" s="170"/>
      <c r="C296" s="170"/>
      <c r="D296" s="170"/>
      <c r="E296" s="170"/>
      <c r="F296" s="170"/>
      <c r="G296" s="170"/>
      <c r="H296" s="170"/>
      <c r="I296" s="170"/>
      <c r="J296" s="170"/>
    </row>
    <row r="297" spans="1:10" x14ac:dyDescent="0.25">
      <c r="A297" s="171" t="s">
        <v>66</v>
      </c>
      <c r="B297" s="171" t="s">
        <v>352</v>
      </c>
      <c r="C297" s="171" t="s">
        <v>67</v>
      </c>
      <c r="D297" s="171" t="s">
        <v>68</v>
      </c>
      <c r="E297" s="171" t="s">
        <v>69</v>
      </c>
      <c r="F297" s="171" t="s">
        <v>70</v>
      </c>
      <c r="G297" s="171" t="s">
        <v>71</v>
      </c>
      <c r="H297" s="171" t="s">
        <v>72</v>
      </c>
      <c r="I297" s="171" t="s">
        <v>73</v>
      </c>
      <c r="J297" s="171" t="s">
        <v>74</v>
      </c>
    </row>
    <row r="298" spans="1:14" x14ac:dyDescent="0.25">
      <c r="A298" s="172" t="s">
        <v>137</v>
      </c>
      <c r="B298" s="172" t="s">
        <v>449</v>
      </c>
      <c r="C298" s="172" t="s">
        <v>35</v>
      </c>
      <c r="D298" s="172" t="s">
        <v>76</v>
      </c>
      <c r="E298" s="172" t="s">
        <v>138</v>
      </c>
      <c r="F298" s="172" t="s">
        <v>14</v>
      </c>
      <c r="G298" s="173">
        <v>2138</v>
      </c>
      <c r="H298" s="174">
        <v>0</v>
      </c>
      <c r="I298" s="172" t="s">
        <v>139</v>
      </c>
      <c r="J298" s="172" t="s">
        <v>140</v>
      </c>
      <c r="K298" t="s">
        <v>34</v>
      </c>
      <c r="L298" t="s">
        <v>213</v>
      </c>
      <c r="N298" t="s">
        <v>21</v>
      </c>
    </row>
    <row r="299" spans="1:14" x14ac:dyDescent="0.25">
      <c r="A299" s="175" t="s">
        <v>162</v>
      </c>
      <c r="B299" s="175"/>
      <c r="C299" s="175" t="s">
        <v>163</v>
      </c>
      <c r="D299" s="175"/>
      <c r="E299" s="175"/>
      <c r="F299" s="175"/>
      <c r="G299" s="176">
        <f>=SUM(G298:G298)</f>
      </c>
      <c r="H299" s="177">
        <f>=SUM(H298:H298)</f>
      </c>
      <c r="I299" s="175" t="s">
        <v>21</v>
      </c>
      <c r="J299" s="175" t="s">
        <v>21</v>
      </c>
    </row>
    <row r="301" spans="1:10" x14ac:dyDescent="0.25">
      <c r="A301" s="170" t="s">
        <v>452</v>
      </c>
      <c r="B301" s="170"/>
      <c r="C301" s="170"/>
      <c r="D301" s="170"/>
      <c r="E301" s="170"/>
      <c r="F301" s="170"/>
      <c r="G301" s="170"/>
      <c r="H301" s="170"/>
      <c r="I301" s="170"/>
      <c r="J301" s="170"/>
    </row>
    <row r="302" spans="1:10" x14ac:dyDescent="0.25">
      <c r="A302" s="171" t="s">
        <v>66</v>
      </c>
      <c r="B302" s="171" t="s">
        <v>352</v>
      </c>
      <c r="C302" s="171" t="s">
        <v>67</v>
      </c>
      <c r="D302" s="171" t="s">
        <v>68</v>
      </c>
      <c r="E302" s="171" t="s">
        <v>69</v>
      </c>
      <c r="F302" s="171" t="s">
        <v>70</v>
      </c>
      <c r="G302" s="171" t="s">
        <v>71</v>
      </c>
      <c r="H302" s="171" t="s">
        <v>72</v>
      </c>
      <c r="I302" s="171" t="s">
        <v>73</v>
      </c>
      <c r="J302" s="171" t="s">
        <v>74</v>
      </c>
    </row>
    <row r="303" spans="1:14" x14ac:dyDescent="0.25">
      <c r="A303" s="172" t="s">
        <v>137</v>
      </c>
      <c r="B303" s="172" t="s">
        <v>449</v>
      </c>
      <c r="C303" s="172" t="s">
        <v>35</v>
      </c>
      <c r="D303" s="172" t="s">
        <v>76</v>
      </c>
      <c r="E303" s="172" t="s">
        <v>138</v>
      </c>
      <c r="F303" s="172" t="s">
        <v>14</v>
      </c>
      <c r="G303" s="173">
        <v>337</v>
      </c>
      <c r="H303" s="174">
        <v>0</v>
      </c>
      <c r="I303" s="172" t="s">
        <v>139</v>
      </c>
      <c r="J303" s="172" t="s">
        <v>140</v>
      </c>
      <c r="K303" t="s">
        <v>34</v>
      </c>
      <c r="L303" t="s">
        <v>213</v>
      </c>
      <c r="N303" t="s">
        <v>21</v>
      </c>
    </row>
    <row r="304" spans="1:14" x14ac:dyDescent="0.25">
      <c r="A304" s="172" t="s">
        <v>137</v>
      </c>
      <c r="B304" s="172" t="s">
        <v>449</v>
      </c>
      <c r="C304" s="172" t="s">
        <v>35</v>
      </c>
      <c r="D304" s="172" t="s">
        <v>76</v>
      </c>
      <c r="E304" s="172" t="s">
        <v>138</v>
      </c>
      <c r="F304" s="172" t="s">
        <v>14</v>
      </c>
      <c r="G304" s="173">
        <v>8494</v>
      </c>
      <c r="H304" s="174"/>
      <c r="I304" s="172"/>
      <c r="J304" s="172"/>
      <c r="K304" t="s">
        <v>34</v>
      </c>
      <c r="L304" t="s">
        <v>213</v>
      </c>
      <c r="N304" t="s">
        <v>21</v>
      </c>
    </row>
    <row r="305" spans="1:14" x14ac:dyDescent="0.25">
      <c r="A305" s="175" t="s">
        <v>162</v>
      </c>
      <c r="B305" s="175"/>
      <c r="C305" s="175" t="s">
        <v>163</v>
      </c>
      <c r="D305" s="175"/>
      <c r="E305" s="175"/>
      <c r="F305" s="175"/>
      <c r="G305" s="176">
        <f>=SUM(G303:G304)</f>
      </c>
      <c r="H305" s="177">
        <f>=SUM(H303:H304)</f>
      </c>
      <c r="I305" s="175" t="s">
        <v>21</v>
      </c>
      <c r="J305" s="175" t="s">
        <v>21</v>
      </c>
    </row>
    <row r="307" spans="1:10" x14ac:dyDescent="0.25">
      <c r="A307" s="170" t="s">
        <v>453</v>
      </c>
      <c r="B307" s="170"/>
      <c r="C307" s="170"/>
      <c r="D307" s="170"/>
      <c r="E307" s="170"/>
      <c r="F307" s="170"/>
      <c r="G307" s="170"/>
      <c r="H307" s="170"/>
      <c r="I307" s="170"/>
      <c r="J307" s="170"/>
    </row>
    <row r="308" spans="1:10" x14ac:dyDescent="0.25">
      <c r="A308" s="171" t="s">
        <v>66</v>
      </c>
      <c r="B308" s="171" t="s">
        <v>352</v>
      </c>
      <c r="C308" s="171" t="s">
        <v>67</v>
      </c>
      <c r="D308" s="171" t="s">
        <v>68</v>
      </c>
      <c r="E308" s="171" t="s">
        <v>69</v>
      </c>
      <c r="F308" s="171" t="s">
        <v>70</v>
      </c>
      <c r="G308" s="171" t="s">
        <v>71</v>
      </c>
      <c r="H308" s="171" t="s">
        <v>72</v>
      </c>
      <c r="I308" s="171" t="s">
        <v>73</v>
      </c>
      <c r="J308" s="171" t="s">
        <v>74</v>
      </c>
    </row>
    <row r="309" spans="1:14" x14ac:dyDescent="0.25">
      <c r="A309" s="172" t="s">
        <v>137</v>
      </c>
      <c r="B309" s="172" t="s">
        <v>358</v>
      </c>
      <c r="C309" s="172" t="s">
        <v>37</v>
      </c>
      <c r="D309" s="172" t="s">
        <v>147</v>
      </c>
      <c r="E309" s="172" t="s">
        <v>138</v>
      </c>
      <c r="F309" s="172" t="s">
        <v>14</v>
      </c>
      <c r="G309" s="173">
        <v>342</v>
      </c>
      <c r="H309" s="174">
        <v>0</v>
      </c>
      <c r="I309" s="172" t="s">
        <v>78</v>
      </c>
      <c r="J309" s="172" t="s">
        <v>142</v>
      </c>
      <c r="K309" t="s">
        <v>36</v>
      </c>
      <c r="L309" t="s">
        <v>37</v>
      </c>
      <c r="N309" t="s">
        <v>21</v>
      </c>
    </row>
    <row r="310" spans="1:14" x14ac:dyDescent="0.25">
      <c r="A310" s="172" t="s">
        <v>137</v>
      </c>
      <c r="B310" s="172" t="s">
        <v>356</v>
      </c>
      <c r="C310" s="172" t="s">
        <v>37</v>
      </c>
      <c r="D310" s="172" t="s">
        <v>145</v>
      </c>
      <c r="E310" s="172" t="s">
        <v>138</v>
      </c>
      <c r="F310" s="172" t="s">
        <v>14</v>
      </c>
      <c r="G310" s="173">
        <v>700</v>
      </c>
      <c r="H310" s="174"/>
      <c r="I310" s="172"/>
      <c r="J310" s="172"/>
      <c r="K310" t="s">
        <v>36</v>
      </c>
      <c r="L310" t="s">
        <v>37</v>
      </c>
      <c r="N310" t="s">
        <v>21</v>
      </c>
    </row>
    <row r="311" spans="1:14" x14ac:dyDescent="0.25">
      <c r="A311" s="175" t="s">
        <v>162</v>
      </c>
      <c r="B311" s="175"/>
      <c r="C311" s="175" t="s">
        <v>163</v>
      </c>
      <c r="D311" s="175"/>
      <c r="E311" s="175"/>
      <c r="F311" s="175"/>
      <c r="G311" s="176">
        <f>=SUM(G309:G310)</f>
      </c>
      <c r="H311" s="177">
        <f>=SUM(H309:H310)</f>
      </c>
      <c r="I311" s="175" t="s">
        <v>21</v>
      </c>
      <c r="J311" s="175" t="s">
        <v>21</v>
      </c>
    </row>
    <row r="313" spans="1:10" x14ac:dyDescent="0.25">
      <c r="A313" s="170" t="s">
        <v>454</v>
      </c>
      <c r="B313" s="170"/>
      <c r="C313" s="170"/>
      <c r="D313" s="170"/>
      <c r="E313" s="170"/>
      <c r="F313" s="170"/>
      <c r="G313" s="170"/>
      <c r="H313" s="170"/>
      <c r="I313" s="170"/>
      <c r="J313" s="170"/>
    </row>
    <row r="314" spans="1:10" x14ac:dyDescent="0.25">
      <c r="A314" s="171" t="s">
        <v>66</v>
      </c>
      <c r="B314" s="171" t="s">
        <v>352</v>
      </c>
      <c r="C314" s="171" t="s">
        <v>67</v>
      </c>
      <c r="D314" s="171" t="s">
        <v>68</v>
      </c>
      <c r="E314" s="171" t="s">
        <v>69</v>
      </c>
      <c r="F314" s="171" t="s">
        <v>70</v>
      </c>
      <c r="G314" s="171" t="s">
        <v>71</v>
      </c>
      <c r="H314" s="171" t="s">
        <v>72</v>
      </c>
      <c r="I314" s="171" t="s">
        <v>73</v>
      </c>
      <c r="J314" s="171" t="s">
        <v>74</v>
      </c>
    </row>
    <row r="315" spans="1:14" x14ac:dyDescent="0.25">
      <c r="A315" s="172" t="s">
        <v>75</v>
      </c>
      <c r="B315" s="172" t="s">
        <v>396</v>
      </c>
      <c r="C315" s="172" t="s">
        <v>47</v>
      </c>
      <c r="D315" s="172" t="s">
        <v>76</v>
      </c>
      <c r="E315" s="172" t="s">
        <v>77</v>
      </c>
      <c r="F315" s="172" t="s">
        <v>27</v>
      </c>
      <c r="G315" s="173">
        <v>2121</v>
      </c>
      <c r="H315" s="174">
        <v>0</v>
      </c>
      <c r="I315" s="172" t="s">
        <v>78</v>
      </c>
      <c r="J315" s="172" t="s">
        <v>79</v>
      </c>
      <c r="K315" t="s">
        <v>25</v>
      </c>
      <c r="L315" t="s">
        <v>211</v>
      </c>
      <c r="N315" t="s">
        <v>21</v>
      </c>
    </row>
    <row r="316" spans="1:14" x14ac:dyDescent="0.25">
      <c r="A316" s="172" t="s">
        <v>75</v>
      </c>
      <c r="B316" s="172" t="s">
        <v>397</v>
      </c>
      <c r="C316" s="172" t="s">
        <v>48</v>
      </c>
      <c r="D316" s="172" t="s">
        <v>76</v>
      </c>
      <c r="E316" s="172" t="s">
        <v>80</v>
      </c>
      <c r="F316" s="172" t="s">
        <v>27</v>
      </c>
      <c r="G316" s="173">
        <v>2121</v>
      </c>
      <c r="H316" s="174"/>
      <c r="I316" s="172"/>
      <c r="J316" s="172"/>
      <c r="K316" t="s">
        <v>25</v>
      </c>
      <c r="L316" t="s">
        <v>211</v>
      </c>
      <c r="N316" t="s">
        <v>21</v>
      </c>
    </row>
    <row r="317" spans="1:14" x14ac:dyDescent="0.25">
      <c r="A317" s="172" t="s">
        <v>75</v>
      </c>
      <c r="B317" s="172" t="s">
        <v>417</v>
      </c>
      <c r="C317" s="172" t="s">
        <v>50</v>
      </c>
      <c r="D317" s="172" t="s">
        <v>76</v>
      </c>
      <c r="E317" s="172" t="s">
        <v>92</v>
      </c>
      <c r="F317" s="172" t="s">
        <v>27</v>
      </c>
      <c r="G317" s="173">
        <v>362</v>
      </c>
      <c r="H317" s="174"/>
      <c r="I317" s="172"/>
      <c r="J317" s="172"/>
      <c r="K317" t="s">
        <v>49</v>
      </c>
      <c r="L317" t="s">
        <v>217</v>
      </c>
      <c r="N317" t="s">
        <v>21</v>
      </c>
    </row>
    <row r="318" spans="1:14" x14ac:dyDescent="0.25">
      <c r="A318" s="172" t="s">
        <v>75</v>
      </c>
      <c r="B318" s="172" t="s">
        <v>414</v>
      </c>
      <c r="C318" s="172" t="s">
        <v>50</v>
      </c>
      <c r="D318" s="172" t="s">
        <v>76</v>
      </c>
      <c r="E318" s="172" t="s">
        <v>89</v>
      </c>
      <c r="F318" s="172" t="s">
        <v>27</v>
      </c>
      <c r="G318" s="173">
        <v>436</v>
      </c>
      <c r="H318" s="174"/>
      <c r="I318" s="172"/>
      <c r="J318" s="172"/>
      <c r="K318" t="s">
        <v>49</v>
      </c>
      <c r="L318" t="s">
        <v>217</v>
      </c>
      <c r="N318" t="s">
        <v>21</v>
      </c>
    </row>
    <row r="319" spans="1:14" x14ac:dyDescent="0.25">
      <c r="A319" s="172" t="s">
        <v>75</v>
      </c>
      <c r="B319" s="172" t="s">
        <v>418</v>
      </c>
      <c r="C319" s="172" t="s">
        <v>50</v>
      </c>
      <c r="D319" s="172" t="s">
        <v>76</v>
      </c>
      <c r="E319" s="172" t="s">
        <v>93</v>
      </c>
      <c r="F319" s="172" t="s">
        <v>27</v>
      </c>
      <c r="G319" s="173">
        <v>625</v>
      </c>
      <c r="H319" s="174"/>
      <c r="I319" s="172"/>
      <c r="J319" s="172"/>
      <c r="K319" t="s">
        <v>49</v>
      </c>
      <c r="L319" t="s">
        <v>217</v>
      </c>
      <c r="N319" t="s">
        <v>21</v>
      </c>
    </row>
    <row r="320" spans="1:14" x14ac:dyDescent="0.25">
      <c r="A320" s="172" t="s">
        <v>75</v>
      </c>
      <c r="B320" s="172" t="s">
        <v>416</v>
      </c>
      <c r="C320" s="172" t="s">
        <v>50</v>
      </c>
      <c r="D320" s="172" t="s">
        <v>76</v>
      </c>
      <c r="E320" s="172" t="s">
        <v>91</v>
      </c>
      <c r="F320" s="172" t="s">
        <v>27</v>
      </c>
      <c r="G320" s="173">
        <v>700</v>
      </c>
      <c r="H320" s="174"/>
      <c r="I320" s="172"/>
      <c r="J320" s="172"/>
      <c r="K320" t="s">
        <v>49</v>
      </c>
      <c r="L320" t="s">
        <v>217</v>
      </c>
      <c r="N320" t="s">
        <v>21</v>
      </c>
    </row>
    <row r="321" spans="1:14" x14ac:dyDescent="0.25">
      <c r="A321" s="172" t="s">
        <v>75</v>
      </c>
      <c r="B321" s="172" t="s">
        <v>401</v>
      </c>
      <c r="C321" s="172" t="s">
        <v>54</v>
      </c>
      <c r="D321" s="172" t="s">
        <v>81</v>
      </c>
      <c r="E321" s="172" t="s">
        <v>85</v>
      </c>
      <c r="F321" s="172" t="s">
        <v>27</v>
      </c>
      <c r="G321" s="173">
        <v>362</v>
      </c>
      <c r="H321" s="174"/>
      <c r="I321" s="172"/>
      <c r="J321" s="172"/>
      <c r="K321" t="s">
        <v>25</v>
      </c>
      <c r="L321" t="s">
        <v>219</v>
      </c>
      <c r="N321" t="s">
        <v>21</v>
      </c>
    </row>
    <row r="322" spans="1:14" x14ac:dyDescent="0.25">
      <c r="A322" s="172" t="s">
        <v>75</v>
      </c>
      <c r="B322" s="172" t="s">
        <v>398</v>
      </c>
      <c r="C322" s="172" t="s">
        <v>54</v>
      </c>
      <c r="D322" s="172" t="s">
        <v>81</v>
      </c>
      <c r="E322" s="172" t="s">
        <v>82</v>
      </c>
      <c r="F322" s="172" t="s">
        <v>27</v>
      </c>
      <c r="G322" s="173">
        <v>436</v>
      </c>
      <c r="H322" s="174"/>
      <c r="I322" s="172"/>
      <c r="J322" s="172"/>
      <c r="K322" t="s">
        <v>25</v>
      </c>
      <c r="L322" t="s">
        <v>219</v>
      </c>
      <c r="N322" t="s">
        <v>21</v>
      </c>
    </row>
    <row r="323" spans="1:14" x14ac:dyDescent="0.25">
      <c r="A323" s="172" t="s">
        <v>75</v>
      </c>
      <c r="B323" s="172" t="s">
        <v>402</v>
      </c>
      <c r="C323" s="172" t="s">
        <v>54</v>
      </c>
      <c r="D323" s="172" t="s">
        <v>81</v>
      </c>
      <c r="E323" s="172" t="s">
        <v>86</v>
      </c>
      <c r="F323" s="172" t="s">
        <v>27</v>
      </c>
      <c r="G323" s="173">
        <v>625</v>
      </c>
      <c r="H323" s="174"/>
      <c r="I323" s="172"/>
      <c r="J323" s="172"/>
      <c r="K323" t="s">
        <v>25</v>
      </c>
      <c r="L323" t="s">
        <v>219</v>
      </c>
      <c r="N323" t="s">
        <v>21</v>
      </c>
    </row>
    <row r="324" spans="1:14" x14ac:dyDescent="0.25">
      <c r="A324" s="172" t="s">
        <v>75</v>
      </c>
      <c r="B324" s="172" t="s">
        <v>400</v>
      </c>
      <c r="C324" s="172" t="s">
        <v>54</v>
      </c>
      <c r="D324" s="172" t="s">
        <v>81</v>
      </c>
      <c r="E324" s="172" t="s">
        <v>84</v>
      </c>
      <c r="F324" s="172" t="s">
        <v>27</v>
      </c>
      <c r="G324" s="173">
        <v>700</v>
      </c>
      <c r="H324" s="174"/>
      <c r="I324" s="172"/>
      <c r="J324" s="172"/>
      <c r="K324" t="s">
        <v>25</v>
      </c>
      <c r="L324" t="s">
        <v>219</v>
      </c>
      <c r="N324" t="s">
        <v>21</v>
      </c>
    </row>
    <row r="325" spans="1:14" x14ac:dyDescent="0.25">
      <c r="A325" s="172" t="s">
        <v>75</v>
      </c>
      <c r="B325" s="172" t="s">
        <v>403</v>
      </c>
      <c r="C325" s="172" t="s">
        <v>59</v>
      </c>
      <c r="D325" s="172" t="s">
        <v>76</v>
      </c>
      <c r="E325" s="172" t="s">
        <v>87</v>
      </c>
      <c r="F325" s="172" t="s">
        <v>27</v>
      </c>
      <c r="G325" s="173">
        <v>2103</v>
      </c>
      <c r="H325" s="174"/>
      <c r="I325" s="172"/>
      <c r="J325" s="172"/>
      <c r="K325" t="s">
        <v>58</v>
      </c>
      <c r="L325" t="s">
        <v>220</v>
      </c>
      <c r="N325" t="s">
        <v>21</v>
      </c>
    </row>
    <row r="326" spans="1:14" x14ac:dyDescent="0.25">
      <c r="A326" s="172" t="s">
        <v>95</v>
      </c>
      <c r="B326" s="172" t="s">
        <v>438</v>
      </c>
      <c r="C326" s="172" t="s">
        <v>33</v>
      </c>
      <c r="D326" s="172" t="s">
        <v>76</v>
      </c>
      <c r="E326" s="172" t="s">
        <v>112</v>
      </c>
      <c r="F326" s="172" t="s">
        <v>27</v>
      </c>
      <c r="G326" s="173">
        <v>6363</v>
      </c>
      <c r="H326" s="174">
        <v>0</v>
      </c>
      <c r="I326" s="172" t="s">
        <v>98</v>
      </c>
      <c r="J326" s="172" t="s">
        <v>113</v>
      </c>
      <c r="K326" t="s">
        <v>30</v>
      </c>
      <c r="L326" t="s">
        <v>212</v>
      </c>
      <c r="N326" t="s">
        <v>21</v>
      </c>
    </row>
    <row r="327" spans="1:14" x14ac:dyDescent="0.25">
      <c r="A327" s="172" t="s">
        <v>95</v>
      </c>
      <c r="B327" s="172" t="s">
        <v>440</v>
      </c>
      <c r="C327" s="172" t="s">
        <v>40</v>
      </c>
      <c r="D327" s="172" t="s">
        <v>126</v>
      </c>
      <c r="E327" s="172" t="s">
        <v>127</v>
      </c>
      <c r="F327" s="172" t="s">
        <v>41</v>
      </c>
      <c r="G327" s="173">
        <v>199</v>
      </c>
      <c r="H327" s="174"/>
      <c r="I327" s="172"/>
      <c r="J327" s="172"/>
      <c r="K327" t="s">
        <v>38</v>
      </c>
      <c r="L327" t="s">
        <v>214</v>
      </c>
      <c r="N327" t="s">
        <v>21</v>
      </c>
    </row>
    <row r="328" spans="1:14" x14ac:dyDescent="0.25">
      <c r="A328" s="172" t="s">
        <v>95</v>
      </c>
      <c r="B328" s="172" t="s">
        <v>455</v>
      </c>
      <c r="C328" s="172" t="s">
        <v>40</v>
      </c>
      <c r="D328" s="172" t="s">
        <v>76</v>
      </c>
      <c r="E328" s="172" t="s">
        <v>127</v>
      </c>
      <c r="F328" s="172" t="s">
        <v>41</v>
      </c>
      <c r="G328" s="173">
        <v>4905</v>
      </c>
      <c r="H328" s="174"/>
      <c r="I328" s="172"/>
      <c r="J328" s="172"/>
      <c r="K328" t="s">
        <v>38</v>
      </c>
      <c r="L328" t="s">
        <v>214</v>
      </c>
      <c r="N328" t="s">
        <v>21</v>
      </c>
    </row>
    <row r="329" spans="1:14" x14ac:dyDescent="0.25">
      <c r="A329" s="172" t="s">
        <v>95</v>
      </c>
      <c r="B329" s="172" t="s">
        <v>431</v>
      </c>
      <c r="C329" s="172" t="s">
        <v>53</v>
      </c>
      <c r="D329" s="172" t="s">
        <v>76</v>
      </c>
      <c r="E329" s="172" t="s">
        <v>123</v>
      </c>
      <c r="F329" s="172" t="s">
        <v>44</v>
      </c>
      <c r="G329" s="173">
        <v>2121</v>
      </c>
      <c r="H329" s="174"/>
      <c r="I329" s="172"/>
      <c r="J329" s="172"/>
      <c r="K329" t="s">
        <v>52</v>
      </c>
      <c r="L329" t="s">
        <v>218</v>
      </c>
      <c r="N329" t="s">
        <v>21</v>
      </c>
    </row>
    <row r="330" spans="1:14" x14ac:dyDescent="0.25">
      <c r="A330" s="172" t="s">
        <v>95</v>
      </c>
      <c r="B330" s="172" t="s">
        <v>423</v>
      </c>
      <c r="C330" s="172" t="s">
        <v>53</v>
      </c>
      <c r="D330" s="172" t="s">
        <v>76</v>
      </c>
      <c r="E330" s="172" t="s">
        <v>121</v>
      </c>
      <c r="F330" s="172" t="s">
        <v>44</v>
      </c>
      <c r="G330" s="173">
        <v>8484</v>
      </c>
      <c r="H330" s="174"/>
      <c r="I330" s="172"/>
      <c r="J330" s="172"/>
      <c r="K330" t="s">
        <v>52</v>
      </c>
      <c r="L330" t="s">
        <v>218</v>
      </c>
      <c r="N330" t="s">
        <v>21</v>
      </c>
    </row>
    <row r="331" spans="1:14" x14ac:dyDescent="0.25">
      <c r="A331" s="172" t="s">
        <v>95</v>
      </c>
      <c r="B331" s="172" t="s">
        <v>456</v>
      </c>
      <c r="C331" s="172" t="s">
        <v>55</v>
      </c>
      <c r="D331" s="172" t="s">
        <v>76</v>
      </c>
      <c r="E331" s="172" t="s">
        <v>131</v>
      </c>
      <c r="F331" s="172" t="s">
        <v>27</v>
      </c>
      <c r="G331" s="173">
        <v>2099</v>
      </c>
      <c r="H331" s="174"/>
      <c r="I331" s="172"/>
      <c r="J331" s="172"/>
      <c r="K331" t="s">
        <v>30</v>
      </c>
      <c r="L331" t="s">
        <v>212</v>
      </c>
      <c r="N331" t="s">
        <v>21</v>
      </c>
    </row>
    <row r="332" spans="1:14" x14ac:dyDescent="0.25">
      <c r="A332" s="172" t="s">
        <v>95</v>
      </c>
      <c r="B332" s="172" t="s">
        <v>433</v>
      </c>
      <c r="C332" s="172" t="s">
        <v>56</v>
      </c>
      <c r="D332" s="172" t="s">
        <v>76</v>
      </c>
      <c r="E332" s="172" t="s">
        <v>116</v>
      </c>
      <c r="F332" s="172" t="s">
        <v>27</v>
      </c>
      <c r="G332" s="173">
        <v>4242</v>
      </c>
      <c r="H332" s="174"/>
      <c r="I332" s="172"/>
      <c r="J332" s="172"/>
      <c r="K332" t="s">
        <v>30</v>
      </c>
      <c r="L332" t="s">
        <v>212</v>
      </c>
      <c r="N332" t="s">
        <v>21</v>
      </c>
    </row>
    <row r="333" spans="1:14" x14ac:dyDescent="0.25">
      <c r="A333" s="175" t="s">
        <v>162</v>
      </c>
      <c r="B333" s="175"/>
      <c r="C333" s="175" t="s">
        <v>163</v>
      </c>
      <c r="D333" s="175"/>
      <c r="E333" s="175"/>
      <c r="F333" s="175"/>
      <c r="G333" s="176">
        <f>=SUM(G315:G332)</f>
      </c>
      <c r="H333" s="177">
        <f>=SUM(H315:H332)</f>
      </c>
      <c r="I333" s="175" t="s">
        <v>21</v>
      </c>
      <c r="J333" s="175" t="s">
        <v>21</v>
      </c>
    </row>
  </sheetData>
  <mergeCells count="103">
    <mergeCell ref="A2:J2"/>
    <mergeCell ref="H5:H50"/>
    <mergeCell ref="I5:I50"/>
    <mergeCell ref="J5:J50"/>
    <mergeCell ref="A53:J53"/>
    <mergeCell ref="H56:H70"/>
    <mergeCell ref="I56:I70"/>
    <mergeCell ref="J56:J70"/>
    <mergeCell ref="A73:J73"/>
    <mergeCell ref="H75:H87"/>
    <mergeCell ref="I75:I87"/>
    <mergeCell ref="J75:J87"/>
    <mergeCell ref="A90:J90"/>
    <mergeCell ref="H93:H100"/>
    <mergeCell ref="I93:I100"/>
    <mergeCell ref="J93:J100"/>
    <mergeCell ref="A103:J103"/>
    <mergeCell ref="H106:H112"/>
    <mergeCell ref="I106:I112"/>
    <mergeCell ref="J106:J112"/>
    <mergeCell ref="H114:H120"/>
    <mergeCell ref="I114:I120"/>
    <mergeCell ref="J114:J120"/>
    <mergeCell ref="A123:J123"/>
    <mergeCell ref="H125:H139"/>
    <mergeCell ref="I125:I139"/>
    <mergeCell ref="J125:J139"/>
    <mergeCell ref="H140:H144"/>
    <mergeCell ref="I140:I144"/>
    <mergeCell ref="J140:J144"/>
    <mergeCell ref="A151:J151"/>
    <mergeCell ref="H153:H165"/>
    <mergeCell ref="I153:I165"/>
    <mergeCell ref="J153:J165"/>
    <mergeCell ref="H166:H167"/>
    <mergeCell ref="I166:I167"/>
    <mergeCell ref="J166:J167"/>
    <mergeCell ref="H168:H169"/>
    <mergeCell ref="I168:I169"/>
    <mergeCell ref="J168:J169"/>
    <mergeCell ref="A173:J173"/>
    <mergeCell ref="H175:H183"/>
    <mergeCell ref="I175:I183"/>
    <mergeCell ref="J175:J183"/>
    <mergeCell ref="H184:H185"/>
    <mergeCell ref="I184:I185"/>
    <mergeCell ref="J184:J185"/>
    <mergeCell ref="H186:H188"/>
    <mergeCell ref="I186:I188"/>
    <mergeCell ref="J186:J188"/>
    <mergeCell ref="A192:J192"/>
    <mergeCell ref="H194:H206"/>
    <mergeCell ref="I194:I206"/>
    <mergeCell ref="J194:J206"/>
    <mergeCell ref="H207:H211"/>
    <mergeCell ref="I207:I211"/>
    <mergeCell ref="J207:J211"/>
    <mergeCell ref="H212:H213"/>
    <mergeCell ref="I212:I213"/>
    <mergeCell ref="J212:J213"/>
    <mergeCell ref="A216:J216"/>
    <mergeCell ref="H218:H226"/>
    <mergeCell ref="I218:I226"/>
    <mergeCell ref="J218:J226"/>
    <mergeCell ref="H227:H231"/>
    <mergeCell ref="I227:I231"/>
    <mergeCell ref="J227:J231"/>
    <mergeCell ref="H232:H233"/>
    <mergeCell ref="I232:I233"/>
    <mergeCell ref="J232:J233"/>
    <mergeCell ref="A237:J237"/>
    <mergeCell ref="H239:H251"/>
    <mergeCell ref="I239:I251"/>
    <mergeCell ref="J239:J251"/>
    <mergeCell ref="H252:H260"/>
    <mergeCell ref="I252:I260"/>
    <mergeCell ref="J252:J260"/>
    <mergeCell ref="A263:J263"/>
    <mergeCell ref="H265:H271"/>
    <mergeCell ref="I265:I271"/>
    <mergeCell ref="J265:J271"/>
    <mergeCell ref="A275:J275"/>
    <mergeCell ref="H277:H282"/>
    <mergeCell ref="I277:I282"/>
    <mergeCell ref="J277:J282"/>
    <mergeCell ref="A286:J286"/>
    <mergeCell ref="A291:J291"/>
    <mergeCell ref="A296:J296"/>
    <mergeCell ref="A301:J301"/>
    <mergeCell ref="H303:H304"/>
    <mergeCell ref="I303:I304"/>
    <mergeCell ref="J303:J304"/>
    <mergeCell ref="A307:J307"/>
    <mergeCell ref="H309:H310"/>
    <mergeCell ref="I309:I310"/>
    <mergeCell ref="J309:J310"/>
    <mergeCell ref="A313:J313"/>
    <mergeCell ref="H315:H325"/>
    <mergeCell ref="I315:I325"/>
    <mergeCell ref="J315:J325"/>
    <mergeCell ref="H326:H332"/>
    <mergeCell ref="I326:I332"/>
    <mergeCell ref="J326:J332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457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165</v>
      </c>
      <c r="B2" s="48"/>
      <c r="C2" s="48"/>
      <c r="D2" s="55"/>
      <c r="E2" s="55"/>
      <c r="F2" s="57"/>
      <c r="G2" s="50" t="s">
        <v>166</v>
      </c>
      <c r="H2" s="48"/>
      <c r="I2" s="48"/>
      <c r="J2" s="55"/>
      <c r="K2" s="55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168</v>
      </c>
      <c r="F4" s="49"/>
      <c r="G4" s="53" t="s">
        <v>169</v>
      </c>
      <c r="J4" s="54"/>
      <c r="K4" s="54">
        <v>46093.625</v>
      </c>
    </row>
    <row r="5" ht="15" customHeight="1" spans="1:9" x14ac:dyDescent="0.25">
      <c r="A5" s="1" t="s">
        <v>170</v>
      </c>
      <c r="F5" s="49"/>
      <c r="G5" s="50" t="s">
        <v>171</v>
      </c>
      <c r="H5" s="48"/>
      <c r="I5" s="55"/>
    </row>
    <row r="6" ht="15" customHeight="1" spans="1:11" x14ac:dyDescent="0.25">
      <c r="A6" s="1" t="s">
        <v>172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7"/>
      <c r="H7" s="51"/>
      <c r="I7" s="51"/>
      <c r="J7" s="58" t="s">
        <v>174</v>
      </c>
      <c r="K7" s="59"/>
    </row>
    <row r="8" ht="15" customHeight="1" spans="1:11" x14ac:dyDescent="0.25">
      <c r="A8" s="51" t="s">
        <v>175</v>
      </c>
      <c r="B8" s="51"/>
      <c r="C8" s="51"/>
      <c r="F8" s="49"/>
      <c r="G8" s="50" t="s">
        <v>176</v>
      </c>
      <c r="H8" s="48"/>
      <c r="I8" s="48"/>
      <c r="J8" s="55"/>
      <c r="K8" s="60"/>
    </row>
    <row r="9" ht="15" customHeight="1" spans="1:11" x14ac:dyDescent="0.25">
      <c r="A9" s="1" t="s">
        <v>177</v>
      </c>
      <c r="F9" s="49"/>
      <c r="G9" s="1" t="s">
        <v>174</v>
      </c>
      <c r="K9" s="59"/>
    </row>
    <row r="10" ht="15" customHeight="1" spans="1:11" x14ac:dyDescent="0.25">
      <c r="A10" s="1" t="s">
        <v>178</v>
      </c>
      <c r="F10" s="49"/>
      <c r="G10" s="61" t="s">
        <v>174</v>
      </c>
      <c r="H10" s="61"/>
      <c r="I10" s="61"/>
      <c r="J10" s="61"/>
      <c r="K10" s="59"/>
    </row>
    <row r="11" ht="15" customHeight="1" spans="1:11" x14ac:dyDescent="0.25">
      <c r="A11" s="1" t="s">
        <v>179</v>
      </c>
      <c r="F11" s="49"/>
      <c r="G11" s="50" t="s">
        <v>180</v>
      </c>
      <c r="H11" s="48"/>
      <c r="K11" s="62"/>
    </row>
    <row r="12" ht="15" customHeight="1" spans="1:11" x14ac:dyDescent="0.25">
      <c r="A12" s="61" t="s">
        <v>21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21</v>
      </c>
      <c r="F13" s="49"/>
      <c r="G13" s="3"/>
      <c r="I13" s="67" t="s">
        <v>458</v>
      </c>
      <c r="J13" s="178">
        <f>=1500/42959.94*J29</f>
      </c>
      <c r="K13" s="65"/>
    </row>
    <row r="14" ht="15" customHeight="1" spans="1:11" x14ac:dyDescent="0.25">
      <c r="A14" s="69" t="s">
        <v>21</v>
      </c>
      <c r="B14" s="69"/>
      <c r="F14" s="49"/>
      <c r="I14" s="67" t="s">
        <v>459</v>
      </c>
      <c r="J14" s="179">
        <f>=J29*1.1*0.026%</f>
      </c>
      <c r="K14" s="65"/>
    </row>
    <row r="15" ht="15" customHeight="1" spans="1:11" x14ac:dyDescent="0.25">
      <c r="A15" s="1" t="s">
        <v>21</v>
      </c>
      <c r="F15" s="49"/>
      <c r="H15" s="51"/>
      <c r="I15" s="146" t="s">
        <v>460</v>
      </c>
      <c r="K15" s="65"/>
    </row>
    <row r="16" ht="15" customHeight="1" spans="1:11" x14ac:dyDescent="0.25">
      <c r="A16" s="48" t="s">
        <v>461</v>
      </c>
      <c r="B16" s="48"/>
      <c r="C16" s="57"/>
      <c r="D16" s="48" t="s">
        <v>185</v>
      </c>
      <c r="E16" s="48"/>
      <c r="F16" s="70"/>
      <c r="G16" s="3"/>
      <c r="H16" s="67" t="s">
        <v>462</v>
      </c>
      <c r="I16" s="71">
        <v>609</v>
      </c>
      <c r="J16" s="51" t="s">
        <v>463</v>
      </c>
      <c r="K16" s="65"/>
    </row>
    <row r="17" ht="15" customHeight="1" spans="1:11" x14ac:dyDescent="0.25">
      <c r="A17" s="1" t="s">
        <v>21</v>
      </c>
      <c r="D17" s="72" t="s">
        <v>174</v>
      </c>
      <c r="E17" s="53"/>
      <c r="F17" s="49"/>
      <c r="H17" s="67" t="s">
        <v>464</v>
      </c>
      <c r="I17" s="180">
        <v>6028.299999999995</v>
      </c>
      <c r="J17" s="51" t="s">
        <v>465</v>
      </c>
      <c r="K17" s="65"/>
    </row>
    <row r="18" ht="15" customHeight="1" spans="1:11" x14ac:dyDescent="0.25">
      <c r="A18" s="73" t="s">
        <v>21</v>
      </c>
      <c r="B18" s="73"/>
      <c r="C18" s="73"/>
      <c r="D18" s="74" t="s">
        <v>187</v>
      </c>
      <c r="E18" s="74"/>
      <c r="F18" s="74"/>
      <c r="H18" s="67" t="s">
        <v>466</v>
      </c>
      <c r="I18" s="180">
        <v>6631.129999999995</v>
      </c>
      <c r="J18" s="51" t="s">
        <v>465</v>
      </c>
      <c r="K18" s="65"/>
    </row>
    <row r="19" ht="15" customHeight="1" spans="1:11" x14ac:dyDescent="0.25">
      <c r="A19" s="48" t="s">
        <v>467</v>
      </c>
      <c r="B19" s="48"/>
      <c r="C19" s="49"/>
      <c r="D19" s="48" t="s">
        <v>189</v>
      </c>
      <c r="E19" s="48"/>
      <c r="F19" s="70"/>
      <c r="K19" s="65"/>
    </row>
    <row r="20" ht="15" customHeight="1" spans="1:11" x14ac:dyDescent="0.25">
      <c r="A20" s="1" t="s">
        <v>21</v>
      </c>
      <c r="C20" s="49"/>
      <c r="D20" s="1" t="s">
        <v>174</v>
      </c>
      <c r="F20" s="49"/>
      <c r="G20" s="1" t="s">
        <v>174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190</v>
      </c>
      <c r="B22" s="78"/>
      <c r="C22" s="78"/>
      <c r="D22" s="79" t="s">
        <v>191</v>
      </c>
      <c r="E22" s="79"/>
      <c r="F22" s="79"/>
      <c r="G22" s="79" t="s">
        <v>192</v>
      </c>
      <c r="H22" s="79"/>
      <c r="I22" s="80" t="s">
        <v>193</v>
      </c>
      <c r="J22" s="81" t="s">
        <v>194</v>
      </c>
      <c r="K22" s="81"/>
    </row>
    <row r="23" ht="15" customHeight="1" spans="1:9" x14ac:dyDescent="0.25">
      <c r="A23" s="1" t="s">
        <v>174</v>
      </c>
      <c r="C23" s="49"/>
      <c r="F23" s="49"/>
      <c r="H23" s="49"/>
      <c r="I23" s="49"/>
    </row>
    <row r="24" ht="15" customHeight="1" spans="1:9" x14ac:dyDescent="0.25">
      <c r="A24" s="1" t="s">
        <v>174</v>
      </c>
      <c r="G24" s="82" t="s">
        <v>21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 t="s">
        <v>468</v>
      </c>
      <c r="I25" s="3"/>
      <c r="J25" s="3"/>
      <c r="K25" s="84"/>
    </row>
    <row r="26" ht="15" customHeight="1" spans="1:11" x14ac:dyDescent="0.25">
      <c r="A26" s="85"/>
      <c r="C26" s="3"/>
      <c r="D26" s="162"/>
      <c r="E26" s="162"/>
      <c r="F26" s="162"/>
      <c r="G26" s="162"/>
      <c r="H26" s="162"/>
      <c r="I26" s="162"/>
      <c r="J26" s="162"/>
      <c r="K26" s="86"/>
    </row>
    <row r="27" ht="15" customHeight="1" spans="1:11" x14ac:dyDescent="0.25">
      <c r="A27" s="87"/>
      <c r="D27" s="29"/>
      <c r="E27" s="3"/>
      <c r="F27" s="181"/>
      <c r="G27" s="181"/>
      <c r="H27" s="182"/>
      <c r="I27" s="183"/>
      <c r="J27" s="184"/>
      <c r="K27" s="86"/>
    </row>
    <row r="28" ht="15" customHeight="1" spans="1:11" x14ac:dyDescent="0.25">
      <c r="A28" s="87"/>
      <c r="D28" s="29"/>
      <c r="E28" s="3"/>
      <c r="F28" s="181"/>
      <c r="G28" s="181"/>
      <c r="H28" s="182"/>
      <c r="I28" s="183"/>
      <c r="J28" s="184"/>
      <c r="K28" s="86"/>
    </row>
    <row r="29" ht="15" customHeight="1" spans="1:10" x14ac:dyDescent="0.25">
      <c r="A29" s="87"/>
      <c r="B29" s="88"/>
      <c r="C29" s="3"/>
      <c r="D29" s="165" t="s">
        <v>162</v>
      </c>
      <c r="E29" s="165"/>
      <c r="F29" s="165"/>
      <c r="G29" s="185"/>
      <c r="H29" s="186"/>
      <c r="I29" s="187"/>
      <c r="J29" s="188">
        <f>'STS.INVOICE'!G32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4"/>
      <c r="G31" s="88"/>
      <c r="H31" s="89"/>
      <c r="I31" s="90"/>
      <c r="J31" s="91"/>
    </row>
    <row r="32" ht="15" customHeight="1" spans="2:10" x14ac:dyDescent="0.25">
      <c r="B32" s="88"/>
      <c r="F32" s="164"/>
      <c r="G32" s="88"/>
      <c r="H32" s="89"/>
      <c r="I32" s="90"/>
      <c r="J32" s="91"/>
    </row>
    <row r="33" ht="15" customHeight="1" spans="6:8" x14ac:dyDescent="0.25">
      <c r="F33" s="164"/>
      <c r="G33" s="88"/>
      <c r="H33" s="89"/>
    </row>
    <row r="34" ht="15" customHeight="1" spans="6:10" x14ac:dyDescent="0.25">
      <c r="F34" s="164"/>
      <c r="G34" s="88"/>
      <c r="H34" s="89"/>
      <c r="J34" s="86"/>
    </row>
    <row r="35" ht="15" customHeight="1" spans="6:6" x14ac:dyDescent="0.25">
      <c r="F35" s="164"/>
    </row>
    <row r="36" ht="15" customHeight="1" spans="4:7" x14ac:dyDescent="0.25">
      <c r="D36" s="169"/>
      <c r="E36" s="169"/>
      <c r="F36" s="164"/>
      <c r="G36" s="163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203</v>
      </c>
      <c r="B42" s="66"/>
      <c r="C42" s="66"/>
      <c r="D42" s="66"/>
      <c r="E42" s="66"/>
      <c r="F42" s="66"/>
    </row>
    <row r="43" ht="15" customHeight="1" spans="1:11" x14ac:dyDescent="0.25">
      <c r="A43" s="66" t="s">
        <v>204</v>
      </c>
      <c r="B43" s="66"/>
      <c r="C43" s="66"/>
      <c r="H43" s="97" t="s">
        <v>205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