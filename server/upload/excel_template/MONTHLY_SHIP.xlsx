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55" windowWidth="15780" windowHeight="9480"/>
  </bookViews>
  <sheets>
    <sheet name="SUM" sheetId="1" r:id="rId1"/>
    <sheet name="BVT 선적계획" sheetId="2" r:id="rId2"/>
    <sheet name="ETP 선적계획" sheetId="3" r:id="rId3"/>
  </sheets>
  <calcPr calcId="145621"/>
</workbook>
</file>

<file path=xl/calcChain.xml><?xml version="1.0" encoding="utf-8"?>
<calcChain xmlns="http://schemas.openxmlformats.org/spreadsheetml/2006/main">
  <c r="C12" i="1" l="1"/>
  <c r="N16" i="1" l="1"/>
  <c r="M7" i="3" l="1"/>
  <c r="D6" i="1" s="1"/>
  <c r="M7" i="2"/>
  <c r="C6" i="1" s="1"/>
  <c r="H66" i="1"/>
  <c r="I66" i="1"/>
  <c r="K66" i="1"/>
  <c r="J66" i="1"/>
  <c r="F66" i="1"/>
  <c r="E66" i="1"/>
  <c r="J15" i="3" l="1"/>
  <c r="I15" i="3"/>
  <c r="H15" i="3"/>
  <c r="G15" i="3"/>
  <c r="AB7" i="3"/>
  <c r="K21" i="1" s="1"/>
  <c r="AA7" i="3"/>
  <c r="J21" i="1" s="1"/>
  <c r="Z7" i="3"/>
  <c r="I21" i="1" s="1"/>
  <c r="Y7" i="3"/>
  <c r="H21" i="1" s="1"/>
  <c r="X7" i="3"/>
  <c r="G21" i="1" s="1"/>
  <c r="W7" i="3"/>
  <c r="F21" i="1" s="1"/>
  <c r="V7" i="3"/>
  <c r="E21" i="1" s="1"/>
  <c r="U7" i="3"/>
  <c r="D21" i="1" s="1"/>
  <c r="L7" i="3"/>
  <c r="D5" i="1" s="1"/>
  <c r="D8" i="1" s="1"/>
  <c r="H7" i="3"/>
  <c r="J15" i="2"/>
  <c r="I15" i="2"/>
  <c r="H15" i="2"/>
  <c r="U8" i="3" l="1"/>
  <c r="Q23" i="1"/>
  <c r="P23" i="1"/>
  <c r="G15" i="2"/>
  <c r="AB7" i="2"/>
  <c r="K20" i="1" s="1"/>
  <c r="K25" i="1" s="1"/>
  <c r="AA7" i="2"/>
  <c r="J20" i="1" s="1"/>
  <c r="J25" i="1" s="1"/>
  <c r="Z7" i="2"/>
  <c r="Y7" i="2"/>
  <c r="H20" i="1" s="1"/>
  <c r="X7" i="2"/>
  <c r="W7" i="2"/>
  <c r="V7" i="2"/>
  <c r="E20" i="1" s="1"/>
  <c r="U7" i="2"/>
  <c r="D20" i="1" s="1"/>
  <c r="L7" i="2"/>
  <c r="C5" i="1" s="1"/>
  <c r="C8" i="1" s="1"/>
  <c r="H7" i="2"/>
  <c r="D66" i="1"/>
  <c r="G66" i="1"/>
  <c r="L24" i="1"/>
  <c r="C13" i="1"/>
  <c r="E13" i="1" s="1"/>
  <c r="L22" i="1"/>
  <c r="L21" i="1"/>
  <c r="B21" i="1"/>
  <c r="N17" i="1"/>
  <c r="D14" i="1"/>
  <c r="E6" i="1"/>
  <c r="I25" i="1" l="1"/>
  <c r="I20" i="1"/>
  <c r="G20" i="1"/>
  <c r="G25" i="1" s="1"/>
  <c r="F20" i="1"/>
  <c r="F25" i="1" s="1"/>
  <c r="C14" i="1" s="1"/>
  <c r="H25" i="1"/>
  <c r="E7" i="1"/>
  <c r="E8" i="1" s="1"/>
  <c r="U8" i="2"/>
  <c r="D25" i="1"/>
  <c r="E25" i="1"/>
  <c r="B20" i="1"/>
  <c r="E5" i="1"/>
  <c r="L23" i="1"/>
  <c r="L25" i="1" l="1"/>
  <c r="L20" i="1"/>
  <c r="E12" i="1"/>
  <c r="E14" i="1" s="1"/>
</calcChain>
</file>

<file path=xl/sharedStrings.xml><?xml version="1.0" encoding="utf-8"?>
<sst xmlns="http://schemas.openxmlformats.org/spreadsheetml/2006/main" count="136" uniqueCount="85">
  <si>
    <t>* 2018 8월 선적계획및 당월선적 입금계획(OA 적용)_7월이월포함</t>
    <phoneticPr fontId="2" type="noConversion"/>
  </si>
  <si>
    <t>6월 전월이월</t>
    <phoneticPr fontId="2" type="noConversion"/>
  </si>
  <si>
    <t>내    역</t>
    <phoneticPr fontId="2" type="noConversion"/>
  </si>
  <si>
    <t>BVT 선적계획</t>
    <phoneticPr fontId="2" type="noConversion"/>
  </si>
  <si>
    <t>ETP 선적계획</t>
    <phoneticPr fontId="2" type="noConversion"/>
  </si>
  <si>
    <t>합     계</t>
    <phoneticPr fontId="2" type="noConversion"/>
  </si>
  <si>
    <t>6월 선적금액</t>
    <phoneticPr fontId="2" type="noConversion"/>
  </si>
  <si>
    <t>입금및 선수금.내수</t>
  </si>
  <si>
    <t>잔       액</t>
  </si>
  <si>
    <t>8월  선적예정</t>
    <phoneticPr fontId="2" type="noConversion"/>
  </si>
  <si>
    <t>4.5월선적미수금</t>
  </si>
  <si>
    <t>8월  선적금액</t>
    <phoneticPr fontId="2" type="noConversion"/>
  </si>
  <si>
    <t>6월선적</t>
  </si>
  <si>
    <t>7월로이월</t>
  </si>
  <si>
    <t>당월입금계획</t>
    <phoneticPr fontId="2" type="noConversion"/>
  </si>
  <si>
    <t>8월 입금계획</t>
    <phoneticPr fontId="2" type="noConversion"/>
  </si>
  <si>
    <t>입금금액</t>
    <phoneticPr fontId="2" type="noConversion"/>
  </si>
  <si>
    <t>G.TOTAL</t>
    <phoneticPr fontId="2" type="noConversion"/>
  </si>
  <si>
    <t>* 2018 8월 입금 계획</t>
    <phoneticPr fontId="2" type="noConversion"/>
  </si>
  <si>
    <t>2018.08.03 기준</t>
    <phoneticPr fontId="2" type="noConversion"/>
  </si>
  <si>
    <t>8월 선적계획</t>
    <phoneticPr fontId="2" type="noConversion"/>
  </si>
  <si>
    <t>내 역</t>
    <phoneticPr fontId="2" type="noConversion"/>
  </si>
  <si>
    <t>8월선적 입금계획</t>
    <phoneticPr fontId="2" type="noConversion"/>
  </si>
  <si>
    <t>당사수입.선수금</t>
    <phoneticPr fontId="2" type="noConversion"/>
  </si>
  <si>
    <t>BVT CM Order</t>
    <phoneticPr fontId="2" type="noConversion"/>
  </si>
  <si>
    <t>8/1-8월8일전</t>
    <phoneticPr fontId="2" type="noConversion"/>
  </si>
  <si>
    <t>9월입금</t>
    <phoneticPr fontId="2" type="noConversion"/>
  </si>
  <si>
    <t>10월입금</t>
    <phoneticPr fontId="2" type="noConversion"/>
  </si>
  <si>
    <t>11월입금</t>
    <phoneticPr fontId="2" type="noConversion"/>
  </si>
  <si>
    <t>12월입금</t>
    <phoneticPr fontId="2" type="noConversion"/>
  </si>
  <si>
    <t>OA</t>
  </si>
  <si>
    <t>DN</t>
  </si>
  <si>
    <t>ETP당월 선적 입금계획</t>
    <phoneticPr fontId="2" type="noConversion"/>
  </si>
  <si>
    <t>OL</t>
  </si>
  <si>
    <t>전월이월 외상매출금</t>
    <phoneticPr fontId="2" type="noConversion"/>
  </si>
  <si>
    <t>재경팀자료</t>
    <phoneticPr fontId="2" type="noConversion"/>
  </si>
  <si>
    <t>입 금 완 료</t>
    <phoneticPr fontId="2" type="noConversion"/>
  </si>
  <si>
    <t>TR</t>
    <phoneticPr fontId="2" type="noConversion"/>
  </si>
  <si>
    <t>입금 예정 G.TOTAL</t>
    <phoneticPr fontId="2" type="noConversion"/>
  </si>
  <si>
    <t xml:space="preserve"> </t>
    <phoneticPr fontId="2" type="noConversion"/>
  </si>
  <si>
    <t>선수금</t>
    <phoneticPr fontId="2" type="noConversion"/>
  </si>
  <si>
    <t>* 출고계획</t>
    <phoneticPr fontId="2" type="noConversion"/>
  </si>
  <si>
    <t>BVT</t>
    <phoneticPr fontId="2" type="noConversion"/>
  </si>
  <si>
    <t>ETP</t>
    <phoneticPr fontId="2" type="noConversion"/>
  </si>
  <si>
    <t>BUYER</t>
  </si>
  <si>
    <t>출고예정금액</t>
    <phoneticPr fontId="2" type="noConversion"/>
  </si>
  <si>
    <t>실적</t>
    <phoneticPr fontId="2" type="noConversion"/>
  </si>
  <si>
    <t>비            고</t>
  </si>
  <si>
    <t>TOTAL</t>
  </si>
  <si>
    <t>Buyer</t>
  </si>
  <si>
    <t>Month</t>
  </si>
  <si>
    <t>PoNo</t>
  </si>
  <si>
    <t>OrderNo</t>
  </si>
  <si>
    <t>Style Name</t>
  </si>
  <si>
    <t>Order Quantity</t>
  </si>
  <si>
    <t>Plan Shipping Quantity</t>
  </si>
  <si>
    <t>shipped qty</t>
    <phoneticPr fontId="2" type="noConversion"/>
  </si>
  <si>
    <t>Balance q'ty</t>
    <phoneticPr fontId="2" type="noConversion"/>
  </si>
  <si>
    <t>Price</t>
  </si>
  <si>
    <t>Total Sales</t>
    <phoneticPr fontId="2" type="noConversion"/>
  </si>
  <si>
    <t>shipped amount</t>
    <phoneticPr fontId="2" type="noConversion"/>
  </si>
  <si>
    <t>Balance AMT</t>
    <phoneticPr fontId="2" type="noConversion"/>
  </si>
  <si>
    <t>Possible Date</t>
  </si>
  <si>
    <t>Invoice No</t>
  </si>
  <si>
    <t>OnBoard Date</t>
  </si>
  <si>
    <r>
      <rPr>
        <b/>
        <sz val="11"/>
        <color indexed="8"/>
        <rFont val="돋움"/>
        <family val="3"/>
        <charset val="129"/>
      </rPr>
      <t>비</t>
    </r>
    <r>
      <rPr>
        <b/>
        <sz val="11"/>
        <color indexed="8"/>
        <rFont val="Tahoma"/>
        <family val="2"/>
      </rPr>
      <t xml:space="preserve">             </t>
    </r>
    <r>
      <rPr>
        <b/>
        <sz val="11"/>
        <color indexed="8"/>
        <rFont val="돋움"/>
        <family val="3"/>
        <charset val="129"/>
      </rPr>
      <t>고</t>
    </r>
    <phoneticPr fontId="2" type="noConversion"/>
  </si>
  <si>
    <t>계약서(PI)</t>
    <phoneticPr fontId="2" type="noConversion"/>
  </si>
  <si>
    <t>당월 출고 입금계획</t>
    <phoneticPr fontId="2" type="noConversion"/>
  </si>
  <si>
    <t>당월 출고 입금계획</t>
  </si>
  <si>
    <t>선수금</t>
    <phoneticPr fontId="2" type="noConversion"/>
  </si>
  <si>
    <t>BVT</t>
    <phoneticPr fontId="2" type="noConversion"/>
  </si>
  <si>
    <t>10일 이전</t>
    <phoneticPr fontId="2" type="noConversion"/>
  </si>
  <si>
    <t>8월</t>
  </si>
  <si>
    <t>9월</t>
    <phoneticPr fontId="2" type="noConversion"/>
  </si>
  <si>
    <t>비          고</t>
    <phoneticPr fontId="2" type="noConversion"/>
  </si>
  <si>
    <t>* 출고계획</t>
    <phoneticPr fontId="2" type="noConversion"/>
  </si>
  <si>
    <t>BVT</t>
    <phoneticPr fontId="2" type="noConversion"/>
  </si>
  <si>
    <t>출고예정금액</t>
    <phoneticPr fontId="2" type="noConversion"/>
  </si>
  <si>
    <t>실적</t>
    <phoneticPr fontId="2" type="noConversion"/>
  </si>
  <si>
    <t>Balance Amt</t>
    <phoneticPr fontId="2" type="noConversion"/>
  </si>
  <si>
    <t>Balance Qty</t>
    <phoneticPr fontId="2" type="noConversion"/>
  </si>
  <si>
    <t>ETP</t>
    <phoneticPr fontId="2" type="noConversion"/>
  </si>
  <si>
    <t>BVT당월선적 입금계획</t>
    <phoneticPr fontId="2" type="noConversion"/>
  </si>
  <si>
    <t>전월이월금액</t>
    <phoneticPr fontId="2" type="noConversion"/>
  </si>
  <si>
    <t>전월입금계획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</si>
</sst>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mm&quot;월&quot;\ dd&quot;일&quot;"/>
    <numFmt numFmtId="180" formatCode="_-[$$-409]* #,##0.00_ ;_-[$$-409]* \-#,##0.00\ ;_-[$$-409]* &quot;-&quot;??_ ;_-@_ "/>
    <numFmt numFmtId="181" formatCode="#,##0.00_ "/>
    <numFmt numFmtId="182" formatCode="_(* #,##0.0_);_(* \(#,##0.0\);_(* &quot;-&quot;??_);_(@_)"/>
    <numFmt numFmtId="183" formatCode="_-* #,##0.00_-;\-* #,##0.00_-;_-* &quot;-&quot;_-;_-@_-"/>
  </numFmts>
  <fonts count="37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u/>
      <sz val="10"/>
      <color theme="0"/>
      <name val="돋움"/>
      <family val="3"/>
      <charset val="129"/>
    </font>
    <font>
      <b/>
      <sz val="10"/>
      <name val=".VnTimeH"/>
      <family val="2"/>
    </font>
    <font>
      <sz val="11"/>
      <color theme="0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indexed="8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0"/>
      <color rgb="FFFF0000"/>
      <name val="돋움"/>
      <family val="3"/>
      <charset val="129"/>
    </font>
    <font>
      <sz val="12"/>
      <name val="맑은 고딕"/>
      <family val="3"/>
      <charset val="129"/>
      <scheme val="minor"/>
    </font>
    <font>
      <b/>
      <sz val="14"/>
      <name val="Tahoma"/>
      <family val="2"/>
    </font>
    <font>
      <sz val="11"/>
      <name val="Tahoma"/>
      <family val="2"/>
    </font>
    <font>
      <b/>
      <sz val="11"/>
      <color indexed="8"/>
      <name val="Tahoma"/>
      <family val="2"/>
    </font>
    <font>
      <b/>
      <sz val="10"/>
      <color indexed="8"/>
      <name val="Tahoma"/>
      <family val="2"/>
    </font>
    <font>
      <b/>
      <sz val="11"/>
      <color indexed="8"/>
      <name val="돋움"/>
      <family val="3"/>
      <charset val="129"/>
    </font>
    <font>
      <sz val="11"/>
      <color rgb="FFFF0000"/>
      <name val="Tahoma"/>
      <family val="2"/>
    </font>
    <font>
      <b/>
      <sz val="10"/>
      <color rgb="FFFF0000"/>
      <name val="Tahoma"/>
      <family val="2"/>
    </font>
    <font>
      <sz val="10"/>
      <name val="Tahoma"/>
      <family val="2"/>
    </font>
    <font>
      <b/>
      <sz val="1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9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8"/>
      </bottom>
      <diagonal/>
    </border>
    <border>
      <left style="medium">
        <color indexed="64"/>
      </left>
      <right/>
      <top/>
      <bottom style="hair">
        <color indexed="8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 style="hair">
        <color indexed="8"/>
      </left>
      <right style="medium">
        <color indexed="64"/>
      </right>
      <top/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3" fillId="0" borderId="0"/>
    <xf numFmtId="176" fontId="3" fillId="0" borderId="0" applyFont="0" applyFill="0" applyBorder="0" applyAlignment="0" applyProtection="0">
      <alignment vertical="center"/>
    </xf>
    <xf numFmtId="0" fontId="14" fillId="0" borderId="0"/>
    <xf numFmtId="178" fontId="14" fillId="0" borderId="0" applyFont="0" applyFill="0" applyBorder="0" applyAlignment="0" applyProtection="0"/>
  </cellStyleXfs>
  <cellXfs count="269">
    <xf numFmtId="0" fontId="0" fillId="0" borderId="0" xfId="0">
      <alignment vertical="center"/>
    </xf>
    <xf numFmtId="0" fontId="0" fillId="0" borderId="0" xfId="0" applyNumberFormat="1" applyAlignment="1">
      <alignment vertical="center"/>
    </xf>
    <xf numFmtId="0" fontId="0" fillId="0" borderId="0" xfId="0" applyNumberFormat="1" applyFont="1" applyAlignment="1">
      <alignment vertical="center"/>
    </xf>
    <xf numFmtId="0" fontId="4" fillId="0" borderId="0" xfId="2" applyNumberFormat="1" applyFont="1" applyAlignment="1">
      <alignment vertical="center"/>
    </xf>
    <xf numFmtId="4" fontId="5" fillId="0" borderId="0" xfId="0" applyNumberFormat="1" applyFont="1" applyFill="1" applyBorder="1" applyAlignment="1"/>
    <xf numFmtId="0" fontId="6" fillId="0" borderId="0" xfId="0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vertical="center"/>
    </xf>
    <xf numFmtId="179" fontId="4" fillId="0" borderId="0" xfId="2" applyNumberFormat="1" applyFont="1" applyFill="1" applyBorder="1" applyAlignment="1">
      <alignment horizontal="right" vertical="center"/>
    </xf>
    <xf numFmtId="179" fontId="7" fillId="0" borderId="0" xfId="0" applyNumberFormat="1" applyFont="1" applyFill="1" applyBorder="1" applyAlignment="1">
      <alignment vertical="center"/>
    </xf>
    <xf numFmtId="0" fontId="8" fillId="2" borderId="1" xfId="2" applyNumberFormat="1" applyFont="1" applyFill="1" applyBorder="1" applyAlignment="1">
      <alignment horizontal="center" vertical="center"/>
    </xf>
    <xf numFmtId="0" fontId="8" fillId="2" borderId="2" xfId="2" applyNumberFormat="1" applyFont="1" applyFill="1" applyBorder="1" applyAlignment="1">
      <alignment horizontal="center" vertical="center"/>
    </xf>
    <xf numFmtId="0" fontId="8" fillId="2" borderId="3" xfId="2" applyNumberFormat="1" applyFont="1" applyFill="1" applyBorder="1" applyAlignment="1">
      <alignment horizontal="center" vertical="center"/>
    </xf>
    <xf numFmtId="0" fontId="8" fillId="0" borderId="0" xfId="2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/>
    <xf numFmtId="0" fontId="10" fillId="0" borderId="0" xfId="0" applyNumberFormat="1" applyFont="1" applyFill="1" applyBorder="1" applyAlignment="1">
      <alignment horizontal="center"/>
    </xf>
    <xf numFmtId="14" fontId="4" fillId="0" borderId="0" xfId="0" applyNumberFormat="1" applyFont="1" applyFill="1" applyBorder="1" applyAlignment="1">
      <alignment vertical="center"/>
    </xf>
    <xf numFmtId="179" fontId="0" fillId="0" borderId="0" xfId="0" applyNumberFormat="1" applyAlignment="1">
      <alignment vertical="center"/>
    </xf>
    <xf numFmtId="0" fontId="8" fillId="2" borderId="4" xfId="2" applyNumberFormat="1" applyFont="1" applyFill="1" applyBorder="1" applyAlignment="1">
      <alignment horizontal="center" vertical="center"/>
    </xf>
    <xf numFmtId="4" fontId="8" fillId="0" borderId="5" xfId="2" applyNumberFormat="1" applyFont="1" applyFill="1" applyBorder="1" applyAlignment="1">
      <alignment vertical="center"/>
    </xf>
    <xf numFmtId="40" fontId="8" fillId="0" borderId="5" xfId="2" applyNumberFormat="1" applyFont="1" applyFill="1" applyBorder="1" applyAlignment="1">
      <alignment vertical="center"/>
    </xf>
    <xf numFmtId="180" fontId="8" fillId="2" borderId="6" xfId="2" applyNumberFormat="1" applyFont="1" applyFill="1" applyBorder="1" applyAlignment="1">
      <alignment vertical="center"/>
    </xf>
    <xf numFmtId="180" fontId="8" fillId="0" borderId="0" xfId="2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/>
    </xf>
    <xf numFmtId="180" fontId="9" fillId="0" borderId="0" xfId="0" applyNumberFormat="1" applyFont="1" applyFill="1" applyBorder="1" applyAlignment="1"/>
    <xf numFmtId="0" fontId="7" fillId="0" borderId="0" xfId="0" applyNumberFormat="1" applyFont="1" applyFill="1" applyBorder="1" applyAlignment="1">
      <alignment vertical="center"/>
    </xf>
    <xf numFmtId="0" fontId="8" fillId="2" borderId="7" xfId="2" applyNumberFormat="1" applyFont="1" applyFill="1" applyBorder="1" applyAlignment="1">
      <alignment horizontal="center" vertical="center"/>
    </xf>
    <xf numFmtId="4" fontId="11" fillId="0" borderId="8" xfId="2" applyNumberFormat="1" applyFont="1" applyFill="1" applyBorder="1" applyAlignment="1">
      <alignment vertical="center"/>
    </xf>
    <xf numFmtId="40" fontId="11" fillId="0" borderId="8" xfId="2" applyNumberFormat="1" applyFont="1" applyFill="1" applyBorder="1" applyAlignment="1">
      <alignment vertical="center"/>
    </xf>
    <xf numFmtId="180" fontId="8" fillId="2" borderId="9" xfId="2" applyNumberFormat="1" applyFont="1" applyFill="1" applyBorder="1" applyAlignment="1">
      <alignment vertical="center"/>
    </xf>
    <xf numFmtId="0" fontId="8" fillId="2" borderId="10" xfId="2" applyNumberFormat="1" applyFont="1" applyFill="1" applyBorder="1" applyAlignment="1">
      <alignment horizontal="center" vertical="center"/>
    </xf>
    <xf numFmtId="4" fontId="8" fillId="2" borderId="11" xfId="2" applyNumberFormat="1" applyFont="1" applyFill="1" applyBorder="1" applyAlignment="1">
      <alignment vertical="center"/>
    </xf>
    <xf numFmtId="180" fontId="8" fillId="2" borderId="3" xfId="2" applyNumberFormat="1" applyFont="1" applyFill="1" applyBorder="1" applyAlignment="1">
      <alignment vertical="center"/>
    </xf>
    <xf numFmtId="180" fontId="9" fillId="0" borderId="0" xfId="0" applyNumberFormat="1" applyFont="1" applyFill="1" applyBorder="1" applyAlignment="1">
      <alignment horizontal="right" vertical="center"/>
    </xf>
    <xf numFmtId="4" fontId="8" fillId="0" borderId="2" xfId="2" applyNumberFormat="1" applyFont="1" applyFill="1" applyBorder="1" applyAlignment="1">
      <alignment vertical="center"/>
    </xf>
    <xf numFmtId="4" fontId="11" fillId="0" borderId="2" xfId="2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/>
    <xf numFmtId="180" fontId="10" fillId="0" borderId="0" xfId="0" applyNumberFormat="1" applyFont="1" applyFill="1" applyBorder="1" applyAlignment="1"/>
    <xf numFmtId="4" fontId="8" fillId="3" borderId="2" xfId="2" applyNumberFormat="1" applyFont="1" applyFill="1" applyBorder="1" applyAlignment="1">
      <alignment vertical="center"/>
    </xf>
    <xf numFmtId="4" fontId="12" fillId="0" borderId="0" xfId="0" applyNumberFormat="1" applyFont="1" applyAlignment="1"/>
    <xf numFmtId="0" fontId="13" fillId="0" borderId="0" xfId="2" applyNumberFormat="1" applyFont="1" applyFill="1" applyBorder="1" applyAlignment="1">
      <alignment vertical="center"/>
    </xf>
    <xf numFmtId="0" fontId="4" fillId="4" borderId="1" xfId="2" applyNumberFormat="1" applyFont="1" applyFill="1" applyBorder="1" applyAlignment="1">
      <alignment horizontal="center" vertical="center"/>
    </xf>
    <xf numFmtId="180" fontId="4" fillId="4" borderId="2" xfId="3" applyNumberFormat="1" applyFont="1" applyFill="1" applyBorder="1" applyAlignment="1">
      <alignment vertical="center"/>
    </xf>
    <xf numFmtId="181" fontId="4" fillId="0" borderId="0" xfId="2" applyNumberFormat="1" applyFont="1" applyFill="1" applyBorder="1" applyAlignment="1">
      <alignment vertical="center"/>
    </xf>
    <xf numFmtId="0" fontId="8" fillId="0" borderId="0" xfId="0" applyNumberFormat="1" applyFont="1" applyAlignment="1">
      <alignment vertical="center"/>
    </xf>
    <xf numFmtId="4" fontId="15" fillId="5" borderId="2" xfId="4" applyNumberFormat="1" applyFont="1" applyFill="1" applyBorder="1" applyAlignment="1">
      <alignment horizontal="right" wrapText="1"/>
    </xf>
    <xf numFmtId="0" fontId="16" fillId="2" borderId="12" xfId="4" applyFont="1" applyFill="1" applyBorder="1" applyAlignment="1">
      <alignment horizontal="center" vertical="center" wrapText="1"/>
    </xf>
    <xf numFmtId="0" fontId="16" fillId="2" borderId="17" xfId="4" applyFont="1" applyFill="1" applyBorder="1" applyAlignment="1">
      <alignment horizontal="center" vertical="center" wrapText="1"/>
    </xf>
    <xf numFmtId="0" fontId="16" fillId="2" borderId="18" xfId="4" applyFont="1" applyFill="1" applyBorder="1" applyAlignment="1">
      <alignment horizontal="center" vertical="center" wrapText="1"/>
    </xf>
    <xf numFmtId="0" fontId="8" fillId="2" borderId="18" xfId="4" applyFont="1" applyFill="1" applyBorder="1" applyAlignment="1">
      <alignment horizontal="center" vertical="center" wrapText="1"/>
    </xf>
    <xf numFmtId="0" fontId="16" fillId="2" borderId="16" xfId="4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/>
    </xf>
    <xf numFmtId="4" fontId="18" fillId="0" borderId="13" xfId="4" applyNumberFormat="1" applyFont="1" applyFill="1" applyBorder="1" applyAlignment="1">
      <alignment horizontal="right" wrapText="1"/>
    </xf>
    <xf numFmtId="0" fontId="18" fillId="0" borderId="20" xfId="4" applyFont="1" applyFill="1" applyBorder="1" applyAlignment="1">
      <alignment horizontal="center" wrapText="1"/>
    </xf>
    <xf numFmtId="4" fontId="15" fillId="0" borderId="2" xfId="4" applyNumberFormat="1" applyFont="1" applyFill="1" applyBorder="1" applyAlignment="1">
      <alignment horizontal="right" wrapText="1"/>
    </xf>
    <xf numFmtId="4" fontId="15" fillId="0" borderId="14" xfId="4" applyNumberFormat="1" applyFont="1" applyFill="1" applyBorder="1" applyAlignment="1">
      <alignment horizontal="right" wrapText="1"/>
    </xf>
    <xf numFmtId="4" fontId="19" fillId="0" borderId="22" xfId="4" applyNumberFormat="1" applyFont="1" applyFill="1" applyBorder="1" applyAlignment="1">
      <alignment horizontal="right" wrapText="1"/>
    </xf>
    <xf numFmtId="4" fontId="17" fillId="2" borderId="20" xfId="4" applyNumberFormat="1" applyFont="1" applyFill="1" applyBorder="1" applyAlignment="1">
      <alignment horizontal="right" wrapText="1"/>
    </xf>
    <xf numFmtId="0" fontId="19" fillId="0" borderId="19" xfId="0" applyFont="1" applyBorder="1" applyAlignment="1">
      <alignment vertical="center"/>
    </xf>
    <xf numFmtId="177" fontId="19" fillId="0" borderId="19" xfId="0" applyNumberFormat="1" applyFont="1" applyBorder="1" applyAlignment="1">
      <alignment vertical="center"/>
    </xf>
    <xf numFmtId="4" fontId="19" fillId="0" borderId="23" xfId="4" applyNumberFormat="1" applyFont="1" applyFill="1" applyBorder="1" applyAlignment="1">
      <alignment horizontal="right" wrapText="1"/>
    </xf>
    <xf numFmtId="0" fontId="18" fillId="0" borderId="16" xfId="4" applyFont="1" applyFill="1" applyBorder="1" applyAlignment="1">
      <alignment horizontal="center" wrapText="1"/>
    </xf>
    <xf numFmtId="4" fontId="19" fillId="0" borderId="11" xfId="4" applyNumberFormat="1" applyFont="1" applyFill="1" applyBorder="1" applyAlignment="1">
      <alignment horizontal="right" wrapText="1"/>
    </xf>
    <xf numFmtId="4" fontId="15" fillId="0" borderId="11" xfId="4" applyNumberFormat="1" applyFont="1" applyFill="1" applyBorder="1" applyAlignment="1">
      <alignment horizontal="right" wrapText="1"/>
    </xf>
    <xf numFmtId="4" fontId="19" fillId="0" borderId="25" xfId="4" applyNumberFormat="1" applyFont="1" applyFill="1" applyBorder="1" applyAlignment="1">
      <alignment horizontal="right" wrapText="1"/>
    </xf>
    <xf numFmtId="4" fontId="19" fillId="0" borderId="26" xfId="4" applyNumberFormat="1" applyFont="1" applyFill="1" applyBorder="1" applyAlignment="1">
      <alignment horizontal="right" wrapText="1"/>
    </xf>
    <xf numFmtId="177" fontId="20" fillId="0" borderId="19" xfId="0" applyNumberFormat="1" applyFont="1" applyBorder="1" applyAlignment="1">
      <alignment vertical="center"/>
    </xf>
    <xf numFmtId="4" fontId="17" fillId="3" borderId="23" xfId="4" applyNumberFormat="1" applyFont="1" applyFill="1" applyBorder="1" applyAlignment="1">
      <alignment horizontal="center" wrapText="1"/>
    </xf>
    <xf numFmtId="0" fontId="17" fillId="3" borderId="16" xfId="4" applyFont="1" applyFill="1" applyBorder="1" applyAlignment="1">
      <alignment horizontal="center" wrapText="1"/>
    </xf>
    <xf numFmtId="4" fontId="15" fillId="3" borderId="24" xfId="4" applyNumberFormat="1" applyFont="1" applyFill="1" applyBorder="1" applyAlignment="1">
      <alignment horizontal="center" wrapText="1"/>
    </xf>
    <xf numFmtId="4" fontId="15" fillId="5" borderId="11" xfId="4" applyNumberFormat="1" applyFont="1" applyFill="1" applyBorder="1" applyAlignment="1">
      <alignment horizontal="right" wrapText="1"/>
    </xf>
    <xf numFmtId="4" fontId="15" fillId="3" borderId="11" xfId="4" applyNumberFormat="1" applyFont="1" applyFill="1" applyBorder="1" applyAlignment="1">
      <alignment horizontal="right" wrapText="1"/>
    </xf>
    <xf numFmtId="4" fontId="20" fillId="3" borderId="25" xfId="4" applyNumberFormat="1" applyFont="1" applyFill="1" applyBorder="1" applyAlignment="1">
      <alignment horizontal="right" wrapText="1"/>
    </xf>
    <xf numFmtId="4" fontId="20" fillId="3" borderId="26" xfId="4" applyNumberFormat="1" applyFont="1" applyFill="1" applyBorder="1" applyAlignment="1">
      <alignment horizontal="right" wrapText="1"/>
    </xf>
    <xf numFmtId="4" fontId="15" fillId="6" borderId="23" xfId="4" applyNumberFormat="1" applyFont="1" applyFill="1" applyBorder="1" applyAlignment="1">
      <alignment horizontal="center" wrapText="1"/>
    </xf>
    <xf numFmtId="0" fontId="11" fillId="6" borderId="16" xfId="4" applyFont="1" applyFill="1" applyBorder="1" applyAlignment="1">
      <alignment horizontal="center" vertical="center" wrapText="1"/>
    </xf>
    <xf numFmtId="4" fontId="20" fillId="6" borderId="24" xfId="4" applyNumberFormat="1" applyFont="1" applyFill="1" applyBorder="1" applyAlignment="1">
      <alignment horizontal="right" wrapText="1"/>
    </xf>
    <xf numFmtId="4" fontId="15" fillId="6" borderId="11" xfId="4" applyNumberFormat="1" applyFont="1" applyFill="1" applyBorder="1" applyAlignment="1">
      <alignment horizontal="right" vertical="center" wrapText="1"/>
    </xf>
    <xf numFmtId="4" fontId="15" fillId="6" borderId="11" xfId="4" applyNumberFormat="1" applyFont="1" applyFill="1" applyBorder="1" applyAlignment="1">
      <alignment horizontal="right" wrapText="1"/>
    </xf>
    <xf numFmtId="4" fontId="20" fillId="6" borderId="25" xfId="4" applyNumberFormat="1" applyFont="1" applyFill="1" applyBorder="1" applyAlignment="1">
      <alignment horizontal="right" wrapText="1"/>
    </xf>
    <xf numFmtId="4" fontId="20" fillId="6" borderId="26" xfId="4" applyNumberFormat="1" applyFont="1" applyFill="1" applyBorder="1" applyAlignment="1">
      <alignment horizontal="right" wrapText="1"/>
    </xf>
    <xf numFmtId="4" fontId="17" fillId="6" borderId="20" xfId="4" applyNumberFormat="1" applyFont="1" applyFill="1" applyBorder="1" applyAlignment="1">
      <alignment horizontal="right" wrapText="1"/>
    </xf>
    <xf numFmtId="0" fontId="4" fillId="0" borderId="0" xfId="0" applyNumberFormat="1" applyFont="1" applyAlignment="1">
      <alignment horizontal="center" vertical="center"/>
    </xf>
    <xf numFmtId="0" fontId="21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4" fontId="17" fillId="6" borderId="27" xfId="4" applyNumberFormat="1" applyFont="1" applyFill="1" applyBorder="1" applyAlignment="1">
      <alignment horizontal="right" wrapText="1"/>
    </xf>
    <xf numFmtId="177" fontId="17" fillId="6" borderId="28" xfId="4" applyNumberFormat="1" applyFont="1" applyFill="1" applyBorder="1" applyAlignment="1">
      <alignment horizontal="right" wrapText="1"/>
    </xf>
    <xf numFmtId="4" fontId="17" fillId="6" borderId="28" xfId="4" applyNumberFormat="1" applyFont="1" applyFill="1" applyBorder="1" applyAlignment="1">
      <alignment horizontal="right" wrapText="1"/>
    </xf>
    <xf numFmtId="4" fontId="17" fillId="6" borderId="0" xfId="4" applyNumberFormat="1" applyFont="1" applyFill="1" applyBorder="1" applyAlignment="1">
      <alignment horizontal="right" wrapText="1"/>
    </xf>
    <xf numFmtId="4" fontId="17" fillId="6" borderId="29" xfId="4" applyNumberFormat="1" applyFont="1" applyFill="1" applyBorder="1" applyAlignment="1">
      <alignment horizontal="right" wrapText="1"/>
    </xf>
    <xf numFmtId="181" fontId="8" fillId="2" borderId="2" xfId="0" applyNumberFormat="1" applyFont="1" applyFill="1" applyBorder="1" applyAlignment="1">
      <alignment vertical="center"/>
    </xf>
    <xf numFmtId="0" fontId="22" fillId="0" borderId="0" xfId="0" applyNumberFormat="1" applyFont="1" applyAlignment="1">
      <alignment vertical="center"/>
    </xf>
    <xf numFmtId="0" fontId="23" fillId="0" borderId="0" xfId="0" applyNumberFormat="1" applyFont="1" applyAlignment="1">
      <alignment vertical="center"/>
    </xf>
    <xf numFmtId="180" fontId="24" fillId="0" borderId="0" xfId="0" applyNumberFormat="1" applyFont="1" applyAlignment="1">
      <alignment vertical="center"/>
    </xf>
    <xf numFmtId="0" fontId="9" fillId="0" borderId="0" xfId="0" applyNumberFormat="1" applyFont="1" applyAlignment="1">
      <alignment vertical="center"/>
    </xf>
    <xf numFmtId="177" fontId="25" fillId="0" borderId="0" xfId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17" fillId="0" borderId="19" xfId="0" applyFont="1" applyBorder="1" applyAlignment="1">
      <alignment vertical="center"/>
    </xf>
    <xf numFmtId="177" fontId="17" fillId="0" borderId="19" xfId="0" applyNumberFormat="1" applyFont="1" applyBorder="1" applyAlignment="1">
      <alignment vertical="center"/>
    </xf>
    <xf numFmtId="0" fontId="27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right" vertical="center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5" xfId="0" applyNumberFormat="1" applyFont="1" applyFill="1" applyBorder="1" applyAlignment="1">
      <alignment horizontal="center" vertical="center"/>
    </xf>
    <xf numFmtId="0" fontId="8" fillId="0" borderId="42" xfId="0" applyNumberFormat="1" applyFont="1" applyFill="1" applyBorder="1" applyAlignment="1">
      <alignment horizontal="center" vertical="center"/>
    </xf>
    <xf numFmtId="180" fontId="8" fillId="0" borderId="30" xfId="0" applyNumberFormat="1" applyFont="1" applyFill="1" applyBorder="1" applyAlignment="1">
      <alignment horizontal="center" vertical="center"/>
    </xf>
    <xf numFmtId="180" fontId="8" fillId="0" borderId="44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/>
    </xf>
    <xf numFmtId="0" fontId="8" fillId="0" borderId="49" xfId="0" applyNumberFormat="1" applyFont="1" applyFill="1" applyBorder="1" applyAlignment="1">
      <alignment horizontal="center" vertical="center"/>
    </xf>
    <xf numFmtId="0" fontId="8" fillId="0" borderId="39" xfId="0" applyNumberFormat="1" applyFont="1" applyFill="1" applyBorder="1" applyAlignment="1">
      <alignment horizontal="center" vertical="center"/>
    </xf>
    <xf numFmtId="180" fontId="8" fillId="0" borderId="31" xfId="0" applyNumberFormat="1" applyFont="1" applyFill="1" applyBorder="1" applyAlignment="1">
      <alignment horizontal="center" vertical="center"/>
    </xf>
    <xf numFmtId="180" fontId="8" fillId="0" borderId="19" xfId="0" applyNumberFormat="1" applyFont="1" applyFill="1" applyBorder="1" applyAlignment="1">
      <alignment horizontal="center" vertical="center"/>
    </xf>
    <xf numFmtId="0" fontId="8" fillId="0" borderId="32" xfId="0" applyNumberFormat="1" applyFont="1" applyFill="1" applyBorder="1" applyAlignment="1">
      <alignment horizontal="center" vertical="center"/>
    </xf>
    <xf numFmtId="0" fontId="8" fillId="0" borderId="50" xfId="0" applyNumberFormat="1" applyFont="1" applyFill="1" applyBorder="1" applyAlignment="1">
      <alignment horizontal="center" vertical="center"/>
    </xf>
    <xf numFmtId="0" fontId="8" fillId="3" borderId="45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vertical="center"/>
    </xf>
    <xf numFmtId="0" fontId="8" fillId="3" borderId="5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22" fillId="0" borderId="0" xfId="0" applyNumberFormat="1" applyFont="1" applyFill="1" applyAlignment="1"/>
    <xf numFmtId="182" fontId="28" fillId="0" borderId="0" xfId="5" applyNumberFormat="1" applyFont="1" applyFill="1" applyBorder="1" applyAlignment="1">
      <alignment vertical="center" wrapText="1" shrinkToFit="1"/>
    </xf>
    <xf numFmtId="182" fontId="28" fillId="0" borderId="0" xfId="5" applyNumberFormat="1" applyFont="1" applyFill="1" applyBorder="1" applyAlignment="1">
      <alignment horizontal="center" vertical="center" wrapText="1" shrinkToFit="1"/>
    </xf>
    <xf numFmtId="182" fontId="29" fillId="0" borderId="0" xfId="5" applyNumberFormat="1" applyFont="1" applyFill="1" applyBorder="1" applyAlignment="1">
      <alignment vertical="center" wrapText="1" shrinkToFit="1"/>
    </xf>
    <xf numFmtId="0" fontId="14" fillId="0" borderId="0" xfId="4" applyAlignment="1">
      <alignment wrapText="1"/>
    </xf>
    <xf numFmtId="0" fontId="14" fillId="0" borderId="0" xfId="4" applyAlignment="1">
      <alignment horizontal="center" wrapText="1"/>
    </xf>
    <xf numFmtId="0" fontId="14" fillId="0" borderId="0" xfId="4" applyAlignment="1">
      <alignment horizontal="right" wrapText="1"/>
    </xf>
    <xf numFmtId="0" fontId="30" fillId="0" borderId="0" xfId="4" applyFont="1" applyAlignment="1">
      <alignment wrapText="1"/>
    </xf>
    <xf numFmtId="182" fontId="4" fillId="10" borderId="34" xfId="5" applyNumberFormat="1" applyFont="1" applyFill="1" applyBorder="1" applyAlignment="1">
      <alignment horizontal="right" vertical="center" wrapText="1" shrinkToFit="1"/>
    </xf>
    <xf numFmtId="182" fontId="4" fillId="10" borderId="34" xfId="5" applyNumberFormat="1" applyFont="1" applyFill="1" applyBorder="1" applyAlignment="1">
      <alignment horizontal="center" vertical="center" wrapText="1" shrinkToFit="1"/>
    </xf>
    <xf numFmtId="182" fontId="4" fillId="10" borderId="20" xfId="5" applyNumberFormat="1" applyFont="1" applyFill="1" applyBorder="1" applyAlignment="1">
      <alignment horizontal="center" vertical="center" wrapText="1" shrinkToFit="1"/>
    </xf>
    <xf numFmtId="182" fontId="4" fillId="10" borderId="15" xfId="5" applyNumberFormat="1" applyFont="1" applyFill="1" applyBorder="1" applyAlignment="1">
      <alignment horizontal="center" vertical="center" wrapText="1" shrinkToFit="1"/>
    </xf>
    <xf numFmtId="180" fontId="4" fillId="6" borderId="20" xfId="4" applyNumberFormat="1" applyFont="1" applyFill="1" applyBorder="1" applyAlignment="1">
      <alignment horizontal="center" wrapText="1"/>
    </xf>
    <xf numFmtId="180" fontId="4" fillId="6" borderId="21" xfId="4" applyNumberFormat="1" applyFont="1" applyFill="1" applyBorder="1" applyAlignment="1">
      <alignment horizontal="center" wrapText="1"/>
    </xf>
    <xf numFmtId="0" fontId="4" fillId="6" borderId="2" xfId="4" applyFont="1" applyFill="1" applyBorder="1" applyAlignment="1">
      <alignment horizontal="center" wrapText="1"/>
    </xf>
    <xf numFmtId="0" fontId="21" fillId="6" borderId="3" xfId="4" applyFont="1" applyFill="1" applyBorder="1" applyAlignment="1">
      <alignment horizontal="center" wrapText="1"/>
    </xf>
    <xf numFmtId="0" fontId="14" fillId="0" borderId="0" xfId="4" applyFill="1" applyAlignment="1">
      <alignment wrapText="1"/>
    </xf>
    <xf numFmtId="0" fontId="33" fillId="0" borderId="0" xfId="4" applyFont="1" applyFill="1" applyAlignment="1">
      <alignment wrapText="1"/>
    </xf>
    <xf numFmtId="4" fontId="31" fillId="2" borderId="20" xfId="4" applyNumberFormat="1" applyFont="1" applyFill="1" applyBorder="1" applyAlignment="1">
      <alignment horizontal="center" vertical="center" wrapText="1"/>
    </xf>
    <xf numFmtId="4" fontId="31" fillId="2" borderId="21" xfId="4" applyNumberFormat="1" applyFont="1" applyFill="1" applyBorder="1" applyAlignment="1">
      <alignment horizontal="right" vertical="center" wrapText="1"/>
    </xf>
    <xf numFmtId="4" fontId="31" fillId="2" borderId="2" xfId="4" applyNumberFormat="1" applyFont="1" applyFill="1" applyBorder="1" applyAlignment="1">
      <alignment horizontal="right" vertical="center" wrapText="1"/>
    </xf>
    <xf numFmtId="4" fontId="34" fillId="2" borderId="1" xfId="4" applyNumberFormat="1" applyFont="1" applyFill="1" applyBorder="1" applyAlignment="1">
      <alignment horizontal="right" vertical="center" wrapText="1"/>
    </xf>
    <xf numFmtId="4" fontId="34" fillId="2" borderId="1" xfId="4" applyNumberFormat="1" applyFont="1" applyFill="1" applyBorder="1" applyAlignment="1">
      <alignment horizontal="center" vertical="center" wrapText="1"/>
    </xf>
    <xf numFmtId="4" fontId="34" fillId="2" borderId="13" xfId="4" applyNumberFormat="1" applyFont="1" applyFill="1" applyBorder="1" applyAlignment="1">
      <alignment horizontal="right" vertical="center" wrapText="1"/>
    </xf>
    <xf numFmtId="4" fontId="14" fillId="2" borderId="20" xfId="4" applyNumberFormat="1" applyFont="1" applyFill="1" applyBorder="1" applyAlignment="1">
      <alignment horizontal="right" vertical="center" wrapText="1"/>
    </xf>
    <xf numFmtId="4" fontId="31" fillId="2" borderId="20" xfId="4" applyNumberFormat="1" applyFont="1" applyFill="1" applyBorder="1" applyAlignment="1">
      <alignment horizontal="right" vertical="center" wrapText="1"/>
    </xf>
    <xf numFmtId="4" fontId="34" fillId="2" borderId="20" xfId="4" applyNumberFormat="1" applyFont="1" applyFill="1" applyBorder="1" applyAlignment="1">
      <alignment horizontal="right" vertical="center" wrapText="1"/>
    </xf>
    <xf numFmtId="0" fontId="14" fillId="0" borderId="0" xfId="4" applyAlignment="1">
      <alignment horizontal="left" wrapText="1"/>
    </xf>
    <xf numFmtId="0" fontId="14" fillId="0" borderId="0" xfId="4" applyFont="1" applyAlignment="1">
      <alignment horizontal="center" wrapText="1"/>
    </xf>
    <xf numFmtId="0" fontId="32" fillId="11" borderId="0" xfId="4" applyFont="1" applyFill="1" applyAlignment="1">
      <alignment horizontal="center" wrapText="1"/>
    </xf>
    <xf numFmtId="0" fontId="14" fillId="0" borderId="0" xfId="4" applyFill="1" applyBorder="1" applyAlignment="1">
      <alignment horizontal="right" wrapText="1"/>
    </xf>
    <xf numFmtId="0" fontId="14" fillId="0" borderId="0" xfId="4" applyFill="1" applyBorder="1" applyAlignment="1">
      <alignment horizontal="center" wrapText="1"/>
    </xf>
    <xf numFmtId="0" fontId="30" fillId="0" borderId="0" xfId="4" applyFont="1" applyFill="1" applyBorder="1" applyAlignment="1">
      <alignment wrapText="1"/>
    </xf>
    <xf numFmtId="0" fontId="14" fillId="0" borderId="0" xfId="4" applyFill="1" applyBorder="1" applyAlignment="1">
      <alignment wrapText="1"/>
    </xf>
    <xf numFmtId="4" fontId="26" fillId="0" borderId="0" xfId="0" applyNumberFormat="1" applyFont="1" applyFill="1" applyBorder="1" applyAlignment="1">
      <alignment horizontal="right" vertical="center"/>
    </xf>
    <xf numFmtId="180" fontId="8" fillId="3" borderId="1" xfId="0" applyNumberFormat="1" applyFont="1" applyFill="1" applyBorder="1" applyAlignment="1">
      <alignment horizontal="center" vertical="center"/>
    </xf>
    <xf numFmtId="180" fontId="8" fillId="3" borderId="2" xfId="0" applyNumberFormat="1" applyFont="1" applyFill="1" applyBorder="1" applyAlignment="1">
      <alignment horizontal="center" vertical="center"/>
    </xf>
    <xf numFmtId="180" fontId="8" fillId="3" borderId="22" xfId="0" applyNumberFormat="1" applyFont="1" applyFill="1" applyBorder="1" applyAlignment="1">
      <alignment horizontal="center" vertical="center"/>
    </xf>
    <xf numFmtId="0" fontId="8" fillId="3" borderId="3" xfId="0" applyNumberFormat="1" applyFont="1" applyFill="1" applyBorder="1" applyAlignment="1">
      <alignment horizontal="center" vertical="center"/>
    </xf>
    <xf numFmtId="180" fontId="8" fillId="0" borderId="43" xfId="0" applyNumberFormat="1" applyFont="1" applyFill="1" applyBorder="1" applyAlignment="1">
      <alignment horizontal="center" vertical="center"/>
    </xf>
    <xf numFmtId="183" fontId="14" fillId="0" borderId="0" xfId="1" applyNumberFormat="1" applyFont="1" applyFill="1" applyBorder="1" applyAlignment="1">
      <alignment wrapText="1"/>
    </xf>
    <xf numFmtId="180" fontId="8" fillId="0" borderId="38" xfId="0" applyNumberFormat="1" applyFont="1" applyFill="1" applyBorder="1" applyAlignment="1">
      <alignment horizontal="center" vertical="center"/>
    </xf>
    <xf numFmtId="0" fontId="14" fillId="0" borderId="0" xfId="4" applyFill="1" applyBorder="1" applyAlignment="1">
      <alignment horizontal="left" wrapText="1"/>
    </xf>
    <xf numFmtId="182" fontId="4" fillId="10" borderId="34" xfId="5" applyNumberFormat="1" applyFont="1" applyFill="1" applyBorder="1" applyAlignment="1">
      <alignment horizontal="center" vertical="center" wrapText="1" shrinkToFit="1"/>
    </xf>
    <xf numFmtId="0" fontId="14" fillId="0" borderId="0" xfId="4" applyFill="1" applyBorder="1" applyAlignment="1">
      <alignment horizontal="left"/>
    </xf>
    <xf numFmtId="0" fontId="35" fillId="0" borderId="54" xfId="4" applyFont="1" applyFill="1" applyBorder="1" applyAlignment="1">
      <alignment horizontal="center" vertical="center" wrapText="1"/>
    </xf>
    <xf numFmtId="0" fontId="35" fillId="0" borderId="55" xfId="4" applyFont="1" applyFill="1" applyBorder="1" applyAlignment="1">
      <alignment horizontal="left" vertical="center" wrapText="1"/>
    </xf>
    <xf numFmtId="0" fontId="35" fillId="0" borderId="56" xfId="4" applyFont="1" applyFill="1" applyBorder="1" applyAlignment="1">
      <alignment horizontal="left" vertical="center" wrapText="1"/>
    </xf>
    <xf numFmtId="4" fontId="35" fillId="0" borderId="56" xfId="4" applyNumberFormat="1" applyFont="1" applyFill="1" applyBorder="1" applyAlignment="1">
      <alignment horizontal="right" vertical="center" wrapText="1"/>
    </xf>
    <xf numFmtId="4" fontId="35" fillId="8" borderId="56" xfId="4" applyNumberFormat="1" applyFont="1" applyFill="1" applyBorder="1" applyAlignment="1">
      <alignment horizontal="right" vertical="center" wrapText="1"/>
    </xf>
    <xf numFmtId="4" fontId="35" fillId="0" borderId="56" xfId="4" applyNumberFormat="1" applyFont="1" applyFill="1" applyBorder="1" applyAlignment="1">
      <alignment horizontal="center" vertical="center" wrapText="1"/>
    </xf>
    <xf numFmtId="4" fontId="35" fillId="0" borderId="57" xfId="4" applyNumberFormat="1" applyFont="1" applyFill="1" applyBorder="1" applyAlignment="1">
      <alignment horizontal="right" vertical="center" wrapText="1"/>
    </xf>
    <xf numFmtId="4" fontId="35" fillId="0" borderId="58" xfId="4" applyNumberFormat="1" applyFont="1" applyFill="1" applyBorder="1" applyAlignment="1">
      <alignment horizontal="right" vertical="center" wrapText="1"/>
    </xf>
    <xf numFmtId="4" fontId="35" fillId="0" borderId="59" xfId="4" applyNumberFormat="1" applyFont="1" applyFill="1" applyBorder="1" applyAlignment="1">
      <alignment horizontal="right" vertical="center" wrapText="1"/>
    </xf>
    <xf numFmtId="14" fontId="29" fillId="0" borderId="54" xfId="4" applyNumberFormat="1" applyFont="1" applyFill="1" applyBorder="1" applyAlignment="1">
      <alignment horizontal="center" vertical="center" wrapText="1"/>
    </xf>
    <xf numFmtId="4" fontId="35" fillId="0" borderId="54" xfId="4" applyNumberFormat="1" applyFont="1" applyFill="1" applyBorder="1" applyAlignment="1">
      <alignment horizontal="center" vertical="center" wrapText="1"/>
    </xf>
    <xf numFmtId="14" fontId="35" fillId="0" borderId="54" xfId="4" applyNumberFormat="1" applyFont="1" applyFill="1" applyBorder="1" applyAlignment="1">
      <alignment horizontal="center" vertical="center" wrapText="1"/>
    </xf>
    <xf numFmtId="0" fontId="29" fillId="0" borderId="60" xfId="4" applyFont="1" applyFill="1" applyBorder="1" applyAlignment="1">
      <alignment wrapText="1"/>
    </xf>
    <xf numFmtId="0" fontId="29" fillId="0" borderId="54" xfId="4" applyFont="1" applyFill="1" applyBorder="1" applyAlignment="1">
      <alignment wrapText="1"/>
    </xf>
    <xf numFmtId="0" fontId="29" fillId="0" borderId="61" xfId="4" applyFont="1" applyFill="1" applyBorder="1" applyAlignment="1">
      <alignment horizontal="center" wrapText="1"/>
    </xf>
    <xf numFmtId="0" fontId="29" fillId="0" borderId="54" xfId="4" applyFont="1" applyFill="1" applyBorder="1" applyAlignment="1">
      <alignment horizontal="right" wrapText="1"/>
    </xf>
    <xf numFmtId="4" fontId="36" fillId="5" borderId="54" xfId="4" applyNumberFormat="1" applyFont="1" applyFill="1" applyBorder="1" applyAlignment="1">
      <alignment wrapText="1"/>
    </xf>
    <xf numFmtId="4" fontId="29" fillId="0" borderId="55" xfId="4" applyNumberFormat="1" applyFont="1" applyFill="1" applyBorder="1" applyAlignment="1">
      <alignment wrapText="1"/>
    </xf>
    <xf numFmtId="4" fontId="29" fillId="0" borderId="56" xfId="4" applyNumberFormat="1" applyFont="1" applyFill="1" applyBorder="1" applyAlignment="1">
      <alignment wrapText="1"/>
    </xf>
    <xf numFmtId="0" fontId="29" fillId="0" borderId="56" xfId="4" applyFont="1" applyFill="1" applyBorder="1" applyAlignment="1">
      <alignment wrapText="1"/>
    </xf>
    <xf numFmtId="0" fontId="29" fillId="0" borderId="62" xfId="4" applyFont="1" applyFill="1" applyBorder="1" applyAlignment="1">
      <alignment wrapText="1"/>
    </xf>
    <xf numFmtId="0" fontId="35" fillId="0" borderId="63" xfId="4" applyFont="1" applyFill="1" applyBorder="1" applyAlignment="1">
      <alignment horizontal="center" vertical="center" wrapText="1"/>
    </xf>
    <xf numFmtId="0" fontId="35" fillId="0" borderId="64" xfId="4" applyFont="1" applyFill="1" applyBorder="1" applyAlignment="1">
      <alignment horizontal="left" vertical="center" wrapText="1"/>
    </xf>
    <xf numFmtId="0" fontId="35" fillId="0" borderId="65" xfId="4" applyFont="1" applyFill="1" applyBorder="1" applyAlignment="1">
      <alignment horizontal="left" vertical="center" wrapText="1"/>
    </xf>
    <xf numFmtId="4" fontId="35" fillId="0" borderId="65" xfId="4" applyNumberFormat="1" applyFont="1" applyFill="1" applyBorder="1" applyAlignment="1">
      <alignment horizontal="right" vertical="center" wrapText="1"/>
    </xf>
    <xf numFmtId="4" fontId="35" fillId="8" borderId="65" xfId="4" applyNumberFormat="1" applyFont="1" applyFill="1" applyBorder="1" applyAlignment="1">
      <alignment horizontal="right" vertical="center" wrapText="1"/>
    </xf>
    <xf numFmtId="4" fontId="35" fillId="0" borderId="65" xfId="4" applyNumberFormat="1" applyFont="1" applyFill="1" applyBorder="1" applyAlignment="1">
      <alignment horizontal="center" vertical="center" wrapText="1"/>
    </xf>
    <xf numFmtId="4" fontId="35" fillId="0" borderId="66" xfId="4" applyNumberFormat="1" applyFont="1" applyFill="1" applyBorder="1" applyAlignment="1">
      <alignment horizontal="right" vertical="center" wrapText="1"/>
    </xf>
    <xf numFmtId="4" fontId="35" fillId="0" borderId="67" xfId="4" applyNumberFormat="1" applyFont="1" applyFill="1" applyBorder="1" applyAlignment="1">
      <alignment horizontal="right" vertical="center" wrapText="1"/>
    </xf>
    <xf numFmtId="4" fontId="35" fillId="0" borderId="68" xfId="4" applyNumberFormat="1" applyFont="1" applyFill="1" applyBorder="1" applyAlignment="1">
      <alignment horizontal="right" vertical="center" wrapText="1"/>
    </xf>
    <xf numFmtId="14" fontId="29" fillId="0" borderId="63" xfId="4" applyNumberFormat="1" applyFont="1" applyFill="1" applyBorder="1" applyAlignment="1">
      <alignment horizontal="center" vertical="center" wrapText="1"/>
    </xf>
    <xf numFmtId="4" fontId="35" fillId="0" borderId="63" xfId="4" applyNumberFormat="1" applyFont="1" applyFill="1" applyBorder="1" applyAlignment="1">
      <alignment horizontal="center" vertical="center" wrapText="1"/>
    </xf>
    <xf numFmtId="14" fontId="35" fillId="0" borderId="63" xfId="4" applyNumberFormat="1" applyFont="1" applyFill="1" applyBorder="1" applyAlignment="1">
      <alignment horizontal="center" vertical="center" wrapText="1"/>
    </xf>
    <xf numFmtId="0" fontId="29" fillId="0" borderId="69" xfId="4" applyFont="1" applyFill="1" applyBorder="1" applyAlignment="1">
      <alignment wrapText="1"/>
    </xf>
    <xf numFmtId="0" fontId="29" fillId="0" borderId="63" xfId="4" applyFont="1" applyFill="1" applyBorder="1" applyAlignment="1">
      <alignment wrapText="1"/>
    </xf>
    <xf numFmtId="0" fontId="29" fillId="0" borderId="70" xfId="4" applyFont="1" applyFill="1" applyBorder="1" applyAlignment="1">
      <alignment horizontal="center" wrapText="1"/>
    </xf>
    <xf numFmtId="0" fontId="29" fillId="0" borderId="63" xfId="4" applyFont="1" applyFill="1" applyBorder="1" applyAlignment="1">
      <alignment horizontal="right" wrapText="1"/>
    </xf>
    <xf numFmtId="0" fontId="36" fillId="5" borderId="63" xfId="4" applyFont="1" applyFill="1" applyBorder="1" applyAlignment="1">
      <alignment wrapText="1"/>
    </xf>
    <xf numFmtId="4" fontId="29" fillId="0" borderId="64" xfId="4" applyNumberFormat="1" applyFont="1" applyFill="1" applyBorder="1" applyAlignment="1">
      <alignment wrapText="1"/>
    </xf>
    <xf numFmtId="4" fontId="29" fillId="0" borderId="65" xfId="4" applyNumberFormat="1" applyFont="1" applyFill="1" applyBorder="1" applyAlignment="1">
      <alignment wrapText="1"/>
    </xf>
    <xf numFmtId="0" fontId="29" fillId="0" borderId="65" xfId="4" applyFont="1" applyFill="1" applyBorder="1" applyAlignment="1">
      <alignment wrapText="1"/>
    </xf>
    <xf numFmtId="0" fontId="29" fillId="0" borderId="71" xfId="4" applyFont="1" applyFill="1" applyBorder="1" applyAlignment="1">
      <alignment wrapText="1"/>
    </xf>
    <xf numFmtId="181" fontId="29" fillId="0" borderId="69" xfId="4" applyNumberFormat="1" applyFont="1" applyFill="1" applyBorder="1" applyAlignment="1">
      <alignment vertical="center" wrapText="1"/>
    </xf>
    <xf numFmtId="0" fontId="29" fillId="0" borderId="64" xfId="4" applyFont="1" applyFill="1" applyBorder="1" applyAlignment="1">
      <alignment wrapText="1"/>
    </xf>
    <xf numFmtId="0" fontId="8" fillId="0" borderId="46" xfId="0" applyNumberFormat="1" applyFont="1" applyFill="1" applyBorder="1" applyAlignment="1">
      <alignment horizontal="center" vertical="center"/>
    </xf>
    <xf numFmtId="0" fontId="8" fillId="0" borderId="76" xfId="0" applyNumberFormat="1" applyFont="1" applyFill="1" applyBorder="1" applyAlignment="1">
      <alignment horizontal="center" vertical="center"/>
    </xf>
    <xf numFmtId="0" fontId="8" fillId="3" borderId="20" xfId="0" applyNumberFormat="1" applyFont="1" applyFill="1" applyBorder="1" applyAlignment="1">
      <alignment horizontal="center" vertical="center"/>
    </xf>
    <xf numFmtId="180" fontId="8" fillId="3" borderId="20" xfId="0" applyNumberFormat="1" applyFont="1" applyFill="1" applyBorder="1" applyAlignment="1">
      <alignment vertical="center"/>
    </xf>
    <xf numFmtId="4" fontId="15" fillId="0" borderId="1" xfId="4" applyNumberFormat="1" applyFont="1" applyFill="1" applyBorder="1" applyAlignment="1">
      <alignment wrapText="1"/>
    </xf>
    <xf numFmtId="4" fontId="15" fillId="0" borderId="21" xfId="4" applyNumberFormat="1" applyFont="1" applyFill="1" applyBorder="1" applyAlignment="1">
      <alignment wrapText="1"/>
    </xf>
    <xf numFmtId="4" fontId="17" fillId="0" borderId="24" xfId="4" applyNumberFormat="1" applyFont="1" applyFill="1" applyBorder="1" applyAlignment="1">
      <alignment wrapText="1"/>
    </xf>
    <xf numFmtId="180" fontId="8" fillId="0" borderId="30" xfId="0" applyNumberFormat="1" applyFont="1" applyFill="1" applyBorder="1" applyAlignment="1">
      <alignment vertical="center"/>
    </xf>
    <xf numFmtId="180" fontId="8" fillId="0" borderId="44" xfId="0" applyNumberFormat="1" applyFont="1" applyFill="1" applyBorder="1" applyAlignment="1">
      <alignment vertical="center"/>
    </xf>
    <xf numFmtId="180" fontId="8" fillId="0" borderId="9" xfId="0" applyNumberFormat="1" applyFont="1" applyFill="1" applyBorder="1" applyAlignment="1">
      <alignment vertical="center"/>
    </xf>
    <xf numFmtId="0" fontId="8" fillId="0" borderId="44" xfId="0" applyNumberFormat="1" applyFont="1" applyFill="1" applyBorder="1" applyAlignment="1">
      <alignment vertical="center"/>
    </xf>
    <xf numFmtId="180" fontId="8" fillId="0" borderId="31" xfId="0" applyNumberFormat="1" applyFont="1" applyFill="1" applyBorder="1" applyAlignment="1">
      <alignment vertical="center"/>
    </xf>
    <xf numFmtId="180" fontId="8" fillId="0" borderId="19" xfId="0" applyNumberFormat="1" applyFont="1" applyFill="1" applyBorder="1" applyAlignment="1">
      <alignment vertical="center"/>
    </xf>
    <xf numFmtId="0" fontId="8" fillId="0" borderId="32" xfId="0" applyNumberFormat="1" applyFont="1" applyFill="1" applyBorder="1" applyAlignment="1">
      <alignment vertical="center"/>
    </xf>
    <xf numFmtId="0" fontId="8" fillId="0" borderId="19" xfId="0" applyNumberFormat="1" applyFont="1" applyFill="1" applyBorder="1" applyAlignment="1">
      <alignment vertical="center"/>
    </xf>
    <xf numFmtId="180" fontId="8" fillId="0" borderId="74" xfId="0" applyNumberFormat="1" applyFont="1" applyFill="1" applyBorder="1" applyAlignment="1">
      <alignment vertical="center"/>
    </xf>
    <xf numFmtId="180" fontId="8" fillId="0" borderId="47" xfId="0" applyNumberFormat="1" applyFont="1" applyFill="1" applyBorder="1" applyAlignment="1">
      <alignment vertical="center"/>
    </xf>
    <xf numFmtId="0" fontId="8" fillId="0" borderId="75" xfId="0" applyNumberFormat="1" applyFont="1" applyFill="1" applyBorder="1" applyAlignment="1">
      <alignment vertical="center"/>
    </xf>
    <xf numFmtId="0" fontId="8" fillId="0" borderId="47" xfId="0" applyNumberFormat="1" applyFont="1" applyFill="1" applyBorder="1" applyAlignment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177" fontId="17" fillId="0" borderId="0" xfId="0" applyNumberFormat="1" applyFont="1" applyBorder="1" applyAlignment="1">
      <alignment vertical="center"/>
    </xf>
    <xf numFmtId="177" fontId="19" fillId="0" borderId="0" xfId="0" applyNumberFormat="1" applyFont="1" applyBorder="1" applyAlignment="1">
      <alignment vertical="center"/>
    </xf>
    <xf numFmtId="0" fontId="4" fillId="7" borderId="41" xfId="0" applyNumberFormat="1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4" fillId="8" borderId="41" xfId="0" applyNumberFormat="1" applyFont="1" applyFill="1" applyBorder="1" applyAlignment="1">
      <alignment horizontal="center" vertical="center"/>
    </xf>
    <xf numFmtId="0" fontId="16" fillId="2" borderId="12" xfId="4" applyFont="1" applyFill="1" applyBorder="1" applyAlignment="1">
      <alignment horizontal="center" vertical="center" wrapText="1"/>
    </xf>
    <xf numFmtId="0" fontId="16" fillId="2" borderId="16" xfId="4" applyFont="1" applyFill="1" applyBorder="1" applyAlignment="1">
      <alignment horizontal="center" vertical="center" wrapText="1"/>
    </xf>
    <xf numFmtId="0" fontId="16" fillId="2" borderId="13" xfId="4" applyFont="1" applyFill="1" applyBorder="1" applyAlignment="1">
      <alignment horizontal="center" vertical="center" wrapText="1"/>
    </xf>
    <xf numFmtId="0" fontId="16" fillId="2" borderId="14" xfId="4" applyFont="1" applyFill="1" applyBorder="1" applyAlignment="1">
      <alignment horizontal="center" vertical="center" wrapText="1"/>
    </xf>
    <xf numFmtId="0" fontId="16" fillId="2" borderId="15" xfId="4" applyFont="1" applyFill="1" applyBorder="1" applyAlignment="1">
      <alignment horizontal="center" vertical="center" wrapText="1"/>
    </xf>
    <xf numFmtId="0" fontId="17" fillId="6" borderId="13" xfId="4" applyFont="1" applyFill="1" applyBorder="1" applyAlignment="1">
      <alignment horizontal="center" wrapText="1"/>
    </xf>
    <xf numFmtId="0" fontId="17" fillId="6" borderId="15" xfId="4" applyFont="1" applyFill="1" applyBorder="1" applyAlignment="1">
      <alignment horizontal="center" wrapText="1"/>
    </xf>
    <xf numFmtId="0" fontId="4" fillId="2" borderId="13" xfId="4" applyFont="1" applyFill="1" applyBorder="1" applyAlignment="1">
      <alignment horizontal="center" wrapText="1"/>
    </xf>
    <xf numFmtId="0" fontId="4" fillId="2" borderId="15" xfId="4" applyFont="1" applyFill="1" applyBorder="1" applyAlignment="1">
      <alignment horizontal="center" wrapText="1"/>
    </xf>
    <xf numFmtId="0" fontId="31" fillId="8" borderId="17" xfId="4" applyFont="1" applyFill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  <xf numFmtId="0" fontId="31" fillId="8" borderId="12" xfId="4" applyFont="1" applyFill="1" applyBorder="1" applyAlignment="1">
      <alignment horizontal="center" vertical="center" wrapText="1"/>
    </xf>
    <xf numFmtId="0" fontId="31" fillId="8" borderId="16" xfId="4" applyFont="1" applyFill="1" applyBorder="1" applyAlignment="1">
      <alignment horizontal="center" vertical="center" wrapText="1"/>
    </xf>
    <xf numFmtId="0" fontId="31" fillId="8" borderId="36" xfId="4" applyFont="1" applyFill="1" applyBorder="1" applyAlignment="1">
      <alignment horizontal="center" vertical="center" wrapText="1"/>
    </xf>
    <xf numFmtId="0" fontId="31" fillId="8" borderId="24" xfId="4" applyFont="1" applyFill="1" applyBorder="1" applyAlignment="1">
      <alignment horizontal="center" vertical="center" wrapText="1"/>
    </xf>
    <xf numFmtId="0" fontId="31" fillId="8" borderId="11" xfId="4" applyFont="1" applyFill="1" applyBorder="1" applyAlignment="1">
      <alignment horizontal="center" vertical="center" wrapText="1"/>
    </xf>
    <xf numFmtId="182" fontId="4" fillId="10" borderId="35" xfId="5" applyNumberFormat="1" applyFont="1" applyFill="1" applyBorder="1" applyAlignment="1">
      <alignment horizontal="center" vertical="center" wrapText="1" shrinkToFit="1"/>
    </xf>
    <xf numFmtId="182" fontId="4" fillId="10" borderId="53" xfId="5" applyNumberFormat="1" applyFont="1" applyFill="1" applyBorder="1" applyAlignment="1">
      <alignment horizontal="center" vertical="center" wrapText="1" shrinkToFit="1"/>
    </xf>
    <xf numFmtId="182" fontId="4" fillId="10" borderId="34" xfId="5" applyNumberFormat="1" applyFont="1" applyFill="1" applyBorder="1" applyAlignment="1">
      <alignment horizontal="center" vertical="center" wrapText="1" shrinkToFit="1"/>
    </xf>
    <xf numFmtId="181" fontId="32" fillId="11" borderId="13" xfId="4" applyNumberFormat="1" applyFont="1" applyFill="1" applyBorder="1" applyAlignment="1">
      <alignment horizontal="center" wrapText="1"/>
    </xf>
    <xf numFmtId="181" fontId="32" fillId="11" borderId="14" xfId="4" applyNumberFormat="1" applyFont="1" applyFill="1" applyBorder="1" applyAlignment="1">
      <alignment horizontal="center" wrapText="1"/>
    </xf>
    <xf numFmtId="181" fontId="32" fillId="11" borderId="15" xfId="4" applyNumberFormat="1" applyFont="1" applyFill="1" applyBorder="1" applyAlignment="1">
      <alignment horizontal="center" wrapText="1"/>
    </xf>
    <xf numFmtId="0" fontId="4" fillId="7" borderId="72" xfId="0" applyNumberFormat="1" applyFont="1" applyFill="1" applyBorder="1" applyAlignment="1">
      <alignment horizontal="center" vertical="center"/>
    </xf>
    <xf numFmtId="0" fontId="4" fillId="7" borderId="17" xfId="0" applyNumberFormat="1" applyFont="1" applyFill="1" applyBorder="1" applyAlignment="1">
      <alignment horizontal="center" vertical="center"/>
    </xf>
    <xf numFmtId="0" fontId="4" fillId="7" borderId="18" xfId="0" applyNumberFormat="1" applyFont="1" applyFill="1" applyBorder="1" applyAlignment="1">
      <alignment horizontal="center" vertical="center"/>
    </xf>
    <xf numFmtId="0" fontId="4" fillId="7" borderId="52" xfId="0" applyNumberFormat="1" applyFont="1" applyFill="1" applyBorder="1" applyAlignment="1">
      <alignment horizontal="center" vertical="center"/>
    </xf>
    <xf numFmtId="0" fontId="31" fillId="8" borderId="52" xfId="4" applyFont="1" applyFill="1" applyBorder="1" applyAlignment="1">
      <alignment horizontal="center" vertical="center" wrapText="1"/>
    </xf>
    <xf numFmtId="0" fontId="31" fillId="8" borderId="33" xfId="4" applyFont="1" applyFill="1" applyBorder="1" applyAlignment="1">
      <alignment horizontal="center" vertical="center" wrapText="1"/>
    </xf>
    <xf numFmtId="0" fontId="14" fillId="9" borderId="12" xfId="4" applyFont="1" applyFill="1" applyBorder="1" applyAlignment="1">
      <alignment horizontal="center" vertical="center" wrapText="1"/>
    </xf>
    <xf numFmtId="0" fontId="14" fillId="9" borderId="16" xfId="4" applyFont="1" applyFill="1" applyBorder="1" applyAlignment="1">
      <alignment horizontal="center" vertical="center" wrapText="1"/>
    </xf>
    <xf numFmtId="0" fontId="30" fillId="8" borderId="41" xfId="4" applyFont="1" applyFill="1" applyBorder="1" applyAlignment="1">
      <alignment horizontal="center" vertical="center" wrapText="1"/>
    </xf>
    <xf numFmtId="0" fontId="30" fillId="8" borderId="45" xfId="4" applyFont="1" applyFill="1" applyBorder="1" applyAlignment="1">
      <alignment horizontal="center" vertical="center" wrapText="1"/>
    </xf>
    <xf numFmtId="0" fontId="32" fillId="6" borderId="37" xfId="4" applyFont="1" applyFill="1" applyBorder="1" applyAlignment="1">
      <alignment horizontal="center" vertical="center" wrapText="1"/>
    </xf>
    <xf numFmtId="0" fontId="30" fillId="6" borderId="40" xfId="4" applyFont="1" applyFill="1" applyBorder="1" applyAlignment="1">
      <alignment horizontal="center" vertical="center" wrapText="1"/>
    </xf>
    <xf numFmtId="0" fontId="31" fillId="8" borderId="18" xfId="4" applyFont="1" applyFill="1" applyBorder="1" applyAlignment="1">
      <alignment horizontal="center" vertical="center" wrapText="1"/>
    </xf>
    <xf numFmtId="0" fontId="31" fillId="8" borderId="26" xfId="4" applyFont="1" applyFill="1" applyBorder="1" applyAlignment="1">
      <alignment horizontal="center" vertical="center" wrapText="1"/>
    </xf>
  </cellXfs>
  <cellStyles count="6">
    <cellStyle name="Comma 14" xfId="5"/>
    <cellStyle name="Normal 22" xfId="4"/>
    <cellStyle name="쉼표 [0]" xfId="1" builtinId="6"/>
    <cellStyle name="통화 [0] 2" xfId="3"/>
    <cellStyle name="표준" xfId="0" builtinId="0" customBuiltin="1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2047875</xdr:colOff>
      <xdr:row>105</xdr:row>
      <xdr:rowOff>38100</xdr:rowOff>
    </xdr:from>
    <xdr:to>
      <xdr:col>5</xdr:col>
      <xdr:colOff>2809875</xdr:colOff>
      <xdr:row>111</xdr:row>
      <xdr:rowOff>114301</xdr:rowOff>
    </xdr:to>
    <xdr:pic>
      <xdr:nvPicPr>
        <xdr:cNvPr id="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24822150"/>
          <a:ext cx="186690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2047875</xdr:colOff>
      <xdr:row>105</xdr:row>
      <xdr:rowOff>38100</xdr:rowOff>
    </xdr:from>
    <xdr:to>
      <xdr:col>5</xdr:col>
      <xdr:colOff>2809875</xdr:colOff>
      <xdr:row>111</xdr:row>
      <xdr:rowOff>114301</xdr:rowOff>
    </xdr:to>
    <xdr:pic>
      <xdr:nvPicPr>
        <xdr:cNvPr id="2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19278600"/>
          <a:ext cx="762000" cy="1162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B2:Q69"/>
  <sheetViews>
    <sheetView showGridLines="0" tabSelected="1" zoomScale="85" zoomScaleNormal="85" workbookViewId="0"/>
  </sheetViews>
  <sheetFormatPr defaultRowHeight="13.5"/>
  <cols>
    <col min="1" max="1" width="3.109375" style="1" customWidth="1"/>
    <col min="2" max="3" width="19.6640625" style="1" customWidth="1"/>
    <col min="4" max="4" width="14.109375" style="1" customWidth="1"/>
    <col min="5" max="5" width="16" style="1" customWidth="1"/>
    <col min="6" max="8" width="14.109375" style="1" customWidth="1"/>
    <col min="9" max="9" width="17.109375" style="1" customWidth="1"/>
    <col min="10" max="11" width="14.109375" style="1" customWidth="1"/>
    <col min="12" max="12" width="17.6640625" style="1" customWidth="1"/>
    <col min="13" max="13" width="0" style="1" hidden="1" customWidth="1"/>
    <col min="14" max="14" width="11.5546875" style="1" hidden="1" customWidth="1"/>
    <col min="15" max="15" width="9.88671875" style="1" hidden="1" customWidth="1"/>
    <col min="16" max="16" width="10.6640625" style="1" hidden="1" customWidth="1"/>
    <col min="17" max="17" width="0" style="1" hidden="1" customWidth="1"/>
    <col min="18" max="256" width="8.88671875" style="1"/>
    <col min="257" max="257" width="3.109375" style="1" customWidth="1"/>
    <col min="258" max="259" width="19.6640625" style="1" customWidth="1"/>
    <col min="260" max="260" width="14.109375" style="1" customWidth="1"/>
    <col min="261" max="261" width="16" style="1" customWidth="1"/>
    <col min="262" max="264" width="14.109375" style="1" customWidth="1"/>
    <col min="265" max="265" width="17.109375" style="1" customWidth="1"/>
    <col min="266" max="267" width="14.109375" style="1" customWidth="1"/>
    <col min="268" max="268" width="17.6640625" style="1" customWidth="1"/>
    <col min="269" max="273" width="0" style="1" hidden="1" customWidth="1"/>
    <col min="274" max="512" width="8.88671875" style="1"/>
    <col min="513" max="513" width="3.109375" style="1" customWidth="1"/>
    <col min="514" max="515" width="19.6640625" style="1" customWidth="1"/>
    <col min="516" max="516" width="14.109375" style="1" customWidth="1"/>
    <col min="517" max="517" width="16" style="1" customWidth="1"/>
    <col min="518" max="520" width="14.109375" style="1" customWidth="1"/>
    <col min="521" max="521" width="17.109375" style="1" customWidth="1"/>
    <col min="522" max="523" width="14.109375" style="1" customWidth="1"/>
    <col min="524" max="524" width="17.6640625" style="1" customWidth="1"/>
    <col min="525" max="529" width="0" style="1" hidden="1" customWidth="1"/>
    <col min="530" max="768" width="8.88671875" style="1"/>
    <col min="769" max="769" width="3.109375" style="1" customWidth="1"/>
    <col min="770" max="771" width="19.6640625" style="1" customWidth="1"/>
    <col min="772" max="772" width="14.109375" style="1" customWidth="1"/>
    <col min="773" max="773" width="16" style="1" customWidth="1"/>
    <col min="774" max="776" width="14.109375" style="1" customWidth="1"/>
    <col min="777" max="777" width="17.109375" style="1" customWidth="1"/>
    <col min="778" max="779" width="14.109375" style="1" customWidth="1"/>
    <col min="780" max="780" width="17.6640625" style="1" customWidth="1"/>
    <col min="781" max="785" width="0" style="1" hidden="1" customWidth="1"/>
    <col min="786" max="1024" width="8.88671875" style="1"/>
    <col min="1025" max="1025" width="3.109375" style="1" customWidth="1"/>
    <col min="1026" max="1027" width="19.6640625" style="1" customWidth="1"/>
    <col min="1028" max="1028" width="14.109375" style="1" customWidth="1"/>
    <col min="1029" max="1029" width="16" style="1" customWidth="1"/>
    <col min="1030" max="1032" width="14.109375" style="1" customWidth="1"/>
    <col min="1033" max="1033" width="17.109375" style="1" customWidth="1"/>
    <col min="1034" max="1035" width="14.109375" style="1" customWidth="1"/>
    <col min="1036" max="1036" width="17.6640625" style="1" customWidth="1"/>
    <col min="1037" max="1041" width="0" style="1" hidden="1" customWidth="1"/>
    <col min="1042" max="1280" width="8.88671875" style="1"/>
    <col min="1281" max="1281" width="3.109375" style="1" customWidth="1"/>
    <col min="1282" max="1283" width="19.6640625" style="1" customWidth="1"/>
    <col min="1284" max="1284" width="14.109375" style="1" customWidth="1"/>
    <col min="1285" max="1285" width="16" style="1" customWidth="1"/>
    <col min="1286" max="1288" width="14.109375" style="1" customWidth="1"/>
    <col min="1289" max="1289" width="17.109375" style="1" customWidth="1"/>
    <col min="1290" max="1291" width="14.109375" style="1" customWidth="1"/>
    <col min="1292" max="1292" width="17.6640625" style="1" customWidth="1"/>
    <col min="1293" max="1297" width="0" style="1" hidden="1" customWidth="1"/>
    <col min="1298" max="1536" width="8.88671875" style="1"/>
    <col min="1537" max="1537" width="3.109375" style="1" customWidth="1"/>
    <col min="1538" max="1539" width="19.6640625" style="1" customWidth="1"/>
    <col min="1540" max="1540" width="14.109375" style="1" customWidth="1"/>
    <col min="1541" max="1541" width="16" style="1" customWidth="1"/>
    <col min="1542" max="1544" width="14.109375" style="1" customWidth="1"/>
    <col min="1545" max="1545" width="17.109375" style="1" customWidth="1"/>
    <col min="1546" max="1547" width="14.109375" style="1" customWidth="1"/>
    <col min="1548" max="1548" width="17.6640625" style="1" customWidth="1"/>
    <col min="1549" max="1553" width="0" style="1" hidden="1" customWidth="1"/>
    <col min="1554" max="1792" width="8.88671875" style="1"/>
    <col min="1793" max="1793" width="3.109375" style="1" customWidth="1"/>
    <col min="1794" max="1795" width="19.6640625" style="1" customWidth="1"/>
    <col min="1796" max="1796" width="14.109375" style="1" customWidth="1"/>
    <col min="1797" max="1797" width="16" style="1" customWidth="1"/>
    <col min="1798" max="1800" width="14.109375" style="1" customWidth="1"/>
    <col min="1801" max="1801" width="17.109375" style="1" customWidth="1"/>
    <col min="1802" max="1803" width="14.109375" style="1" customWidth="1"/>
    <col min="1804" max="1804" width="17.6640625" style="1" customWidth="1"/>
    <col min="1805" max="1809" width="0" style="1" hidden="1" customWidth="1"/>
    <col min="1810" max="2048" width="8.88671875" style="1"/>
    <col min="2049" max="2049" width="3.109375" style="1" customWidth="1"/>
    <col min="2050" max="2051" width="19.6640625" style="1" customWidth="1"/>
    <col min="2052" max="2052" width="14.109375" style="1" customWidth="1"/>
    <col min="2053" max="2053" width="16" style="1" customWidth="1"/>
    <col min="2054" max="2056" width="14.109375" style="1" customWidth="1"/>
    <col min="2057" max="2057" width="17.109375" style="1" customWidth="1"/>
    <col min="2058" max="2059" width="14.109375" style="1" customWidth="1"/>
    <col min="2060" max="2060" width="17.6640625" style="1" customWidth="1"/>
    <col min="2061" max="2065" width="0" style="1" hidden="1" customWidth="1"/>
    <col min="2066" max="2304" width="8.88671875" style="1"/>
    <col min="2305" max="2305" width="3.109375" style="1" customWidth="1"/>
    <col min="2306" max="2307" width="19.6640625" style="1" customWidth="1"/>
    <col min="2308" max="2308" width="14.109375" style="1" customWidth="1"/>
    <col min="2309" max="2309" width="16" style="1" customWidth="1"/>
    <col min="2310" max="2312" width="14.109375" style="1" customWidth="1"/>
    <col min="2313" max="2313" width="17.109375" style="1" customWidth="1"/>
    <col min="2314" max="2315" width="14.109375" style="1" customWidth="1"/>
    <col min="2316" max="2316" width="17.6640625" style="1" customWidth="1"/>
    <col min="2317" max="2321" width="0" style="1" hidden="1" customWidth="1"/>
    <col min="2322" max="2560" width="8.88671875" style="1"/>
    <col min="2561" max="2561" width="3.109375" style="1" customWidth="1"/>
    <col min="2562" max="2563" width="19.6640625" style="1" customWidth="1"/>
    <col min="2564" max="2564" width="14.109375" style="1" customWidth="1"/>
    <col min="2565" max="2565" width="16" style="1" customWidth="1"/>
    <col min="2566" max="2568" width="14.109375" style="1" customWidth="1"/>
    <col min="2569" max="2569" width="17.109375" style="1" customWidth="1"/>
    <col min="2570" max="2571" width="14.109375" style="1" customWidth="1"/>
    <col min="2572" max="2572" width="17.6640625" style="1" customWidth="1"/>
    <col min="2573" max="2577" width="0" style="1" hidden="1" customWidth="1"/>
    <col min="2578" max="2816" width="8.88671875" style="1"/>
    <col min="2817" max="2817" width="3.109375" style="1" customWidth="1"/>
    <col min="2818" max="2819" width="19.6640625" style="1" customWidth="1"/>
    <col min="2820" max="2820" width="14.109375" style="1" customWidth="1"/>
    <col min="2821" max="2821" width="16" style="1" customWidth="1"/>
    <col min="2822" max="2824" width="14.109375" style="1" customWidth="1"/>
    <col min="2825" max="2825" width="17.109375" style="1" customWidth="1"/>
    <col min="2826" max="2827" width="14.109375" style="1" customWidth="1"/>
    <col min="2828" max="2828" width="17.6640625" style="1" customWidth="1"/>
    <col min="2829" max="2833" width="0" style="1" hidden="1" customWidth="1"/>
    <col min="2834" max="3072" width="8.88671875" style="1"/>
    <col min="3073" max="3073" width="3.109375" style="1" customWidth="1"/>
    <col min="3074" max="3075" width="19.6640625" style="1" customWidth="1"/>
    <col min="3076" max="3076" width="14.109375" style="1" customWidth="1"/>
    <col min="3077" max="3077" width="16" style="1" customWidth="1"/>
    <col min="3078" max="3080" width="14.109375" style="1" customWidth="1"/>
    <col min="3081" max="3081" width="17.109375" style="1" customWidth="1"/>
    <col min="3082" max="3083" width="14.109375" style="1" customWidth="1"/>
    <col min="3084" max="3084" width="17.6640625" style="1" customWidth="1"/>
    <col min="3085" max="3089" width="0" style="1" hidden="1" customWidth="1"/>
    <col min="3090" max="3328" width="8.88671875" style="1"/>
    <col min="3329" max="3329" width="3.109375" style="1" customWidth="1"/>
    <col min="3330" max="3331" width="19.6640625" style="1" customWidth="1"/>
    <col min="3332" max="3332" width="14.109375" style="1" customWidth="1"/>
    <col min="3333" max="3333" width="16" style="1" customWidth="1"/>
    <col min="3334" max="3336" width="14.109375" style="1" customWidth="1"/>
    <col min="3337" max="3337" width="17.109375" style="1" customWidth="1"/>
    <col min="3338" max="3339" width="14.109375" style="1" customWidth="1"/>
    <col min="3340" max="3340" width="17.6640625" style="1" customWidth="1"/>
    <col min="3341" max="3345" width="0" style="1" hidden="1" customWidth="1"/>
    <col min="3346" max="3584" width="8.88671875" style="1"/>
    <col min="3585" max="3585" width="3.109375" style="1" customWidth="1"/>
    <col min="3586" max="3587" width="19.6640625" style="1" customWidth="1"/>
    <col min="3588" max="3588" width="14.109375" style="1" customWidth="1"/>
    <col min="3589" max="3589" width="16" style="1" customWidth="1"/>
    <col min="3590" max="3592" width="14.109375" style="1" customWidth="1"/>
    <col min="3593" max="3593" width="17.109375" style="1" customWidth="1"/>
    <col min="3594" max="3595" width="14.109375" style="1" customWidth="1"/>
    <col min="3596" max="3596" width="17.6640625" style="1" customWidth="1"/>
    <col min="3597" max="3601" width="0" style="1" hidden="1" customWidth="1"/>
    <col min="3602" max="3840" width="8.88671875" style="1"/>
    <col min="3841" max="3841" width="3.109375" style="1" customWidth="1"/>
    <col min="3842" max="3843" width="19.6640625" style="1" customWidth="1"/>
    <col min="3844" max="3844" width="14.109375" style="1" customWidth="1"/>
    <col min="3845" max="3845" width="16" style="1" customWidth="1"/>
    <col min="3846" max="3848" width="14.109375" style="1" customWidth="1"/>
    <col min="3849" max="3849" width="17.109375" style="1" customWidth="1"/>
    <col min="3850" max="3851" width="14.109375" style="1" customWidth="1"/>
    <col min="3852" max="3852" width="17.6640625" style="1" customWidth="1"/>
    <col min="3853" max="3857" width="0" style="1" hidden="1" customWidth="1"/>
    <col min="3858" max="4096" width="8.88671875" style="1"/>
    <col min="4097" max="4097" width="3.109375" style="1" customWidth="1"/>
    <col min="4098" max="4099" width="19.6640625" style="1" customWidth="1"/>
    <col min="4100" max="4100" width="14.109375" style="1" customWidth="1"/>
    <col min="4101" max="4101" width="16" style="1" customWidth="1"/>
    <col min="4102" max="4104" width="14.109375" style="1" customWidth="1"/>
    <col min="4105" max="4105" width="17.109375" style="1" customWidth="1"/>
    <col min="4106" max="4107" width="14.109375" style="1" customWidth="1"/>
    <col min="4108" max="4108" width="17.6640625" style="1" customWidth="1"/>
    <col min="4109" max="4113" width="0" style="1" hidden="1" customWidth="1"/>
    <col min="4114" max="4352" width="8.88671875" style="1"/>
    <col min="4353" max="4353" width="3.109375" style="1" customWidth="1"/>
    <col min="4354" max="4355" width="19.6640625" style="1" customWidth="1"/>
    <col min="4356" max="4356" width="14.109375" style="1" customWidth="1"/>
    <col min="4357" max="4357" width="16" style="1" customWidth="1"/>
    <col min="4358" max="4360" width="14.109375" style="1" customWidth="1"/>
    <col min="4361" max="4361" width="17.109375" style="1" customWidth="1"/>
    <col min="4362" max="4363" width="14.109375" style="1" customWidth="1"/>
    <col min="4364" max="4364" width="17.6640625" style="1" customWidth="1"/>
    <col min="4365" max="4369" width="0" style="1" hidden="1" customWidth="1"/>
    <col min="4370" max="4608" width="8.88671875" style="1"/>
    <col min="4609" max="4609" width="3.109375" style="1" customWidth="1"/>
    <col min="4610" max="4611" width="19.6640625" style="1" customWidth="1"/>
    <col min="4612" max="4612" width="14.109375" style="1" customWidth="1"/>
    <col min="4613" max="4613" width="16" style="1" customWidth="1"/>
    <col min="4614" max="4616" width="14.109375" style="1" customWidth="1"/>
    <col min="4617" max="4617" width="17.109375" style="1" customWidth="1"/>
    <col min="4618" max="4619" width="14.109375" style="1" customWidth="1"/>
    <col min="4620" max="4620" width="17.6640625" style="1" customWidth="1"/>
    <col min="4621" max="4625" width="0" style="1" hidden="1" customWidth="1"/>
    <col min="4626" max="4864" width="8.88671875" style="1"/>
    <col min="4865" max="4865" width="3.109375" style="1" customWidth="1"/>
    <col min="4866" max="4867" width="19.6640625" style="1" customWidth="1"/>
    <col min="4868" max="4868" width="14.109375" style="1" customWidth="1"/>
    <col min="4869" max="4869" width="16" style="1" customWidth="1"/>
    <col min="4870" max="4872" width="14.109375" style="1" customWidth="1"/>
    <col min="4873" max="4873" width="17.109375" style="1" customWidth="1"/>
    <col min="4874" max="4875" width="14.109375" style="1" customWidth="1"/>
    <col min="4876" max="4876" width="17.6640625" style="1" customWidth="1"/>
    <col min="4877" max="4881" width="0" style="1" hidden="1" customWidth="1"/>
    <col min="4882" max="5120" width="8.88671875" style="1"/>
    <col min="5121" max="5121" width="3.109375" style="1" customWidth="1"/>
    <col min="5122" max="5123" width="19.6640625" style="1" customWidth="1"/>
    <col min="5124" max="5124" width="14.109375" style="1" customWidth="1"/>
    <col min="5125" max="5125" width="16" style="1" customWidth="1"/>
    <col min="5126" max="5128" width="14.109375" style="1" customWidth="1"/>
    <col min="5129" max="5129" width="17.109375" style="1" customWidth="1"/>
    <col min="5130" max="5131" width="14.109375" style="1" customWidth="1"/>
    <col min="5132" max="5132" width="17.6640625" style="1" customWidth="1"/>
    <col min="5133" max="5137" width="0" style="1" hidden="1" customWidth="1"/>
    <col min="5138" max="5376" width="8.88671875" style="1"/>
    <col min="5377" max="5377" width="3.109375" style="1" customWidth="1"/>
    <col min="5378" max="5379" width="19.6640625" style="1" customWidth="1"/>
    <col min="5380" max="5380" width="14.109375" style="1" customWidth="1"/>
    <col min="5381" max="5381" width="16" style="1" customWidth="1"/>
    <col min="5382" max="5384" width="14.109375" style="1" customWidth="1"/>
    <col min="5385" max="5385" width="17.109375" style="1" customWidth="1"/>
    <col min="5386" max="5387" width="14.109375" style="1" customWidth="1"/>
    <col min="5388" max="5388" width="17.6640625" style="1" customWidth="1"/>
    <col min="5389" max="5393" width="0" style="1" hidden="1" customWidth="1"/>
    <col min="5394" max="5632" width="8.88671875" style="1"/>
    <col min="5633" max="5633" width="3.109375" style="1" customWidth="1"/>
    <col min="5634" max="5635" width="19.6640625" style="1" customWidth="1"/>
    <col min="5636" max="5636" width="14.109375" style="1" customWidth="1"/>
    <col min="5637" max="5637" width="16" style="1" customWidth="1"/>
    <col min="5638" max="5640" width="14.109375" style="1" customWidth="1"/>
    <col min="5641" max="5641" width="17.109375" style="1" customWidth="1"/>
    <col min="5642" max="5643" width="14.109375" style="1" customWidth="1"/>
    <col min="5644" max="5644" width="17.6640625" style="1" customWidth="1"/>
    <col min="5645" max="5649" width="0" style="1" hidden="1" customWidth="1"/>
    <col min="5650" max="5888" width="8.88671875" style="1"/>
    <col min="5889" max="5889" width="3.109375" style="1" customWidth="1"/>
    <col min="5890" max="5891" width="19.6640625" style="1" customWidth="1"/>
    <col min="5892" max="5892" width="14.109375" style="1" customWidth="1"/>
    <col min="5893" max="5893" width="16" style="1" customWidth="1"/>
    <col min="5894" max="5896" width="14.109375" style="1" customWidth="1"/>
    <col min="5897" max="5897" width="17.109375" style="1" customWidth="1"/>
    <col min="5898" max="5899" width="14.109375" style="1" customWidth="1"/>
    <col min="5900" max="5900" width="17.6640625" style="1" customWidth="1"/>
    <col min="5901" max="5905" width="0" style="1" hidden="1" customWidth="1"/>
    <col min="5906" max="6144" width="8.88671875" style="1"/>
    <col min="6145" max="6145" width="3.109375" style="1" customWidth="1"/>
    <col min="6146" max="6147" width="19.6640625" style="1" customWidth="1"/>
    <col min="6148" max="6148" width="14.109375" style="1" customWidth="1"/>
    <col min="6149" max="6149" width="16" style="1" customWidth="1"/>
    <col min="6150" max="6152" width="14.109375" style="1" customWidth="1"/>
    <col min="6153" max="6153" width="17.109375" style="1" customWidth="1"/>
    <col min="6154" max="6155" width="14.109375" style="1" customWidth="1"/>
    <col min="6156" max="6156" width="17.6640625" style="1" customWidth="1"/>
    <col min="6157" max="6161" width="0" style="1" hidden="1" customWidth="1"/>
    <col min="6162" max="6400" width="8.88671875" style="1"/>
    <col min="6401" max="6401" width="3.109375" style="1" customWidth="1"/>
    <col min="6402" max="6403" width="19.6640625" style="1" customWidth="1"/>
    <col min="6404" max="6404" width="14.109375" style="1" customWidth="1"/>
    <col min="6405" max="6405" width="16" style="1" customWidth="1"/>
    <col min="6406" max="6408" width="14.109375" style="1" customWidth="1"/>
    <col min="6409" max="6409" width="17.109375" style="1" customWidth="1"/>
    <col min="6410" max="6411" width="14.109375" style="1" customWidth="1"/>
    <col min="6412" max="6412" width="17.6640625" style="1" customWidth="1"/>
    <col min="6413" max="6417" width="0" style="1" hidden="1" customWidth="1"/>
    <col min="6418" max="6656" width="8.88671875" style="1"/>
    <col min="6657" max="6657" width="3.109375" style="1" customWidth="1"/>
    <col min="6658" max="6659" width="19.6640625" style="1" customWidth="1"/>
    <col min="6660" max="6660" width="14.109375" style="1" customWidth="1"/>
    <col min="6661" max="6661" width="16" style="1" customWidth="1"/>
    <col min="6662" max="6664" width="14.109375" style="1" customWidth="1"/>
    <col min="6665" max="6665" width="17.109375" style="1" customWidth="1"/>
    <col min="6666" max="6667" width="14.109375" style="1" customWidth="1"/>
    <col min="6668" max="6668" width="17.6640625" style="1" customWidth="1"/>
    <col min="6669" max="6673" width="0" style="1" hidden="1" customWidth="1"/>
    <col min="6674" max="6912" width="8.88671875" style="1"/>
    <col min="6913" max="6913" width="3.109375" style="1" customWidth="1"/>
    <col min="6914" max="6915" width="19.6640625" style="1" customWidth="1"/>
    <col min="6916" max="6916" width="14.109375" style="1" customWidth="1"/>
    <col min="6917" max="6917" width="16" style="1" customWidth="1"/>
    <col min="6918" max="6920" width="14.109375" style="1" customWidth="1"/>
    <col min="6921" max="6921" width="17.109375" style="1" customWidth="1"/>
    <col min="6922" max="6923" width="14.109375" style="1" customWidth="1"/>
    <col min="6924" max="6924" width="17.6640625" style="1" customWidth="1"/>
    <col min="6925" max="6929" width="0" style="1" hidden="1" customWidth="1"/>
    <col min="6930" max="7168" width="8.88671875" style="1"/>
    <col min="7169" max="7169" width="3.109375" style="1" customWidth="1"/>
    <col min="7170" max="7171" width="19.6640625" style="1" customWidth="1"/>
    <col min="7172" max="7172" width="14.109375" style="1" customWidth="1"/>
    <col min="7173" max="7173" width="16" style="1" customWidth="1"/>
    <col min="7174" max="7176" width="14.109375" style="1" customWidth="1"/>
    <col min="7177" max="7177" width="17.109375" style="1" customWidth="1"/>
    <col min="7178" max="7179" width="14.109375" style="1" customWidth="1"/>
    <col min="7180" max="7180" width="17.6640625" style="1" customWidth="1"/>
    <col min="7181" max="7185" width="0" style="1" hidden="1" customWidth="1"/>
    <col min="7186" max="7424" width="8.88671875" style="1"/>
    <col min="7425" max="7425" width="3.109375" style="1" customWidth="1"/>
    <col min="7426" max="7427" width="19.6640625" style="1" customWidth="1"/>
    <col min="7428" max="7428" width="14.109375" style="1" customWidth="1"/>
    <col min="7429" max="7429" width="16" style="1" customWidth="1"/>
    <col min="7430" max="7432" width="14.109375" style="1" customWidth="1"/>
    <col min="7433" max="7433" width="17.109375" style="1" customWidth="1"/>
    <col min="7434" max="7435" width="14.109375" style="1" customWidth="1"/>
    <col min="7436" max="7436" width="17.6640625" style="1" customWidth="1"/>
    <col min="7437" max="7441" width="0" style="1" hidden="1" customWidth="1"/>
    <col min="7442" max="7680" width="8.88671875" style="1"/>
    <col min="7681" max="7681" width="3.109375" style="1" customWidth="1"/>
    <col min="7682" max="7683" width="19.6640625" style="1" customWidth="1"/>
    <col min="7684" max="7684" width="14.109375" style="1" customWidth="1"/>
    <col min="7685" max="7685" width="16" style="1" customWidth="1"/>
    <col min="7686" max="7688" width="14.109375" style="1" customWidth="1"/>
    <col min="7689" max="7689" width="17.109375" style="1" customWidth="1"/>
    <col min="7690" max="7691" width="14.109375" style="1" customWidth="1"/>
    <col min="7692" max="7692" width="17.6640625" style="1" customWidth="1"/>
    <col min="7693" max="7697" width="0" style="1" hidden="1" customWidth="1"/>
    <col min="7698" max="7936" width="8.88671875" style="1"/>
    <col min="7937" max="7937" width="3.109375" style="1" customWidth="1"/>
    <col min="7938" max="7939" width="19.6640625" style="1" customWidth="1"/>
    <col min="7940" max="7940" width="14.109375" style="1" customWidth="1"/>
    <col min="7941" max="7941" width="16" style="1" customWidth="1"/>
    <col min="7942" max="7944" width="14.109375" style="1" customWidth="1"/>
    <col min="7945" max="7945" width="17.109375" style="1" customWidth="1"/>
    <col min="7946" max="7947" width="14.109375" style="1" customWidth="1"/>
    <col min="7948" max="7948" width="17.6640625" style="1" customWidth="1"/>
    <col min="7949" max="7953" width="0" style="1" hidden="1" customWidth="1"/>
    <col min="7954" max="8192" width="8.88671875" style="1"/>
    <col min="8193" max="8193" width="3.109375" style="1" customWidth="1"/>
    <col min="8194" max="8195" width="19.6640625" style="1" customWidth="1"/>
    <col min="8196" max="8196" width="14.109375" style="1" customWidth="1"/>
    <col min="8197" max="8197" width="16" style="1" customWidth="1"/>
    <col min="8198" max="8200" width="14.109375" style="1" customWidth="1"/>
    <col min="8201" max="8201" width="17.109375" style="1" customWidth="1"/>
    <col min="8202" max="8203" width="14.109375" style="1" customWidth="1"/>
    <col min="8204" max="8204" width="17.6640625" style="1" customWidth="1"/>
    <col min="8205" max="8209" width="0" style="1" hidden="1" customWidth="1"/>
    <col min="8210" max="8448" width="8.88671875" style="1"/>
    <col min="8449" max="8449" width="3.109375" style="1" customWidth="1"/>
    <col min="8450" max="8451" width="19.6640625" style="1" customWidth="1"/>
    <col min="8452" max="8452" width="14.109375" style="1" customWidth="1"/>
    <col min="8453" max="8453" width="16" style="1" customWidth="1"/>
    <col min="8454" max="8456" width="14.109375" style="1" customWidth="1"/>
    <col min="8457" max="8457" width="17.109375" style="1" customWidth="1"/>
    <col min="8458" max="8459" width="14.109375" style="1" customWidth="1"/>
    <col min="8460" max="8460" width="17.6640625" style="1" customWidth="1"/>
    <col min="8461" max="8465" width="0" style="1" hidden="1" customWidth="1"/>
    <col min="8466" max="8704" width="8.88671875" style="1"/>
    <col min="8705" max="8705" width="3.109375" style="1" customWidth="1"/>
    <col min="8706" max="8707" width="19.6640625" style="1" customWidth="1"/>
    <col min="8708" max="8708" width="14.109375" style="1" customWidth="1"/>
    <col min="8709" max="8709" width="16" style="1" customWidth="1"/>
    <col min="8710" max="8712" width="14.109375" style="1" customWidth="1"/>
    <col min="8713" max="8713" width="17.109375" style="1" customWidth="1"/>
    <col min="8714" max="8715" width="14.109375" style="1" customWidth="1"/>
    <col min="8716" max="8716" width="17.6640625" style="1" customWidth="1"/>
    <col min="8717" max="8721" width="0" style="1" hidden="1" customWidth="1"/>
    <col min="8722" max="8960" width="8.88671875" style="1"/>
    <col min="8961" max="8961" width="3.109375" style="1" customWidth="1"/>
    <col min="8962" max="8963" width="19.6640625" style="1" customWidth="1"/>
    <col min="8964" max="8964" width="14.109375" style="1" customWidth="1"/>
    <col min="8965" max="8965" width="16" style="1" customWidth="1"/>
    <col min="8966" max="8968" width="14.109375" style="1" customWidth="1"/>
    <col min="8969" max="8969" width="17.109375" style="1" customWidth="1"/>
    <col min="8970" max="8971" width="14.109375" style="1" customWidth="1"/>
    <col min="8972" max="8972" width="17.6640625" style="1" customWidth="1"/>
    <col min="8973" max="8977" width="0" style="1" hidden="1" customWidth="1"/>
    <col min="8978" max="9216" width="8.88671875" style="1"/>
    <col min="9217" max="9217" width="3.109375" style="1" customWidth="1"/>
    <col min="9218" max="9219" width="19.6640625" style="1" customWidth="1"/>
    <col min="9220" max="9220" width="14.109375" style="1" customWidth="1"/>
    <col min="9221" max="9221" width="16" style="1" customWidth="1"/>
    <col min="9222" max="9224" width="14.109375" style="1" customWidth="1"/>
    <col min="9225" max="9225" width="17.109375" style="1" customWidth="1"/>
    <col min="9226" max="9227" width="14.109375" style="1" customWidth="1"/>
    <col min="9228" max="9228" width="17.6640625" style="1" customWidth="1"/>
    <col min="9229" max="9233" width="0" style="1" hidden="1" customWidth="1"/>
    <col min="9234" max="9472" width="8.88671875" style="1"/>
    <col min="9473" max="9473" width="3.109375" style="1" customWidth="1"/>
    <col min="9474" max="9475" width="19.6640625" style="1" customWidth="1"/>
    <col min="9476" max="9476" width="14.109375" style="1" customWidth="1"/>
    <col min="9477" max="9477" width="16" style="1" customWidth="1"/>
    <col min="9478" max="9480" width="14.109375" style="1" customWidth="1"/>
    <col min="9481" max="9481" width="17.109375" style="1" customWidth="1"/>
    <col min="9482" max="9483" width="14.109375" style="1" customWidth="1"/>
    <col min="9484" max="9484" width="17.6640625" style="1" customWidth="1"/>
    <col min="9485" max="9489" width="0" style="1" hidden="1" customWidth="1"/>
    <col min="9490" max="9728" width="8.88671875" style="1"/>
    <col min="9729" max="9729" width="3.109375" style="1" customWidth="1"/>
    <col min="9730" max="9731" width="19.6640625" style="1" customWidth="1"/>
    <col min="9732" max="9732" width="14.109375" style="1" customWidth="1"/>
    <col min="9733" max="9733" width="16" style="1" customWidth="1"/>
    <col min="9734" max="9736" width="14.109375" style="1" customWidth="1"/>
    <col min="9737" max="9737" width="17.109375" style="1" customWidth="1"/>
    <col min="9738" max="9739" width="14.109375" style="1" customWidth="1"/>
    <col min="9740" max="9740" width="17.6640625" style="1" customWidth="1"/>
    <col min="9741" max="9745" width="0" style="1" hidden="1" customWidth="1"/>
    <col min="9746" max="9984" width="8.88671875" style="1"/>
    <col min="9985" max="9985" width="3.109375" style="1" customWidth="1"/>
    <col min="9986" max="9987" width="19.6640625" style="1" customWidth="1"/>
    <col min="9988" max="9988" width="14.109375" style="1" customWidth="1"/>
    <col min="9989" max="9989" width="16" style="1" customWidth="1"/>
    <col min="9990" max="9992" width="14.109375" style="1" customWidth="1"/>
    <col min="9993" max="9993" width="17.109375" style="1" customWidth="1"/>
    <col min="9994" max="9995" width="14.109375" style="1" customWidth="1"/>
    <col min="9996" max="9996" width="17.6640625" style="1" customWidth="1"/>
    <col min="9997" max="10001" width="0" style="1" hidden="1" customWidth="1"/>
    <col min="10002" max="10240" width="8.88671875" style="1"/>
    <col min="10241" max="10241" width="3.109375" style="1" customWidth="1"/>
    <col min="10242" max="10243" width="19.6640625" style="1" customWidth="1"/>
    <col min="10244" max="10244" width="14.109375" style="1" customWidth="1"/>
    <col min="10245" max="10245" width="16" style="1" customWidth="1"/>
    <col min="10246" max="10248" width="14.109375" style="1" customWidth="1"/>
    <col min="10249" max="10249" width="17.109375" style="1" customWidth="1"/>
    <col min="10250" max="10251" width="14.109375" style="1" customWidth="1"/>
    <col min="10252" max="10252" width="17.6640625" style="1" customWidth="1"/>
    <col min="10253" max="10257" width="0" style="1" hidden="1" customWidth="1"/>
    <col min="10258" max="10496" width="8.88671875" style="1"/>
    <col min="10497" max="10497" width="3.109375" style="1" customWidth="1"/>
    <col min="10498" max="10499" width="19.6640625" style="1" customWidth="1"/>
    <col min="10500" max="10500" width="14.109375" style="1" customWidth="1"/>
    <col min="10501" max="10501" width="16" style="1" customWidth="1"/>
    <col min="10502" max="10504" width="14.109375" style="1" customWidth="1"/>
    <col min="10505" max="10505" width="17.109375" style="1" customWidth="1"/>
    <col min="10506" max="10507" width="14.109375" style="1" customWidth="1"/>
    <col min="10508" max="10508" width="17.6640625" style="1" customWidth="1"/>
    <col min="10509" max="10513" width="0" style="1" hidden="1" customWidth="1"/>
    <col min="10514" max="10752" width="8.88671875" style="1"/>
    <col min="10753" max="10753" width="3.109375" style="1" customWidth="1"/>
    <col min="10754" max="10755" width="19.6640625" style="1" customWidth="1"/>
    <col min="10756" max="10756" width="14.109375" style="1" customWidth="1"/>
    <col min="10757" max="10757" width="16" style="1" customWidth="1"/>
    <col min="10758" max="10760" width="14.109375" style="1" customWidth="1"/>
    <col min="10761" max="10761" width="17.109375" style="1" customWidth="1"/>
    <col min="10762" max="10763" width="14.109375" style="1" customWidth="1"/>
    <col min="10764" max="10764" width="17.6640625" style="1" customWidth="1"/>
    <col min="10765" max="10769" width="0" style="1" hidden="1" customWidth="1"/>
    <col min="10770" max="11008" width="8.88671875" style="1"/>
    <col min="11009" max="11009" width="3.109375" style="1" customWidth="1"/>
    <col min="11010" max="11011" width="19.6640625" style="1" customWidth="1"/>
    <col min="11012" max="11012" width="14.109375" style="1" customWidth="1"/>
    <col min="11013" max="11013" width="16" style="1" customWidth="1"/>
    <col min="11014" max="11016" width="14.109375" style="1" customWidth="1"/>
    <col min="11017" max="11017" width="17.109375" style="1" customWidth="1"/>
    <col min="11018" max="11019" width="14.109375" style="1" customWidth="1"/>
    <col min="11020" max="11020" width="17.6640625" style="1" customWidth="1"/>
    <col min="11021" max="11025" width="0" style="1" hidden="1" customWidth="1"/>
    <col min="11026" max="11264" width="8.88671875" style="1"/>
    <col min="11265" max="11265" width="3.109375" style="1" customWidth="1"/>
    <col min="11266" max="11267" width="19.6640625" style="1" customWidth="1"/>
    <col min="11268" max="11268" width="14.109375" style="1" customWidth="1"/>
    <col min="11269" max="11269" width="16" style="1" customWidth="1"/>
    <col min="11270" max="11272" width="14.109375" style="1" customWidth="1"/>
    <col min="11273" max="11273" width="17.109375" style="1" customWidth="1"/>
    <col min="11274" max="11275" width="14.109375" style="1" customWidth="1"/>
    <col min="11276" max="11276" width="17.6640625" style="1" customWidth="1"/>
    <col min="11277" max="11281" width="0" style="1" hidden="1" customWidth="1"/>
    <col min="11282" max="11520" width="8.88671875" style="1"/>
    <col min="11521" max="11521" width="3.109375" style="1" customWidth="1"/>
    <col min="11522" max="11523" width="19.6640625" style="1" customWidth="1"/>
    <col min="11524" max="11524" width="14.109375" style="1" customWidth="1"/>
    <col min="11525" max="11525" width="16" style="1" customWidth="1"/>
    <col min="11526" max="11528" width="14.109375" style="1" customWidth="1"/>
    <col min="11529" max="11529" width="17.109375" style="1" customWidth="1"/>
    <col min="11530" max="11531" width="14.109375" style="1" customWidth="1"/>
    <col min="11532" max="11532" width="17.6640625" style="1" customWidth="1"/>
    <col min="11533" max="11537" width="0" style="1" hidden="1" customWidth="1"/>
    <col min="11538" max="11776" width="8.88671875" style="1"/>
    <col min="11777" max="11777" width="3.109375" style="1" customWidth="1"/>
    <col min="11778" max="11779" width="19.6640625" style="1" customWidth="1"/>
    <col min="11780" max="11780" width="14.109375" style="1" customWidth="1"/>
    <col min="11781" max="11781" width="16" style="1" customWidth="1"/>
    <col min="11782" max="11784" width="14.109375" style="1" customWidth="1"/>
    <col min="11785" max="11785" width="17.109375" style="1" customWidth="1"/>
    <col min="11786" max="11787" width="14.109375" style="1" customWidth="1"/>
    <col min="11788" max="11788" width="17.6640625" style="1" customWidth="1"/>
    <col min="11789" max="11793" width="0" style="1" hidden="1" customWidth="1"/>
    <col min="11794" max="12032" width="8.88671875" style="1"/>
    <col min="12033" max="12033" width="3.109375" style="1" customWidth="1"/>
    <col min="12034" max="12035" width="19.6640625" style="1" customWidth="1"/>
    <col min="12036" max="12036" width="14.109375" style="1" customWidth="1"/>
    <col min="12037" max="12037" width="16" style="1" customWidth="1"/>
    <col min="12038" max="12040" width="14.109375" style="1" customWidth="1"/>
    <col min="12041" max="12041" width="17.109375" style="1" customWidth="1"/>
    <col min="12042" max="12043" width="14.109375" style="1" customWidth="1"/>
    <col min="12044" max="12044" width="17.6640625" style="1" customWidth="1"/>
    <col min="12045" max="12049" width="0" style="1" hidden="1" customWidth="1"/>
    <col min="12050" max="12288" width="8.88671875" style="1"/>
    <col min="12289" max="12289" width="3.109375" style="1" customWidth="1"/>
    <col min="12290" max="12291" width="19.6640625" style="1" customWidth="1"/>
    <col min="12292" max="12292" width="14.109375" style="1" customWidth="1"/>
    <col min="12293" max="12293" width="16" style="1" customWidth="1"/>
    <col min="12294" max="12296" width="14.109375" style="1" customWidth="1"/>
    <col min="12297" max="12297" width="17.109375" style="1" customWidth="1"/>
    <col min="12298" max="12299" width="14.109375" style="1" customWidth="1"/>
    <col min="12300" max="12300" width="17.6640625" style="1" customWidth="1"/>
    <col min="12301" max="12305" width="0" style="1" hidden="1" customWidth="1"/>
    <col min="12306" max="12544" width="8.88671875" style="1"/>
    <col min="12545" max="12545" width="3.109375" style="1" customWidth="1"/>
    <col min="12546" max="12547" width="19.6640625" style="1" customWidth="1"/>
    <col min="12548" max="12548" width="14.109375" style="1" customWidth="1"/>
    <col min="12549" max="12549" width="16" style="1" customWidth="1"/>
    <col min="12550" max="12552" width="14.109375" style="1" customWidth="1"/>
    <col min="12553" max="12553" width="17.109375" style="1" customWidth="1"/>
    <col min="12554" max="12555" width="14.109375" style="1" customWidth="1"/>
    <col min="12556" max="12556" width="17.6640625" style="1" customWidth="1"/>
    <col min="12557" max="12561" width="0" style="1" hidden="1" customWidth="1"/>
    <col min="12562" max="12800" width="8.88671875" style="1"/>
    <col min="12801" max="12801" width="3.109375" style="1" customWidth="1"/>
    <col min="12802" max="12803" width="19.6640625" style="1" customWidth="1"/>
    <col min="12804" max="12804" width="14.109375" style="1" customWidth="1"/>
    <col min="12805" max="12805" width="16" style="1" customWidth="1"/>
    <col min="12806" max="12808" width="14.109375" style="1" customWidth="1"/>
    <col min="12809" max="12809" width="17.109375" style="1" customWidth="1"/>
    <col min="12810" max="12811" width="14.109375" style="1" customWidth="1"/>
    <col min="12812" max="12812" width="17.6640625" style="1" customWidth="1"/>
    <col min="12813" max="12817" width="0" style="1" hidden="1" customWidth="1"/>
    <col min="12818" max="13056" width="8.88671875" style="1"/>
    <col min="13057" max="13057" width="3.109375" style="1" customWidth="1"/>
    <col min="13058" max="13059" width="19.6640625" style="1" customWidth="1"/>
    <col min="13060" max="13060" width="14.109375" style="1" customWidth="1"/>
    <col min="13061" max="13061" width="16" style="1" customWidth="1"/>
    <col min="13062" max="13064" width="14.109375" style="1" customWidth="1"/>
    <col min="13065" max="13065" width="17.109375" style="1" customWidth="1"/>
    <col min="13066" max="13067" width="14.109375" style="1" customWidth="1"/>
    <col min="13068" max="13068" width="17.6640625" style="1" customWidth="1"/>
    <col min="13069" max="13073" width="0" style="1" hidden="1" customWidth="1"/>
    <col min="13074" max="13312" width="8.88671875" style="1"/>
    <col min="13313" max="13313" width="3.109375" style="1" customWidth="1"/>
    <col min="13314" max="13315" width="19.6640625" style="1" customWidth="1"/>
    <col min="13316" max="13316" width="14.109375" style="1" customWidth="1"/>
    <col min="13317" max="13317" width="16" style="1" customWidth="1"/>
    <col min="13318" max="13320" width="14.109375" style="1" customWidth="1"/>
    <col min="13321" max="13321" width="17.109375" style="1" customWidth="1"/>
    <col min="13322" max="13323" width="14.109375" style="1" customWidth="1"/>
    <col min="13324" max="13324" width="17.6640625" style="1" customWidth="1"/>
    <col min="13325" max="13329" width="0" style="1" hidden="1" customWidth="1"/>
    <col min="13330" max="13568" width="8.88671875" style="1"/>
    <col min="13569" max="13569" width="3.109375" style="1" customWidth="1"/>
    <col min="13570" max="13571" width="19.6640625" style="1" customWidth="1"/>
    <col min="13572" max="13572" width="14.109375" style="1" customWidth="1"/>
    <col min="13573" max="13573" width="16" style="1" customWidth="1"/>
    <col min="13574" max="13576" width="14.109375" style="1" customWidth="1"/>
    <col min="13577" max="13577" width="17.109375" style="1" customWidth="1"/>
    <col min="13578" max="13579" width="14.109375" style="1" customWidth="1"/>
    <col min="13580" max="13580" width="17.6640625" style="1" customWidth="1"/>
    <col min="13581" max="13585" width="0" style="1" hidden="1" customWidth="1"/>
    <col min="13586" max="13824" width="8.88671875" style="1"/>
    <col min="13825" max="13825" width="3.109375" style="1" customWidth="1"/>
    <col min="13826" max="13827" width="19.6640625" style="1" customWidth="1"/>
    <col min="13828" max="13828" width="14.109375" style="1" customWidth="1"/>
    <col min="13829" max="13829" width="16" style="1" customWidth="1"/>
    <col min="13830" max="13832" width="14.109375" style="1" customWidth="1"/>
    <col min="13833" max="13833" width="17.109375" style="1" customWidth="1"/>
    <col min="13834" max="13835" width="14.109375" style="1" customWidth="1"/>
    <col min="13836" max="13836" width="17.6640625" style="1" customWidth="1"/>
    <col min="13837" max="13841" width="0" style="1" hidden="1" customWidth="1"/>
    <col min="13842" max="14080" width="8.88671875" style="1"/>
    <col min="14081" max="14081" width="3.109375" style="1" customWidth="1"/>
    <col min="14082" max="14083" width="19.6640625" style="1" customWidth="1"/>
    <col min="14084" max="14084" width="14.109375" style="1" customWidth="1"/>
    <col min="14085" max="14085" width="16" style="1" customWidth="1"/>
    <col min="14086" max="14088" width="14.109375" style="1" customWidth="1"/>
    <col min="14089" max="14089" width="17.109375" style="1" customWidth="1"/>
    <col min="14090" max="14091" width="14.109375" style="1" customWidth="1"/>
    <col min="14092" max="14092" width="17.6640625" style="1" customWidth="1"/>
    <col min="14093" max="14097" width="0" style="1" hidden="1" customWidth="1"/>
    <col min="14098" max="14336" width="8.88671875" style="1"/>
    <col min="14337" max="14337" width="3.109375" style="1" customWidth="1"/>
    <col min="14338" max="14339" width="19.6640625" style="1" customWidth="1"/>
    <col min="14340" max="14340" width="14.109375" style="1" customWidth="1"/>
    <col min="14341" max="14341" width="16" style="1" customWidth="1"/>
    <col min="14342" max="14344" width="14.109375" style="1" customWidth="1"/>
    <col min="14345" max="14345" width="17.109375" style="1" customWidth="1"/>
    <col min="14346" max="14347" width="14.109375" style="1" customWidth="1"/>
    <col min="14348" max="14348" width="17.6640625" style="1" customWidth="1"/>
    <col min="14349" max="14353" width="0" style="1" hidden="1" customWidth="1"/>
    <col min="14354" max="14592" width="8.88671875" style="1"/>
    <col min="14593" max="14593" width="3.109375" style="1" customWidth="1"/>
    <col min="14594" max="14595" width="19.6640625" style="1" customWidth="1"/>
    <col min="14596" max="14596" width="14.109375" style="1" customWidth="1"/>
    <col min="14597" max="14597" width="16" style="1" customWidth="1"/>
    <col min="14598" max="14600" width="14.109375" style="1" customWidth="1"/>
    <col min="14601" max="14601" width="17.109375" style="1" customWidth="1"/>
    <col min="14602" max="14603" width="14.109375" style="1" customWidth="1"/>
    <col min="14604" max="14604" width="17.6640625" style="1" customWidth="1"/>
    <col min="14605" max="14609" width="0" style="1" hidden="1" customWidth="1"/>
    <col min="14610" max="14848" width="8.88671875" style="1"/>
    <col min="14849" max="14849" width="3.109375" style="1" customWidth="1"/>
    <col min="14850" max="14851" width="19.6640625" style="1" customWidth="1"/>
    <col min="14852" max="14852" width="14.109375" style="1" customWidth="1"/>
    <col min="14853" max="14853" width="16" style="1" customWidth="1"/>
    <col min="14854" max="14856" width="14.109375" style="1" customWidth="1"/>
    <col min="14857" max="14857" width="17.109375" style="1" customWidth="1"/>
    <col min="14858" max="14859" width="14.109375" style="1" customWidth="1"/>
    <col min="14860" max="14860" width="17.6640625" style="1" customWidth="1"/>
    <col min="14861" max="14865" width="0" style="1" hidden="1" customWidth="1"/>
    <col min="14866" max="15104" width="8.88671875" style="1"/>
    <col min="15105" max="15105" width="3.109375" style="1" customWidth="1"/>
    <col min="15106" max="15107" width="19.6640625" style="1" customWidth="1"/>
    <col min="15108" max="15108" width="14.109375" style="1" customWidth="1"/>
    <col min="15109" max="15109" width="16" style="1" customWidth="1"/>
    <col min="15110" max="15112" width="14.109375" style="1" customWidth="1"/>
    <col min="15113" max="15113" width="17.109375" style="1" customWidth="1"/>
    <col min="15114" max="15115" width="14.109375" style="1" customWidth="1"/>
    <col min="15116" max="15116" width="17.6640625" style="1" customWidth="1"/>
    <col min="15117" max="15121" width="0" style="1" hidden="1" customWidth="1"/>
    <col min="15122" max="15360" width="8.88671875" style="1"/>
    <col min="15361" max="15361" width="3.109375" style="1" customWidth="1"/>
    <col min="15362" max="15363" width="19.6640625" style="1" customWidth="1"/>
    <col min="15364" max="15364" width="14.109375" style="1" customWidth="1"/>
    <col min="15365" max="15365" width="16" style="1" customWidth="1"/>
    <col min="15366" max="15368" width="14.109375" style="1" customWidth="1"/>
    <col min="15369" max="15369" width="17.109375" style="1" customWidth="1"/>
    <col min="15370" max="15371" width="14.109375" style="1" customWidth="1"/>
    <col min="15372" max="15372" width="17.6640625" style="1" customWidth="1"/>
    <col min="15373" max="15377" width="0" style="1" hidden="1" customWidth="1"/>
    <col min="15378" max="15616" width="8.88671875" style="1"/>
    <col min="15617" max="15617" width="3.109375" style="1" customWidth="1"/>
    <col min="15618" max="15619" width="19.6640625" style="1" customWidth="1"/>
    <col min="15620" max="15620" width="14.109375" style="1" customWidth="1"/>
    <col min="15621" max="15621" width="16" style="1" customWidth="1"/>
    <col min="15622" max="15624" width="14.109375" style="1" customWidth="1"/>
    <col min="15625" max="15625" width="17.109375" style="1" customWidth="1"/>
    <col min="15626" max="15627" width="14.109375" style="1" customWidth="1"/>
    <col min="15628" max="15628" width="17.6640625" style="1" customWidth="1"/>
    <col min="15629" max="15633" width="0" style="1" hidden="1" customWidth="1"/>
    <col min="15634" max="15872" width="8.88671875" style="1"/>
    <col min="15873" max="15873" width="3.109375" style="1" customWidth="1"/>
    <col min="15874" max="15875" width="19.6640625" style="1" customWidth="1"/>
    <col min="15876" max="15876" width="14.109375" style="1" customWidth="1"/>
    <col min="15877" max="15877" width="16" style="1" customWidth="1"/>
    <col min="15878" max="15880" width="14.109375" style="1" customWidth="1"/>
    <col min="15881" max="15881" width="17.109375" style="1" customWidth="1"/>
    <col min="15882" max="15883" width="14.109375" style="1" customWidth="1"/>
    <col min="15884" max="15884" width="17.6640625" style="1" customWidth="1"/>
    <col min="15885" max="15889" width="0" style="1" hidden="1" customWidth="1"/>
    <col min="15890" max="16128" width="8.88671875" style="1"/>
    <col min="16129" max="16129" width="3.109375" style="1" customWidth="1"/>
    <col min="16130" max="16131" width="19.6640625" style="1" customWidth="1"/>
    <col min="16132" max="16132" width="14.109375" style="1" customWidth="1"/>
    <col min="16133" max="16133" width="16" style="1" customWidth="1"/>
    <col min="16134" max="16136" width="14.109375" style="1" customWidth="1"/>
    <col min="16137" max="16137" width="17.109375" style="1" customWidth="1"/>
    <col min="16138" max="16139" width="14.109375" style="1" customWidth="1"/>
    <col min="16140" max="16140" width="17.6640625" style="1" customWidth="1"/>
    <col min="16141" max="16145" width="0" style="1" hidden="1" customWidth="1"/>
    <col min="16146" max="16384" width="8.88671875" style="1"/>
  </cols>
  <sheetData>
    <row r="2" spans="2:14">
      <c r="G2" s="2"/>
      <c r="H2" s="2"/>
      <c r="I2" s="2"/>
      <c r="J2" s="2"/>
    </row>
    <row r="3" spans="2:14" ht="17.25" thickBot="1">
      <c r="B3" s="3" t="s">
        <v>0</v>
      </c>
      <c r="C3" s="3"/>
      <c r="D3" s="3"/>
      <c r="E3" s="3"/>
      <c r="F3" s="3"/>
      <c r="G3" s="4" t="s">
        <v>1</v>
      </c>
      <c r="H3" s="5"/>
      <c r="I3" s="6"/>
      <c r="J3" s="7"/>
      <c r="K3" s="8">
        <v>43313</v>
      </c>
    </row>
    <row r="4" spans="2:14" ht="17.25" thickBot="1">
      <c r="B4" s="9" t="s">
        <v>2</v>
      </c>
      <c r="C4" s="10" t="s">
        <v>3</v>
      </c>
      <c r="D4" s="10" t="s">
        <v>4</v>
      </c>
      <c r="E4" s="11" t="s">
        <v>5</v>
      </c>
      <c r="F4" s="12"/>
      <c r="G4" s="13"/>
      <c r="H4" s="14" t="s">
        <v>6</v>
      </c>
      <c r="I4" s="14" t="s">
        <v>7</v>
      </c>
      <c r="J4" s="14" t="s">
        <v>8</v>
      </c>
      <c r="K4" s="15"/>
      <c r="L4" s="16"/>
    </row>
    <row r="5" spans="2:14">
      <c r="B5" s="17" t="s">
        <v>9</v>
      </c>
      <c r="C5" s="18">
        <f>'BVT 선적계획'!L7</f>
        <v>0</v>
      </c>
      <c r="D5" s="19">
        <f>'ETP 선적계획'!L7</f>
        <v>0</v>
      </c>
      <c r="E5" s="20">
        <f>C5+D5</f>
        <v>0</v>
      </c>
      <c r="F5" s="21"/>
      <c r="G5" s="22" t="s">
        <v>10</v>
      </c>
      <c r="H5" s="23"/>
      <c r="I5" s="23"/>
      <c r="J5" s="23">
        <v>393557.46</v>
      </c>
      <c r="K5" s="24"/>
    </row>
    <row r="6" spans="2:14" ht="14.25" thickBot="1">
      <c r="B6" s="25" t="s">
        <v>11</v>
      </c>
      <c r="C6" s="26">
        <f>'BVT 선적계획'!M7</f>
        <v>0</v>
      </c>
      <c r="D6" s="27">
        <f>'ETP 선적계획'!M7</f>
        <v>0</v>
      </c>
      <c r="E6" s="28">
        <f>C6+D6</f>
        <v>0</v>
      </c>
      <c r="F6" s="21"/>
      <c r="G6" s="22" t="s">
        <v>12</v>
      </c>
      <c r="H6" s="23">
        <v>10730178.749999981</v>
      </c>
      <c r="I6" s="23">
        <v>5724683.4799999949</v>
      </c>
      <c r="J6" s="23">
        <v>5005495.2699999865</v>
      </c>
      <c r="K6" s="24"/>
    </row>
    <row r="7" spans="2:14" ht="14.25" thickBot="1">
      <c r="B7" s="29" t="s">
        <v>83</v>
      </c>
      <c r="C7" s="30"/>
      <c r="D7" s="30"/>
      <c r="E7" s="31">
        <f>C7+D7</f>
        <v>0</v>
      </c>
      <c r="F7" s="21"/>
      <c r="G7" s="22" t="s">
        <v>13</v>
      </c>
      <c r="H7" s="32">
        <v>341408.33000001311</v>
      </c>
      <c r="I7" s="23"/>
      <c r="J7" s="23"/>
      <c r="K7" s="24"/>
    </row>
    <row r="8" spans="2:14" ht="17.25" thickBot="1">
      <c r="B8" s="40" t="s">
        <v>17</v>
      </c>
      <c r="C8" s="41">
        <f>C5-C6</f>
        <v>0</v>
      </c>
      <c r="D8" s="41">
        <f>D5-D6</f>
        <v>0</v>
      </c>
      <c r="E8" s="41">
        <f>SUM(E6:E7)</f>
        <v>0</v>
      </c>
      <c r="F8" s="12"/>
      <c r="G8" s="22"/>
      <c r="H8" s="32"/>
      <c r="I8" s="23"/>
      <c r="J8" s="23"/>
      <c r="K8" s="24"/>
    </row>
    <row r="9" spans="2:14">
      <c r="F9" s="21"/>
      <c r="G9" s="35"/>
      <c r="H9" s="36">
        <v>11071587.079999994</v>
      </c>
      <c r="I9" s="36">
        <v>5724683.4799999949</v>
      </c>
      <c r="J9" s="36">
        <v>5399052.7299999865</v>
      </c>
      <c r="K9" s="24"/>
    </row>
    <row r="10" spans="2:14" ht="17.25" thickBot="1">
      <c r="F10" s="21"/>
      <c r="G10" s="38"/>
      <c r="H10" s="38"/>
      <c r="I10" s="38"/>
      <c r="J10" s="39"/>
      <c r="K10" s="24"/>
    </row>
    <row r="11" spans="2:14" ht="17.25" thickBot="1">
      <c r="B11" s="9" t="s">
        <v>2</v>
      </c>
      <c r="C11" s="10" t="s">
        <v>14</v>
      </c>
      <c r="D11" s="10" t="s">
        <v>84</v>
      </c>
      <c r="E11" s="11" t="s">
        <v>5</v>
      </c>
      <c r="F11" s="42"/>
      <c r="G11" s="3"/>
      <c r="H11" s="3"/>
      <c r="I11" s="3"/>
      <c r="J11" s="3"/>
    </row>
    <row r="12" spans="2:14" ht="17.25" thickBot="1">
      <c r="B12" s="9" t="s">
        <v>15</v>
      </c>
      <c r="C12" s="33">
        <f>('BVT 선적계획'!W7+'BVT 선적계획'!X7) + ('ETP 선적계획'!W7+'ETP 선적계획'!X7)</f>
        <v>0</v>
      </c>
      <c r="D12" s="34"/>
      <c r="E12" s="31">
        <f>SUM(C12:D12)</f>
        <v>0</v>
      </c>
      <c r="F12" s="3"/>
      <c r="G12" s="3"/>
      <c r="H12" s="3"/>
      <c r="I12" s="3"/>
      <c r="J12" s="3"/>
    </row>
    <row r="13" spans="2:14" ht="17.25" thickBot="1">
      <c r="B13" s="9" t="s">
        <v>16</v>
      </c>
      <c r="C13" s="37">
        <f>-F23</f>
        <v>0</v>
      </c>
      <c r="D13" s="37"/>
      <c r="E13" s="31">
        <f>SUM(C13:D13)</f>
        <v>0</v>
      </c>
      <c r="F13" s="3"/>
      <c r="G13" s="3"/>
      <c r="H13" s="3"/>
      <c r="I13" s="3"/>
      <c r="J13" s="3"/>
    </row>
    <row r="14" spans="2:14" ht="17.25" thickBot="1">
      <c r="B14" s="40" t="s">
        <v>17</v>
      </c>
      <c r="C14" s="41">
        <f>SUM(C12:C13)</f>
        <v>0</v>
      </c>
      <c r="D14" s="41">
        <f>SUM(D12:D13)</f>
        <v>0</v>
      </c>
      <c r="E14" s="41">
        <f>SUM(E12:E13)</f>
        <v>0</v>
      </c>
      <c r="F14" s="3"/>
      <c r="G14" s="3"/>
      <c r="H14" s="3"/>
      <c r="I14" s="3"/>
      <c r="J14" s="3"/>
    </row>
    <row r="15" spans="2:14" ht="17.25" thickBot="1">
      <c r="B15" s="3"/>
      <c r="C15" s="3"/>
      <c r="D15" s="3"/>
      <c r="E15" s="3"/>
      <c r="F15" s="3"/>
      <c r="G15" s="3"/>
      <c r="H15" s="3"/>
      <c r="I15" s="3"/>
      <c r="J15" s="3"/>
    </row>
    <row r="16" spans="2:14" ht="17.25" thickBot="1">
      <c r="B16" s="3"/>
      <c r="C16" s="3"/>
      <c r="D16" s="3"/>
      <c r="E16" s="3"/>
      <c r="F16" s="3"/>
      <c r="G16" s="3"/>
      <c r="H16" s="3"/>
      <c r="I16" s="3"/>
      <c r="J16" s="3"/>
      <c r="L16" s="43" t="s">
        <v>19</v>
      </c>
      <c r="N16" s="44" t="e">
        <f>#REF!-533000</f>
        <v>#REF!</v>
      </c>
    </row>
    <row r="17" spans="2:17" ht="17.25" thickBot="1">
      <c r="B17" s="3" t="s">
        <v>18</v>
      </c>
      <c r="C17" s="3"/>
      <c r="D17" s="3"/>
      <c r="E17" s="3"/>
      <c r="F17" s="3"/>
      <c r="G17" s="3"/>
      <c r="H17" s="3"/>
      <c r="I17" s="3"/>
      <c r="J17" s="3"/>
      <c r="L17" s="43" t="s">
        <v>19</v>
      </c>
      <c r="N17" s="44" t="e">
        <f>#REF!-533000</f>
        <v>#REF!</v>
      </c>
    </row>
    <row r="18" spans="2:17" ht="14.25" thickBot="1">
      <c r="B18" s="233" t="s">
        <v>20</v>
      </c>
      <c r="C18" s="233" t="s">
        <v>21</v>
      </c>
      <c r="D18" s="235" t="s">
        <v>22</v>
      </c>
      <c r="E18" s="236"/>
      <c r="F18" s="236"/>
      <c r="G18" s="236"/>
      <c r="H18" s="236"/>
      <c r="I18" s="236"/>
      <c r="J18" s="236"/>
      <c r="K18" s="237"/>
      <c r="L18" s="45" t="s">
        <v>17</v>
      </c>
    </row>
    <row r="19" spans="2:17" ht="14.25" thickBot="1">
      <c r="B19" s="234"/>
      <c r="C19" s="234"/>
      <c r="D19" s="46" t="s">
        <v>23</v>
      </c>
      <c r="E19" s="47" t="s">
        <v>24</v>
      </c>
      <c r="F19" s="48" t="s">
        <v>25</v>
      </c>
      <c r="G19" s="48"/>
      <c r="H19" s="47" t="s">
        <v>26</v>
      </c>
      <c r="I19" s="47" t="s">
        <v>27</v>
      </c>
      <c r="J19" s="47" t="s">
        <v>28</v>
      </c>
      <c r="K19" s="47" t="s">
        <v>29</v>
      </c>
      <c r="L19" s="49"/>
      <c r="N19" s="50" t="s">
        <v>30</v>
      </c>
      <c r="O19" s="50">
        <v>7</v>
      </c>
      <c r="P19" s="50">
        <v>8</v>
      </c>
      <c r="Q19" s="50">
        <v>9</v>
      </c>
    </row>
    <row r="20" spans="2:17" ht="14.25" thickBot="1">
      <c r="B20" s="51">
        <f>C5</f>
        <v>0</v>
      </c>
      <c r="C20" s="52" t="s">
        <v>82</v>
      </c>
      <c r="D20" s="210">
        <f>'BVT 선적계획'!U7</f>
        <v>0</v>
      </c>
      <c r="E20" s="211">
        <f>'BVT 선적계획'!V7</f>
        <v>0</v>
      </c>
      <c r="F20" s="44">
        <f>'BVT 선적계획'!W7</f>
        <v>0</v>
      </c>
      <c r="G20" s="53">
        <f>'BVT 선적계획'!X7</f>
        <v>0</v>
      </c>
      <c r="H20" s="53">
        <f>'BVT 선적계획'!Y7</f>
        <v>0</v>
      </c>
      <c r="I20" s="53">
        <f>'BVT 선적계획'!Z7</f>
        <v>0</v>
      </c>
      <c r="J20" s="54">
        <f>'BVT 선적계획'!AA7</f>
        <v>0</v>
      </c>
      <c r="K20" s="55">
        <f>'BVT 선적계획'!AB7</f>
        <v>0</v>
      </c>
      <c r="L20" s="56">
        <f t="shared" ref="L20:L25" si="0">SUM(D20:K20)</f>
        <v>0</v>
      </c>
      <c r="N20" s="50" t="s">
        <v>31</v>
      </c>
      <c r="O20" s="57">
        <v>586414</v>
      </c>
      <c r="P20" s="58">
        <v>412657</v>
      </c>
      <c r="Q20" s="58"/>
    </row>
    <row r="21" spans="2:17" ht="14.25" thickBot="1">
      <c r="B21" s="59">
        <f>D5</f>
        <v>0</v>
      </c>
      <c r="C21" s="60" t="s">
        <v>32</v>
      </c>
      <c r="D21" s="212">
        <f>'ETP 선적계획'!U7</f>
        <v>0</v>
      </c>
      <c r="E21" s="212">
        <f>'ETP 선적계획'!V7</f>
        <v>0</v>
      </c>
      <c r="F21" s="61">
        <f>'ETP 선적계획'!W7</f>
        <v>0</v>
      </c>
      <c r="G21" s="61">
        <f>'ETP 선적계획'!X7</f>
        <v>0</v>
      </c>
      <c r="H21" s="62">
        <f>'ETP 선적계획'!Y7</f>
        <v>0</v>
      </c>
      <c r="I21" s="61">
        <f>'ETP 선적계획'!Z7</f>
        <v>0</v>
      </c>
      <c r="J21" s="63">
        <f>'ETP 선적계획'!AA7</f>
        <v>0</v>
      </c>
      <c r="K21" s="64">
        <f>'ETP 선적계획'!AB7</f>
        <v>0</v>
      </c>
      <c r="L21" s="56">
        <f t="shared" si="0"/>
        <v>0</v>
      </c>
      <c r="N21" s="50" t="s">
        <v>33</v>
      </c>
      <c r="O21" s="57">
        <v>14609</v>
      </c>
      <c r="P21" s="65">
        <v>672000</v>
      </c>
      <c r="Q21" s="58">
        <v>819656</v>
      </c>
    </row>
    <row r="22" spans="2:17" ht="14.25" thickBot="1">
      <c r="B22" s="66"/>
      <c r="C22" s="67" t="s">
        <v>34</v>
      </c>
      <c r="D22" s="68" t="s">
        <v>35</v>
      </c>
      <c r="E22" s="68"/>
      <c r="F22" s="69"/>
      <c r="G22" s="70"/>
      <c r="H22" s="70"/>
      <c r="I22" s="70"/>
      <c r="J22" s="71"/>
      <c r="K22" s="72"/>
      <c r="L22" s="56">
        <f t="shared" si="0"/>
        <v>0</v>
      </c>
      <c r="N22" s="50"/>
      <c r="O22" s="57"/>
      <c r="P22" s="58"/>
      <c r="Q22" s="58"/>
    </row>
    <row r="23" spans="2:17" ht="17.25" thickBot="1">
      <c r="B23" s="73"/>
      <c r="C23" s="74" t="s">
        <v>36</v>
      </c>
      <c r="D23" s="75"/>
      <c r="E23" s="75"/>
      <c r="F23" s="76"/>
      <c r="G23" s="77"/>
      <c r="H23" s="77"/>
      <c r="I23" s="77"/>
      <c r="J23" s="78"/>
      <c r="K23" s="79"/>
      <c r="L23" s="80">
        <f t="shared" si="0"/>
        <v>0</v>
      </c>
      <c r="N23" s="81" t="s">
        <v>37</v>
      </c>
      <c r="O23" s="82"/>
      <c r="P23" s="83" t="e">
        <f>SUM('BVT 선적계획'!#REF!)</f>
        <v>#REF!</v>
      </c>
      <c r="Q23" s="84" t="e">
        <f>SUM('BVT 선적계획'!#REF!)</f>
        <v>#REF!</v>
      </c>
    </row>
    <row r="24" spans="2:17" ht="14.25" thickBot="1">
      <c r="B24" s="238"/>
      <c r="C24" s="239"/>
      <c r="D24" s="85"/>
      <c r="E24" s="85"/>
      <c r="F24" s="85"/>
      <c r="G24" s="86"/>
      <c r="H24" s="87"/>
      <c r="I24" s="87"/>
      <c r="J24" s="88"/>
      <c r="K24" s="89"/>
      <c r="L24" s="56">
        <f t="shared" si="0"/>
        <v>0</v>
      </c>
      <c r="N24" s="50" t="s">
        <v>30</v>
      </c>
      <c r="O24" s="50">
        <v>7</v>
      </c>
      <c r="P24" s="50">
        <v>8</v>
      </c>
      <c r="Q24" s="50">
        <v>9</v>
      </c>
    </row>
    <row r="25" spans="2:17" s="91" customFormat="1" ht="17.25" thickBot="1">
      <c r="B25" s="240" t="s">
        <v>38</v>
      </c>
      <c r="C25" s="241"/>
      <c r="D25" s="90">
        <f>SUM(D20:D24)</f>
        <v>0</v>
      </c>
      <c r="E25" s="90">
        <f t="shared" ref="E25:K25" si="1">SUM(E20:E24)</f>
        <v>0</v>
      </c>
      <c r="F25" s="90">
        <f t="shared" si="1"/>
        <v>0</v>
      </c>
      <c r="G25" s="90">
        <f t="shared" si="1"/>
        <v>0</v>
      </c>
      <c r="H25" s="90">
        <f t="shared" si="1"/>
        <v>0</v>
      </c>
      <c r="I25" s="90">
        <f t="shared" si="1"/>
        <v>0</v>
      </c>
      <c r="J25" s="90">
        <f t="shared" si="1"/>
        <v>0</v>
      </c>
      <c r="K25" s="90">
        <f t="shared" si="1"/>
        <v>0</v>
      </c>
      <c r="L25" s="56">
        <f t="shared" si="0"/>
        <v>0</v>
      </c>
      <c r="N25" s="50" t="s">
        <v>31</v>
      </c>
      <c r="O25" s="57" t="s">
        <v>39</v>
      </c>
      <c r="P25" s="58" t="s">
        <v>39</v>
      </c>
      <c r="Q25" s="58" t="s">
        <v>39</v>
      </c>
    </row>
    <row r="26" spans="2:17" s="96" customFormat="1" ht="16.5">
      <c r="B26" s="1"/>
      <c r="C26" s="82"/>
      <c r="D26" s="82"/>
      <c r="E26" s="92"/>
      <c r="F26" s="93"/>
      <c r="G26" s="94"/>
      <c r="H26" s="95"/>
      <c r="I26" s="82"/>
      <c r="J26" s="82"/>
      <c r="K26" s="1"/>
      <c r="L26" s="1"/>
      <c r="N26" s="50"/>
      <c r="O26" s="97"/>
      <c r="P26" s="98"/>
      <c r="Q26" s="58"/>
    </row>
    <row r="27" spans="2:17" s="96" customFormat="1" ht="16.5" hidden="1">
      <c r="B27" s="1"/>
      <c r="C27" s="82"/>
      <c r="D27" s="82"/>
      <c r="E27" s="92"/>
      <c r="F27" s="93"/>
      <c r="G27" s="94"/>
      <c r="H27" s="95"/>
      <c r="I27" s="82"/>
      <c r="J27" s="82"/>
      <c r="K27" s="1"/>
      <c r="L27" s="1"/>
      <c r="N27" s="225"/>
      <c r="O27" s="226"/>
      <c r="P27" s="227"/>
      <c r="Q27" s="228"/>
    </row>
    <row r="28" spans="2:17" s="96" customFormat="1" ht="16.5" hidden="1">
      <c r="B28" s="1"/>
      <c r="C28" s="82"/>
      <c r="D28" s="82"/>
      <c r="E28" s="92"/>
      <c r="F28" s="93"/>
      <c r="G28" s="94"/>
      <c r="H28" s="95"/>
      <c r="I28" s="82"/>
      <c r="J28" s="82"/>
      <c r="K28" s="1"/>
      <c r="L28" s="1"/>
      <c r="N28" s="225"/>
      <c r="O28" s="226"/>
      <c r="P28" s="227"/>
      <c r="Q28" s="228"/>
    </row>
    <row r="29" spans="2:17" s="96" customFormat="1" ht="16.5" hidden="1">
      <c r="B29" s="1"/>
      <c r="C29" s="82"/>
      <c r="D29" s="82"/>
      <c r="E29" s="92"/>
      <c r="F29" s="93"/>
      <c r="G29" s="94"/>
      <c r="H29" s="95"/>
      <c r="I29" s="82"/>
      <c r="J29" s="82"/>
      <c r="K29" s="1"/>
      <c r="L29" s="1"/>
      <c r="N29" s="225"/>
      <c r="O29" s="226"/>
      <c r="P29" s="227"/>
      <c r="Q29" s="228"/>
    </row>
    <row r="30" spans="2:17" s="96" customFormat="1" ht="16.5" hidden="1">
      <c r="B30" s="1"/>
      <c r="C30" s="82"/>
      <c r="D30" s="82"/>
      <c r="E30" s="92"/>
      <c r="F30" s="93"/>
      <c r="G30" s="94"/>
      <c r="H30" s="95"/>
      <c r="I30" s="82"/>
      <c r="J30" s="82"/>
      <c r="K30" s="1"/>
      <c r="L30" s="1"/>
      <c r="N30" s="225"/>
      <c r="O30" s="226"/>
      <c r="P30" s="227"/>
      <c r="Q30" s="228"/>
    </row>
    <row r="31" spans="2:17" s="96" customFormat="1" ht="16.5" hidden="1">
      <c r="B31" s="1"/>
      <c r="C31" s="82"/>
      <c r="D31" s="82"/>
      <c r="E31" s="92"/>
      <c r="F31" s="93"/>
      <c r="G31" s="94"/>
      <c r="H31" s="95"/>
      <c r="I31" s="82"/>
      <c r="J31" s="82"/>
      <c r="K31" s="1"/>
      <c r="L31" s="1"/>
      <c r="N31" s="225"/>
      <c r="O31" s="226"/>
      <c r="P31" s="227"/>
      <c r="Q31" s="228"/>
    </row>
    <row r="32" spans="2:17" s="96" customFormat="1" ht="16.5" hidden="1">
      <c r="B32" s="1"/>
      <c r="C32" s="82"/>
      <c r="D32" s="82"/>
      <c r="E32" s="92"/>
      <c r="F32" s="93"/>
      <c r="G32" s="94"/>
      <c r="H32" s="95"/>
      <c r="I32" s="82"/>
      <c r="J32" s="82"/>
      <c r="K32" s="1"/>
      <c r="L32" s="1"/>
      <c r="N32" s="225"/>
      <c r="O32" s="226"/>
      <c r="P32" s="227"/>
      <c r="Q32" s="228"/>
    </row>
    <row r="33" spans="2:17" s="96" customFormat="1" ht="16.5" hidden="1">
      <c r="B33" s="1"/>
      <c r="C33" s="82"/>
      <c r="D33" s="82"/>
      <c r="E33" s="92"/>
      <c r="F33" s="93"/>
      <c r="G33" s="94"/>
      <c r="H33" s="95"/>
      <c r="I33" s="82"/>
      <c r="J33" s="82"/>
      <c r="K33" s="1"/>
      <c r="L33" s="1"/>
      <c r="N33" s="225"/>
      <c r="O33" s="226"/>
      <c r="P33" s="227"/>
      <c r="Q33" s="228"/>
    </row>
    <row r="34" spans="2:17" s="96" customFormat="1" ht="16.5" hidden="1">
      <c r="B34" s="1"/>
      <c r="C34" s="82"/>
      <c r="D34" s="82"/>
      <c r="E34" s="92"/>
      <c r="F34" s="93"/>
      <c r="G34" s="94"/>
      <c r="H34" s="95"/>
      <c r="I34" s="82"/>
      <c r="J34" s="82"/>
      <c r="K34" s="1"/>
      <c r="L34" s="1"/>
      <c r="N34" s="225"/>
      <c r="O34" s="226"/>
      <c r="P34" s="227"/>
      <c r="Q34" s="228"/>
    </row>
    <row r="35" spans="2:17" s="96" customFormat="1" ht="16.5" hidden="1">
      <c r="B35" s="1"/>
      <c r="C35" s="82"/>
      <c r="D35" s="82"/>
      <c r="E35" s="92"/>
      <c r="F35" s="93"/>
      <c r="G35" s="94"/>
      <c r="H35" s="95"/>
      <c r="I35" s="82"/>
      <c r="J35" s="82"/>
      <c r="K35" s="1"/>
      <c r="L35" s="1"/>
      <c r="N35" s="225"/>
      <c r="O35" s="226"/>
      <c r="P35" s="227"/>
      <c r="Q35" s="228"/>
    </row>
    <row r="36" spans="2:17" s="96" customFormat="1" ht="16.5" hidden="1">
      <c r="B36" s="1"/>
      <c r="C36" s="82"/>
      <c r="D36" s="82"/>
      <c r="E36" s="92"/>
      <c r="F36" s="93"/>
      <c r="G36" s="94"/>
      <c r="H36" s="95"/>
      <c r="I36" s="82"/>
      <c r="J36" s="82"/>
      <c r="K36" s="1"/>
      <c r="L36" s="1"/>
      <c r="N36" s="225"/>
      <c r="O36" s="226"/>
      <c r="P36" s="227"/>
      <c r="Q36" s="228"/>
    </row>
    <row r="37" spans="2:17" s="96" customFormat="1" ht="16.5" hidden="1">
      <c r="B37" s="1"/>
      <c r="C37" s="82"/>
      <c r="D37" s="82"/>
      <c r="E37" s="92"/>
      <c r="F37" s="93"/>
      <c r="G37" s="94"/>
      <c r="H37" s="95"/>
      <c r="I37" s="82"/>
      <c r="J37" s="82"/>
      <c r="K37" s="1"/>
      <c r="L37" s="1"/>
      <c r="N37" s="225"/>
      <c r="O37" s="226"/>
      <c r="P37" s="227"/>
      <c r="Q37" s="228"/>
    </row>
    <row r="38" spans="2:17" s="96" customFormat="1" ht="16.5" hidden="1">
      <c r="B38" s="1"/>
      <c r="C38" s="82"/>
      <c r="D38" s="82"/>
      <c r="E38" s="92"/>
      <c r="F38" s="93"/>
      <c r="G38" s="94"/>
      <c r="H38" s="95"/>
      <c r="I38" s="82"/>
      <c r="J38" s="82"/>
      <c r="K38" s="1"/>
      <c r="L38" s="1"/>
      <c r="N38" s="225"/>
      <c r="O38" s="226"/>
      <c r="P38" s="227"/>
      <c r="Q38" s="228"/>
    </row>
    <row r="39" spans="2:17" s="96" customFormat="1" ht="16.5" hidden="1">
      <c r="B39" s="1"/>
      <c r="C39" s="82"/>
      <c r="D39" s="82"/>
      <c r="E39" s="92"/>
      <c r="F39" s="93"/>
      <c r="G39" s="94"/>
      <c r="H39" s="95"/>
      <c r="I39" s="82"/>
      <c r="J39" s="82"/>
      <c r="K39" s="1"/>
      <c r="L39" s="1"/>
      <c r="N39" s="225"/>
      <c r="O39" s="226"/>
      <c r="P39" s="227"/>
      <c r="Q39" s="228"/>
    </row>
    <row r="40" spans="2:17" s="96" customFormat="1" ht="16.5" hidden="1">
      <c r="B40" s="1"/>
      <c r="C40" s="82"/>
      <c r="D40" s="82"/>
      <c r="E40" s="92"/>
      <c r="F40" s="93"/>
      <c r="G40" s="94"/>
      <c r="H40" s="95"/>
      <c r="I40" s="82"/>
      <c r="J40" s="82"/>
      <c r="K40" s="1"/>
      <c r="L40" s="1"/>
      <c r="N40" s="225"/>
      <c r="O40" s="226"/>
      <c r="P40" s="227"/>
      <c r="Q40" s="228"/>
    </row>
    <row r="41" spans="2:17" s="96" customFormat="1" ht="16.5" hidden="1">
      <c r="B41" s="1"/>
      <c r="C41" s="82"/>
      <c r="D41" s="82"/>
      <c r="E41" s="92"/>
      <c r="F41" s="93"/>
      <c r="G41" s="94"/>
      <c r="H41" s="95"/>
      <c r="I41" s="82"/>
      <c r="J41" s="82"/>
      <c r="K41" s="1"/>
      <c r="L41" s="1"/>
      <c r="N41" s="225"/>
      <c r="O41" s="226"/>
      <c r="P41" s="227"/>
      <c r="Q41" s="228"/>
    </row>
    <row r="42" spans="2:17" s="96" customFormat="1" ht="16.5" hidden="1">
      <c r="B42" s="1"/>
      <c r="C42" s="82"/>
      <c r="D42" s="82"/>
      <c r="E42" s="92"/>
      <c r="F42" s="93"/>
      <c r="G42" s="94"/>
      <c r="H42" s="95"/>
      <c r="I42" s="82"/>
      <c r="J42" s="82"/>
      <c r="K42" s="1"/>
      <c r="L42" s="1"/>
      <c r="N42" s="225"/>
      <c r="O42" s="226"/>
      <c r="P42" s="227"/>
      <c r="Q42" s="228"/>
    </row>
    <row r="43" spans="2:17" s="96" customFormat="1" ht="16.5" hidden="1">
      <c r="B43" s="1"/>
      <c r="C43" s="82"/>
      <c r="D43" s="82"/>
      <c r="E43" s="92"/>
      <c r="F43" s="93"/>
      <c r="G43" s="94"/>
      <c r="H43" s="95"/>
      <c r="I43" s="82"/>
      <c r="J43" s="82"/>
      <c r="K43" s="1"/>
      <c r="L43" s="1"/>
      <c r="N43" s="225"/>
      <c r="O43" s="226"/>
      <c r="P43" s="227"/>
      <c r="Q43" s="228"/>
    </row>
    <row r="44" spans="2:17" s="96" customFormat="1" ht="16.5" hidden="1">
      <c r="B44" s="1"/>
      <c r="C44" s="82"/>
      <c r="D44" s="82"/>
      <c r="E44" s="92"/>
      <c r="F44" s="93"/>
      <c r="G44" s="94"/>
      <c r="H44" s="95"/>
      <c r="I44" s="82"/>
      <c r="J44" s="82"/>
      <c r="K44" s="1"/>
      <c r="L44" s="1"/>
      <c r="N44" s="225"/>
      <c r="O44" s="226"/>
      <c r="P44" s="227"/>
      <c r="Q44" s="228"/>
    </row>
    <row r="45" spans="2:17" s="96" customFormat="1" ht="16.5" hidden="1">
      <c r="B45" s="1"/>
      <c r="C45" s="82"/>
      <c r="D45" s="82"/>
      <c r="E45" s="92"/>
      <c r="F45" s="93"/>
      <c r="G45" s="94"/>
      <c r="H45" s="95"/>
      <c r="I45" s="82"/>
      <c r="J45" s="82"/>
      <c r="K45" s="1"/>
      <c r="L45" s="1"/>
      <c r="N45" s="225"/>
      <c r="O45" s="226"/>
      <c r="P45" s="227"/>
      <c r="Q45" s="228"/>
    </row>
    <row r="46" spans="2:17" s="96" customFormat="1" ht="16.5" hidden="1">
      <c r="B46" s="1"/>
      <c r="C46" s="82"/>
      <c r="D46" s="82"/>
      <c r="E46" s="92"/>
      <c r="F46" s="93"/>
      <c r="G46" s="94"/>
      <c r="H46" s="95"/>
      <c r="I46" s="82"/>
      <c r="J46" s="82"/>
      <c r="K46" s="1"/>
      <c r="L46" s="1"/>
      <c r="N46" s="225"/>
      <c r="O46" s="226"/>
      <c r="P46" s="227"/>
      <c r="Q46" s="228"/>
    </row>
    <row r="47" spans="2:17" s="96" customFormat="1" ht="16.5" hidden="1">
      <c r="B47" s="1"/>
      <c r="C47" s="82"/>
      <c r="D47" s="82"/>
      <c r="E47" s="92"/>
      <c r="F47" s="93"/>
      <c r="G47" s="94"/>
      <c r="H47" s="95"/>
      <c r="I47" s="82"/>
      <c r="J47" s="82"/>
      <c r="K47" s="1"/>
      <c r="L47" s="1"/>
      <c r="N47" s="225"/>
      <c r="O47" s="226"/>
      <c r="P47" s="227"/>
      <c r="Q47" s="228"/>
    </row>
    <row r="48" spans="2:17" s="96" customFormat="1" ht="16.5" hidden="1">
      <c r="B48" s="1"/>
      <c r="C48" s="82"/>
      <c r="D48" s="82"/>
      <c r="E48" s="92"/>
      <c r="F48" s="93"/>
      <c r="G48" s="94"/>
      <c r="H48" s="95"/>
      <c r="I48" s="82"/>
      <c r="J48" s="82"/>
      <c r="K48" s="1"/>
      <c r="L48" s="1"/>
      <c r="N48" s="225"/>
      <c r="O48" s="226"/>
      <c r="P48" s="227"/>
      <c r="Q48" s="228"/>
    </row>
    <row r="49" spans="2:17" s="96" customFormat="1" ht="16.5" hidden="1">
      <c r="B49" s="1"/>
      <c r="C49" s="82"/>
      <c r="D49" s="82"/>
      <c r="E49" s="92"/>
      <c r="F49" s="93"/>
      <c r="G49" s="94"/>
      <c r="H49" s="95"/>
      <c r="I49" s="82"/>
      <c r="J49" s="82"/>
      <c r="K49" s="1"/>
      <c r="L49" s="1"/>
      <c r="N49" s="225"/>
      <c r="O49" s="226"/>
      <c r="P49" s="227"/>
      <c r="Q49" s="228"/>
    </row>
    <row r="50" spans="2:17" s="96" customFormat="1" ht="16.5" hidden="1">
      <c r="B50" s="1"/>
      <c r="C50" s="82"/>
      <c r="D50" s="82"/>
      <c r="E50" s="92"/>
      <c r="F50" s="93"/>
      <c r="G50" s="94"/>
      <c r="H50" s="95"/>
      <c r="I50" s="82"/>
      <c r="J50" s="82"/>
      <c r="K50" s="1"/>
      <c r="L50" s="1"/>
      <c r="N50" s="225"/>
      <c r="O50" s="226"/>
      <c r="P50" s="227"/>
      <c r="Q50" s="228"/>
    </row>
    <row r="51" spans="2:17" s="96" customFormat="1" ht="16.5" hidden="1">
      <c r="B51" s="1"/>
      <c r="C51" s="82"/>
      <c r="D51" s="82"/>
      <c r="E51" s="92"/>
      <c r="F51" s="93"/>
      <c r="G51" s="94"/>
      <c r="H51" s="95"/>
      <c r="I51" s="82"/>
      <c r="J51" s="82"/>
      <c r="K51" s="1"/>
      <c r="L51" s="1"/>
      <c r="N51" s="225"/>
      <c r="O51" s="226"/>
      <c r="P51" s="227"/>
      <c r="Q51" s="228"/>
    </row>
    <row r="52" spans="2:17" s="96" customFormat="1" ht="16.5" hidden="1">
      <c r="B52" s="1"/>
      <c r="C52" s="82"/>
      <c r="D52" s="82"/>
      <c r="E52" s="92"/>
      <c r="F52" s="93"/>
      <c r="G52" s="94"/>
      <c r="H52" s="95"/>
      <c r="I52" s="82"/>
      <c r="J52" s="82"/>
      <c r="K52" s="1"/>
      <c r="L52" s="1"/>
      <c r="N52" s="225"/>
      <c r="O52" s="226"/>
      <c r="P52" s="227"/>
      <c r="Q52" s="228"/>
    </row>
    <row r="53" spans="2:17" s="96" customFormat="1" ht="16.5" hidden="1">
      <c r="B53" s="1"/>
      <c r="C53" s="82"/>
      <c r="D53" s="82"/>
      <c r="E53" s="92"/>
      <c r="F53" s="93"/>
      <c r="G53" s="94"/>
      <c r="H53" s="95"/>
      <c r="I53" s="82"/>
      <c r="J53" s="82"/>
      <c r="K53" s="1"/>
      <c r="L53" s="1"/>
      <c r="N53" s="225"/>
      <c r="O53" s="226"/>
      <c r="P53" s="227"/>
      <c r="Q53" s="228"/>
    </row>
    <row r="54" spans="2:17" s="96" customFormat="1" ht="16.5" hidden="1">
      <c r="B54" s="1"/>
      <c r="C54" s="82"/>
      <c r="D54" s="82"/>
      <c r="E54" s="92"/>
      <c r="F54" s="93"/>
      <c r="G54" s="94"/>
      <c r="H54" s="95"/>
      <c r="I54" s="82"/>
      <c r="J54" s="82"/>
      <c r="K54" s="1"/>
      <c r="L54" s="1"/>
      <c r="N54" s="225"/>
      <c r="O54" s="226"/>
      <c r="P54" s="227"/>
      <c r="Q54" s="228"/>
    </row>
    <row r="55" spans="2:17" s="96" customFormat="1" ht="16.5" hidden="1">
      <c r="B55" s="1"/>
      <c r="C55" s="82"/>
      <c r="D55" s="82"/>
      <c r="E55" s="92"/>
      <c r="F55" s="93"/>
      <c r="G55" s="94"/>
      <c r="H55" s="95"/>
      <c r="I55" s="82"/>
      <c r="J55" s="82"/>
      <c r="K55" s="1"/>
      <c r="L55" s="1"/>
      <c r="N55" s="225"/>
      <c r="O55" s="226"/>
      <c r="P55" s="227"/>
      <c r="Q55" s="228"/>
    </row>
    <row r="56" spans="2:17" s="96" customFormat="1" ht="16.5" hidden="1">
      <c r="B56" s="1"/>
      <c r="C56" s="82"/>
      <c r="D56" s="82"/>
      <c r="E56" s="92"/>
      <c r="F56" s="93"/>
      <c r="G56" s="94"/>
      <c r="H56" s="95"/>
      <c r="I56" s="82"/>
      <c r="J56" s="82"/>
      <c r="K56" s="1"/>
      <c r="L56" s="1"/>
      <c r="N56" s="225"/>
      <c r="O56" s="226"/>
      <c r="P56" s="227"/>
      <c r="Q56" s="228"/>
    </row>
    <row r="57" spans="2:17" s="96" customFormat="1" ht="16.5" hidden="1">
      <c r="B57" s="1"/>
      <c r="C57" s="82"/>
      <c r="D57" s="82"/>
      <c r="E57" s="92"/>
      <c r="F57" s="93"/>
      <c r="G57" s="94"/>
      <c r="H57" s="95"/>
      <c r="I57" s="82"/>
      <c r="J57" s="82"/>
      <c r="K57" s="1"/>
      <c r="L57" s="1"/>
      <c r="N57" s="225"/>
      <c r="O57" s="226"/>
      <c r="P57" s="227"/>
      <c r="Q57" s="228"/>
    </row>
    <row r="58" spans="2:17" s="96" customFormat="1" ht="16.5" hidden="1">
      <c r="B58" s="1"/>
      <c r="C58" s="82"/>
      <c r="D58" s="82"/>
      <c r="E58" s="92"/>
      <c r="F58" s="93"/>
      <c r="G58" s="94"/>
      <c r="H58" s="95"/>
      <c r="I58" s="82"/>
      <c r="J58" s="82"/>
      <c r="K58" s="1"/>
      <c r="L58" s="1"/>
      <c r="N58" s="225"/>
      <c r="O58" s="226"/>
      <c r="P58" s="227"/>
      <c r="Q58" s="228"/>
    </row>
    <row r="59" spans="2:17" s="96" customFormat="1" ht="16.5" hidden="1">
      <c r="B59" s="1"/>
      <c r="C59" s="82"/>
      <c r="D59" s="82"/>
      <c r="E59" s="92"/>
      <c r="F59" s="93"/>
      <c r="G59" s="94"/>
      <c r="H59" s="95"/>
      <c r="I59" s="82"/>
      <c r="J59" s="82"/>
      <c r="K59" s="1"/>
      <c r="L59" s="1"/>
      <c r="N59" s="225"/>
      <c r="O59" s="226"/>
      <c r="P59" s="227"/>
      <c r="Q59" s="228"/>
    </row>
    <row r="60" spans="2:17" ht="14.25" thickBot="1"/>
    <row r="61" spans="2:17" ht="18" thickBot="1">
      <c r="C61" s="99" t="s">
        <v>41</v>
      </c>
      <c r="D61" s="229" t="s">
        <v>42</v>
      </c>
      <c r="E61" s="230"/>
      <c r="F61" s="230"/>
      <c r="G61" s="231"/>
      <c r="H61" s="232" t="s">
        <v>43</v>
      </c>
      <c r="I61" s="230"/>
      <c r="J61" s="230"/>
      <c r="K61" s="231"/>
      <c r="L61" s="100"/>
    </row>
    <row r="62" spans="2:17" ht="14.25" thickBot="1">
      <c r="C62" s="101" t="s">
        <v>44</v>
      </c>
      <c r="D62" s="152" t="s">
        <v>45</v>
      </c>
      <c r="E62" s="153" t="s">
        <v>46</v>
      </c>
      <c r="F62" s="154" t="s">
        <v>79</v>
      </c>
      <c r="G62" s="155" t="s">
        <v>80</v>
      </c>
      <c r="H62" s="152" t="s">
        <v>45</v>
      </c>
      <c r="I62" s="153" t="s">
        <v>46</v>
      </c>
      <c r="J62" s="154" t="s">
        <v>79</v>
      </c>
      <c r="K62" s="155" t="s">
        <v>80</v>
      </c>
      <c r="L62" s="102" t="s">
        <v>47</v>
      </c>
    </row>
    <row r="63" spans="2:17">
      <c r="C63" s="103"/>
      <c r="D63" s="213"/>
      <c r="E63" s="214"/>
      <c r="F63" s="214"/>
      <c r="G63" s="214"/>
      <c r="H63" s="213"/>
      <c r="I63" s="216"/>
      <c r="J63" s="214"/>
      <c r="K63" s="215"/>
      <c r="L63" s="107"/>
    </row>
    <row r="64" spans="2:17">
      <c r="C64" s="108"/>
      <c r="D64" s="217"/>
      <c r="E64" s="218"/>
      <c r="F64" s="218"/>
      <c r="G64" s="218"/>
      <c r="H64" s="217"/>
      <c r="I64" s="220"/>
      <c r="J64" s="218"/>
      <c r="K64" s="219"/>
      <c r="L64" s="112"/>
    </row>
    <row r="65" spans="3:12" ht="14.25" thickBot="1">
      <c r="C65" s="206"/>
      <c r="D65" s="221"/>
      <c r="E65" s="222"/>
      <c r="F65" s="222"/>
      <c r="G65" s="222"/>
      <c r="H65" s="221"/>
      <c r="I65" s="224"/>
      <c r="J65" s="222"/>
      <c r="K65" s="223"/>
      <c r="L65" s="207"/>
    </row>
    <row r="66" spans="3:12" ht="14.25" thickBot="1">
      <c r="C66" s="208" t="s">
        <v>48</v>
      </c>
      <c r="D66" s="209">
        <f t="shared" ref="D66:K66" si="2">SUM(D63:D65)</f>
        <v>0</v>
      </c>
      <c r="E66" s="209">
        <f t="shared" si="2"/>
        <v>0</v>
      </c>
      <c r="F66" s="209">
        <f t="shared" si="2"/>
        <v>0</v>
      </c>
      <c r="G66" s="209">
        <f t="shared" si="2"/>
        <v>0</v>
      </c>
      <c r="H66" s="209">
        <f t="shared" si="2"/>
        <v>0</v>
      </c>
      <c r="I66" s="209">
        <f t="shared" si="2"/>
        <v>0</v>
      </c>
      <c r="J66" s="209">
        <f t="shared" si="2"/>
        <v>0</v>
      </c>
      <c r="K66" s="209">
        <f t="shared" si="2"/>
        <v>0</v>
      </c>
      <c r="L66" s="208"/>
    </row>
    <row r="68" spans="3:12">
      <c r="I68" s="117"/>
      <c r="J68" s="117"/>
    </row>
    <row r="69" spans="3:12">
      <c r="I69" s="116"/>
      <c r="J69" s="117"/>
    </row>
  </sheetData>
  <mergeCells count="7">
    <mergeCell ref="D61:G61"/>
    <mergeCell ref="H61:K61"/>
    <mergeCell ref="B18:B19"/>
    <mergeCell ref="C18:C19"/>
    <mergeCell ref="D18:K18"/>
    <mergeCell ref="B24:C24"/>
    <mergeCell ref="B25:C2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</sheetPr>
  <dimension ref="A1:IH17"/>
  <sheetViews>
    <sheetView zoomScale="85" zoomScaleNormal="85" workbookViewId="0">
      <selection activeCell="U17" sqref="U17"/>
    </sheetView>
  </sheetViews>
  <sheetFormatPr defaultRowHeight="14.25"/>
  <cols>
    <col min="1" max="1" width="3.77734375" style="133" customWidth="1"/>
    <col min="2" max="2" width="6.44140625" style="144" customWidth="1"/>
    <col min="3" max="3" width="7.44140625" style="144" customWidth="1"/>
    <col min="4" max="4" width="10.33203125" style="144" customWidth="1"/>
    <col min="5" max="5" width="12.33203125" style="144" customWidth="1"/>
    <col min="6" max="6" width="35.77734375" style="144" customWidth="1"/>
    <col min="7" max="7" width="12" style="123" customWidth="1"/>
    <col min="8" max="10" width="13" style="123" customWidth="1"/>
    <col min="11" max="11" width="10.88671875" style="122" customWidth="1"/>
    <col min="12" max="14" width="15.77734375" style="123" customWidth="1"/>
    <col min="15" max="15" width="12.5546875" style="145" customWidth="1"/>
    <col min="16" max="16" width="8.5546875" style="122" customWidth="1"/>
    <col min="17" max="17" width="11.109375" style="122" customWidth="1"/>
    <col min="18" max="18" width="11.6640625" style="121" customWidth="1"/>
    <col min="19" max="19" width="8.88671875" style="121" customWidth="1"/>
    <col min="20" max="20" width="9.88671875" style="122" customWidth="1"/>
    <col min="21" max="21" width="14.88671875" style="123" customWidth="1"/>
    <col min="22" max="22" width="14.5546875" style="122" customWidth="1"/>
    <col min="23" max="23" width="16.109375" style="124" customWidth="1"/>
    <col min="24" max="28" width="12.88671875" style="121" customWidth="1"/>
    <col min="29" max="256" width="8.88671875" style="121"/>
    <col min="257" max="257" width="3.77734375" style="121" customWidth="1"/>
    <col min="258" max="258" width="6.44140625" style="121" customWidth="1"/>
    <col min="259" max="259" width="7.44140625" style="121" customWidth="1"/>
    <col min="260" max="260" width="10.33203125" style="121" customWidth="1"/>
    <col min="261" max="261" width="12.33203125" style="121" customWidth="1"/>
    <col min="262" max="262" width="35.77734375" style="121" customWidth="1"/>
    <col min="263" max="263" width="12" style="121" customWidth="1"/>
    <col min="264" max="266" width="13" style="121" customWidth="1"/>
    <col min="267" max="267" width="10.88671875" style="121" customWidth="1"/>
    <col min="268" max="270" width="15.77734375" style="121" customWidth="1"/>
    <col min="271" max="271" width="12.5546875" style="121" customWidth="1"/>
    <col min="272" max="272" width="8.5546875" style="121" customWidth="1"/>
    <col min="273" max="273" width="11.109375" style="121" customWidth="1"/>
    <col min="274" max="274" width="11.6640625" style="121" customWidth="1"/>
    <col min="275" max="275" width="8.88671875" style="121" customWidth="1"/>
    <col min="276" max="276" width="9.88671875" style="121" customWidth="1"/>
    <col min="277" max="277" width="14.88671875" style="121" customWidth="1"/>
    <col min="278" max="278" width="14.5546875" style="121" customWidth="1"/>
    <col min="279" max="279" width="16.109375" style="121" customWidth="1"/>
    <col min="280" max="284" width="12.88671875" style="121" customWidth="1"/>
    <col min="285" max="512" width="8.88671875" style="121"/>
    <col min="513" max="513" width="3.77734375" style="121" customWidth="1"/>
    <col min="514" max="514" width="6.44140625" style="121" customWidth="1"/>
    <col min="515" max="515" width="7.44140625" style="121" customWidth="1"/>
    <col min="516" max="516" width="10.33203125" style="121" customWidth="1"/>
    <col min="517" max="517" width="12.33203125" style="121" customWidth="1"/>
    <col min="518" max="518" width="35.77734375" style="121" customWidth="1"/>
    <col min="519" max="519" width="12" style="121" customWidth="1"/>
    <col min="520" max="522" width="13" style="121" customWidth="1"/>
    <col min="523" max="523" width="10.88671875" style="121" customWidth="1"/>
    <col min="524" max="526" width="15.77734375" style="121" customWidth="1"/>
    <col min="527" max="527" width="12.5546875" style="121" customWidth="1"/>
    <col min="528" max="528" width="8.5546875" style="121" customWidth="1"/>
    <col min="529" max="529" width="11.109375" style="121" customWidth="1"/>
    <col min="530" max="530" width="11.6640625" style="121" customWidth="1"/>
    <col min="531" max="531" width="8.88671875" style="121" customWidth="1"/>
    <col min="532" max="532" width="9.88671875" style="121" customWidth="1"/>
    <col min="533" max="533" width="14.88671875" style="121" customWidth="1"/>
    <col min="534" max="534" width="14.5546875" style="121" customWidth="1"/>
    <col min="535" max="535" width="16.109375" style="121" customWidth="1"/>
    <col min="536" max="540" width="12.88671875" style="121" customWidth="1"/>
    <col min="541" max="768" width="8.88671875" style="121"/>
    <col min="769" max="769" width="3.77734375" style="121" customWidth="1"/>
    <col min="770" max="770" width="6.44140625" style="121" customWidth="1"/>
    <col min="771" max="771" width="7.44140625" style="121" customWidth="1"/>
    <col min="772" max="772" width="10.33203125" style="121" customWidth="1"/>
    <col min="773" max="773" width="12.33203125" style="121" customWidth="1"/>
    <col min="774" max="774" width="35.77734375" style="121" customWidth="1"/>
    <col min="775" max="775" width="12" style="121" customWidth="1"/>
    <col min="776" max="778" width="13" style="121" customWidth="1"/>
    <col min="779" max="779" width="10.88671875" style="121" customWidth="1"/>
    <col min="780" max="782" width="15.77734375" style="121" customWidth="1"/>
    <col min="783" max="783" width="12.5546875" style="121" customWidth="1"/>
    <col min="784" max="784" width="8.5546875" style="121" customWidth="1"/>
    <col min="785" max="785" width="11.109375" style="121" customWidth="1"/>
    <col min="786" max="786" width="11.6640625" style="121" customWidth="1"/>
    <col min="787" max="787" width="8.88671875" style="121" customWidth="1"/>
    <col min="788" max="788" width="9.88671875" style="121" customWidth="1"/>
    <col min="789" max="789" width="14.88671875" style="121" customWidth="1"/>
    <col min="790" max="790" width="14.5546875" style="121" customWidth="1"/>
    <col min="791" max="791" width="16.109375" style="121" customWidth="1"/>
    <col min="792" max="796" width="12.88671875" style="121" customWidth="1"/>
    <col min="797" max="1024" width="8.88671875" style="121"/>
    <col min="1025" max="1025" width="3.77734375" style="121" customWidth="1"/>
    <col min="1026" max="1026" width="6.44140625" style="121" customWidth="1"/>
    <col min="1027" max="1027" width="7.44140625" style="121" customWidth="1"/>
    <col min="1028" max="1028" width="10.33203125" style="121" customWidth="1"/>
    <col min="1029" max="1029" width="12.33203125" style="121" customWidth="1"/>
    <col min="1030" max="1030" width="35.77734375" style="121" customWidth="1"/>
    <col min="1031" max="1031" width="12" style="121" customWidth="1"/>
    <col min="1032" max="1034" width="13" style="121" customWidth="1"/>
    <col min="1035" max="1035" width="10.88671875" style="121" customWidth="1"/>
    <col min="1036" max="1038" width="15.77734375" style="121" customWidth="1"/>
    <col min="1039" max="1039" width="12.5546875" style="121" customWidth="1"/>
    <col min="1040" max="1040" width="8.5546875" style="121" customWidth="1"/>
    <col min="1041" max="1041" width="11.109375" style="121" customWidth="1"/>
    <col min="1042" max="1042" width="11.6640625" style="121" customWidth="1"/>
    <col min="1043" max="1043" width="8.88671875" style="121" customWidth="1"/>
    <col min="1044" max="1044" width="9.88671875" style="121" customWidth="1"/>
    <col min="1045" max="1045" width="14.88671875" style="121" customWidth="1"/>
    <col min="1046" max="1046" width="14.5546875" style="121" customWidth="1"/>
    <col min="1047" max="1047" width="16.109375" style="121" customWidth="1"/>
    <col min="1048" max="1052" width="12.88671875" style="121" customWidth="1"/>
    <col min="1053" max="1280" width="8.88671875" style="121"/>
    <col min="1281" max="1281" width="3.77734375" style="121" customWidth="1"/>
    <col min="1282" max="1282" width="6.44140625" style="121" customWidth="1"/>
    <col min="1283" max="1283" width="7.44140625" style="121" customWidth="1"/>
    <col min="1284" max="1284" width="10.33203125" style="121" customWidth="1"/>
    <col min="1285" max="1285" width="12.33203125" style="121" customWidth="1"/>
    <col min="1286" max="1286" width="35.77734375" style="121" customWidth="1"/>
    <col min="1287" max="1287" width="12" style="121" customWidth="1"/>
    <col min="1288" max="1290" width="13" style="121" customWidth="1"/>
    <col min="1291" max="1291" width="10.88671875" style="121" customWidth="1"/>
    <col min="1292" max="1294" width="15.77734375" style="121" customWidth="1"/>
    <col min="1295" max="1295" width="12.5546875" style="121" customWidth="1"/>
    <col min="1296" max="1296" width="8.5546875" style="121" customWidth="1"/>
    <col min="1297" max="1297" width="11.109375" style="121" customWidth="1"/>
    <col min="1298" max="1298" width="11.6640625" style="121" customWidth="1"/>
    <col min="1299" max="1299" width="8.88671875" style="121" customWidth="1"/>
    <col min="1300" max="1300" width="9.88671875" style="121" customWidth="1"/>
    <col min="1301" max="1301" width="14.88671875" style="121" customWidth="1"/>
    <col min="1302" max="1302" width="14.5546875" style="121" customWidth="1"/>
    <col min="1303" max="1303" width="16.109375" style="121" customWidth="1"/>
    <col min="1304" max="1308" width="12.88671875" style="121" customWidth="1"/>
    <col min="1309" max="1536" width="8.88671875" style="121"/>
    <col min="1537" max="1537" width="3.77734375" style="121" customWidth="1"/>
    <col min="1538" max="1538" width="6.44140625" style="121" customWidth="1"/>
    <col min="1539" max="1539" width="7.44140625" style="121" customWidth="1"/>
    <col min="1540" max="1540" width="10.33203125" style="121" customWidth="1"/>
    <col min="1541" max="1541" width="12.33203125" style="121" customWidth="1"/>
    <col min="1542" max="1542" width="35.77734375" style="121" customWidth="1"/>
    <col min="1543" max="1543" width="12" style="121" customWidth="1"/>
    <col min="1544" max="1546" width="13" style="121" customWidth="1"/>
    <col min="1547" max="1547" width="10.88671875" style="121" customWidth="1"/>
    <col min="1548" max="1550" width="15.77734375" style="121" customWidth="1"/>
    <col min="1551" max="1551" width="12.5546875" style="121" customWidth="1"/>
    <col min="1552" max="1552" width="8.5546875" style="121" customWidth="1"/>
    <col min="1553" max="1553" width="11.109375" style="121" customWidth="1"/>
    <col min="1554" max="1554" width="11.6640625" style="121" customWidth="1"/>
    <col min="1555" max="1555" width="8.88671875" style="121" customWidth="1"/>
    <col min="1556" max="1556" width="9.88671875" style="121" customWidth="1"/>
    <col min="1557" max="1557" width="14.88671875" style="121" customWidth="1"/>
    <col min="1558" max="1558" width="14.5546875" style="121" customWidth="1"/>
    <col min="1559" max="1559" width="16.109375" style="121" customWidth="1"/>
    <col min="1560" max="1564" width="12.88671875" style="121" customWidth="1"/>
    <col min="1565" max="1792" width="8.88671875" style="121"/>
    <col min="1793" max="1793" width="3.77734375" style="121" customWidth="1"/>
    <col min="1794" max="1794" width="6.44140625" style="121" customWidth="1"/>
    <col min="1795" max="1795" width="7.44140625" style="121" customWidth="1"/>
    <col min="1796" max="1796" width="10.33203125" style="121" customWidth="1"/>
    <col min="1797" max="1797" width="12.33203125" style="121" customWidth="1"/>
    <col min="1798" max="1798" width="35.77734375" style="121" customWidth="1"/>
    <col min="1799" max="1799" width="12" style="121" customWidth="1"/>
    <col min="1800" max="1802" width="13" style="121" customWidth="1"/>
    <col min="1803" max="1803" width="10.88671875" style="121" customWidth="1"/>
    <col min="1804" max="1806" width="15.77734375" style="121" customWidth="1"/>
    <col min="1807" max="1807" width="12.5546875" style="121" customWidth="1"/>
    <col min="1808" max="1808" width="8.5546875" style="121" customWidth="1"/>
    <col min="1809" max="1809" width="11.109375" style="121" customWidth="1"/>
    <col min="1810" max="1810" width="11.6640625" style="121" customWidth="1"/>
    <col min="1811" max="1811" width="8.88671875" style="121" customWidth="1"/>
    <col min="1812" max="1812" width="9.88671875" style="121" customWidth="1"/>
    <col min="1813" max="1813" width="14.88671875" style="121" customWidth="1"/>
    <col min="1814" max="1814" width="14.5546875" style="121" customWidth="1"/>
    <col min="1815" max="1815" width="16.109375" style="121" customWidth="1"/>
    <col min="1816" max="1820" width="12.88671875" style="121" customWidth="1"/>
    <col min="1821" max="2048" width="8.88671875" style="121"/>
    <col min="2049" max="2049" width="3.77734375" style="121" customWidth="1"/>
    <col min="2050" max="2050" width="6.44140625" style="121" customWidth="1"/>
    <col min="2051" max="2051" width="7.44140625" style="121" customWidth="1"/>
    <col min="2052" max="2052" width="10.33203125" style="121" customWidth="1"/>
    <col min="2053" max="2053" width="12.33203125" style="121" customWidth="1"/>
    <col min="2054" max="2054" width="35.77734375" style="121" customWidth="1"/>
    <col min="2055" max="2055" width="12" style="121" customWidth="1"/>
    <col min="2056" max="2058" width="13" style="121" customWidth="1"/>
    <col min="2059" max="2059" width="10.88671875" style="121" customWidth="1"/>
    <col min="2060" max="2062" width="15.77734375" style="121" customWidth="1"/>
    <col min="2063" max="2063" width="12.5546875" style="121" customWidth="1"/>
    <col min="2064" max="2064" width="8.5546875" style="121" customWidth="1"/>
    <col min="2065" max="2065" width="11.109375" style="121" customWidth="1"/>
    <col min="2066" max="2066" width="11.6640625" style="121" customWidth="1"/>
    <col min="2067" max="2067" width="8.88671875" style="121" customWidth="1"/>
    <col min="2068" max="2068" width="9.88671875" style="121" customWidth="1"/>
    <col min="2069" max="2069" width="14.88671875" style="121" customWidth="1"/>
    <col min="2070" max="2070" width="14.5546875" style="121" customWidth="1"/>
    <col min="2071" max="2071" width="16.109375" style="121" customWidth="1"/>
    <col min="2072" max="2076" width="12.88671875" style="121" customWidth="1"/>
    <col min="2077" max="2304" width="8.88671875" style="121"/>
    <col min="2305" max="2305" width="3.77734375" style="121" customWidth="1"/>
    <col min="2306" max="2306" width="6.44140625" style="121" customWidth="1"/>
    <col min="2307" max="2307" width="7.44140625" style="121" customWidth="1"/>
    <col min="2308" max="2308" width="10.33203125" style="121" customWidth="1"/>
    <col min="2309" max="2309" width="12.33203125" style="121" customWidth="1"/>
    <col min="2310" max="2310" width="35.77734375" style="121" customWidth="1"/>
    <col min="2311" max="2311" width="12" style="121" customWidth="1"/>
    <col min="2312" max="2314" width="13" style="121" customWidth="1"/>
    <col min="2315" max="2315" width="10.88671875" style="121" customWidth="1"/>
    <col min="2316" max="2318" width="15.77734375" style="121" customWidth="1"/>
    <col min="2319" max="2319" width="12.5546875" style="121" customWidth="1"/>
    <col min="2320" max="2320" width="8.5546875" style="121" customWidth="1"/>
    <col min="2321" max="2321" width="11.109375" style="121" customWidth="1"/>
    <col min="2322" max="2322" width="11.6640625" style="121" customWidth="1"/>
    <col min="2323" max="2323" width="8.88671875" style="121" customWidth="1"/>
    <col min="2324" max="2324" width="9.88671875" style="121" customWidth="1"/>
    <col min="2325" max="2325" width="14.88671875" style="121" customWidth="1"/>
    <col min="2326" max="2326" width="14.5546875" style="121" customWidth="1"/>
    <col min="2327" max="2327" width="16.109375" style="121" customWidth="1"/>
    <col min="2328" max="2332" width="12.88671875" style="121" customWidth="1"/>
    <col min="2333" max="2560" width="8.88671875" style="121"/>
    <col min="2561" max="2561" width="3.77734375" style="121" customWidth="1"/>
    <col min="2562" max="2562" width="6.44140625" style="121" customWidth="1"/>
    <col min="2563" max="2563" width="7.44140625" style="121" customWidth="1"/>
    <col min="2564" max="2564" width="10.33203125" style="121" customWidth="1"/>
    <col min="2565" max="2565" width="12.33203125" style="121" customWidth="1"/>
    <col min="2566" max="2566" width="35.77734375" style="121" customWidth="1"/>
    <col min="2567" max="2567" width="12" style="121" customWidth="1"/>
    <col min="2568" max="2570" width="13" style="121" customWidth="1"/>
    <col min="2571" max="2571" width="10.88671875" style="121" customWidth="1"/>
    <col min="2572" max="2574" width="15.77734375" style="121" customWidth="1"/>
    <col min="2575" max="2575" width="12.5546875" style="121" customWidth="1"/>
    <col min="2576" max="2576" width="8.5546875" style="121" customWidth="1"/>
    <col min="2577" max="2577" width="11.109375" style="121" customWidth="1"/>
    <col min="2578" max="2578" width="11.6640625" style="121" customWidth="1"/>
    <col min="2579" max="2579" width="8.88671875" style="121" customWidth="1"/>
    <col min="2580" max="2580" width="9.88671875" style="121" customWidth="1"/>
    <col min="2581" max="2581" width="14.88671875" style="121" customWidth="1"/>
    <col min="2582" max="2582" width="14.5546875" style="121" customWidth="1"/>
    <col min="2583" max="2583" width="16.109375" style="121" customWidth="1"/>
    <col min="2584" max="2588" width="12.88671875" style="121" customWidth="1"/>
    <col min="2589" max="2816" width="8.88671875" style="121"/>
    <col min="2817" max="2817" width="3.77734375" style="121" customWidth="1"/>
    <col min="2818" max="2818" width="6.44140625" style="121" customWidth="1"/>
    <col min="2819" max="2819" width="7.44140625" style="121" customWidth="1"/>
    <col min="2820" max="2820" width="10.33203125" style="121" customWidth="1"/>
    <col min="2821" max="2821" width="12.33203125" style="121" customWidth="1"/>
    <col min="2822" max="2822" width="35.77734375" style="121" customWidth="1"/>
    <col min="2823" max="2823" width="12" style="121" customWidth="1"/>
    <col min="2824" max="2826" width="13" style="121" customWidth="1"/>
    <col min="2827" max="2827" width="10.88671875" style="121" customWidth="1"/>
    <col min="2828" max="2830" width="15.77734375" style="121" customWidth="1"/>
    <col min="2831" max="2831" width="12.5546875" style="121" customWidth="1"/>
    <col min="2832" max="2832" width="8.5546875" style="121" customWidth="1"/>
    <col min="2833" max="2833" width="11.109375" style="121" customWidth="1"/>
    <col min="2834" max="2834" width="11.6640625" style="121" customWidth="1"/>
    <col min="2835" max="2835" width="8.88671875" style="121" customWidth="1"/>
    <col min="2836" max="2836" width="9.88671875" style="121" customWidth="1"/>
    <col min="2837" max="2837" width="14.88671875" style="121" customWidth="1"/>
    <col min="2838" max="2838" width="14.5546875" style="121" customWidth="1"/>
    <col min="2839" max="2839" width="16.109375" style="121" customWidth="1"/>
    <col min="2840" max="2844" width="12.88671875" style="121" customWidth="1"/>
    <col min="2845" max="3072" width="8.88671875" style="121"/>
    <col min="3073" max="3073" width="3.77734375" style="121" customWidth="1"/>
    <col min="3074" max="3074" width="6.44140625" style="121" customWidth="1"/>
    <col min="3075" max="3075" width="7.44140625" style="121" customWidth="1"/>
    <col min="3076" max="3076" width="10.33203125" style="121" customWidth="1"/>
    <col min="3077" max="3077" width="12.33203125" style="121" customWidth="1"/>
    <col min="3078" max="3078" width="35.77734375" style="121" customWidth="1"/>
    <col min="3079" max="3079" width="12" style="121" customWidth="1"/>
    <col min="3080" max="3082" width="13" style="121" customWidth="1"/>
    <col min="3083" max="3083" width="10.88671875" style="121" customWidth="1"/>
    <col min="3084" max="3086" width="15.77734375" style="121" customWidth="1"/>
    <col min="3087" max="3087" width="12.5546875" style="121" customWidth="1"/>
    <col min="3088" max="3088" width="8.5546875" style="121" customWidth="1"/>
    <col min="3089" max="3089" width="11.109375" style="121" customWidth="1"/>
    <col min="3090" max="3090" width="11.6640625" style="121" customWidth="1"/>
    <col min="3091" max="3091" width="8.88671875" style="121" customWidth="1"/>
    <col min="3092" max="3092" width="9.88671875" style="121" customWidth="1"/>
    <col min="3093" max="3093" width="14.88671875" style="121" customWidth="1"/>
    <col min="3094" max="3094" width="14.5546875" style="121" customWidth="1"/>
    <col min="3095" max="3095" width="16.109375" style="121" customWidth="1"/>
    <col min="3096" max="3100" width="12.88671875" style="121" customWidth="1"/>
    <col min="3101" max="3328" width="8.88671875" style="121"/>
    <col min="3329" max="3329" width="3.77734375" style="121" customWidth="1"/>
    <col min="3330" max="3330" width="6.44140625" style="121" customWidth="1"/>
    <col min="3331" max="3331" width="7.44140625" style="121" customWidth="1"/>
    <col min="3332" max="3332" width="10.33203125" style="121" customWidth="1"/>
    <col min="3333" max="3333" width="12.33203125" style="121" customWidth="1"/>
    <col min="3334" max="3334" width="35.77734375" style="121" customWidth="1"/>
    <col min="3335" max="3335" width="12" style="121" customWidth="1"/>
    <col min="3336" max="3338" width="13" style="121" customWidth="1"/>
    <col min="3339" max="3339" width="10.88671875" style="121" customWidth="1"/>
    <col min="3340" max="3342" width="15.77734375" style="121" customWidth="1"/>
    <col min="3343" max="3343" width="12.5546875" style="121" customWidth="1"/>
    <col min="3344" max="3344" width="8.5546875" style="121" customWidth="1"/>
    <col min="3345" max="3345" width="11.109375" style="121" customWidth="1"/>
    <col min="3346" max="3346" width="11.6640625" style="121" customWidth="1"/>
    <col min="3347" max="3347" width="8.88671875" style="121" customWidth="1"/>
    <col min="3348" max="3348" width="9.88671875" style="121" customWidth="1"/>
    <col min="3349" max="3349" width="14.88671875" style="121" customWidth="1"/>
    <col min="3350" max="3350" width="14.5546875" style="121" customWidth="1"/>
    <col min="3351" max="3351" width="16.109375" style="121" customWidth="1"/>
    <col min="3352" max="3356" width="12.88671875" style="121" customWidth="1"/>
    <col min="3357" max="3584" width="8.88671875" style="121"/>
    <col min="3585" max="3585" width="3.77734375" style="121" customWidth="1"/>
    <col min="3586" max="3586" width="6.44140625" style="121" customWidth="1"/>
    <col min="3587" max="3587" width="7.44140625" style="121" customWidth="1"/>
    <col min="3588" max="3588" width="10.33203125" style="121" customWidth="1"/>
    <col min="3589" max="3589" width="12.33203125" style="121" customWidth="1"/>
    <col min="3590" max="3590" width="35.77734375" style="121" customWidth="1"/>
    <col min="3591" max="3591" width="12" style="121" customWidth="1"/>
    <col min="3592" max="3594" width="13" style="121" customWidth="1"/>
    <col min="3595" max="3595" width="10.88671875" style="121" customWidth="1"/>
    <col min="3596" max="3598" width="15.77734375" style="121" customWidth="1"/>
    <col min="3599" max="3599" width="12.5546875" style="121" customWidth="1"/>
    <col min="3600" max="3600" width="8.5546875" style="121" customWidth="1"/>
    <col min="3601" max="3601" width="11.109375" style="121" customWidth="1"/>
    <col min="3602" max="3602" width="11.6640625" style="121" customWidth="1"/>
    <col min="3603" max="3603" width="8.88671875" style="121" customWidth="1"/>
    <col min="3604" max="3604" width="9.88671875" style="121" customWidth="1"/>
    <col min="3605" max="3605" width="14.88671875" style="121" customWidth="1"/>
    <col min="3606" max="3606" width="14.5546875" style="121" customWidth="1"/>
    <col min="3607" max="3607" width="16.109375" style="121" customWidth="1"/>
    <col min="3608" max="3612" width="12.88671875" style="121" customWidth="1"/>
    <col min="3613" max="3840" width="8.88671875" style="121"/>
    <col min="3841" max="3841" width="3.77734375" style="121" customWidth="1"/>
    <col min="3842" max="3842" width="6.44140625" style="121" customWidth="1"/>
    <col min="3843" max="3843" width="7.44140625" style="121" customWidth="1"/>
    <col min="3844" max="3844" width="10.33203125" style="121" customWidth="1"/>
    <col min="3845" max="3845" width="12.33203125" style="121" customWidth="1"/>
    <col min="3846" max="3846" width="35.77734375" style="121" customWidth="1"/>
    <col min="3847" max="3847" width="12" style="121" customWidth="1"/>
    <col min="3848" max="3850" width="13" style="121" customWidth="1"/>
    <col min="3851" max="3851" width="10.88671875" style="121" customWidth="1"/>
    <col min="3852" max="3854" width="15.77734375" style="121" customWidth="1"/>
    <col min="3855" max="3855" width="12.5546875" style="121" customWidth="1"/>
    <col min="3856" max="3856" width="8.5546875" style="121" customWidth="1"/>
    <col min="3857" max="3857" width="11.109375" style="121" customWidth="1"/>
    <col min="3858" max="3858" width="11.6640625" style="121" customWidth="1"/>
    <col min="3859" max="3859" width="8.88671875" style="121" customWidth="1"/>
    <col min="3860" max="3860" width="9.88671875" style="121" customWidth="1"/>
    <col min="3861" max="3861" width="14.88671875" style="121" customWidth="1"/>
    <col min="3862" max="3862" width="14.5546875" style="121" customWidth="1"/>
    <col min="3863" max="3863" width="16.109375" style="121" customWidth="1"/>
    <col min="3864" max="3868" width="12.88671875" style="121" customWidth="1"/>
    <col min="3869" max="4096" width="8.88671875" style="121"/>
    <col min="4097" max="4097" width="3.77734375" style="121" customWidth="1"/>
    <col min="4098" max="4098" width="6.44140625" style="121" customWidth="1"/>
    <col min="4099" max="4099" width="7.44140625" style="121" customWidth="1"/>
    <col min="4100" max="4100" width="10.33203125" style="121" customWidth="1"/>
    <col min="4101" max="4101" width="12.33203125" style="121" customWidth="1"/>
    <col min="4102" max="4102" width="35.77734375" style="121" customWidth="1"/>
    <col min="4103" max="4103" width="12" style="121" customWidth="1"/>
    <col min="4104" max="4106" width="13" style="121" customWidth="1"/>
    <col min="4107" max="4107" width="10.88671875" style="121" customWidth="1"/>
    <col min="4108" max="4110" width="15.77734375" style="121" customWidth="1"/>
    <col min="4111" max="4111" width="12.5546875" style="121" customWidth="1"/>
    <col min="4112" max="4112" width="8.5546875" style="121" customWidth="1"/>
    <col min="4113" max="4113" width="11.109375" style="121" customWidth="1"/>
    <col min="4114" max="4114" width="11.6640625" style="121" customWidth="1"/>
    <col min="4115" max="4115" width="8.88671875" style="121" customWidth="1"/>
    <col min="4116" max="4116" width="9.88671875" style="121" customWidth="1"/>
    <col min="4117" max="4117" width="14.88671875" style="121" customWidth="1"/>
    <col min="4118" max="4118" width="14.5546875" style="121" customWidth="1"/>
    <col min="4119" max="4119" width="16.109375" style="121" customWidth="1"/>
    <col min="4120" max="4124" width="12.88671875" style="121" customWidth="1"/>
    <col min="4125" max="4352" width="8.88671875" style="121"/>
    <col min="4353" max="4353" width="3.77734375" style="121" customWidth="1"/>
    <col min="4354" max="4354" width="6.44140625" style="121" customWidth="1"/>
    <col min="4355" max="4355" width="7.44140625" style="121" customWidth="1"/>
    <col min="4356" max="4356" width="10.33203125" style="121" customWidth="1"/>
    <col min="4357" max="4357" width="12.33203125" style="121" customWidth="1"/>
    <col min="4358" max="4358" width="35.77734375" style="121" customWidth="1"/>
    <col min="4359" max="4359" width="12" style="121" customWidth="1"/>
    <col min="4360" max="4362" width="13" style="121" customWidth="1"/>
    <col min="4363" max="4363" width="10.88671875" style="121" customWidth="1"/>
    <col min="4364" max="4366" width="15.77734375" style="121" customWidth="1"/>
    <col min="4367" max="4367" width="12.5546875" style="121" customWidth="1"/>
    <col min="4368" max="4368" width="8.5546875" style="121" customWidth="1"/>
    <col min="4369" max="4369" width="11.109375" style="121" customWidth="1"/>
    <col min="4370" max="4370" width="11.6640625" style="121" customWidth="1"/>
    <col min="4371" max="4371" width="8.88671875" style="121" customWidth="1"/>
    <col min="4372" max="4372" width="9.88671875" style="121" customWidth="1"/>
    <col min="4373" max="4373" width="14.88671875" style="121" customWidth="1"/>
    <col min="4374" max="4374" width="14.5546875" style="121" customWidth="1"/>
    <col min="4375" max="4375" width="16.109375" style="121" customWidth="1"/>
    <col min="4376" max="4380" width="12.88671875" style="121" customWidth="1"/>
    <col min="4381" max="4608" width="8.88671875" style="121"/>
    <col min="4609" max="4609" width="3.77734375" style="121" customWidth="1"/>
    <col min="4610" max="4610" width="6.44140625" style="121" customWidth="1"/>
    <col min="4611" max="4611" width="7.44140625" style="121" customWidth="1"/>
    <col min="4612" max="4612" width="10.33203125" style="121" customWidth="1"/>
    <col min="4613" max="4613" width="12.33203125" style="121" customWidth="1"/>
    <col min="4614" max="4614" width="35.77734375" style="121" customWidth="1"/>
    <col min="4615" max="4615" width="12" style="121" customWidth="1"/>
    <col min="4616" max="4618" width="13" style="121" customWidth="1"/>
    <col min="4619" max="4619" width="10.88671875" style="121" customWidth="1"/>
    <col min="4620" max="4622" width="15.77734375" style="121" customWidth="1"/>
    <col min="4623" max="4623" width="12.5546875" style="121" customWidth="1"/>
    <col min="4624" max="4624" width="8.5546875" style="121" customWidth="1"/>
    <col min="4625" max="4625" width="11.109375" style="121" customWidth="1"/>
    <col min="4626" max="4626" width="11.6640625" style="121" customWidth="1"/>
    <col min="4627" max="4627" width="8.88671875" style="121" customWidth="1"/>
    <col min="4628" max="4628" width="9.88671875" style="121" customWidth="1"/>
    <col min="4629" max="4629" width="14.88671875" style="121" customWidth="1"/>
    <col min="4630" max="4630" width="14.5546875" style="121" customWidth="1"/>
    <col min="4631" max="4631" width="16.109375" style="121" customWidth="1"/>
    <col min="4632" max="4636" width="12.88671875" style="121" customWidth="1"/>
    <col min="4637" max="4864" width="8.88671875" style="121"/>
    <col min="4865" max="4865" width="3.77734375" style="121" customWidth="1"/>
    <col min="4866" max="4866" width="6.44140625" style="121" customWidth="1"/>
    <col min="4867" max="4867" width="7.44140625" style="121" customWidth="1"/>
    <col min="4868" max="4868" width="10.33203125" style="121" customWidth="1"/>
    <col min="4869" max="4869" width="12.33203125" style="121" customWidth="1"/>
    <col min="4870" max="4870" width="35.77734375" style="121" customWidth="1"/>
    <col min="4871" max="4871" width="12" style="121" customWidth="1"/>
    <col min="4872" max="4874" width="13" style="121" customWidth="1"/>
    <col min="4875" max="4875" width="10.88671875" style="121" customWidth="1"/>
    <col min="4876" max="4878" width="15.77734375" style="121" customWidth="1"/>
    <col min="4879" max="4879" width="12.5546875" style="121" customWidth="1"/>
    <col min="4880" max="4880" width="8.5546875" style="121" customWidth="1"/>
    <col min="4881" max="4881" width="11.109375" style="121" customWidth="1"/>
    <col min="4882" max="4882" width="11.6640625" style="121" customWidth="1"/>
    <col min="4883" max="4883" width="8.88671875" style="121" customWidth="1"/>
    <col min="4884" max="4884" width="9.88671875" style="121" customWidth="1"/>
    <col min="4885" max="4885" width="14.88671875" style="121" customWidth="1"/>
    <col min="4886" max="4886" width="14.5546875" style="121" customWidth="1"/>
    <col min="4887" max="4887" width="16.109375" style="121" customWidth="1"/>
    <col min="4888" max="4892" width="12.88671875" style="121" customWidth="1"/>
    <col min="4893" max="5120" width="8.88671875" style="121"/>
    <col min="5121" max="5121" width="3.77734375" style="121" customWidth="1"/>
    <col min="5122" max="5122" width="6.44140625" style="121" customWidth="1"/>
    <col min="5123" max="5123" width="7.44140625" style="121" customWidth="1"/>
    <col min="5124" max="5124" width="10.33203125" style="121" customWidth="1"/>
    <col min="5125" max="5125" width="12.33203125" style="121" customWidth="1"/>
    <col min="5126" max="5126" width="35.77734375" style="121" customWidth="1"/>
    <col min="5127" max="5127" width="12" style="121" customWidth="1"/>
    <col min="5128" max="5130" width="13" style="121" customWidth="1"/>
    <col min="5131" max="5131" width="10.88671875" style="121" customWidth="1"/>
    <col min="5132" max="5134" width="15.77734375" style="121" customWidth="1"/>
    <col min="5135" max="5135" width="12.5546875" style="121" customWidth="1"/>
    <col min="5136" max="5136" width="8.5546875" style="121" customWidth="1"/>
    <col min="5137" max="5137" width="11.109375" style="121" customWidth="1"/>
    <col min="5138" max="5138" width="11.6640625" style="121" customWidth="1"/>
    <col min="5139" max="5139" width="8.88671875" style="121" customWidth="1"/>
    <col min="5140" max="5140" width="9.88671875" style="121" customWidth="1"/>
    <col min="5141" max="5141" width="14.88671875" style="121" customWidth="1"/>
    <col min="5142" max="5142" width="14.5546875" style="121" customWidth="1"/>
    <col min="5143" max="5143" width="16.109375" style="121" customWidth="1"/>
    <col min="5144" max="5148" width="12.88671875" style="121" customWidth="1"/>
    <col min="5149" max="5376" width="8.88671875" style="121"/>
    <col min="5377" max="5377" width="3.77734375" style="121" customWidth="1"/>
    <col min="5378" max="5378" width="6.44140625" style="121" customWidth="1"/>
    <col min="5379" max="5379" width="7.44140625" style="121" customWidth="1"/>
    <col min="5380" max="5380" width="10.33203125" style="121" customWidth="1"/>
    <col min="5381" max="5381" width="12.33203125" style="121" customWidth="1"/>
    <col min="5382" max="5382" width="35.77734375" style="121" customWidth="1"/>
    <col min="5383" max="5383" width="12" style="121" customWidth="1"/>
    <col min="5384" max="5386" width="13" style="121" customWidth="1"/>
    <col min="5387" max="5387" width="10.88671875" style="121" customWidth="1"/>
    <col min="5388" max="5390" width="15.77734375" style="121" customWidth="1"/>
    <col min="5391" max="5391" width="12.5546875" style="121" customWidth="1"/>
    <col min="5392" max="5392" width="8.5546875" style="121" customWidth="1"/>
    <col min="5393" max="5393" width="11.109375" style="121" customWidth="1"/>
    <col min="5394" max="5394" width="11.6640625" style="121" customWidth="1"/>
    <col min="5395" max="5395" width="8.88671875" style="121" customWidth="1"/>
    <col min="5396" max="5396" width="9.88671875" style="121" customWidth="1"/>
    <col min="5397" max="5397" width="14.88671875" style="121" customWidth="1"/>
    <col min="5398" max="5398" width="14.5546875" style="121" customWidth="1"/>
    <col min="5399" max="5399" width="16.109375" style="121" customWidth="1"/>
    <col min="5400" max="5404" width="12.88671875" style="121" customWidth="1"/>
    <col min="5405" max="5632" width="8.88671875" style="121"/>
    <col min="5633" max="5633" width="3.77734375" style="121" customWidth="1"/>
    <col min="5634" max="5634" width="6.44140625" style="121" customWidth="1"/>
    <col min="5635" max="5635" width="7.44140625" style="121" customWidth="1"/>
    <col min="5636" max="5636" width="10.33203125" style="121" customWidth="1"/>
    <col min="5637" max="5637" width="12.33203125" style="121" customWidth="1"/>
    <col min="5638" max="5638" width="35.77734375" style="121" customWidth="1"/>
    <col min="5639" max="5639" width="12" style="121" customWidth="1"/>
    <col min="5640" max="5642" width="13" style="121" customWidth="1"/>
    <col min="5643" max="5643" width="10.88671875" style="121" customWidth="1"/>
    <col min="5644" max="5646" width="15.77734375" style="121" customWidth="1"/>
    <col min="5647" max="5647" width="12.5546875" style="121" customWidth="1"/>
    <col min="5648" max="5648" width="8.5546875" style="121" customWidth="1"/>
    <col min="5649" max="5649" width="11.109375" style="121" customWidth="1"/>
    <col min="5650" max="5650" width="11.6640625" style="121" customWidth="1"/>
    <col min="5651" max="5651" width="8.88671875" style="121" customWidth="1"/>
    <col min="5652" max="5652" width="9.88671875" style="121" customWidth="1"/>
    <col min="5653" max="5653" width="14.88671875" style="121" customWidth="1"/>
    <col min="5654" max="5654" width="14.5546875" style="121" customWidth="1"/>
    <col min="5655" max="5655" width="16.109375" style="121" customWidth="1"/>
    <col min="5656" max="5660" width="12.88671875" style="121" customWidth="1"/>
    <col min="5661" max="5888" width="8.88671875" style="121"/>
    <col min="5889" max="5889" width="3.77734375" style="121" customWidth="1"/>
    <col min="5890" max="5890" width="6.44140625" style="121" customWidth="1"/>
    <col min="5891" max="5891" width="7.44140625" style="121" customWidth="1"/>
    <col min="5892" max="5892" width="10.33203125" style="121" customWidth="1"/>
    <col min="5893" max="5893" width="12.33203125" style="121" customWidth="1"/>
    <col min="5894" max="5894" width="35.77734375" style="121" customWidth="1"/>
    <col min="5895" max="5895" width="12" style="121" customWidth="1"/>
    <col min="5896" max="5898" width="13" style="121" customWidth="1"/>
    <col min="5899" max="5899" width="10.88671875" style="121" customWidth="1"/>
    <col min="5900" max="5902" width="15.77734375" style="121" customWidth="1"/>
    <col min="5903" max="5903" width="12.5546875" style="121" customWidth="1"/>
    <col min="5904" max="5904" width="8.5546875" style="121" customWidth="1"/>
    <col min="5905" max="5905" width="11.109375" style="121" customWidth="1"/>
    <col min="5906" max="5906" width="11.6640625" style="121" customWidth="1"/>
    <col min="5907" max="5907" width="8.88671875" style="121" customWidth="1"/>
    <col min="5908" max="5908" width="9.88671875" style="121" customWidth="1"/>
    <col min="5909" max="5909" width="14.88671875" style="121" customWidth="1"/>
    <col min="5910" max="5910" width="14.5546875" style="121" customWidth="1"/>
    <col min="5911" max="5911" width="16.109375" style="121" customWidth="1"/>
    <col min="5912" max="5916" width="12.88671875" style="121" customWidth="1"/>
    <col min="5917" max="6144" width="8.88671875" style="121"/>
    <col min="6145" max="6145" width="3.77734375" style="121" customWidth="1"/>
    <col min="6146" max="6146" width="6.44140625" style="121" customWidth="1"/>
    <col min="6147" max="6147" width="7.44140625" style="121" customWidth="1"/>
    <col min="6148" max="6148" width="10.33203125" style="121" customWidth="1"/>
    <col min="6149" max="6149" width="12.33203125" style="121" customWidth="1"/>
    <col min="6150" max="6150" width="35.77734375" style="121" customWidth="1"/>
    <col min="6151" max="6151" width="12" style="121" customWidth="1"/>
    <col min="6152" max="6154" width="13" style="121" customWidth="1"/>
    <col min="6155" max="6155" width="10.88671875" style="121" customWidth="1"/>
    <col min="6156" max="6158" width="15.77734375" style="121" customWidth="1"/>
    <col min="6159" max="6159" width="12.5546875" style="121" customWidth="1"/>
    <col min="6160" max="6160" width="8.5546875" style="121" customWidth="1"/>
    <col min="6161" max="6161" width="11.109375" style="121" customWidth="1"/>
    <col min="6162" max="6162" width="11.6640625" style="121" customWidth="1"/>
    <col min="6163" max="6163" width="8.88671875" style="121" customWidth="1"/>
    <col min="6164" max="6164" width="9.88671875" style="121" customWidth="1"/>
    <col min="6165" max="6165" width="14.88671875" style="121" customWidth="1"/>
    <col min="6166" max="6166" width="14.5546875" style="121" customWidth="1"/>
    <col min="6167" max="6167" width="16.109375" style="121" customWidth="1"/>
    <col min="6168" max="6172" width="12.88671875" style="121" customWidth="1"/>
    <col min="6173" max="6400" width="8.88671875" style="121"/>
    <col min="6401" max="6401" width="3.77734375" style="121" customWidth="1"/>
    <col min="6402" max="6402" width="6.44140625" style="121" customWidth="1"/>
    <col min="6403" max="6403" width="7.44140625" style="121" customWidth="1"/>
    <col min="6404" max="6404" width="10.33203125" style="121" customWidth="1"/>
    <col min="6405" max="6405" width="12.33203125" style="121" customWidth="1"/>
    <col min="6406" max="6406" width="35.77734375" style="121" customWidth="1"/>
    <col min="6407" max="6407" width="12" style="121" customWidth="1"/>
    <col min="6408" max="6410" width="13" style="121" customWidth="1"/>
    <col min="6411" max="6411" width="10.88671875" style="121" customWidth="1"/>
    <col min="6412" max="6414" width="15.77734375" style="121" customWidth="1"/>
    <col min="6415" max="6415" width="12.5546875" style="121" customWidth="1"/>
    <col min="6416" max="6416" width="8.5546875" style="121" customWidth="1"/>
    <col min="6417" max="6417" width="11.109375" style="121" customWidth="1"/>
    <col min="6418" max="6418" width="11.6640625" style="121" customWidth="1"/>
    <col min="6419" max="6419" width="8.88671875" style="121" customWidth="1"/>
    <col min="6420" max="6420" width="9.88671875" style="121" customWidth="1"/>
    <col min="6421" max="6421" width="14.88671875" style="121" customWidth="1"/>
    <col min="6422" max="6422" width="14.5546875" style="121" customWidth="1"/>
    <col min="6423" max="6423" width="16.109375" style="121" customWidth="1"/>
    <col min="6424" max="6428" width="12.88671875" style="121" customWidth="1"/>
    <col min="6429" max="6656" width="8.88671875" style="121"/>
    <col min="6657" max="6657" width="3.77734375" style="121" customWidth="1"/>
    <col min="6658" max="6658" width="6.44140625" style="121" customWidth="1"/>
    <col min="6659" max="6659" width="7.44140625" style="121" customWidth="1"/>
    <col min="6660" max="6660" width="10.33203125" style="121" customWidth="1"/>
    <col min="6661" max="6661" width="12.33203125" style="121" customWidth="1"/>
    <col min="6662" max="6662" width="35.77734375" style="121" customWidth="1"/>
    <col min="6663" max="6663" width="12" style="121" customWidth="1"/>
    <col min="6664" max="6666" width="13" style="121" customWidth="1"/>
    <col min="6667" max="6667" width="10.88671875" style="121" customWidth="1"/>
    <col min="6668" max="6670" width="15.77734375" style="121" customWidth="1"/>
    <col min="6671" max="6671" width="12.5546875" style="121" customWidth="1"/>
    <col min="6672" max="6672" width="8.5546875" style="121" customWidth="1"/>
    <col min="6673" max="6673" width="11.109375" style="121" customWidth="1"/>
    <col min="6674" max="6674" width="11.6640625" style="121" customWidth="1"/>
    <col min="6675" max="6675" width="8.88671875" style="121" customWidth="1"/>
    <col min="6676" max="6676" width="9.88671875" style="121" customWidth="1"/>
    <col min="6677" max="6677" width="14.88671875" style="121" customWidth="1"/>
    <col min="6678" max="6678" width="14.5546875" style="121" customWidth="1"/>
    <col min="6679" max="6679" width="16.109375" style="121" customWidth="1"/>
    <col min="6680" max="6684" width="12.88671875" style="121" customWidth="1"/>
    <col min="6685" max="6912" width="8.88671875" style="121"/>
    <col min="6913" max="6913" width="3.77734375" style="121" customWidth="1"/>
    <col min="6914" max="6914" width="6.44140625" style="121" customWidth="1"/>
    <col min="6915" max="6915" width="7.44140625" style="121" customWidth="1"/>
    <col min="6916" max="6916" width="10.33203125" style="121" customWidth="1"/>
    <col min="6917" max="6917" width="12.33203125" style="121" customWidth="1"/>
    <col min="6918" max="6918" width="35.77734375" style="121" customWidth="1"/>
    <col min="6919" max="6919" width="12" style="121" customWidth="1"/>
    <col min="6920" max="6922" width="13" style="121" customWidth="1"/>
    <col min="6923" max="6923" width="10.88671875" style="121" customWidth="1"/>
    <col min="6924" max="6926" width="15.77734375" style="121" customWidth="1"/>
    <col min="6927" max="6927" width="12.5546875" style="121" customWidth="1"/>
    <col min="6928" max="6928" width="8.5546875" style="121" customWidth="1"/>
    <col min="6929" max="6929" width="11.109375" style="121" customWidth="1"/>
    <col min="6930" max="6930" width="11.6640625" style="121" customWidth="1"/>
    <col min="6931" max="6931" width="8.88671875" style="121" customWidth="1"/>
    <col min="6932" max="6932" width="9.88671875" style="121" customWidth="1"/>
    <col min="6933" max="6933" width="14.88671875" style="121" customWidth="1"/>
    <col min="6934" max="6934" width="14.5546875" style="121" customWidth="1"/>
    <col min="6935" max="6935" width="16.109375" style="121" customWidth="1"/>
    <col min="6936" max="6940" width="12.88671875" style="121" customWidth="1"/>
    <col min="6941" max="7168" width="8.88671875" style="121"/>
    <col min="7169" max="7169" width="3.77734375" style="121" customWidth="1"/>
    <col min="7170" max="7170" width="6.44140625" style="121" customWidth="1"/>
    <col min="7171" max="7171" width="7.44140625" style="121" customWidth="1"/>
    <col min="7172" max="7172" width="10.33203125" style="121" customWidth="1"/>
    <col min="7173" max="7173" width="12.33203125" style="121" customWidth="1"/>
    <col min="7174" max="7174" width="35.77734375" style="121" customWidth="1"/>
    <col min="7175" max="7175" width="12" style="121" customWidth="1"/>
    <col min="7176" max="7178" width="13" style="121" customWidth="1"/>
    <col min="7179" max="7179" width="10.88671875" style="121" customWidth="1"/>
    <col min="7180" max="7182" width="15.77734375" style="121" customWidth="1"/>
    <col min="7183" max="7183" width="12.5546875" style="121" customWidth="1"/>
    <col min="7184" max="7184" width="8.5546875" style="121" customWidth="1"/>
    <col min="7185" max="7185" width="11.109375" style="121" customWidth="1"/>
    <col min="7186" max="7186" width="11.6640625" style="121" customWidth="1"/>
    <col min="7187" max="7187" width="8.88671875" style="121" customWidth="1"/>
    <col min="7188" max="7188" width="9.88671875" style="121" customWidth="1"/>
    <col min="7189" max="7189" width="14.88671875" style="121" customWidth="1"/>
    <col min="7190" max="7190" width="14.5546875" style="121" customWidth="1"/>
    <col min="7191" max="7191" width="16.109375" style="121" customWidth="1"/>
    <col min="7192" max="7196" width="12.88671875" style="121" customWidth="1"/>
    <col min="7197" max="7424" width="8.88671875" style="121"/>
    <col min="7425" max="7425" width="3.77734375" style="121" customWidth="1"/>
    <col min="7426" max="7426" width="6.44140625" style="121" customWidth="1"/>
    <col min="7427" max="7427" width="7.44140625" style="121" customWidth="1"/>
    <col min="7428" max="7428" width="10.33203125" style="121" customWidth="1"/>
    <col min="7429" max="7429" width="12.33203125" style="121" customWidth="1"/>
    <col min="7430" max="7430" width="35.77734375" style="121" customWidth="1"/>
    <col min="7431" max="7431" width="12" style="121" customWidth="1"/>
    <col min="7432" max="7434" width="13" style="121" customWidth="1"/>
    <col min="7435" max="7435" width="10.88671875" style="121" customWidth="1"/>
    <col min="7436" max="7438" width="15.77734375" style="121" customWidth="1"/>
    <col min="7439" max="7439" width="12.5546875" style="121" customWidth="1"/>
    <col min="7440" max="7440" width="8.5546875" style="121" customWidth="1"/>
    <col min="7441" max="7441" width="11.109375" style="121" customWidth="1"/>
    <col min="7442" max="7442" width="11.6640625" style="121" customWidth="1"/>
    <col min="7443" max="7443" width="8.88671875" style="121" customWidth="1"/>
    <col min="7444" max="7444" width="9.88671875" style="121" customWidth="1"/>
    <col min="7445" max="7445" width="14.88671875" style="121" customWidth="1"/>
    <col min="7446" max="7446" width="14.5546875" style="121" customWidth="1"/>
    <col min="7447" max="7447" width="16.109375" style="121" customWidth="1"/>
    <col min="7448" max="7452" width="12.88671875" style="121" customWidth="1"/>
    <col min="7453" max="7680" width="8.88671875" style="121"/>
    <col min="7681" max="7681" width="3.77734375" style="121" customWidth="1"/>
    <col min="7682" max="7682" width="6.44140625" style="121" customWidth="1"/>
    <col min="7683" max="7683" width="7.44140625" style="121" customWidth="1"/>
    <col min="7684" max="7684" width="10.33203125" style="121" customWidth="1"/>
    <col min="7685" max="7685" width="12.33203125" style="121" customWidth="1"/>
    <col min="7686" max="7686" width="35.77734375" style="121" customWidth="1"/>
    <col min="7687" max="7687" width="12" style="121" customWidth="1"/>
    <col min="7688" max="7690" width="13" style="121" customWidth="1"/>
    <col min="7691" max="7691" width="10.88671875" style="121" customWidth="1"/>
    <col min="7692" max="7694" width="15.77734375" style="121" customWidth="1"/>
    <col min="7695" max="7695" width="12.5546875" style="121" customWidth="1"/>
    <col min="7696" max="7696" width="8.5546875" style="121" customWidth="1"/>
    <col min="7697" max="7697" width="11.109375" style="121" customWidth="1"/>
    <col min="7698" max="7698" width="11.6640625" style="121" customWidth="1"/>
    <col min="7699" max="7699" width="8.88671875" style="121" customWidth="1"/>
    <col min="7700" max="7700" width="9.88671875" style="121" customWidth="1"/>
    <col min="7701" max="7701" width="14.88671875" style="121" customWidth="1"/>
    <col min="7702" max="7702" width="14.5546875" style="121" customWidth="1"/>
    <col min="7703" max="7703" width="16.109375" style="121" customWidth="1"/>
    <col min="7704" max="7708" width="12.88671875" style="121" customWidth="1"/>
    <col min="7709" max="7936" width="8.88671875" style="121"/>
    <col min="7937" max="7937" width="3.77734375" style="121" customWidth="1"/>
    <col min="7938" max="7938" width="6.44140625" style="121" customWidth="1"/>
    <col min="7939" max="7939" width="7.44140625" style="121" customWidth="1"/>
    <col min="7940" max="7940" width="10.33203125" style="121" customWidth="1"/>
    <col min="7941" max="7941" width="12.33203125" style="121" customWidth="1"/>
    <col min="7942" max="7942" width="35.77734375" style="121" customWidth="1"/>
    <col min="7943" max="7943" width="12" style="121" customWidth="1"/>
    <col min="7944" max="7946" width="13" style="121" customWidth="1"/>
    <col min="7947" max="7947" width="10.88671875" style="121" customWidth="1"/>
    <col min="7948" max="7950" width="15.77734375" style="121" customWidth="1"/>
    <col min="7951" max="7951" width="12.5546875" style="121" customWidth="1"/>
    <col min="7952" max="7952" width="8.5546875" style="121" customWidth="1"/>
    <col min="7953" max="7953" width="11.109375" style="121" customWidth="1"/>
    <col min="7954" max="7954" width="11.6640625" style="121" customWidth="1"/>
    <col min="7955" max="7955" width="8.88671875" style="121" customWidth="1"/>
    <col min="7956" max="7956" width="9.88671875" style="121" customWidth="1"/>
    <col min="7957" max="7957" width="14.88671875" style="121" customWidth="1"/>
    <col min="7958" max="7958" width="14.5546875" style="121" customWidth="1"/>
    <col min="7959" max="7959" width="16.109375" style="121" customWidth="1"/>
    <col min="7960" max="7964" width="12.88671875" style="121" customWidth="1"/>
    <col min="7965" max="8192" width="8.88671875" style="121"/>
    <col min="8193" max="8193" width="3.77734375" style="121" customWidth="1"/>
    <col min="8194" max="8194" width="6.44140625" style="121" customWidth="1"/>
    <col min="8195" max="8195" width="7.44140625" style="121" customWidth="1"/>
    <col min="8196" max="8196" width="10.33203125" style="121" customWidth="1"/>
    <col min="8197" max="8197" width="12.33203125" style="121" customWidth="1"/>
    <col min="8198" max="8198" width="35.77734375" style="121" customWidth="1"/>
    <col min="8199" max="8199" width="12" style="121" customWidth="1"/>
    <col min="8200" max="8202" width="13" style="121" customWidth="1"/>
    <col min="8203" max="8203" width="10.88671875" style="121" customWidth="1"/>
    <col min="8204" max="8206" width="15.77734375" style="121" customWidth="1"/>
    <col min="8207" max="8207" width="12.5546875" style="121" customWidth="1"/>
    <col min="8208" max="8208" width="8.5546875" style="121" customWidth="1"/>
    <col min="8209" max="8209" width="11.109375" style="121" customWidth="1"/>
    <col min="8210" max="8210" width="11.6640625" style="121" customWidth="1"/>
    <col min="8211" max="8211" width="8.88671875" style="121" customWidth="1"/>
    <col min="8212" max="8212" width="9.88671875" style="121" customWidth="1"/>
    <col min="8213" max="8213" width="14.88671875" style="121" customWidth="1"/>
    <col min="8214" max="8214" width="14.5546875" style="121" customWidth="1"/>
    <col min="8215" max="8215" width="16.109375" style="121" customWidth="1"/>
    <col min="8216" max="8220" width="12.88671875" style="121" customWidth="1"/>
    <col min="8221" max="8448" width="8.88671875" style="121"/>
    <col min="8449" max="8449" width="3.77734375" style="121" customWidth="1"/>
    <col min="8450" max="8450" width="6.44140625" style="121" customWidth="1"/>
    <col min="8451" max="8451" width="7.44140625" style="121" customWidth="1"/>
    <col min="8452" max="8452" width="10.33203125" style="121" customWidth="1"/>
    <col min="8453" max="8453" width="12.33203125" style="121" customWidth="1"/>
    <col min="8454" max="8454" width="35.77734375" style="121" customWidth="1"/>
    <col min="8455" max="8455" width="12" style="121" customWidth="1"/>
    <col min="8456" max="8458" width="13" style="121" customWidth="1"/>
    <col min="8459" max="8459" width="10.88671875" style="121" customWidth="1"/>
    <col min="8460" max="8462" width="15.77734375" style="121" customWidth="1"/>
    <col min="8463" max="8463" width="12.5546875" style="121" customWidth="1"/>
    <col min="8464" max="8464" width="8.5546875" style="121" customWidth="1"/>
    <col min="8465" max="8465" width="11.109375" style="121" customWidth="1"/>
    <col min="8466" max="8466" width="11.6640625" style="121" customWidth="1"/>
    <col min="8467" max="8467" width="8.88671875" style="121" customWidth="1"/>
    <col min="8468" max="8468" width="9.88671875" style="121" customWidth="1"/>
    <col min="8469" max="8469" width="14.88671875" style="121" customWidth="1"/>
    <col min="8470" max="8470" width="14.5546875" style="121" customWidth="1"/>
    <col min="8471" max="8471" width="16.109375" style="121" customWidth="1"/>
    <col min="8472" max="8476" width="12.88671875" style="121" customWidth="1"/>
    <col min="8477" max="8704" width="8.88671875" style="121"/>
    <col min="8705" max="8705" width="3.77734375" style="121" customWidth="1"/>
    <col min="8706" max="8706" width="6.44140625" style="121" customWidth="1"/>
    <col min="8707" max="8707" width="7.44140625" style="121" customWidth="1"/>
    <col min="8708" max="8708" width="10.33203125" style="121" customWidth="1"/>
    <col min="8709" max="8709" width="12.33203125" style="121" customWidth="1"/>
    <col min="8710" max="8710" width="35.77734375" style="121" customWidth="1"/>
    <col min="8711" max="8711" width="12" style="121" customWidth="1"/>
    <col min="8712" max="8714" width="13" style="121" customWidth="1"/>
    <col min="8715" max="8715" width="10.88671875" style="121" customWidth="1"/>
    <col min="8716" max="8718" width="15.77734375" style="121" customWidth="1"/>
    <col min="8719" max="8719" width="12.5546875" style="121" customWidth="1"/>
    <col min="8720" max="8720" width="8.5546875" style="121" customWidth="1"/>
    <col min="8721" max="8721" width="11.109375" style="121" customWidth="1"/>
    <col min="8722" max="8722" width="11.6640625" style="121" customWidth="1"/>
    <col min="8723" max="8723" width="8.88671875" style="121" customWidth="1"/>
    <col min="8724" max="8724" width="9.88671875" style="121" customWidth="1"/>
    <col min="8725" max="8725" width="14.88671875" style="121" customWidth="1"/>
    <col min="8726" max="8726" width="14.5546875" style="121" customWidth="1"/>
    <col min="8727" max="8727" width="16.109375" style="121" customWidth="1"/>
    <col min="8728" max="8732" width="12.88671875" style="121" customWidth="1"/>
    <col min="8733" max="8960" width="8.88671875" style="121"/>
    <col min="8961" max="8961" width="3.77734375" style="121" customWidth="1"/>
    <col min="8962" max="8962" width="6.44140625" style="121" customWidth="1"/>
    <col min="8963" max="8963" width="7.44140625" style="121" customWidth="1"/>
    <col min="8964" max="8964" width="10.33203125" style="121" customWidth="1"/>
    <col min="8965" max="8965" width="12.33203125" style="121" customWidth="1"/>
    <col min="8966" max="8966" width="35.77734375" style="121" customWidth="1"/>
    <col min="8967" max="8967" width="12" style="121" customWidth="1"/>
    <col min="8968" max="8970" width="13" style="121" customWidth="1"/>
    <col min="8971" max="8971" width="10.88671875" style="121" customWidth="1"/>
    <col min="8972" max="8974" width="15.77734375" style="121" customWidth="1"/>
    <col min="8975" max="8975" width="12.5546875" style="121" customWidth="1"/>
    <col min="8976" max="8976" width="8.5546875" style="121" customWidth="1"/>
    <col min="8977" max="8977" width="11.109375" style="121" customWidth="1"/>
    <col min="8978" max="8978" width="11.6640625" style="121" customWidth="1"/>
    <col min="8979" max="8979" width="8.88671875" style="121" customWidth="1"/>
    <col min="8980" max="8980" width="9.88671875" style="121" customWidth="1"/>
    <col min="8981" max="8981" width="14.88671875" style="121" customWidth="1"/>
    <col min="8982" max="8982" width="14.5546875" style="121" customWidth="1"/>
    <col min="8983" max="8983" width="16.109375" style="121" customWidth="1"/>
    <col min="8984" max="8988" width="12.88671875" style="121" customWidth="1"/>
    <col min="8989" max="9216" width="8.88671875" style="121"/>
    <col min="9217" max="9217" width="3.77734375" style="121" customWidth="1"/>
    <col min="9218" max="9218" width="6.44140625" style="121" customWidth="1"/>
    <col min="9219" max="9219" width="7.44140625" style="121" customWidth="1"/>
    <col min="9220" max="9220" width="10.33203125" style="121" customWidth="1"/>
    <col min="9221" max="9221" width="12.33203125" style="121" customWidth="1"/>
    <col min="9222" max="9222" width="35.77734375" style="121" customWidth="1"/>
    <col min="9223" max="9223" width="12" style="121" customWidth="1"/>
    <col min="9224" max="9226" width="13" style="121" customWidth="1"/>
    <col min="9227" max="9227" width="10.88671875" style="121" customWidth="1"/>
    <col min="9228" max="9230" width="15.77734375" style="121" customWidth="1"/>
    <col min="9231" max="9231" width="12.5546875" style="121" customWidth="1"/>
    <col min="9232" max="9232" width="8.5546875" style="121" customWidth="1"/>
    <col min="9233" max="9233" width="11.109375" style="121" customWidth="1"/>
    <col min="9234" max="9234" width="11.6640625" style="121" customWidth="1"/>
    <col min="9235" max="9235" width="8.88671875" style="121" customWidth="1"/>
    <col min="9236" max="9236" width="9.88671875" style="121" customWidth="1"/>
    <col min="9237" max="9237" width="14.88671875" style="121" customWidth="1"/>
    <col min="9238" max="9238" width="14.5546875" style="121" customWidth="1"/>
    <col min="9239" max="9239" width="16.109375" style="121" customWidth="1"/>
    <col min="9240" max="9244" width="12.88671875" style="121" customWidth="1"/>
    <col min="9245" max="9472" width="8.88671875" style="121"/>
    <col min="9473" max="9473" width="3.77734375" style="121" customWidth="1"/>
    <col min="9474" max="9474" width="6.44140625" style="121" customWidth="1"/>
    <col min="9475" max="9475" width="7.44140625" style="121" customWidth="1"/>
    <col min="9476" max="9476" width="10.33203125" style="121" customWidth="1"/>
    <col min="9477" max="9477" width="12.33203125" style="121" customWidth="1"/>
    <col min="9478" max="9478" width="35.77734375" style="121" customWidth="1"/>
    <col min="9479" max="9479" width="12" style="121" customWidth="1"/>
    <col min="9480" max="9482" width="13" style="121" customWidth="1"/>
    <col min="9483" max="9483" width="10.88671875" style="121" customWidth="1"/>
    <col min="9484" max="9486" width="15.77734375" style="121" customWidth="1"/>
    <col min="9487" max="9487" width="12.5546875" style="121" customWidth="1"/>
    <col min="9488" max="9488" width="8.5546875" style="121" customWidth="1"/>
    <col min="9489" max="9489" width="11.109375" style="121" customWidth="1"/>
    <col min="9490" max="9490" width="11.6640625" style="121" customWidth="1"/>
    <col min="9491" max="9491" width="8.88671875" style="121" customWidth="1"/>
    <col min="9492" max="9492" width="9.88671875" style="121" customWidth="1"/>
    <col min="9493" max="9493" width="14.88671875" style="121" customWidth="1"/>
    <col min="9494" max="9494" width="14.5546875" style="121" customWidth="1"/>
    <col min="9495" max="9495" width="16.109375" style="121" customWidth="1"/>
    <col min="9496" max="9500" width="12.88671875" style="121" customWidth="1"/>
    <col min="9501" max="9728" width="8.88671875" style="121"/>
    <col min="9729" max="9729" width="3.77734375" style="121" customWidth="1"/>
    <col min="9730" max="9730" width="6.44140625" style="121" customWidth="1"/>
    <col min="9731" max="9731" width="7.44140625" style="121" customWidth="1"/>
    <col min="9732" max="9732" width="10.33203125" style="121" customWidth="1"/>
    <col min="9733" max="9733" width="12.33203125" style="121" customWidth="1"/>
    <col min="9734" max="9734" width="35.77734375" style="121" customWidth="1"/>
    <col min="9735" max="9735" width="12" style="121" customWidth="1"/>
    <col min="9736" max="9738" width="13" style="121" customWidth="1"/>
    <col min="9739" max="9739" width="10.88671875" style="121" customWidth="1"/>
    <col min="9740" max="9742" width="15.77734375" style="121" customWidth="1"/>
    <col min="9743" max="9743" width="12.5546875" style="121" customWidth="1"/>
    <col min="9744" max="9744" width="8.5546875" style="121" customWidth="1"/>
    <col min="9745" max="9745" width="11.109375" style="121" customWidth="1"/>
    <col min="9746" max="9746" width="11.6640625" style="121" customWidth="1"/>
    <col min="9747" max="9747" width="8.88671875" style="121" customWidth="1"/>
    <col min="9748" max="9748" width="9.88671875" style="121" customWidth="1"/>
    <col min="9749" max="9749" width="14.88671875" style="121" customWidth="1"/>
    <col min="9750" max="9750" width="14.5546875" style="121" customWidth="1"/>
    <col min="9751" max="9751" width="16.109375" style="121" customWidth="1"/>
    <col min="9752" max="9756" width="12.88671875" style="121" customWidth="1"/>
    <col min="9757" max="9984" width="8.88671875" style="121"/>
    <col min="9985" max="9985" width="3.77734375" style="121" customWidth="1"/>
    <col min="9986" max="9986" width="6.44140625" style="121" customWidth="1"/>
    <col min="9987" max="9987" width="7.44140625" style="121" customWidth="1"/>
    <col min="9988" max="9988" width="10.33203125" style="121" customWidth="1"/>
    <col min="9989" max="9989" width="12.33203125" style="121" customWidth="1"/>
    <col min="9990" max="9990" width="35.77734375" style="121" customWidth="1"/>
    <col min="9991" max="9991" width="12" style="121" customWidth="1"/>
    <col min="9992" max="9994" width="13" style="121" customWidth="1"/>
    <col min="9995" max="9995" width="10.88671875" style="121" customWidth="1"/>
    <col min="9996" max="9998" width="15.77734375" style="121" customWidth="1"/>
    <col min="9999" max="9999" width="12.5546875" style="121" customWidth="1"/>
    <col min="10000" max="10000" width="8.5546875" style="121" customWidth="1"/>
    <col min="10001" max="10001" width="11.109375" style="121" customWidth="1"/>
    <col min="10002" max="10002" width="11.6640625" style="121" customWidth="1"/>
    <col min="10003" max="10003" width="8.88671875" style="121" customWidth="1"/>
    <col min="10004" max="10004" width="9.88671875" style="121" customWidth="1"/>
    <col min="10005" max="10005" width="14.88671875" style="121" customWidth="1"/>
    <col min="10006" max="10006" width="14.5546875" style="121" customWidth="1"/>
    <col min="10007" max="10007" width="16.109375" style="121" customWidth="1"/>
    <col min="10008" max="10012" width="12.88671875" style="121" customWidth="1"/>
    <col min="10013" max="10240" width="8.88671875" style="121"/>
    <col min="10241" max="10241" width="3.77734375" style="121" customWidth="1"/>
    <col min="10242" max="10242" width="6.44140625" style="121" customWidth="1"/>
    <col min="10243" max="10243" width="7.44140625" style="121" customWidth="1"/>
    <col min="10244" max="10244" width="10.33203125" style="121" customWidth="1"/>
    <col min="10245" max="10245" width="12.33203125" style="121" customWidth="1"/>
    <col min="10246" max="10246" width="35.77734375" style="121" customWidth="1"/>
    <col min="10247" max="10247" width="12" style="121" customWidth="1"/>
    <col min="10248" max="10250" width="13" style="121" customWidth="1"/>
    <col min="10251" max="10251" width="10.88671875" style="121" customWidth="1"/>
    <col min="10252" max="10254" width="15.77734375" style="121" customWidth="1"/>
    <col min="10255" max="10255" width="12.5546875" style="121" customWidth="1"/>
    <col min="10256" max="10256" width="8.5546875" style="121" customWidth="1"/>
    <col min="10257" max="10257" width="11.109375" style="121" customWidth="1"/>
    <col min="10258" max="10258" width="11.6640625" style="121" customWidth="1"/>
    <col min="10259" max="10259" width="8.88671875" style="121" customWidth="1"/>
    <col min="10260" max="10260" width="9.88671875" style="121" customWidth="1"/>
    <col min="10261" max="10261" width="14.88671875" style="121" customWidth="1"/>
    <col min="10262" max="10262" width="14.5546875" style="121" customWidth="1"/>
    <col min="10263" max="10263" width="16.109375" style="121" customWidth="1"/>
    <col min="10264" max="10268" width="12.88671875" style="121" customWidth="1"/>
    <col min="10269" max="10496" width="8.88671875" style="121"/>
    <col min="10497" max="10497" width="3.77734375" style="121" customWidth="1"/>
    <col min="10498" max="10498" width="6.44140625" style="121" customWidth="1"/>
    <col min="10499" max="10499" width="7.44140625" style="121" customWidth="1"/>
    <col min="10500" max="10500" width="10.33203125" style="121" customWidth="1"/>
    <col min="10501" max="10501" width="12.33203125" style="121" customWidth="1"/>
    <col min="10502" max="10502" width="35.77734375" style="121" customWidth="1"/>
    <col min="10503" max="10503" width="12" style="121" customWidth="1"/>
    <col min="10504" max="10506" width="13" style="121" customWidth="1"/>
    <col min="10507" max="10507" width="10.88671875" style="121" customWidth="1"/>
    <col min="10508" max="10510" width="15.77734375" style="121" customWidth="1"/>
    <col min="10511" max="10511" width="12.5546875" style="121" customWidth="1"/>
    <col min="10512" max="10512" width="8.5546875" style="121" customWidth="1"/>
    <col min="10513" max="10513" width="11.109375" style="121" customWidth="1"/>
    <col min="10514" max="10514" width="11.6640625" style="121" customWidth="1"/>
    <col min="10515" max="10515" width="8.88671875" style="121" customWidth="1"/>
    <col min="10516" max="10516" width="9.88671875" style="121" customWidth="1"/>
    <col min="10517" max="10517" width="14.88671875" style="121" customWidth="1"/>
    <col min="10518" max="10518" width="14.5546875" style="121" customWidth="1"/>
    <col min="10519" max="10519" width="16.109375" style="121" customWidth="1"/>
    <col min="10520" max="10524" width="12.88671875" style="121" customWidth="1"/>
    <col min="10525" max="10752" width="8.88671875" style="121"/>
    <col min="10753" max="10753" width="3.77734375" style="121" customWidth="1"/>
    <col min="10754" max="10754" width="6.44140625" style="121" customWidth="1"/>
    <col min="10755" max="10755" width="7.44140625" style="121" customWidth="1"/>
    <col min="10756" max="10756" width="10.33203125" style="121" customWidth="1"/>
    <col min="10757" max="10757" width="12.33203125" style="121" customWidth="1"/>
    <col min="10758" max="10758" width="35.77734375" style="121" customWidth="1"/>
    <col min="10759" max="10759" width="12" style="121" customWidth="1"/>
    <col min="10760" max="10762" width="13" style="121" customWidth="1"/>
    <col min="10763" max="10763" width="10.88671875" style="121" customWidth="1"/>
    <col min="10764" max="10766" width="15.77734375" style="121" customWidth="1"/>
    <col min="10767" max="10767" width="12.5546875" style="121" customWidth="1"/>
    <col min="10768" max="10768" width="8.5546875" style="121" customWidth="1"/>
    <col min="10769" max="10769" width="11.109375" style="121" customWidth="1"/>
    <col min="10770" max="10770" width="11.6640625" style="121" customWidth="1"/>
    <col min="10771" max="10771" width="8.88671875" style="121" customWidth="1"/>
    <col min="10772" max="10772" width="9.88671875" style="121" customWidth="1"/>
    <col min="10773" max="10773" width="14.88671875" style="121" customWidth="1"/>
    <col min="10774" max="10774" width="14.5546875" style="121" customWidth="1"/>
    <col min="10775" max="10775" width="16.109375" style="121" customWidth="1"/>
    <col min="10776" max="10780" width="12.88671875" style="121" customWidth="1"/>
    <col min="10781" max="11008" width="8.88671875" style="121"/>
    <col min="11009" max="11009" width="3.77734375" style="121" customWidth="1"/>
    <col min="11010" max="11010" width="6.44140625" style="121" customWidth="1"/>
    <col min="11011" max="11011" width="7.44140625" style="121" customWidth="1"/>
    <col min="11012" max="11012" width="10.33203125" style="121" customWidth="1"/>
    <col min="11013" max="11013" width="12.33203125" style="121" customWidth="1"/>
    <col min="11014" max="11014" width="35.77734375" style="121" customWidth="1"/>
    <col min="11015" max="11015" width="12" style="121" customWidth="1"/>
    <col min="11016" max="11018" width="13" style="121" customWidth="1"/>
    <col min="11019" max="11019" width="10.88671875" style="121" customWidth="1"/>
    <col min="11020" max="11022" width="15.77734375" style="121" customWidth="1"/>
    <col min="11023" max="11023" width="12.5546875" style="121" customWidth="1"/>
    <col min="11024" max="11024" width="8.5546875" style="121" customWidth="1"/>
    <col min="11025" max="11025" width="11.109375" style="121" customWidth="1"/>
    <col min="11026" max="11026" width="11.6640625" style="121" customWidth="1"/>
    <col min="11027" max="11027" width="8.88671875" style="121" customWidth="1"/>
    <col min="11028" max="11028" width="9.88671875" style="121" customWidth="1"/>
    <col min="11029" max="11029" width="14.88671875" style="121" customWidth="1"/>
    <col min="11030" max="11030" width="14.5546875" style="121" customWidth="1"/>
    <col min="11031" max="11031" width="16.109375" style="121" customWidth="1"/>
    <col min="11032" max="11036" width="12.88671875" style="121" customWidth="1"/>
    <col min="11037" max="11264" width="8.88671875" style="121"/>
    <col min="11265" max="11265" width="3.77734375" style="121" customWidth="1"/>
    <col min="11266" max="11266" width="6.44140625" style="121" customWidth="1"/>
    <col min="11267" max="11267" width="7.44140625" style="121" customWidth="1"/>
    <col min="11268" max="11268" width="10.33203125" style="121" customWidth="1"/>
    <col min="11269" max="11269" width="12.33203125" style="121" customWidth="1"/>
    <col min="11270" max="11270" width="35.77734375" style="121" customWidth="1"/>
    <col min="11271" max="11271" width="12" style="121" customWidth="1"/>
    <col min="11272" max="11274" width="13" style="121" customWidth="1"/>
    <col min="11275" max="11275" width="10.88671875" style="121" customWidth="1"/>
    <col min="11276" max="11278" width="15.77734375" style="121" customWidth="1"/>
    <col min="11279" max="11279" width="12.5546875" style="121" customWidth="1"/>
    <col min="11280" max="11280" width="8.5546875" style="121" customWidth="1"/>
    <col min="11281" max="11281" width="11.109375" style="121" customWidth="1"/>
    <col min="11282" max="11282" width="11.6640625" style="121" customWidth="1"/>
    <col min="11283" max="11283" width="8.88671875" style="121" customWidth="1"/>
    <col min="11284" max="11284" width="9.88671875" style="121" customWidth="1"/>
    <col min="11285" max="11285" width="14.88671875" style="121" customWidth="1"/>
    <col min="11286" max="11286" width="14.5546875" style="121" customWidth="1"/>
    <col min="11287" max="11287" width="16.109375" style="121" customWidth="1"/>
    <col min="11288" max="11292" width="12.88671875" style="121" customWidth="1"/>
    <col min="11293" max="11520" width="8.88671875" style="121"/>
    <col min="11521" max="11521" width="3.77734375" style="121" customWidth="1"/>
    <col min="11522" max="11522" width="6.44140625" style="121" customWidth="1"/>
    <col min="11523" max="11523" width="7.44140625" style="121" customWidth="1"/>
    <col min="11524" max="11524" width="10.33203125" style="121" customWidth="1"/>
    <col min="11525" max="11525" width="12.33203125" style="121" customWidth="1"/>
    <col min="11526" max="11526" width="35.77734375" style="121" customWidth="1"/>
    <col min="11527" max="11527" width="12" style="121" customWidth="1"/>
    <col min="11528" max="11530" width="13" style="121" customWidth="1"/>
    <col min="11531" max="11531" width="10.88671875" style="121" customWidth="1"/>
    <col min="11532" max="11534" width="15.77734375" style="121" customWidth="1"/>
    <col min="11535" max="11535" width="12.5546875" style="121" customWidth="1"/>
    <col min="11536" max="11536" width="8.5546875" style="121" customWidth="1"/>
    <col min="11537" max="11537" width="11.109375" style="121" customWidth="1"/>
    <col min="11538" max="11538" width="11.6640625" style="121" customWidth="1"/>
    <col min="11539" max="11539" width="8.88671875" style="121" customWidth="1"/>
    <col min="11540" max="11540" width="9.88671875" style="121" customWidth="1"/>
    <col min="11541" max="11541" width="14.88671875" style="121" customWidth="1"/>
    <col min="11542" max="11542" width="14.5546875" style="121" customWidth="1"/>
    <col min="11543" max="11543" width="16.109375" style="121" customWidth="1"/>
    <col min="11544" max="11548" width="12.88671875" style="121" customWidth="1"/>
    <col min="11549" max="11776" width="8.88671875" style="121"/>
    <col min="11777" max="11777" width="3.77734375" style="121" customWidth="1"/>
    <col min="11778" max="11778" width="6.44140625" style="121" customWidth="1"/>
    <col min="11779" max="11779" width="7.44140625" style="121" customWidth="1"/>
    <col min="11780" max="11780" width="10.33203125" style="121" customWidth="1"/>
    <col min="11781" max="11781" width="12.33203125" style="121" customWidth="1"/>
    <col min="11782" max="11782" width="35.77734375" style="121" customWidth="1"/>
    <col min="11783" max="11783" width="12" style="121" customWidth="1"/>
    <col min="11784" max="11786" width="13" style="121" customWidth="1"/>
    <col min="11787" max="11787" width="10.88671875" style="121" customWidth="1"/>
    <col min="11788" max="11790" width="15.77734375" style="121" customWidth="1"/>
    <col min="11791" max="11791" width="12.5546875" style="121" customWidth="1"/>
    <col min="11792" max="11792" width="8.5546875" style="121" customWidth="1"/>
    <col min="11793" max="11793" width="11.109375" style="121" customWidth="1"/>
    <col min="11794" max="11794" width="11.6640625" style="121" customWidth="1"/>
    <col min="11795" max="11795" width="8.88671875" style="121" customWidth="1"/>
    <col min="11796" max="11796" width="9.88671875" style="121" customWidth="1"/>
    <col min="11797" max="11797" width="14.88671875" style="121" customWidth="1"/>
    <col min="11798" max="11798" width="14.5546875" style="121" customWidth="1"/>
    <col min="11799" max="11799" width="16.109375" style="121" customWidth="1"/>
    <col min="11800" max="11804" width="12.88671875" style="121" customWidth="1"/>
    <col min="11805" max="12032" width="8.88671875" style="121"/>
    <col min="12033" max="12033" width="3.77734375" style="121" customWidth="1"/>
    <col min="12034" max="12034" width="6.44140625" style="121" customWidth="1"/>
    <col min="12035" max="12035" width="7.44140625" style="121" customWidth="1"/>
    <col min="12036" max="12036" width="10.33203125" style="121" customWidth="1"/>
    <col min="12037" max="12037" width="12.33203125" style="121" customWidth="1"/>
    <col min="12038" max="12038" width="35.77734375" style="121" customWidth="1"/>
    <col min="12039" max="12039" width="12" style="121" customWidth="1"/>
    <col min="12040" max="12042" width="13" style="121" customWidth="1"/>
    <col min="12043" max="12043" width="10.88671875" style="121" customWidth="1"/>
    <col min="12044" max="12046" width="15.77734375" style="121" customWidth="1"/>
    <col min="12047" max="12047" width="12.5546875" style="121" customWidth="1"/>
    <col min="12048" max="12048" width="8.5546875" style="121" customWidth="1"/>
    <col min="12049" max="12049" width="11.109375" style="121" customWidth="1"/>
    <col min="12050" max="12050" width="11.6640625" style="121" customWidth="1"/>
    <col min="12051" max="12051" width="8.88671875" style="121" customWidth="1"/>
    <col min="12052" max="12052" width="9.88671875" style="121" customWidth="1"/>
    <col min="12053" max="12053" width="14.88671875" style="121" customWidth="1"/>
    <col min="12054" max="12054" width="14.5546875" style="121" customWidth="1"/>
    <col min="12055" max="12055" width="16.109375" style="121" customWidth="1"/>
    <col min="12056" max="12060" width="12.88671875" style="121" customWidth="1"/>
    <col min="12061" max="12288" width="8.88671875" style="121"/>
    <col min="12289" max="12289" width="3.77734375" style="121" customWidth="1"/>
    <col min="12290" max="12290" width="6.44140625" style="121" customWidth="1"/>
    <col min="12291" max="12291" width="7.44140625" style="121" customWidth="1"/>
    <col min="12292" max="12292" width="10.33203125" style="121" customWidth="1"/>
    <col min="12293" max="12293" width="12.33203125" style="121" customWidth="1"/>
    <col min="12294" max="12294" width="35.77734375" style="121" customWidth="1"/>
    <col min="12295" max="12295" width="12" style="121" customWidth="1"/>
    <col min="12296" max="12298" width="13" style="121" customWidth="1"/>
    <col min="12299" max="12299" width="10.88671875" style="121" customWidth="1"/>
    <col min="12300" max="12302" width="15.77734375" style="121" customWidth="1"/>
    <col min="12303" max="12303" width="12.5546875" style="121" customWidth="1"/>
    <col min="12304" max="12304" width="8.5546875" style="121" customWidth="1"/>
    <col min="12305" max="12305" width="11.109375" style="121" customWidth="1"/>
    <col min="12306" max="12306" width="11.6640625" style="121" customWidth="1"/>
    <col min="12307" max="12307" width="8.88671875" style="121" customWidth="1"/>
    <col min="12308" max="12308" width="9.88671875" style="121" customWidth="1"/>
    <col min="12309" max="12309" width="14.88671875" style="121" customWidth="1"/>
    <col min="12310" max="12310" width="14.5546875" style="121" customWidth="1"/>
    <col min="12311" max="12311" width="16.109375" style="121" customWidth="1"/>
    <col min="12312" max="12316" width="12.88671875" style="121" customWidth="1"/>
    <col min="12317" max="12544" width="8.88671875" style="121"/>
    <col min="12545" max="12545" width="3.77734375" style="121" customWidth="1"/>
    <col min="12546" max="12546" width="6.44140625" style="121" customWidth="1"/>
    <col min="12547" max="12547" width="7.44140625" style="121" customWidth="1"/>
    <col min="12548" max="12548" width="10.33203125" style="121" customWidth="1"/>
    <col min="12549" max="12549" width="12.33203125" style="121" customWidth="1"/>
    <col min="12550" max="12550" width="35.77734375" style="121" customWidth="1"/>
    <col min="12551" max="12551" width="12" style="121" customWidth="1"/>
    <col min="12552" max="12554" width="13" style="121" customWidth="1"/>
    <col min="12555" max="12555" width="10.88671875" style="121" customWidth="1"/>
    <col min="12556" max="12558" width="15.77734375" style="121" customWidth="1"/>
    <col min="12559" max="12559" width="12.5546875" style="121" customWidth="1"/>
    <col min="12560" max="12560" width="8.5546875" style="121" customWidth="1"/>
    <col min="12561" max="12561" width="11.109375" style="121" customWidth="1"/>
    <col min="12562" max="12562" width="11.6640625" style="121" customWidth="1"/>
    <col min="12563" max="12563" width="8.88671875" style="121" customWidth="1"/>
    <col min="12564" max="12564" width="9.88671875" style="121" customWidth="1"/>
    <col min="12565" max="12565" width="14.88671875" style="121" customWidth="1"/>
    <col min="12566" max="12566" width="14.5546875" style="121" customWidth="1"/>
    <col min="12567" max="12567" width="16.109375" style="121" customWidth="1"/>
    <col min="12568" max="12572" width="12.88671875" style="121" customWidth="1"/>
    <col min="12573" max="12800" width="8.88671875" style="121"/>
    <col min="12801" max="12801" width="3.77734375" style="121" customWidth="1"/>
    <col min="12802" max="12802" width="6.44140625" style="121" customWidth="1"/>
    <col min="12803" max="12803" width="7.44140625" style="121" customWidth="1"/>
    <col min="12804" max="12804" width="10.33203125" style="121" customWidth="1"/>
    <col min="12805" max="12805" width="12.33203125" style="121" customWidth="1"/>
    <col min="12806" max="12806" width="35.77734375" style="121" customWidth="1"/>
    <col min="12807" max="12807" width="12" style="121" customWidth="1"/>
    <col min="12808" max="12810" width="13" style="121" customWidth="1"/>
    <col min="12811" max="12811" width="10.88671875" style="121" customWidth="1"/>
    <col min="12812" max="12814" width="15.77734375" style="121" customWidth="1"/>
    <col min="12815" max="12815" width="12.5546875" style="121" customWidth="1"/>
    <col min="12816" max="12816" width="8.5546875" style="121" customWidth="1"/>
    <col min="12817" max="12817" width="11.109375" style="121" customWidth="1"/>
    <col min="12818" max="12818" width="11.6640625" style="121" customWidth="1"/>
    <col min="12819" max="12819" width="8.88671875" style="121" customWidth="1"/>
    <col min="12820" max="12820" width="9.88671875" style="121" customWidth="1"/>
    <col min="12821" max="12821" width="14.88671875" style="121" customWidth="1"/>
    <col min="12822" max="12822" width="14.5546875" style="121" customWidth="1"/>
    <col min="12823" max="12823" width="16.109375" style="121" customWidth="1"/>
    <col min="12824" max="12828" width="12.88671875" style="121" customWidth="1"/>
    <col min="12829" max="13056" width="8.88671875" style="121"/>
    <col min="13057" max="13057" width="3.77734375" style="121" customWidth="1"/>
    <col min="13058" max="13058" width="6.44140625" style="121" customWidth="1"/>
    <col min="13059" max="13059" width="7.44140625" style="121" customWidth="1"/>
    <col min="13060" max="13060" width="10.33203125" style="121" customWidth="1"/>
    <col min="13061" max="13061" width="12.33203125" style="121" customWidth="1"/>
    <col min="13062" max="13062" width="35.77734375" style="121" customWidth="1"/>
    <col min="13063" max="13063" width="12" style="121" customWidth="1"/>
    <col min="13064" max="13066" width="13" style="121" customWidth="1"/>
    <col min="13067" max="13067" width="10.88671875" style="121" customWidth="1"/>
    <col min="13068" max="13070" width="15.77734375" style="121" customWidth="1"/>
    <col min="13071" max="13071" width="12.5546875" style="121" customWidth="1"/>
    <col min="13072" max="13072" width="8.5546875" style="121" customWidth="1"/>
    <col min="13073" max="13073" width="11.109375" style="121" customWidth="1"/>
    <col min="13074" max="13074" width="11.6640625" style="121" customWidth="1"/>
    <col min="13075" max="13075" width="8.88671875" style="121" customWidth="1"/>
    <col min="13076" max="13076" width="9.88671875" style="121" customWidth="1"/>
    <col min="13077" max="13077" width="14.88671875" style="121" customWidth="1"/>
    <col min="13078" max="13078" width="14.5546875" style="121" customWidth="1"/>
    <col min="13079" max="13079" width="16.109375" style="121" customWidth="1"/>
    <col min="13080" max="13084" width="12.88671875" style="121" customWidth="1"/>
    <col min="13085" max="13312" width="8.88671875" style="121"/>
    <col min="13313" max="13313" width="3.77734375" style="121" customWidth="1"/>
    <col min="13314" max="13314" width="6.44140625" style="121" customWidth="1"/>
    <col min="13315" max="13315" width="7.44140625" style="121" customWidth="1"/>
    <col min="13316" max="13316" width="10.33203125" style="121" customWidth="1"/>
    <col min="13317" max="13317" width="12.33203125" style="121" customWidth="1"/>
    <col min="13318" max="13318" width="35.77734375" style="121" customWidth="1"/>
    <col min="13319" max="13319" width="12" style="121" customWidth="1"/>
    <col min="13320" max="13322" width="13" style="121" customWidth="1"/>
    <col min="13323" max="13323" width="10.88671875" style="121" customWidth="1"/>
    <col min="13324" max="13326" width="15.77734375" style="121" customWidth="1"/>
    <col min="13327" max="13327" width="12.5546875" style="121" customWidth="1"/>
    <col min="13328" max="13328" width="8.5546875" style="121" customWidth="1"/>
    <col min="13329" max="13329" width="11.109375" style="121" customWidth="1"/>
    <col min="13330" max="13330" width="11.6640625" style="121" customWidth="1"/>
    <col min="13331" max="13331" width="8.88671875" style="121" customWidth="1"/>
    <col min="13332" max="13332" width="9.88671875" style="121" customWidth="1"/>
    <col min="13333" max="13333" width="14.88671875" style="121" customWidth="1"/>
    <col min="13334" max="13334" width="14.5546875" style="121" customWidth="1"/>
    <col min="13335" max="13335" width="16.109375" style="121" customWidth="1"/>
    <col min="13336" max="13340" width="12.88671875" style="121" customWidth="1"/>
    <col min="13341" max="13568" width="8.88671875" style="121"/>
    <col min="13569" max="13569" width="3.77734375" style="121" customWidth="1"/>
    <col min="13570" max="13570" width="6.44140625" style="121" customWidth="1"/>
    <col min="13571" max="13571" width="7.44140625" style="121" customWidth="1"/>
    <col min="13572" max="13572" width="10.33203125" style="121" customWidth="1"/>
    <col min="13573" max="13573" width="12.33203125" style="121" customWidth="1"/>
    <col min="13574" max="13574" width="35.77734375" style="121" customWidth="1"/>
    <col min="13575" max="13575" width="12" style="121" customWidth="1"/>
    <col min="13576" max="13578" width="13" style="121" customWidth="1"/>
    <col min="13579" max="13579" width="10.88671875" style="121" customWidth="1"/>
    <col min="13580" max="13582" width="15.77734375" style="121" customWidth="1"/>
    <col min="13583" max="13583" width="12.5546875" style="121" customWidth="1"/>
    <col min="13584" max="13584" width="8.5546875" style="121" customWidth="1"/>
    <col min="13585" max="13585" width="11.109375" style="121" customWidth="1"/>
    <col min="13586" max="13586" width="11.6640625" style="121" customWidth="1"/>
    <col min="13587" max="13587" width="8.88671875" style="121" customWidth="1"/>
    <col min="13588" max="13588" width="9.88671875" style="121" customWidth="1"/>
    <col min="13589" max="13589" width="14.88671875" style="121" customWidth="1"/>
    <col min="13590" max="13590" width="14.5546875" style="121" customWidth="1"/>
    <col min="13591" max="13591" width="16.109375" style="121" customWidth="1"/>
    <col min="13592" max="13596" width="12.88671875" style="121" customWidth="1"/>
    <col min="13597" max="13824" width="8.88671875" style="121"/>
    <col min="13825" max="13825" width="3.77734375" style="121" customWidth="1"/>
    <col min="13826" max="13826" width="6.44140625" style="121" customWidth="1"/>
    <col min="13827" max="13827" width="7.44140625" style="121" customWidth="1"/>
    <col min="13828" max="13828" width="10.33203125" style="121" customWidth="1"/>
    <col min="13829" max="13829" width="12.33203125" style="121" customWidth="1"/>
    <col min="13830" max="13830" width="35.77734375" style="121" customWidth="1"/>
    <col min="13831" max="13831" width="12" style="121" customWidth="1"/>
    <col min="13832" max="13834" width="13" style="121" customWidth="1"/>
    <col min="13835" max="13835" width="10.88671875" style="121" customWidth="1"/>
    <col min="13836" max="13838" width="15.77734375" style="121" customWidth="1"/>
    <col min="13839" max="13839" width="12.5546875" style="121" customWidth="1"/>
    <col min="13840" max="13840" width="8.5546875" style="121" customWidth="1"/>
    <col min="13841" max="13841" width="11.109375" style="121" customWidth="1"/>
    <col min="13842" max="13842" width="11.6640625" style="121" customWidth="1"/>
    <col min="13843" max="13843" width="8.88671875" style="121" customWidth="1"/>
    <col min="13844" max="13844" width="9.88671875" style="121" customWidth="1"/>
    <col min="13845" max="13845" width="14.88671875" style="121" customWidth="1"/>
    <col min="13846" max="13846" width="14.5546875" style="121" customWidth="1"/>
    <col min="13847" max="13847" width="16.109375" style="121" customWidth="1"/>
    <col min="13848" max="13852" width="12.88671875" style="121" customWidth="1"/>
    <col min="13853" max="14080" width="8.88671875" style="121"/>
    <col min="14081" max="14081" width="3.77734375" style="121" customWidth="1"/>
    <col min="14082" max="14082" width="6.44140625" style="121" customWidth="1"/>
    <col min="14083" max="14083" width="7.44140625" style="121" customWidth="1"/>
    <col min="14084" max="14084" width="10.33203125" style="121" customWidth="1"/>
    <col min="14085" max="14085" width="12.33203125" style="121" customWidth="1"/>
    <col min="14086" max="14086" width="35.77734375" style="121" customWidth="1"/>
    <col min="14087" max="14087" width="12" style="121" customWidth="1"/>
    <col min="14088" max="14090" width="13" style="121" customWidth="1"/>
    <col min="14091" max="14091" width="10.88671875" style="121" customWidth="1"/>
    <col min="14092" max="14094" width="15.77734375" style="121" customWidth="1"/>
    <col min="14095" max="14095" width="12.5546875" style="121" customWidth="1"/>
    <col min="14096" max="14096" width="8.5546875" style="121" customWidth="1"/>
    <col min="14097" max="14097" width="11.109375" style="121" customWidth="1"/>
    <col min="14098" max="14098" width="11.6640625" style="121" customWidth="1"/>
    <col min="14099" max="14099" width="8.88671875" style="121" customWidth="1"/>
    <col min="14100" max="14100" width="9.88671875" style="121" customWidth="1"/>
    <col min="14101" max="14101" width="14.88671875" style="121" customWidth="1"/>
    <col min="14102" max="14102" width="14.5546875" style="121" customWidth="1"/>
    <col min="14103" max="14103" width="16.109375" style="121" customWidth="1"/>
    <col min="14104" max="14108" width="12.88671875" style="121" customWidth="1"/>
    <col min="14109" max="14336" width="8.88671875" style="121"/>
    <col min="14337" max="14337" width="3.77734375" style="121" customWidth="1"/>
    <col min="14338" max="14338" width="6.44140625" style="121" customWidth="1"/>
    <col min="14339" max="14339" width="7.44140625" style="121" customWidth="1"/>
    <col min="14340" max="14340" width="10.33203125" style="121" customWidth="1"/>
    <col min="14341" max="14341" width="12.33203125" style="121" customWidth="1"/>
    <col min="14342" max="14342" width="35.77734375" style="121" customWidth="1"/>
    <col min="14343" max="14343" width="12" style="121" customWidth="1"/>
    <col min="14344" max="14346" width="13" style="121" customWidth="1"/>
    <col min="14347" max="14347" width="10.88671875" style="121" customWidth="1"/>
    <col min="14348" max="14350" width="15.77734375" style="121" customWidth="1"/>
    <col min="14351" max="14351" width="12.5546875" style="121" customWidth="1"/>
    <col min="14352" max="14352" width="8.5546875" style="121" customWidth="1"/>
    <col min="14353" max="14353" width="11.109375" style="121" customWidth="1"/>
    <col min="14354" max="14354" width="11.6640625" style="121" customWidth="1"/>
    <col min="14355" max="14355" width="8.88671875" style="121" customWidth="1"/>
    <col min="14356" max="14356" width="9.88671875" style="121" customWidth="1"/>
    <col min="14357" max="14357" width="14.88671875" style="121" customWidth="1"/>
    <col min="14358" max="14358" width="14.5546875" style="121" customWidth="1"/>
    <col min="14359" max="14359" width="16.109375" style="121" customWidth="1"/>
    <col min="14360" max="14364" width="12.88671875" style="121" customWidth="1"/>
    <col min="14365" max="14592" width="8.88671875" style="121"/>
    <col min="14593" max="14593" width="3.77734375" style="121" customWidth="1"/>
    <col min="14594" max="14594" width="6.44140625" style="121" customWidth="1"/>
    <col min="14595" max="14595" width="7.44140625" style="121" customWidth="1"/>
    <col min="14596" max="14596" width="10.33203125" style="121" customWidth="1"/>
    <col min="14597" max="14597" width="12.33203125" style="121" customWidth="1"/>
    <col min="14598" max="14598" width="35.77734375" style="121" customWidth="1"/>
    <col min="14599" max="14599" width="12" style="121" customWidth="1"/>
    <col min="14600" max="14602" width="13" style="121" customWidth="1"/>
    <col min="14603" max="14603" width="10.88671875" style="121" customWidth="1"/>
    <col min="14604" max="14606" width="15.77734375" style="121" customWidth="1"/>
    <col min="14607" max="14607" width="12.5546875" style="121" customWidth="1"/>
    <col min="14608" max="14608" width="8.5546875" style="121" customWidth="1"/>
    <col min="14609" max="14609" width="11.109375" style="121" customWidth="1"/>
    <col min="14610" max="14610" width="11.6640625" style="121" customWidth="1"/>
    <col min="14611" max="14611" width="8.88671875" style="121" customWidth="1"/>
    <col min="14612" max="14612" width="9.88671875" style="121" customWidth="1"/>
    <col min="14613" max="14613" width="14.88671875" style="121" customWidth="1"/>
    <col min="14614" max="14614" width="14.5546875" style="121" customWidth="1"/>
    <col min="14615" max="14615" width="16.109375" style="121" customWidth="1"/>
    <col min="14616" max="14620" width="12.88671875" style="121" customWidth="1"/>
    <col min="14621" max="14848" width="8.88671875" style="121"/>
    <col min="14849" max="14849" width="3.77734375" style="121" customWidth="1"/>
    <col min="14850" max="14850" width="6.44140625" style="121" customWidth="1"/>
    <col min="14851" max="14851" width="7.44140625" style="121" customWidth="1"/>
    <col min="14852" max="14852" width="10.33203125" style="121" customWidth="1"/>
    <col min="14853" max="14853" width="12.33203125" style="121" customWidth="1"/>
    <col min="14854" max="14854" width="35.77734375" style="121" customWidth="1"/>
    <col min="14855" max="14855" width="12" style="121" customWidth="1"/>
    <col min="14856" max="14858" width="13" style="121" customWidth="1"/>
    <col min="14859" max="14859" width="10.88671875" style="121" customWidth="1"/>
    <col min="14860" max="14862" width="15.77734375" style="121" customWidth="1"/>
    <col min="14863" max="14863" width="12.5546875" style="121" customWidth="1"/>
    <col min="14864" max="14864" width="8.5546875" style="121" customWidth="1"/>
    <col min="14865" max="14865" width="11.109375" style="121" customWidth="1"/>
    <col min="14866" max="14866" width="11.6640625" style="121" customWidth="1"/>
    <col min="14867" max="14867" width="8.88671875" style="121" customWidth="1"/>
    <col min="14868" max="14868" width="9.88671875" style="121" customWidth="1"/>
    <col min="14869" max="14869" width="14.88671875" style="121" customWidth="1"/>
    <col min="14870" max="14870" width="14.5546875" style="121" customWidth="1"/>
    <col min="14871" max="14871" width="16.109375" style="121" customWidth="1"/>
    <col min="14872" max="14876" width="12.88671875" style="121" customWidth="1"/>
    <col min="14877" max="15104" width="8.88671875" style="121"/>
    <col min="15105" max="15105" width="3.77734375" style="121" customWidth="1"/>
    <col min="15106" max="15106" width="6.44140625" style="121" customWidth="1"/>
    <col min="15107" max="15107" width="7.44140625" style="121" customWidth="1"/>
    <col min="15108" max="15108" width="10.33203125" style="121" customWidth="1"/>
    <col min="15109" max="15109" width="12.33203125" style="121" customWidth="1"/>
    <col min="15110" max="15110" width="35.77734375" style="121" customWidth="1"/>
    <col min="15111" max="15111" width="12" style="121" customWidth="1"/>
    <col min="15112" max="15114" width="13" style="121" customWidth="1"/>
    <col min="15115" max="15115" width="10.88671875" style="121" customWidth="1"/>
    <col min="15116" max="15118" width="15.77734375" style="121" customWidth="1"/>
    <col min="15119" max="15119" width="12.5546875" style="121" customWidth="1"/>
    <col min="15120" max="15120" width="8.5546875" style="121" customWidth="1"/>
    <col min="15121" max="15121" width="11.109375" style="121" customWidth="1"/>
    <col min="15122" max="15122" width="11.6640625" style="121" customWidth="1"/>
    <col min="15123" max="15123" width="8.88671875" style="121" customWidth="1"/>
    <col min="15124" max="15124" width="9.88671875" style="121" customWidth="1"/>
    <col min="15125" max="15125" width="14.88671875" style="121" customWidth="1"/>
    <col min="15126" max="15126" width="14.5546875" style="121" customWidth="1"/>
    <col min="15127" max="15127" width="16.109375" style="121" customWidth="1"/>
    <col min="15128" max="15132" width="12.88671875" style="121" customWidth="1"/>
    <col min="15133" max="15360" width="8.88671875" style="121"/>
    <col min="15361" max="15361" width="3.77734375" style="121" customWidth="1"/>
    <col min="15362" max="15362" width="6.44140625" style="121" customWidth="1"/>
    <col min="15363" max="15363" width="7.44140625" style="121" customWidth="1"/>
    <col min="15364" max="15364" width="10.33203125" style="121" customWidth="1"/>
    <col min="15365" max="15365" width="12.33203125" style="121" customWidth="1"/>
    <col min="15366" max="15366" width="35.77734375" style="121" customWidth="1"/>
    <col min="15367" max="15367" width="12" style="121" customWidth="1"/>
    <col min="15368" max="15370" width="13" style="121" customWidth="1"/>
    <col min="15371" max="15371" width="10.88671875" style="121" customWidth="1"/>
    <col min="15372" max="15374" width="15.77734375" style="121" customWidth="1"/>
    <col min="15375" max="15375" width="12.5546875" style="121" customWidth="1"/>
    <col min="15376" max="15376" width="8.5546875" style="121" customWidth="1"/>
    <col min="15377" max="15377" width="11.109375" style="121" customWidth="1"/>
    <col min="15378" max="15378" width="11.6640625" style="121" customWidth="1"/>
    <col min="15379" max="15379" width="8.88671875" style="121" customWidth="1"/>
    <col min="15380" max="15380" width="9.88671875" style="121" customWidth="1"/>
    <col min="15381" max="15381" width="14.88671875" style="121" customWidth="1"/>
    <col min="15382" max="15382" width="14.5546875" style="121" customWidth="1"/>
    <col min="15383" max="15383" width="16.109375" style="121" customWidth="1"/>
    <col min="15384" max="15388" width="12.88671875" style="121" customWidth="1"/>
    <col min="15389" max="15616" width="8.88671875" style="121"/>
    <col min="15617" max="15617" width="3.77734375" style="121" customWidth="1"/>
    <col min="15618" max="15618" width="6.44140625" style="121" customWidth="1"/>
    <col min="15619" max="15619" width="7.44140625" style="121" customWidth="1"/>
    <col min="15620" max="15620" width="10.33203125" style="121" customWidth="1"/>
    <col min="15621" max="15621" width="12.33203125" style="121" customWidth="1"/>
    <col min="15622" max="15622" width="35.77734375" style="121" customWidth="1"/>
    <col min="15623" max="15623" width="12" style="121" customWidth="1"/>
    <col min="15624" max="15626" width="13" style="121" customWidth="1"/>
    <col min="15627" max="15627" width="10.88671875" style="121" customWidth="1"/>
    <col min="15628" max="15630" width="15.77734375" style="121" customWidth="1"/>
    <col min="15631" max="15631" width="12.5546875" style="121" customWidth="1"/>
    <col min="15632" max="15632" width="8.5546875" style="121" customWidth="1"/>
    <col min="15633" max="15633" width="11.109375" style="121" customWidth="1"/>
    <col min="15634" max="15634" width="11.6640625" style="121" customWidth="1"/>
    <col min="15635" max="15635" width="8.88671875" style="121" customWidth="1"/>
    <col min="15636" max="15636" width="9.88671875" style="121" customWidth="1"/>
    <col min="15637" max="15637" width="14.88671875" style="121" customWidth="1"/>
    <col min="15638" max="15638" width="14.5546875" style="121" customWidth="1"/>
    <col min="15639" max="15639" width="16.109375" style="121" customWidth="1"/>
    <col min="15640" max="15644" width="12.88671875" style="121" customWidth="1"/>
    <col min="15645" max="15872" width="8.88671875" style="121"/>
    <col min="15873" max="15873" width="3.77734375" style="121" customWidth="1"/>
    <col min="15874" max="15874" width="6.44140625" style="121" customWidth="1"/>
    <col min="15875" max="15875" width="7.44140625" style="121" customWidth="1"/>
    <col min="15876" max="15876" width="10.33203125" style="121" customWidth="1"/>
    <col min="15877" max="15877" width="12.33203125" style="121" customWidth="1"/>
    <col min="15878" max="15878" width="35.77734375" style="121" customWidth="1"/>
    <col min="15879" max="15879" width="12" style="121" customWidth="1"/>
    <col min="15880" max="15882" width="13" style="121" customWidth="1"/>
    <col min="15883" max="15883" width="10.88671875" style="121" customWidth="1"/>
    <col min="15884" max="15886" width="15.77734375" style="121" customWidth="1"/>
    <col min="15887" max="15887" width="12.5546875" style="121" customWidth="1"/>
    <col min="15888" max="15888" width="8.5546875" style="121" customWidth="1"/>
    <col min="15889" max="15889" width="11.109375" style="121" customWidth="1"/>
    <col min="15890" max="15890" width="11.6640625" style="121" customWidth="1"/>
    <col min="15891" max="15891" width="8.88671875" style="121" customWidth="1"/>
    <col min="15892" max="15892" width="9.88671875" style="121" customWidth="1"/>
    <col min="15893" max="15893" width="14.88671875" style="121" customWidth="1"/>
    <col min="15894" max="15894" width="14.5546875" style="121" customWidth="1"/>
    <col min="15895" max="15895" width="16.109375" style="121" customWidth="1"/>
    <col min="15896" max="15900" width="12.88671875" style="121" customWidth="1"/>
    <col min="15901" max="16128" width="8.88671875" style="121"/>
    <col min="16129" max="16129" width="3.77734375" style="121" customWidth="1"/>
    <col min="16130" max="16130" width="6.44140625" style="121" customWidth="1"/>
    <col min="16131" max="16131" width="7.44140625" style="121" customWidth="1"/>
    <col min="16132" max="16132" width="10.33203125" style="121" customWidth="1"/>
    <col min="16133" max="16133" width="12.33203125" style="121" customWidth="1"/>
    <col min="16134" max="16134" width="35.77734375" style="121" customWidth="1"/>
    <col min="16135" max="16135" width="12" style="121" customWidth="1"/>
    <col min="16136" max="16138" width="13" style="121" customWidth="1"/>
    <col min="16139" max="16139" width="10.88671875" style="121" customWidth="1"/>
    <col min="16140" max="16142" width="15.77734375" style="121" customWidth="1"/>
    <col min="16143" max="16143" width="12.5546875" style="121" customWidth="1"/>
    <col min="16144" max="16144" width="8.5546875" style="121" customWidth="1"/>
    <col min="16145" max="16145" width="11.109375" style="121" customWidth="1"/>
    <col min="16146" max="16146" width="11.6640625" style="121" customWidth="1"/>
    <col min="16147" max="16147" width="8.88671875" style="121" customWidth="1"/>
    <col min="16148" max="16148" width="9.88671875" style="121" customWidth="1"/>
    <col min="16149" max="16149" width="14.88671875" style="121" customWidth="1"/>
    <col min="16150" max="16150" width="14.5546875" style="121" customWidth="1"/>
    <col min="16151" max="16151" width="16.109375" style="121" customWidth="1"/>
    <col min="16152" max="16156" width="12.88671875" style="121" customWidth="1"/>
    <col min="16157" max="16384" width="8.88671875" style="121"/>
  </cols>
  <sheetData>
    <row r="1" spans="1:242" ht="18.75" thickBot="1">
      <c r="A1" s="121"/>
      <c r="B1" s="118"/>
      <c r="C1" s="118"/>
      <c r="D1" s="118"/>
      <c r="E1" s="118"/>
      <c r="F1" s="118"/>
      <c r="G1" s="118"/>
      <c r="H1" s="118"/>
      <c r="I1" s="118"/>
      <c r="J1" s="118"/>
      <c r="K1" s="119"/>
      <c r="L1" s="118"/>
      <c r="M1" s="118"/>
      <c r="N1" s="118"/>
      <c r="O1" s="120"/>
      <c r="P1" s="118"/>
      <c r="Q1" s="118"/>
    </row>
    <row r="2" spans="1:242" ht="17.25" thickBot="1">
      <c r="A2" s="121"/>
      <c r="B2" s="244" t="s">
        <v>49</v>
      </c>
      <c r="C2" s="246" t="s">
        <v>50</v>
      </c>
      <c r="D2" s="242" t="s">
        <v>51</v>
      </c>
      <c r="E2" s="242" t="s">
        <v>52</v>
      </c>
      <c r="F2" s="242" t="s">
        <v>53</v>
      </c>
      <c r="G2" s="242" t="s">
        <v>54</v>
      </c>
      <c r="H2" s="242" t="s">
        <v>55</v>
      </c>
      <c r="I2" s="242" t="s">
        <v>56</v>
      </c>
      <c r="J2" s="242" t="s">
        <v>57</v>
      </c>
      <c r="K2" s="242" t="s">
        <v>58</v>
      </c>
      <c r="L2" s="267" t="s">
        <v>59</v>
      </c>
      <c r="M2" s="242" t="s">
        <v>60</v>
      </c>
      <c r="N2" s="259" t="s">
        <v>61</v>
      </c>
      <c r="O2" s="261" t="s">
        <v>62</v>
      </c>
      <c r="P2" s="244" t="s">
        <v>63</v>
      </c>
      <c r="Q2" s="244" t="s">
        <v>64</v>
      </c>
      <c r="R2" s="263" t="s">
        <v>65</v>
      </c>
      <c r="S2" s="265" t="s">
        <v>66</v>
      </c>
      <c r="T2" s="249" t="s">
        <v>67</v>
      </c>
      <c r="U2" s="125"/>
      <c r="V2" s="126"/>
      <c r="W2" s="251" t="s">
        <v>68</v>
      </c>
      <c r="X2" s="251"/>
      <c r="Y2" s="251"/>
      <c r="Z2" s="251"/>
      <c r="AA2" s="251"/>
      <c r="AB2" s="249"/>
    </row>
    <row r="3" spans="1:242" ht="17.25" thickBot="1">
      <c r="A3" s="121"/>
      <c r="B3" s="245"/>
      <c r="C3" s="247"/>
      <c r="D3" s="248"/>
      <c r="E3" s="248"/>
      <c r="F3" s="248"/>
      <c r="G3" s="243"/>
      <c r="H3" s="248"/>
      <c r="I3" s="243"/>
      <c r="J3" s="248"/>
      <c r="K3" s="248"/>
      <c r="L3" s="268"/>
      <c r="M3" s="243"/>
      <c r="N3" s="260"/>
      <c r="O3" s="262"/>
      <c r="P3" s="245"/>
      <c r="Q3" s="245"/>
      <c r="R3" s="264"/>
      <c r="S3" s="266"/>
      <c r="T3" s="250"/>
      <c r="U3" s="127" t="s">
        <v>69</v>
      </c>
      <c r="V3" s="128" t="s">
        <v>70</v>
      </c>
      <c r="W3" s="129" t="s">
        <v>71</v>
      </c>
      <c r="X3" s="130" t="s">
        <v>72</v>
      </c>
      <c r="Y3" s="131" t="s">
        <v>73</v>
      </c>
      <c r="Z3" s="131">
        <v>10</v>
      </c>
      <c r="AA3" s="131">
        <v>11</v>
      </c>
      <c r="AB3" s="132" t="s">
        <v>74</v>
      </c>
    </row>
    <row r="4" spans="1:242" s="133" customFormat="1">
      <c r="B4" s="162"/>
      <c r="C4" s="163"/>
      <c r="D4" s="164"/>
      <c r="E4" s="164"/>
      <c r="F4" s="164"/>
      <c r="G4" s="165"/>
      <c r="H4" s="165"/>
      <c r="I4" s="165"/>
      <c r="J4" s="166"/>
      <c r="K4" s="167"/>
      <c r="L4" s="168"/>
      <c r="M4" s="169"/>
      <c r="N4" s="170"/>
      <c r="O4" s="171"/>
      <c r="P4" s="172"/>
      <c r="Q4" s="173"/>
      <c r="R4" s="174"/>
      <c r="S4" s="175"/>
      <c r="T4" s="176"/>
      <c r="U4" s="177"/>
      <c r="V4" s="176"/>
      <c r="W4" s="178"/>
      <c r="X4" s="179"/>
      <c r="Y4" s="180"/>
      <c r="Z4" s="180"/>
      <c r="AA4" s="181"/>
      <c r="AB4" s="182"/>
    </row>
    <row r="5" spans="1:242" s="134" customFormat="1">
      <c r="B5" s="183"/>
      <c r="C5" s="184"/>
      <c r="D5" s="185"/>
      <c r="E5" s="185"/>
      <c r="F5" s="185"/>
      <c r="G5" s="186"/>
      <c r="H5" s="186"/>
      <c r="I5" s="186"/>
      <c r="J5" s="187"/>
      <c r="K5" s="188"/>
      <c r="L5" s="189"/>
      <c r="M5" s="190"/>
      <c r="N5" s="191"/>
      <c r="O5" s="192"/>
      <c r="P5" s="193"/>
      <c r="Q5" s="194"/>
      <c r="R5" s="195"/>
      <c r="S5" s="196"/>
      <c r="T5" s="197"/>
      <c r="U5" s="198"/>
      <c r="V5" s="197"/>
      <c r="W5" s="199"/>
      <c r="X5" s="200"/>
      <c r="Y5" s="201"/>
      <c r="Z5" s="202"/>
      <c r="AA5" s="202"/>
      <c r="AB5" s="203"/>
    </row>
    <row r="6" spans="1:242" s="134" customFormat="1" ht="15" thickBot="1">
      <c r="B6" s="183"/>
      <c r="C6" s="184"/>
      <c r="D6" s="185"/>
      <c r="E6" s="185"/>
      <c r="F6" s="185"/>
      <c r="G6" s="186"/>
      <c r="H6" s="186"/>
      <c r="I6" s="186"/>
      <c r="J6" s="187"/>
      <c r="K6" s="188"/>
      <c r="L6" s="189"/>
      <c r="M6" s="190"/>
      <c r="N6" s="191"/>
      <c r="O6" s="192"/>
      <c r="P6" s="193"/>
      <c r="Q6" s="194"/>
      <c r="R6" s="204"/>
      <c r="S6" s="196"/>
      <c r="T6" s="197"/>
      <c r="U6" s="198"/>
      <c r="V6" s="197"/>
      <c r="W6" s="199"/>
      <c r="X6" s="205"/>
      <c r="Y6" s="201"/>
      <c r="Z6" s="201"/>
      <c r="AA6" s="202"/>
      <c r="AB6" s="203"/>
    </row>
    <row r="7" spans="1:242" ht="15" thickBot="1">
      <c r="A7" s="121"/>
      <c r="B7" s="135"/>
      <c r="C7" s="136"/>
      <c r="D7" s="137"/>
      <c r="E7" s="137"/>
      <c r="F7" s="137"/>
      <c r="G7" s="137"/>
      <c r="H7" s="138">
        <f>SUM(H4:H6)</f>
        <v>0</v>
      </c>
      <c r="I7" s="138"/>
      <c r="J7" s="138"/>
      <c r="K7" s="139"/>
      <c r="L7" s="140">
        <f>SUM(L4:L6)</f>
        <v>0</v>
      </c>
      <c r="M7" s="140">
        <f>SUM(M4:M6)</f>
        <v>0</v>
      </c>
      <c r="N7" s="140"/>
      <c r="O7" s="141"/>
      <c r="P7" s="142"/>
      <c r="Q7" s="142"/>
      <c r="R7" s="140"/>
      <c r="S7" s="140"/>
      <c r="T7" s="140"/>
      <c r="U7" s="143">
        <f t="shared" ref="U7:AB7" si="0">SUM(U4:U6)</f>
        <v>0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</row>
    <row r="8" spans="1:242" ht="15" thickBot="1">
      <c r="A8" s="121"/>
      <c r="T8" s="146"/>
      <c r="U8" s="252">
        <f>SUM(U7:AB7)</f>
        <v>0</v>
      </c>
      <c r="V8" s="253"/>
      <c r="W8" s="253"/>
      <c r="X8" s="253"/>
      <c r="Y8" s="253"/>
      <c r="Z8" s="253"/>
      <c r="AA8" s="253"/>
      <c r="AB8" s="254"/>
    </row>
    <row r="9" spans="1:242" ht="15" thickBot="1">
      <c r="A9" s="121"/>
      <c r="B9" s="161"/>
      <c r="C9" s="161"/>
      <c r="D9" s="161"/>
      <c r="E9" s="161"/>
      <c r="U9" s="121"/>
      <c r="V9" s="121"/>
      <c r="W9" s="121"/>
    </row>
    <row r="10" spans="1:242" ht="18" thickBot="1">
      <c r="A10" s="121"/>
      <c r="B10" s="147"/>
      <c r="C10" s="148"/>
      <c r="D10" s="149"/>
      <c r="E10" s="150"/>
      <c r="F10" s="99" t="s">
        <v>75</v>
      </c>
      <c r="G10" s="255" t="s">
        <v>76</v>
      </c>
      <c r="H10" s="256"/>
      <c r="I10" s="257"/>
      <c r="J10" s="258"/>
      <c r="K10" s="100"/>
      <c r="L10" s="122"/>
      <c r="M10" s="122"/>
      <c r="N10" s="121"/>
      <c r="O10" s="121"/>
      <c r="Q10" s="121"/>
      <c r="T10" s="121"/>
      <c r="U10" s="121"/>
      <c r="V10" s="121"/>
      <c r="W10" s="121"/>
    </row>
    <row r="11" spans="1:242" ht="15" thickBot="1">
      <c r="A11" s="121"/>
      <c r="B11" s="148"/>
      <c r="C11" s="148"/>
      <c r="D11" s="149"/>
      <c r="E11" s="151"/>
      <c r="F11" s="101" t="s">
        <v>44</v>
      </c>
      <c r="G11" s="152" t="s">
        <v>77</v>
      </c>
      <c r="H11" s="153" t="s">
        <v>78</v>
      </c>
      <c r="I11" s="154" t="s">
        <v>79</v>
      </c>
      <c r="J11" s="155" t="s">
        <v>80</v>
      </c>
      <c r="K11" s="102" t="s">
        <v>47</v>
      </c>
      <c r="L11" s="122"/>
      <c r="M11" s="122"/>
      <c r="N11" s="121"/>
      <c r="O11" s="121"/>
      <c r="Q11" s="121"/>
      <c r="T11" s="121"/>
      <c r="U11" s="121"/>
      <c r="V11" s="121"/>
      <c r="W11" s="121"/>
    </row>
    <row r="12" spans="1:242">
      <c r="A12" s="121"/>
      <c r="B12" s="148"/>
      <c r="C12" s="148"/>
      <c r="D12" s="149"/>
      <c r="E12" s="151"/>
      <c r="F12" s="103"/>
      <c r="G12" s="104"/>
      <c r="H12" s="105"/>
      <c r="I12" s="156"/>
      <c r="J12" s="106"/>
      <c r="K12" s="107"/>
      <c r="L12" s="122"/>
      <c r="M12" s="122"/>
      <c r="N12" s="121"/>
      <c r="O12" s="121"/>
      <c r="Q12" s="121"/>
      <c r="T12" s="121"/>
      <c r="U12" s="121"/>
      <c r="V12" s="121"/>
      <c r="W12" s="121"/>
    </row>
    <row r="13" spans="1:242">
      <c r="A13" s="121"/>
      <c r="B13" s="148"/>
      <c r="C13" s="148"/>
      <c r="D13" s="149"/>
      <c r="E13" s="157"/>
      <c r="F13" s="108"/>
      <c r="G13" s="109"/>
      <c r="H13" s="110"/>
      <c r="I13" s="158"/>
      <c r="J13" s="111"/>
      <c r="K13" s="112"/>
      <c r="L13" s="122"/>
      <c r="M13" s="122"/>
      <c r="N13" s="121"/>
      <c r="O13" s="121"/>
      <c r="Q13" s="121"/>
      <c r="T13" s="121"/>
      <c r="U13" s="121"/>
      <c r="V13" s="121"/>
      <c r="W13" s="121"/>
    </row>
    <row r="14" spans="1:242">
      <c r="A14" s="121"/>
      <c r="B14" s="159"/>
      <c r="C14" s="159"/>
      <c r="D14" s="159"/>
      <c r="E14" s="159"/>
      <c r="F14" s="108"/>
      <c r="G14" s="109"/>
      <c r="H14" s="110"/>
      <c r="I14" s="158"/>
      <c r="J14" s="111"/>
      <c r="K14" s="112"/>
      <c r="L14" s="122"/>
      <c r="M14" s="122"/>
      <c r="N14" s="121"/>
      <c r="O14" s="121"/>
      <c r="Q14" s="121"/>
      <c r="T14" s="121"/>
      <c r="U14" s="121"/>
      <c r="V14" s="121"/>
      <c r="W14" s="121"/>
    </row>
    <row r="15" spans="1:242" s="122" customFormat="1" ht="15" thickBot="1">
      <c r="A15" s="133"/>
      <c r="B15" s="144"/>
      <c r="C15" s="144"/>
      <c r="D15" s="144"/>
      <c r="E15" s="144"/>
      <c r="F15" s="113" t="s">
        <v>48</v>
      </c>
      <c r="G15" s="114">
        <f>SUM(G12:G14)</f>
        <v>0</v>
      </c>
      <c r="H15" s="114">
        <f>SUM(H12:H14)</f>
        <v>0</v>
      </c>
      <c r="I15" s="114">
        <f>SUM(I12:I14)</f>
        <v>0</v>
      </c>
      <c r="J15" s="114">
        <f>SUM(J12:J14)</f>
        <v>0</v>
      </c>
      <c r="K15" s="115"/>
      <c r="N15" s="121"/>
      <c r="O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1"/>
      <c r="EA15" s="121"/>
      <c r="EB15" s="121"/>
      <c r="EC15" s="121"/>
      <c r="ED15" s="121"/>
      <c r="EE15" s="121"/>
      <c r="EF15" s="121"/>
      <c r="EG15" s="121"/>
      <c r="EH15" s="121"/>
      <c r="EI15" s="121"/>
      <c r="EJ15" s="121"/>
      <c r="EK15" s="121"/>
      <c r="EL15" s="121"/>
      <c r="EM15" s="121"/>
      <c r="EN15" s="121"/>
      <c r="EO15" s="121"/>
      <c r="EP15" s="121"/>
      <c r="EQ15" s="121"/>
      <c r="ER15" s="121"/>
      <c r="ES15" s="121"/>
      <c r="ET15" s="121"/>
      <c r="EU15" s="121"/>
      <c r="EV15" s="121"/>
      <c r="EW15" s="121"/>
      <c r="EX15" s="121"/>
      <c r="EY15" s="121"/>
      <c r="EZ15" s="121"/>
      <c r="FA15" s="121"/>
      <c r="FB15" s="121"/>
      <c r="FC15" s="121"/>
      <c r="FD15" s="121"/>
      <c r="FE15" s="121"/>
      <c r="FF15" s="121"/>
      <c r="FG15" s="121"/>
      <c r="FH15" s="121"/>
      <c r="FI15" s="121"/>
      <c r="FJ15" s="121"/>
      <c r="FK15" s="121"/>
      <c r="FL15" s="121"/>
      <c r="FM15" s="121"/>
      <c r="FN15" s="121"/>
      <c r="FO15" s="121"/>
      <c r="FP15" s="121"/>
      <c r="FQ15" s="121"/>
      <c r="FR15" s="121"/>
      <c r="FS15" s="121"/>
      <c r="FT15" s="121"/>
      <c r="FU15" s="121"/>
      <c r="FV15" s="121"/>
      <c r="FW15" s="121"/>
      <c r="FX15" s="121"/>
      <c r="FY15" s="121"/>
      <c r="FZ15" s="121"/>
      <c r="GA15" s="121"/>
      <c r="GB15" s="121"/>
      <c r="GC15" s="121"/>
      <c r="GD15" s="121"/>
      <c r="GE15" s="121"/>
      <c r="GF15" s="121"/>
      <c r="GG15" s="121"/>
      <c r="GH15" s="121"/>
      <c r="GI15" s="121"/>
      <c r="GJ15" s="121"/>
      <c r="GK15" s="121"/>
      <c r="GL15" s="121"/>
      <c r="GM15" s="121"/>
      <c r="GN15" s="121"/>
      <c r="GO15" s="121"/>
      <c r="GP15" s="121"/>
      <c r="GQ15" s="121"/>
      <c r="GR15" s="121"/>
      <c r="GS15" s="121"/>
      <c r="GT15" s="121"/>
      <c r="GU15" s="121"/>
      <c r="GV15" s="121"/>
      <c r="GW15" s="121"/>
      <c r="GX15" s="121"/>
      <c r="GY15" s="121"/>
      <c r="GZ15" s="121"/>
      <c r="HA15" s="121"/>
      <c r="HB15" s="121"/>
      <c r="HC15" s="121"/>
      <c r="HD15" s="121"/>
      <c r="HE15" s="121"/>
      <c r="HF15" s="121"/>
      <c r="HG15" s="121"/>
      <c r="HH15" s="121"/>
      <c r="HI15" s="121"/>
      <c r="HJ15" s="121"/>
      <c r="HK15" s="121"/>
      <c r="HL15" s="121"/>
      <c r="HM15" s="121"/>
      <c r="HN15" s="121"/>
      <c r="HO15" s="121"/>
      <c r="HP15" s="121"/>
      <c r="HQ15" s="121"/>
      <c r="HR15" s="121"/>
      <c r="HS15" s="121"/>
      <c r="HT15" s="121"/>
      <c r="HU15" s="121"/>
      <c r="HV15" s="121"/>
      <c r="HW15" s="121"/>
      <c r="HX15" s="121"/>
      <c r="HY15" s="121"/>
      <c r="HZ15" s="121"/>
      <c r="IA15" s="121"/>
      <c r="IB15" s="121"/>
      <c r="IC15" s="121"/>
      <c r="ID15" s="121"/>
      <c r="IE15" s="121"/>
      <c r="IF15" s="121"/>
      <c r="IG15" s="121"/>
      <c r="IH15" s="121"/>
    </row>
    <row r="16" spans="1:242">
      <c r="U16" s="121"/>
      <c r="V16" s="121"/>
      <c r="W16" s="121"/>
    </row>
    <row r="17" spans="21:23">
      <c r="U17" s="121"/>
      <c r="V17" s="121"/>
      <c r="W17" s="121"/>
    </row>
  </sheetData>
  <mergeCells count="22">
    <mergeCell ref="T2:T3"/>
    <mergeCell ref="W2:AB2"/>
    <mergeCell ref="U8:AB8"/>
    <mergeCell ref="G10:J10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  <mergeCell ref="G2:G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2"/>
  </sheetPr>
  <dimension ref="A1:IJ16"/>
  <sheetViews>
    <sheetView topLeftCell="M1" zoomScale="85" zoomScaleNormal="85" workbookViewId="0">
      <selection activeCell="B2" sqref="B2:B3"/>
    </sheetView>
  </sheetViews>
  <sheetFormatPr defaultRowHeight="14.25"/>
  <cols>
    <col min="1" max="1" width="3.77734375" style="133" customWidth="1"/>
    <col min="2" max="2" width="6.44140625" style="144" customWidth="1"/>
    <col min="3" max="3" width="7.44140625" style="144" customWidth="1"/>
    <col min="4" max="4" width="10.33203125" style="144" customWidth="1"/>
    <col min="5" max="5" width="12.33203125" style="144" customWidth="1"/>
    <col min="6" max="6" width="35.77734375" style="144" customWidth="1"/>
    <col min="7" max="7" width="12" style="123" customWidth="1"/>
    <col min="8" max="10" width="13" style="123" customWidth="1"/>
    <col min="11" max="11" width="10.88671875" style="122" customWidth="1"/>
    <col min="12" max="14" width="15.77734375" style="123" customWidth="1"/>
    <col min="15" max="15" width="12.5546875" style="145" customWidth="1"/>
    <col min="16" max="16" width="8.5546875" style="122" customWidth="1"/>
    <col min="17" max="17" width="11.109375" style="122" customWidth="1"/>
    <col min="18" max="18" width="11.6640625" style="121" customWidth="1"/>
    <col min="19" max="19" width="8.88671875" style="121" customWidth="1"/>
    <col min="20" max="20" width="9.88671875" style="122" customWidth="1"/>
    <col min="21" max="21" width="14.88671875" style="123" customWidth="1"/>
    <col min="22" max="22" width="14.5546875" style="122" customWidth="1"/>
    <col min="23" max="23" width="16.109375" style="124" customWidth="1"/>
    <col min="24" max="28" width="12.88671875" style="121" customWidth="1"/>
    <col min="29" max="256" width="8.88671875" style="121"/>
    <col min="257" max="257" width="3.77734375" style="121" customWidth="1"/>
    <col min="258" max="258" width="6.44140625" style="121" customWidth="1"/>
    <col min="259" max="259" width="7.44140625" style="121" customWidth="1"/>
    <col min="260" max="260" width="10.33203125" style="121" customWidth="1"/>
    <col min="261" max="261" width="12.33203125" style="121" customWidth="1"/>
    <col min="262" max="262" width="35.77734375" style="121" customWidth="1"/>
    <col min="263" max="263" width="12" style="121" customWidth="1"/>
    <col min="264" max="266" width="13" style="121" customWidth="1"/>
    <col min="267" max="267" width="10.88671875" style="121" customWidth="1"/>
    <col min="268" max="270" width="15.77734375" style="121" customWidth="1"/>
    <col min="271" max="271" width="12.5546875" style="121" customWidth="1"/>
    <col min="272" max="272" width="8.5546875" style="121" customWidth="1"/>
    <col min="273" max="273" width="11.109375" style="121" customWidth="1"/>
    <col min="274" max="274" width="11.6640625" style="121" customWidth="1"/>
    <col min="275" max="275" width="8.88671875" style="121" customWidth="1"/>
    <col min="276" max="276" width="9.88671875" style="121" customWidth="1"/>
    <col min="277" max="277" width="14.88671875" style="121" customWidth="1"/>
    <col min="278" max="278" width="14.5546875" style="121" customWidth="1"/>
    <col min="279" max="279" width="16.109375" style="121" customWidth="1"/>
    <col min="280" max="284" width="12.88671875" style="121" customWidth="1"/>
    <col min="285" max="512" width="8.88671875" style="121"/>
    <col min="513" max="513" width="3.77734375" style="121" customWidth="1"/>
    <col min="514" max="514" width="6.44140625" style="121" customWidth="1"/>
    <col min="515" max="515" width="7.44140625" style="121" customWidth="1"/>
    <col min="516" max="516" width="10.33203125" style="121" customWidth="1"/>
    <col min="517" max="517" width="12.33203125" style="121" customWidth="1"/>
    <col min="518" max="518" width="35.77734375" style="121" customWidth="1"/>
    <col min="519" max="519" width="12" style="121" customWidth="1"/>
    <col min="520" max="522" width="13" style="121" customWidth="1"/>
    <col min="523" max="523" width="10.88671875" style="121" customWidth="1"/>
    <col min="524" max="526" width="15.77734375" style="121" customWidth="1"/>
    <col min="527" max="527" width="12.5546875" style="121" customWidth="1"/>
    <col min="528" max="528" width="8.5546875" style="121" customWidth="1"/>
    <col min="529" max="529" width="11.109375" style="121" customWidth="1"/>
    <col min="530" max="530" width="11.6640625" style="121" customWidth="1"/>
    <col min="531" max="531" width="8.88671875" style="121" customWidth="1"/>
    <col min="532" max="532" width="9.88671875" style="121" customWidth="1"/>
    <col min="533" max="533" width="14.88671875" style="121" customWidth="1"/>
    <col min="534" max="534" width="14.5546875" style="121" customWidth="1"/>
    <col min="535" max="535" width="16.109375" style="121" customWidth="1"/>
    <col min="536" max="540" width="12.88671875" style="121" customWidth="1"/>
    <col min="541" max="768" width="8.88671875" style="121"/>
    <col min="769" max="769" width="3.77734375" style="121" customWidth="1"/>
    <col min="770" max="770" width="6.44140625" style="121" customWidth="1"/>
    <col min="771" max="771" width="7.44140625" style="121" customWidth="1"/>
    <col min="772" max="772" width="10.33203125" style="121" customWidth="1"/>
    <col min="773" max="773" width="12.33203125" style="121" customWidth="1"/>
    <col min="774" max="774" width="35.77734375" style="121" customWidth="1"/>
    <col min="775" max="775" width="12" style="121" customWidth="1"/>
    <col min="776" max="778" width="13" style="121" customWidth="1"/>
    <col min="779" max="779" width="10.88671875" style="121" customWidth="1"/>
    <col min="780" max="782" width="15.77734375" style="121" customWidth="1"/>
    <col min="783" max="783" width="12.5546875" style="121" customWidth="1"/>
    <col min="784" max="784" width="8.5546875" style="121" customWidth="1"/>
    <col min="785" max="785" width="11.109375" style="121" customWidth="1"/>
    <col min="786" max="786" width="11.6640625" style="121" customWidth="1"/>
    <col min="787" max="787" width="8.88671875" style="121" customWidth="1"/>
    <col min="788" max="788" width="9.88671875" style="121" customWidth="1"/>
    <col min="789" max="789" width="14.88671875" style="121" customWidth="1"/>
    <col min="790" max="790" width="14.5546875" style="121" customWidth="1"/>
    <col min="791" max="791" width="16.109375" style="121" customWidth="1"/>
    <col min="792" max="796" width="12.88671875" style="121" customWidth="1"/>
    <col min="797" max="1024" width="8.88671875" style="121"/>
    <col min="1025" max="1025" width="3.77734375" style="121" customWidth="1"/>
    <col min="1026" max="1026" width="6.44140625" style="121" customWidth="1"/>
    <col min="1027" max="1027" width="7.44140625" style="121" customWidth="1"/>
    <col min="1028" max="1028" width="10.33203125" style="121" customWidth="1"/>
    <col min="1029" max="1029" width="12.33203125" style="121" customWidth="1"/>
    <col min="1030" max="1030" width="35.77734375" style="121" customWidth="1"/>
    <col min="1031" max="1031" width="12" style="121" customWidth="1"/>
    <col min="1032" max="1034" width="13" style="121" customWidth="1"/>
    <col min="1035" max="1035" width="10.88671875" style="121" customWidth="1"/>
    <col min="1036" max="1038" width="15.77734375" style="121" customWidth="1"/>
    <col min="1039" max="1039" width="12.5546875" style="121" customWidth="1"/>
    <col min="1040" max="1040" width="8.5546875" style="121" customWidth="1"/>
    <col min="1041" max="1041" width="11.109375" style="121" customWidth="1"/>
    <col min="1042" max="1042" width="11.6640625" style="121" customWidth="1"/>
    <col min="1043" max="1043" width="8.88671875" style="121" customWidth="1"/>
    <col min="1044" max="1044" width="9.88671875" style="121" customWidth="1"/>
    <col min="1045" max="1045" width="14.88671875" style="121" customWidth="1"/>
    <col min="1046" max="1046" width="14.5546875" style="121" customWidth="1"/>
    <col min="1047" max="1047" width="16.109375" style="121" customWidth="1"/>
    <col min="1048" max="1052" width="12.88671875" style="121" customWidth="1"/>
    <col min="1053" max="1280" width="8.88671875" style="121"/>
    <col min="1281" max="1281" width="3.77734375" style="121" customWidth="1"/>
    <col min="1282" max="1282" width="6.44140625" style="121" customWidth="1"/>
    <col min="1283" max="1283" width="7.44140625" style="121" customWidth="1"/>
    <col min="1284" max="1284" width="10.33203125" style="121" customWidth="1"/>
    <col min="1285" max="1285" width="12.33203125" style="121" customWidth="1"/>
    <col min="1286" max="1286" width="35.77734375" style="121" customWidth="1"/>
    <col min="1287" max="1287" width="12" style="121" customWidth="1"/>
    <col min="1288" max="1290" width="13" style="121" customWidth="1"/>
    <col min="1291" max="1291" width="10.88671875" style="121" customWidth="1"/>
    <col min="1292" max="1294" width="15.77734375" style="121" customWidth="1"/>
    <col min="1295" max="1295" width="12.5546875" style="121" customWidth="1"/>
    <col min="1296" max="1296" width="8.5546875" style="121" customWidth="1"/>
    <col min="1297" max="1297" width="11.109375" style="121" customWidth="1"/>
    <col min="1298" max="1298" width="11.6640625" style="121" customWidth="1"/>
    <col min="1299" max="1299" width="8.88671875" style="121" customWidth="1"/>
    <col min="1300" max="1300" width="9.88671875" style="121" customWidth="1"/>
    <col min="1301" max="1301" width="14.88671875" style="121" customWidth="1"/>
    <col min="1302" max="1302" width="14.5546875" style="121" customWidth="1"/>
    <col min="1303" max="1303" width="16.109375" style="121" customWidth="1"/>
    <col min="1304" max="1308" width="12.88671875" style="121" customWidth="1"/>
    <col min="1309" max="1536" width="8.88671875" style="121"/>
    <col min="1537" max="1537" width="3.77734375" style="121" customWidth="1"/>
    <col min="1538" max="1538" width="6.44140625" style="121" customWidth="1"/>
    <col min="1539" max="1539" width="7.44140625" style="121" customWidth="1"/>
    <col min="1540" max="1540" width="10.33203125" style="121" customWidth="1"/>
    <col min="1541" max="1541" width="12.33203125" style="121" customWidth="1"/>
    <col min="1542" max="1542" width="35.77734375" style="121" customWidth="1"/>
    <col min="1543" max="1543" width="12" style="121" customWidth="1"/>
    <col min="1544" max="1546" width="13" style="121" customWidth="1"/>
    <col min="1547" max="1547" width="10.88671875" style="121" customWidth="1"/>
    <col min="1548" max="1550" width="15.77734375" style="121" customWidth="1"/>
    <col min="1551" max="1551" width="12.5546875" style="121" customWidth="1"/>
    <col min="1552" max="1552" width="8.5546875" style="121" customWidth="1"/>
    <col min="1553" max="1553" width="11.109375" style="121" customWidth="1"/>
    <col min="1554" max="1554" width="11.6640625" style="121" customWidth="1"/>
    <col min="1555" max="1555" width="8.88671875" style="121" customWidth="1"/>
    <col min="1556" max="1556" width="9.88671875" style="121" customWidth="1"/>
    <col min="1557" max="1557" width="14.88671875" style="121" customWidth="1"/>
    <col min="1558" max="1558" width="14.5546875" style="121" customWidth="1"/>
    <col min="1559" max="1559" width="16.109375" style="121" customWidth="1"/>
    <col min="1560" max="1564" width="12.88671875" style="121" customWidth="1"/>
    <col min="1565" max="1792" width="8.88671875" style="121"/>
    <col min="1793" max="1793" width="3.77734375" style="121" customWidth="1"/>
    <col min="1794" max="1794" width="6.44140625" style="121" customWidth="1"/>
    <col min="1795" max="1795" width="7.44140625" style="121" customWidth="1"/>
    <col min="1796" max="1796" width="10.33203125" style="121" customWidth="1"/>
    <col min="1797" max="1797" width="12.33203125" style="121" customWidth="1"/>
    <col min="1798" max="1798" width="35.77734375" style="121" customWidth="1"/>
    <col min="1799" max="1799" width="12" style="121" customWidth="1"/>
    <col min="1800" max="1802" width="13" style="121" customWidth="1"/>
    <col min="1803" max="1803" width="10.88671875" style="121" customWidth="1"/>
    <col min="1804" max="1806" width="15.77734375" style="121" customWidth="1"/>
    <col min="1807" max="1807" width="12.5546875" style="121" customWidth="1"/>
    <col min="1808" max="1808" width="8.5546875" style="121" customWidth="1"/>
    <col min="1809" max="1809" width="11.109375" style="121" customWidth="1"/>
    <col min="1810" max="1810" width="11.6640625" style="121" customWidth="1"/>
    <col min="1811" max="1811" width="8.88671875" style="121" customWidth="1"/>
    <col min="1812" max="1812" width="9.88671875" style="121" customWidth="1"/>
    <col min="1813" max="1813" width="14.88671875" style="121" customWidth="1"/>
    <col min="1814" max="1814" width="14.5546875" style="121" customWidth="1"/>
    <col min="1815" max="1815" width="16.109375" style="121" customWidth="1"/>
    <col min="1816" max="1820" width="12.88671875" style="121" customWidth="1"/>
    <col min="1821" max="2048" width="8.88671875" style="121"/>
    <col min="2049" max="2049" width="3.77734375" style="121" customWidth="1"/>
    <col min="2050" max="2050" width="6.44140625" style="121" customWidth="1"/>
    <col min="2051" max="2051" width="7.44140625" style="121" customWidth="1"/>
    <col min="2052" max="2052" width="10.33203125" style="121" customWidth="1"/>
    <col min="2053" max="2053" width="12.33203125" style="121" customWidth="1"/>
    <col min="2054" max="2054" width="35.77734375" style="121" customWidth="1"/>
    <col min="2055" max="2055" width="12" style="121" customWidth="1"/>
    <col min="2056" max="2058" width="13" style="121" customWidth="1"/>
    <col min="2059" max="2059" width="10.88671875" style="121" customWidth="1"/>
    <col min="2060" max="2062" width="15.77734375" style="121" customWidth="1"/>
    <col min="2063" max="2063" width="12.5546875" style="121" customWidth="1"/>
    <col min="2064" max="2064" width="8.5546875" style="121" customWidth="1"/>
    <col min="2065" max="2065" width="11.109375" style="121" customWidth="1"/>
    <col min="2066" max="2066" width="11.6640625" style="121" customWidth="1"/>
    <col min="2067" max="2067" width="8.88671875" style="121" customWidth="1"/>
    <col min="2068" max="2068" width="9.88671875" style="121" customWidth="1"/>
    <col min="2069" max="2069" width="14.88671875" style="121" customWidth="1"/>
    <col min="2070" max="2070" width="14.5546875" style="121" customWidth="1"/>
    <col min="2071" max="2071" width="16.109375" style="121" customWidth="1"/>
    <col min="2072" max="2076" width="12.88671875" style="121" customWidth="1"/>
    <col min="2077" max="2304" width="8.88671875" style="121"/>
    <col min="2305" max="2305" width="3.77734375" style="121" customWidth="1"/>
    <col min="2306" max="2306" width="6.44140625" style="121" customWidth="1"/>
    <col min="2307" max="2307" width="7.44140625" style="121" customWidth="1"/>
    <col min="2308" max="2308" width="10.33203125" style="121" customWidth="1"/>
    <col min="2309" max="2309" width="12.33203125" style="121" customWidth="1"/>
    <col min="2310" max="2310" width="35.77734375" style="121" customWidth="1"/>
    <col min="2311" max="2311" width="12" style="121" customWidth="1"/>
    <col min="2312" max="2314" width="13" style="121" customWidth="1"/>
    <col min="2315" max="2315" width="10.88671875" style="121" customWidth="1"/>
    <col min="2316" max="2318" width="15.77734375" style="121" customWidth="1"/>
    <col min="2319" max="2319" width="12.5546875" style="121" customWidth="1"/>
    <col min="2320" max="2320" width="8.5546875" style="121" customWidth="1"/>
    <col min="2321" max="2321" width="11.109375" style="121" customWidth="1"/>
    <col min="2322" max="2322" width="11.6640625" style="121" customWidth="1"/>
    <col min="2323" max="2323" width="8.88671875" style="121" customWidth="1"/>
    <col min="2324" max="2324" width="9.88671875" style="121" customWidth="1"/>
    <col min="2325" max="2325" width="14.88671875" style="121" customWidth="1"/>
    <col min="2326" max="2326" width="14.5546875" style="121" customWidth="1"/>
    <col min="2327" max="2327" width="16.109375" style="121" customWidth="1"/>
    <col min="2328" max="2332" width="12.88671875" style="121" customWidth="1"/>
    <col min="2333" max="2560" width="8.88671875" style="121"/>
    <col min="2561" max="2561" width="3.77734375" style="121" customWidth="1"/>
    <col min="2562" max="2562" width="6.44140625" style="121" customWidth="1"/>
    <col min="2563" max="2563" width="7.44140625" style="121" customWidth="1"/>
    <col min="2564" max="2564" width="10.33203125" style="121" customWidth="1"/>
    <col min="2565" max="2565" width="12.33203125" style="121" customWidth="1"/>
    <col min="2566" max="2566" width="35.77734375" style="121" customWidth="1"/>
    <col min="2567" max="2567" width="12" style="121" customWidth="1"/>
    <col min="2568" max="2570" width="13" style="121" customWidth="1"/>
    <col min="2571" max="2571" width="10.88671875" style="121" customWidth="1"/>
    <col min="2572" max="2574" width="15.77734375" style="121" customWidth="1"/>
    <col min="2575" max="2575" width="12.5546875" style="121" customWidth="1"/>
    <col min="2576" max="2576" width="8.5546875" style="121" customWidth="1"/>
    <col min="2577" max="2577" width="11.109375" style="121" customWidth="1"/>
    <col min="2578" max="2578" width="11.6640625" style="121" customWidth="1"/>
    <col min="2579" max="2579" width="8.88671875" style="121" customWidth="1"/>
    <col min="2580" max="2580" width="9.88671875" style="121" customWidth="1"/>
    <col min="2581" max="2581" width="14.88671875" style="121" customWidth="1"/>
    <col min="2582" max="2582" width="14.5546875" style="121" customWidth="1"/>
    <col min="2583" max="2583" width="16.109375" style="121" customWidth="1"/>
    <col min="2584" max="2588" width="12.88671875" style="121" customWidth="1"/>
    <col min="2589" max="2816" width="8.88671875" style="121"/>
    <col min="2817" max="2817" width="3.77734375" style="121" customWidth="1"/>
    <col min="2818" max="2818" width="6.44140625" style="121" customWidth="1"/>
    <col min="2819" max="2819" width="7.44140625" style="121" customWidth="1"/>
    <col min="2820" max="2820" width="10.33203125" style="121" customWidth="1"/>
    <col min="2821" max="2821" width="12.33203125" style="121" customWidth="1"/>
    <col min="2822" max="2822" width="35.77734375" style="121" customWidth="1"/>
    <col min="2823" max="2823" width="12" style="121" customWidth="1"/>
    <col min="2824" max="2826" width="13" style="121" customWidth="1"/>
    <col min="2827" max="2827" width="10.88671875" style="121" customWidth="1"/>
    <col min="2828" max="2830" width="15.77734375" style="121" customWidth="1"/>
    <col min="2831" max="2831" width="12.5546875" style="121" customWidth="1"/>
    <col min="2832" max="2832" width="8.5546875" style="121" customWidth="1"/>
    <col min="2833" max="2833" width="11.109375" style="121" customWidth="1"/>
    <col min="2834" max="2834" width="11.6640625" style="121" customWidth="1"/>
    <col min="2835" max="2835" width="8.88671875" style="121" customWidth="1"/>
    <col min="2836" max="2836" width="9.88671875" style="121" customWidth="1"/>
    <col min="2837" max="2837" width="14.88671875" style="121" customWidth="1"/>
    <col min="2838" max="2838" width="14.5546875" style="121" customWidth="1"/>
    <col min="2839" max="2839" width="16.109375" style="121" customWidth="1"/>
    <col min="2840" max="2844" width="12.88671875" style="121" customWidth="1"/>
    <col min="2845" max="3072" width="8.88671875" style="121"/>
    <col min="3073" max="3073" width="3.77734375" style="121" customWidth="1"/>
    <col min="3074" max="3074" width="6.44140625" style="121" customWidth="1"/>
    <col min="3075" max="3075" width="7.44140625" style="121" customWidth="1"/>
    <col min="3076" max="3076" width="10.33203125" style="121" customWidth="1"/>
    <col min="3077" max="3077" width="12.33203125" style="121" customWidth="1"/>
    <col min="3078" max="3078" width="35.77734375" style="121" customWidth="1"/>
    <col min="3079" max="3079" width="12" style="121" customWidth="1"/>
    <col min="3080" max="3082" width="13" style="121" customWidth="1"/>
    <col min="3083" max="3083" width="10.88671875" style="121" customWidth="1"/>
    <col min="3084" max="3086" width="15.77734375" style="121" customWidth="1"/>
    <col min="3087" max="3087" width="12.5546875" style="121" customWidth="1"/>
    <col min="3088" max="3088" width="8.5546875" style="121" customWidth="1"/>
    <col min="3089" max="3089" width="11.109375" style="121" customWidth="1"/>
    <col min="3090" max="3090" width="11.6640625" style="121" customWidth="1"/>
    <col min="3091" max="3091" width="8.88671875" style="121" customWidth="1"/>
    <col min="3092" max="3092" width="9.88671875" style="121" customWidth="1"/>
    <col min="3093" max="3093" width="14.88671875" style="121" customWidth="1"/>
    <col min="3094" max="3094" width="14.5546875" style="121" customWidth="1"/>
    <col min="3095" max="3095" width="16.109375" style="121" customWidth="1"/>
    <col min="3096" max="3100" width="12.88671875" style="121" customWidth="1"/>
    <col min="3101" max="3328" width="8.88671875" style="121"/>
    <col min="3329" max="3329" width="3.77734375" style="121" customWidth="1"/>
    <col min="3330" max="3330" width="6.44140625" style="121" customWidth="1"/>
    <col min="3331" max="3331" width="7.44140625" style="121" customWidth="1"/>
    <col min="3332" max="3332" width="10.33203125" style="121" customWidth="1"/>
    <col min="3333" max="3333" width="12.33203125" style="121" customWidth="1"/>
    <col min="3334" max="3334" width="35.77734375" style="121" customWidth="1"/>
    <col min="3335" max="3335" width="12" style="121" customWidth="1"/>
    <col min="3336" max="3338" width="13" style="121" customWidth="1"/>
    <col min="3339" max="3339" width="10.88671875" style="121" customWidth="1"/>
    <col min="3340" max="3342" width="15.77734375" style="121" customWidth="1"/>
    <col min="3343" max="3343" width="12.5546875" style="121" customWidth="1"/>
    <col min="3344" max="3344" width="8.5546875" style="121" customWidth="1"/>
    <col min="3345" max="3345" width="11.109375" style="121" customWidth="1"/>
    <col min="3346" max="3346" width="11.6640625" style="121" customWidth="1"/>
    <col min="3347" max="3347" width="8.88671875" style="121" customWidth="1"/>
    <col min="3348" max="3348" width="9.88671875" style="121" customWidth="1"/>
    <col min="3349" max="3349" width="14.88671875" style="121" customWidth="1"/>
    <col min="3350" max="3350" width="14.5546875" style="121" customWidth="1"/>
    <col min="3351" max="3351" width="16.109375" style="121" customWidth="1"/>
    <col min="3352" max="3356" width="12.88671875" style="121" customWidth="1"/>
    <col min="3357" max="3584" width="8.88671875" style="121"/>
    <col min="3585" max="3585" width="3.77734375" style="121" customWidth="1"/>
    <col min="3586" max="3586" width="6.44140625" style="121" customWidth="1"/>
    <col min="3587" max="3587" width="7.44140625" style="121" customWidth="1"/>
    <col min="3588" max="3588" width="10.33203125" style="121" customWidth="1"/>
    <col min="3589" max="3589" width="12.33203125" style="121" customWidth="1"/>
    <col min="3590" max="3590" width="35.77734375" style="121" customWidth="1"/>
    <col min="3591" max="3591" width="12" style="121" customWidth="1"/>
    <col min="3592" max="3594" width="13" style="121" customWidth="1"/>
    <col min="3595" max="3595" width="10.88671875" style="121" customWidth="1"/>
    <col min="3596" max="3598" width="15.77734375" style="121" customWidth="1"/>
    <col min="3599" max="3599" width="12.5546875" style="121" customWidth="1"/>
    <col min="3600" max="3600" width="8.5546875" style="121" customWidth="1"/>
    <col min="3601" max="3601" width="11.109375" style="121" customWidth="1"/>
    <col min="3602" max="3602" width="11.6640625" style="121" customWidth="1"/>
    <col min="3603" max="3603" width="8.88671875" style="121" customWidth="1"/>
    <col min="3604" max="3604" width="9.88671875" style="121" customWidth="1"/>
    <col min="3605" max="3605" width="14.88671875" style="121" customWidth="1"/>
    <col min="3606" max="3606" width="14.5546875" style="121" customWidth="1"/>
    <col min="3607" max="3607" width="16.109375" style="121" customWidth="1"/>
    <col min="3608" max="3612" width="12.88671875" style="121" customWidth="1"/>
    <col min="3613" max="3840" width="8.88671875" style="121"/>
    <col min="3841" max="3841" width="3.77734375" style="121" customWidth="1"/>
    <col min="3842" max="3842" width="6.44140625" style="121" customWidth="1"/>
    <col min="3843" max="3843" width="7.44140625" style="121" customWidth="1"/>
    <col min="3844" max="3844" width="10.33203125" style="121" customWidth="1"/>
    <col min="3845" max="3845" width="12.33203125" style="121" customWidth="1"/>
    <col min="3846" max="3846" width="35.77734375" style="121" customWidth="1"/>
    <col min="3847" max="3847" width="12" style="121" customWidth="1"/>
    <col min="3848" max="3850" width="13" style="121" customWidth="1"/>
    <col min="3851" max="3851" width="10.88671875" style="121" customWidth="1"/>
    <col min="3852" max="3854" width="15.77734375" style="121" customWidth="1"/>
    <col min="3855" max="3855" width="12.5546875" style="121" customWidth="1"/>
    <col min="3856" max="3856" width="8.5546875" style="121" customWidth="1"/>
    <col min="3857" max="3857" width="11.109375" style="121" customWidth="1"/>
    <col min="3858" max="3858" width="11.6640625" style="121" customWidth="1"/>
    <col min="3859" max="3859" width="8.88671875" style="121" customWidth="1"/>
    <col min="3860" max="3860" width="9.88671875" style="121" customWidth="1"/>
    <col min="3861" max="3861" width="14.88671875" style="121" customWidth="1"/>
    <col min="3862" max="3862" width="14.5546875" style="121" customWidth="1"/>
    <col min="3863" max="3863" width="16.109375" style="121" customWidth="1"/>
    <col min="3864" max="3868" width="12.88671875" style="121" customWidth="1"/>
    <col min="3869" max="4096" width="8.88671875" style="121"/>
    <col min="4097" max="4097" width="3.77734375" style="121" customWidth="1"/>
    <col min="4098" max="4098" width="6.44140625" style="121" customWidth="1"/>
    <col min="4099" max="4099" width="7.44140625" style="121" customWidth="1"/>
    <col min="4100" max="4100" width="10.33203125" style="121" customWidth="1"/>
    <col min="4101" max="4101" width="12.33203125" style="121" customWidth="1"/>
    <col min="4102" max="4102" width="35.77734375" style="121" customWidth="1"/>
    <col min="4103" max="4103" width="12" style="121" customWidth="1"/>
    <col min="4104" max="4106" width="13" style="121" customWidth="1"/>
    <col min="4107" max="4107" width="10.88671875" style="121" customWidth="1"/>
    <col min="4108" max="4110" width="15.77734375" style="121" customWidth="1"/>
    <col min="4111" max="4111" width="12.5546875" style="121" customWidth="1"/>
    <col min="4112" max="4112" width="8.5546875" style="121" customWidth="1"/>
    <col min="4113" max="4113" width="11.109375" style="121" customWidth="1"/>
    <col min="4114" max="4114" width="11.6640625" style="121" customWidth="1"/>
    <col min="4115" max="4115" width="8.88671875" style="121" customWidth="1"/>
    <col min="4116" max="4116" width="9.88671875" style="121" customWidth="1"/>
    <col min="4117" max="4117" width="14.88671875" style="121" customWidth="1"/>
    <col min="4118" max="4118" width="14.5546875" style="121" customWidth="1"/>
    <col min="4119" max="4119" width="16.109375" style="121" customWidth="1"/>
    <col min="4120" max="4124" width="12.88671875" style="121" customWidth="1"/>
    <col min="4125" max="4352" width="8.88671875" style="121"/>
    <col min="4353" max="4353" width="3.77734375" style="121" customWidth="1"/>
    <col min="4354" max="4354" width="6.44140625" style="121" customWidth="1"/>
    <col min="4355" max="4355" width="7.44140625" style="121" customWidth="1"/>
    <col min="4356" max="4356" width="10.33203125" style="121" customWidth="1"/>
    <col min="4357" max="4357" width="12.33203125" style="121" customWidth="1"/>
    <col min="4358" max="4358" width="35.77734375" style="121" customWidth="1"/>
    <col min="4359" max="4359" width="12" style="121" customWidth="1"/>
    <col min="4360" max="4362" width="13" style="121" customWidth="1"/>
    <col min="4363" max="4363" width="10.88671875" style="121" customWidth="1"/>
    <col min="4364" max="4366" width="15.77734375" style="121" customWidth="1"/>
    <col min="4367" max="4367" width="12.5546875" style="121" customWidth="1"/>
    <col min="4368" max="4368" width="8.5546875" style="121" customWidth="1"/>
    <col min="4369" max="4369" width="11.109375" style="121" customWidth="1"/>
    <col min="4370" max="4370" width="11.6640625" style="121" customWidth="1"/>
    <col min="4371" max="4371" width="8.88671875" style="121" customWidth="1"/>
    <col min="4372" max="4372" width="9.88671875" style="121" customWidth="1"/>
    <col min="4373" max="4373" width="14.88671875" style="121" customWidth="1"/>
    <col min="4374" max="4374" width="14.5546875" style="121" customWidth="1"/>
    <col min="4375" max="4375" width="16.109375" style="121" customWidth="1"/>
    <col min="4376" max="4380" width="12.88671875" style="121" customWidth="1"/>
    <col min="4381" max="4608" width="8.88671875" style="121"/>
    <col min="4609" max="4609" width="3.77734375" style="121" customWidth="1"/>
    <col min="4610" max="4610" width="6.44140625" style="121" customWidth="1"/>
    <col min="4611" max="4611" width="7.44140625" style="121" customWidth="1"/>
    <col min="4612" max="4612" width="10.33203125" style="121" customWidth="1"/>
    <col min="4613" max="4613" width="12.33203125" style="121" customWidth="1"/>
    <col min="4614" max="4614" width="35.77734375" style="121" customWidth="1"/>
    <col min="4615" max="4615" width="12" style="121" customWidth="1"/>
    <col min="4616" max="4618" width="13" style="121" customWidth="1"/>
    <col min="4619" max="4619" width="10.88671875" style="121" customWidth="1"/>
    <col min="4620" max="4622" width="15.77734375" style="121" customWidth="1"/>
    <col min="4623" max="4623" width="12.5546875" style="121" customWidth="1"/>
    <col min="4624" max="4624" width="8.5546875" style="121" customWidth="1"/>
    <col min="4625" max="4625" width="11.109375" style="121" customWidth="1"/>
    <col min="4626" max="4626" width="11.6640625" style="121" customWidth="1"/>
    <col min="4627" max="4627" width="8.88671875" style="121" customWidth="1"/>
    <col min="4628" max="4628" width="9.88671875" style="121" customWidth="1"/>
    <col min="4629" max="4629" width="14.88671875" style="121" customWidth="1"/>
    <col min="4630" max="4630" width="14.5546875" style="121" customWidth="1"/>
    <col min="4631" max="4631" width="16.109375" style="121" customWidth="1"/>
    <col min="4632" max="4636" width="12.88671875" style="121" customWidth="1"/>
    <col min="4637" max="4864" width="8.88671875" style="121"/>
    <col min="4865" max="4865" width="3.77734375" style="121" customWidth="1"/>
    <col min="4866" max="4866" width="6.44140625" style="121" customWidth="1"/>
    <col min="4867" max="4867" width="7.44140625" style="121" customWidth="1"/>
    <col min="4868" max="4868" width="10.33203125" style="121" customWidth="1"/>
    <col min="4869" max="4869" width="12.33203125" style="121" customWidth="1"/>
    <col min="4870" max="4870" width="35.77734375" style="121" customWidth="1"/>
    <col min="4871" max="4871" width="12" style="121" customWidth="1"/>
    <col min="4872" max="4874" width="13" style="121" customWidth="1"/>
    <col min="4875" max="4875" width="10.88671875" style="121" customWidth="1"/>
    <col min="4876" max="4878" width="15.77734375" style="121" customWidth="1"/>
    <col min="4879" max="4879" width="12.5546875" style="121" customWidth="1"/>
    <col min="4880" max="4880" width="8.5546875" style="121" customWidth="1"/>
    <col min="4881" max="4881" width="11.109375" style="121" customWidth="1"/>
    <col min="4882" max="4882" width="11.6640625" style="121" customWidth="1"/>
    <col min="4883" max="4883" width="8.88671875" style="121" customWidth="1"/>
    <col min="4884" max="4884" width="9.88671875" style="121" customWidth="1"/>
    <col min="4885" max="4885" width="14.88671875" style="121" customWidth="1"/>
    <col min="4886" max="4886" width="14.5546875" style="121" customWidth="1"/>
    <col min="4887" max="4887" width="16.109375" style="121" customWidth="1"/>
    <col min="4888" max="4892" width="12.88671875" style="121" customWidth="1"/>
    <col min="4893" max="5120" width="8.88671875" style="121"/>
    <col min="5121" max="5121" width="3.77734375" style="121" customWidth="1"/>
    <col min="5122" max="5122" width="6.44140625" style="121" customWidth="1"/>
    <col min="5123" max="5123" width="7.44140625" style="121" customWidth="1"/>
    <col min="5124" max="5124" width="10.33203125" style="121" customWidth="1"/>
    <col min="5125" max="5125" width="12.33203125" style="121" customWidth="1"/>
    <col min="5126" max="5126" width="35.77734375" style="121" customWidth="1"/>
    <col min="5127" max="5127" width="12" style="121" customWidth="1"/>
    <col min="5128" max="5130" width="13" style="121" customWidth="1"/>
    <col min="5131" max="5131" width="10.88671875" style="121" customWidth="1"/>
    <col min="5132" max="5134" width="15.77734375" style="121" customWidth="1"/>
    <col min="5135" max="5135" width="12.5546875" style="121" customWidth="1"/>
    <col min="5136" max="5136" width="8.5546875" style="121" customWidth="1"/>
    <col min="5137" max="5137" width="11.109375" style="121" customWidth="1"/>
    <col min="5138" max="5138" width="11.6640625" style="121" customWidth="1"/>
    <col min="5139" max="5139" width="8.88671875" style="121" customWidth="1"/>
    <col min="5140" max="5140" width="9.88671875" style="121" customWidth="1"/>
    <col min="5141" max="5141" width="14.88671875" style="121" customWidth="1"/>
    <col min="5142" max="5142" width="14.5546875" style="121" customWidth="1"/>
    <col min="5143" max="5143" width="16.109375" style="121" customWidth="1"/>
    <col min="5144" max="5148" width="12.88671875" style="121" customWidth="1"/>
    <col min="5149" max="5376" width="8.88671875" style="121"/>
    <col min="5377" max="5377" width="3.77734375" style="121" customWidth="1"/>
    <col min="5378" max="5378" width="6.44140625" style="121" customWidth="1"/>
    <col min="5379" max="5379" width="7.44140625" style="121" customWidth="1"/>
    <col min="5380" max="5380" width="10.33203125" style="121" customWidth="1"/>
    <col min="5381" max="5381" width="12.33203125" style="121" customWidth="1"/>
    <col min="5382" max="5382" width="35.77734375" style="121" customWidth="1"/>
    <col min="5383" max="5383" width="12" style="121" customWidth="1"/>
    <col min="5384" max="5386" width="13" style="121" customWidth="1"/>
    <col min="5387" max="5387" width="10.88671875" style="121" customWidth="1"/>
    <col min="5388" max="5390" width="15.77734375" style="121" customWidth="1"/>
    <col min="5391" max="5391" width="12.5546875" style="121" customWidth="1"/>
    <col min="5392" max="5392" width="8.5546875" style="121" customWidth="1"/>
    <col min="5393" max="5393" width="11.109375" style="121" customWidth="1"/>
    <col min="5394" max="5394" width="11.6640625" style="121" customWidth="1"/>
    <col min="5395" max="5395" width="8.88671875" style="121" customWidth="1"/>
    <col min="5396" max="5396" width="9.88671875" style="121" customWidth="1"/>
    <col min="5397" max="5397" width="14.88671875" style="121" customWidth="1"/>
    <col min="5398" max="5398" width="14.5546875" style="121" customWidth="1"/>
    <col min="5399" max="5399" width="16.109375" style="121" customWidth="1"/>
    <col min="5400" max="5404" width="12.88671875" style="121" customWidth="1"/>
    <col min="5405" max="5632" width="8.88671875" style="121"/>
    <col min="5633" max="5633" width="3.77734375" style="121" customWidth="1"/>
    <col min="5634" max="5634" width="6.44140625" style="121" customWidth="1"/>
    <col min="5635" max="5635" width="7.44140625" style="121" customWidth="1"/>
    <col min="5636" max="5636" width="10.33203125" style="121" customWidth="1"/>
    <col min="5637" max="5637" width="12.33203125" style="121" customWidth="1"/>
    <col min="5638" max="5638" width="35.77734375" style="121" customWidth="1"/>
    <col min="5639" max="5639" width="12" style="121" customWidth="1"/>
    <col min="5640" max="5642" width="13" style="121" customWidth="1"/>
    <col min="5643" max="5643" width="10.88671875" style="121" customWidth="1"/>
    <col min="5644" max="5646" width="15.77734375" style="121" customWidth="1"/>
    <col min="5647" max="5647" width="12.5546875" style="121" customWidth="1"/>
    <col min="5648" max="5648" width="8.5546875" style="121" customWidth="1"/>
    <col min="5649" max="5649" width="11.109375" style="121" customWidth="1"/>
    <col min="5650" max="5650" width="11.6640625" style="121" customWidth="1"/>
    <col min="5651" max="5651" width="8.88671875" style="121" customWidth="1"/>
    <col min="5652" max="5652" width="9.88671875" style="121" customWidth="1"/>
    <col min="5653" max="5653" width="14.88671875" style="121" customWidth="1"/>
    <col min="5654" max="5654" width="14.5546875" style="121" customWidth="1"/>
    <col min="5655" max="5655" width="16.109375" style="121" customWidth="1"/>
    <col min="5656" max="5660" width="12.88671875" style="121" customWidth="1"/>
    <col min="5661" max="5888" width="8.88671875" style="121"/>
    <col min="5889" max="5889" width="3.77734375" style="121" customWidth="1"/>
    <col min="5890" max="5890" width="6.44140625" style="121" customWidth="1"/>
    <col min="5891" max="5891" width="7.44140625" style="121" customWidth="1"/>
    <col min="5892" max="5892" width="10.33203125" style="121" customWidth="1"/>
    <col min="5893" max="5893" width="12.33203125" style="121" customWidth="1"/>
    <col min="5894" max="5894" width="35.77734375" style="121" customWidth="1"/>
    <col min="5895" max="5895" width="12" style="121" customWidth="1"/>
    <col min="5896" max="5898" width="13" style="121" customWidth="1"/>
    <col min="5899" max="5899" width="10.88671875" style="121" customWidth="1"/>
    <col min="5900" max="5902" width="15.77734375" style="121" customWidth="1"/>
    <col min="5903" max="5903" width="12.5546875" style="121" customWidth="1"/>
    <col min="5904" max="5904" width="8.5546875" style="121" customWidth="1"/>
    <col min="5905" max="5905" width="11.109375" style="121" customWidth="1"/>
    <col min="5906" max="5906" width="11.6640625" style="121" customWidth="1"/>
    <col min="5907" max="5907" width="8.88671875" style="121" customWidth="1"/>
    <col min="5908" max="5908" width="9.88671875" style="121" customWidth="1"/>
    <col min="5909" max="5909" width="14.88671875" style="121" customWidth="1"/>
    <col min="5910" max="5910" width="14.5546875" style="121" customWidth="1"/>
    <col min="5911" max="5911" width="16.109375" style="121" customWidth="1"/>
    <col min="5912" max="5916" width="12.88671875" style="121" customWidth="1"/>
    <col min="5917" max="6144" width="8.88671875" style="121"/>
    <col min="6145" max="6145" width="3.77734375" style="121" customWidth="1"/>
    <col min="6146" max="6146" width="6.44140625" style="121" customWidth="1"/>
    <col min="6147" max="6147" width="7.44140625" style="121" customWidth="1"/>
    <col min="6148" max="6148" width="10.33203125" style="121" customWidth="1"/>
    <col min="6149" max="6149" width="12.33203125" style="121" customWidth="1"/>
    <col min="6150" max="6150" width="35.77734375" style="121" customWidth="1"/>
    <col min="6151" max="6151" width="12" style="121" customWidth="1"/>
    <col min="6152" max="6154" width="13" style="121" customWidth="1"/>
    <col min="6155" max="6155" width="10.88671875" style="121" customWidth="1"/>
    <col min="6156" max="6158" width="15.77734375" style="121" customWidth="1"/>
    <col min="6159" max="6159" width="12.5546875" style="121" customWidth="1"/>
    <col min="6160" max="6160" width="8.5546875" style="121" customWidth="1"/>
    <col min="6161" max="6161" width="11.109375" style="121" customWidth="1"/>
    <col min="6162" max="6162" width="11.6640625" style="121" customWidth="1"/>
    <col min="6163" max="6163" width="8.88671875" style="121" customWidth="1"/>
    <col min="6164" max="6164" width="9.88671875" style="121" customWidth="1"/>
    <col min="6165" max="6165" width="14.88671875" style="121" customWidth="1"/>
    <col min="6166" max="6166" width="14.5546875" style="121" customWidth="1"/>
    <col min="6167" max="6167" width="16.109375" style="121" customWidth="1"/>
    <col min="6168" max="6172" width="12.88671875" style="121" customWidth="1"/>
    <col min="6173" max="6400" width="8.88671875" style="121"/>
    <col min="6401" max="6401" width="3.77734375" style="121" customWidth="1"/>
    <col min="6402" max="6402" width="6.44140625" style="121" customWidth="1"/>
    <col min="6403" max="6403" width="7.44140625" style="121" customWidth="1"/>
    <col min="6404" max="6404" width="10.33203125" style="121" customWidth="1"/>
    <col min="6405" max="6405" width="12.33203125" style="121" customWidth="1"/>
    <col min="6406" max="6406" width="35.77734375" style="121" customWidth="1"/>
    <col min="6407" max="6407" width="12" style="121" customWidth="1"/>
    <col min="6408" max="6410" width="13" style="121" customWidth="1"/>
    <col min="6411" max="6411" width="10.88671875" style="121" customWidth="1"/>
    <col min="6412" max="6414" width="15.77734375" style="121" customWidth="1"/>
    <col min="6415" max="6415" width="12.5546875" style="121" customWidth="1"/>
    <col min="6416" max="6416" width="8.5546875" style="121" customWidth="1"/>
    <col min="6417" max="6417" width="11.109375" style="121" customWidth="1"/>
    <col min="6418" max="6418" width="11.6640625" style="121" customWidth="1"/>
    <col min="6419" max="6419" width="8.88671875" style="121" customWidth="1"/>
    <col min="6420" max="6420" width="9.88671875" style="121" customWidth="1"/>
    <col min="6421" max="6421" width="14.88671875" style="121" customWidth="1"/>
    <col min="6422" max="6422" width="14.5546875" style="121" customWidth="1"/>
    <col min="6423" max="6423" width="16.109375" style="121" customWidth="1"/>
    <col min="6424" max="6428" width="12.88671875" style="121" customWidth="1"/>
    <col min="6429" max="6656" width="8.88671875" style="121"/>
    <col min="6657" max="6657" width="3.77734375" style="121" customWidth="1"/>
    <col min="6658" max="6658" width="6.44140625" style="121" customWidth="1"/>
    <col min="6659" max="6659" width="7.44140625" style="121" customWidth="1"/>
    <col min="6660" max="6660" width="10.33203125" style="121" customWidth="1"/>
    <col min="6661" max="6661" width="12.33203125" style="121" customWidth="1"/>
    <col min="6662" max="6662" width="35.77734375" style="121" customWidth="1"/>
    <col min="6663" max="6663" width="12" style="121" customWidth="1"/>
    <col min="6664" max="6666" width="13" style="121" customWidth="1"/>
    <col min="6667" max="6667" width="10.88671875" style="121" customWidth="1"/>
    <col min="6668" max="6670" width="15.77734375" style="121" customWidth="1"/>
    <col min="6671" max="6671" width="12.5546875" style="121" customWidth="1"/>
    <col min="6672" max="6672" width="8.5546875" style="121" customWidth="1"/>
    <col min="6673" max="6673" width="11.109375" style="121" customWidth="1"/>
    <col min="6674" max="6674" width="11.6640625" style="121" customWidth="1"/>
    <col min="6675" max="6675" width="8.88671875" style="121" customWidth="1"/>
    <col min="6676" max="6676" width="9.88671875" style="121" customWidth="1"/>
    <col min="6677" max="6677" width="14.88671875" style="121" customWidth="1"/>
    <col min="6678" max="6678" width="14.5546875" style="121" customWidth="1"/>
    <col min="6679" max="6679" width="16.109375" style="121" customWidth="1"/>
    <col min="6680" max="6684" width="12.88671875" style="121" customWidth="1"/>
    <col min="6685" max="6912" width="8.88671875" style="121"/>
    <col min="6913" max="6913" width="3.77734375" style="121" customWidth="1"/>
    <col min="6914" max="6914" width="6.44140625" style="121" customWidth="1"/>
    <col min="6915" max="6915" width="7.44140625" style="121" customWidth="1"/>
    <col min="6916" max="6916" width="10.33203125" style="121" customWidth="1"/>
    <col min="6917" max="6917" width="12.33203125" style="121" customWidth="1"/>
    <col min="6918" max="6918" width="35.77734375" style="121" customWidth="1"/>
    <col min="6919" max="6919" width="12" style="121" customWidth="1"/>
    <col min="6920" max="6922" width="13" style="121" customWidth="1"/>
    <col min="6923" max="6923" width="10.88671875" style="121" customWidth="1"/>
    <col min="6924" max="6926" width="15.77734375" style="121" customWidth="1"/>
    <col min="6927" max="6927" width="12.5546875" style="121" customWidth="1"/>
    <col min="6928" max="6928" width="8.5546875" style="121" customWidth="1"/>
    <col min="6929" max="6929" width="11.109375" style="121" customWidth="1"/>
    <col min="6930" max="6930" width="11.6640625" style="121" customWidth="1"/>
    <col min="6931" max="6931" width="8.88671875" style="121" customWidth="1"/>
    <col min="6932" max="6932" width="9.88671875" style="121" customWidth="1"/>
    <col min="6933" max="6933" width="14.88671875" style="121" customWidth="1"/>
    <col min="6934" max="6934" width="14.5546875" style="121" customWidth="1"/>
    <col min="6935" max="6935" width="16.109375" style="121" customWidth="1"/>
    <col min="6936" max="6940" width="12.88671875" style="121" customWidth="1"/>
    <col min="6941" max="7168" width="8.88671875" style="121"/>
    <col min="7169" max="7169" width="3.77734375" style="121" customWidth="1"/>
    <col min="7170" max="7170" width="6.44140625" style="121" customWidth="1"/>
    <col min="7171" max="7171" width="7.44140625" style="121" customWidth="1"/>
    <col min="7172" max="7172" width="10.33203125" style="121" customWidth="1"/>
    <col min="7173" max="7173" width="12.33203125" style="121" customWidth="1"/>
    <col min="7174" max="7174" width="35.77734375" style="121" customWidth="1"/>
    <col min="7175" max="7175" width="12" style="121" customWidth="1"/>
    <col min="7176" max="7178" width="13" style="121" customWidth="1"/>
    <col min="7179" max="7179" width="10.88671875" style="121" customWidth="1"/>
    <col min="7180" max="7182" width="15.77734375" style="121" customWidth="1"/>
    <col min="7183" max="7183" width="12.5546875" style="121" customWidth="1"/>
    <col min="7184" max="7184" width="8.5546875" style="121" customWidth="1"/>
    <col min="7185" max="7185" width="11.109375" style="121" customWidth="1"/>
    <col min="7186" max="7186" width="11.6640625" style="121" customWidth="1"/>
    <col min="7187" max="7187" width="8.88671875" style="121" customWidth="1"/>
    <col min="7188" max="7188" width="9.88671875" style="121" customWidth="1"/>
    <col min="7189" max="7189" width="14.88671875" style="121" customWidth="1"/>
    <col min="7190" max="7190" width="14.5546875" style="121" customWidth="1"/>
    <col min="7191" max="7191" width="16.109375" style="121" customWidth="1"/>
    <col min="7192" max="7196" width="12.88671875" style="121" customWidth="1"/>
    <col min="7197" max="7424" width="8.88671875" style="121"/>
    <col min="7425" max="7425" width="3.77734375" style="121" customWidth="1"/>
    <col min="7426" max="7426" width="6.44140625" style="121" customWidth="1"/>
    <col min="7427" max="7427" width="7.44140625" style="121" customWidth="1"/>
    <col min="7428" max="7428" width="10.33203125" style="121" customWidth="1"/>
    <col min="7429" max="7429" width="12.33203125" style="121" customWidth="1"/>
    <col min="7430" max="7430" width="35.77734375" style="121" customWidth="1"/>
    <col min="7431" max="7431" width="12" style="121" customWidth="1"/>
    <col min="7432" max="7434" width="13" style="121" customWidth="1"/>
    <col min="7435" max="7435" width="10.88671875" style="121" customWidth="1"/>
    <col min="7436" max="7438" width="15.77734375" style="121" customWidth="1"/>
    <col min="7439" max="7439" width="12.5546875" style="121" customWidth="1"/>
    <col min="7440" max="7440" width="8.5546875" style="121" customWidth="1"/>
    <col min="7441" max="7441" width="11.109375" style="121" customWidth="1"/>
    <col min="7442" max="7442" width="11.6640625" style="121" customWidth="1"/>
    <col min="7443" max="7443" width="8.88671875" style="121" customWidth="1"/>
    <col min="7444" max="7444" width="9.88671875" style="121" customWidth="1"/>
    <col min="7445" max="7445" width="14.88671875" style="121" customWidth="1"/>
    <col min="7446" max="7446" width="14.5546875" style="121" customWidth="1"/>
    <col min="7447" max="7447" width="16.109375" style="121" customWidth="1"/>
    <col min="7448" max="7452" width="12.88671875" style="121" customWidth="1"/>
    <col min="7453" max="7680" width="8.88671875" style="121"/>
    <col min="7681" max="7681" width="3.77734375" style="121" customWidth="1"/>
    <col min="7682" max="7682" width="6.44140625" style="121" customWidth="1"/>
    <col min="7683" max="7683" width="7.44140625" style="121" customWidth="1"/>
    <col min="7684" max="7684" width="10.33203125" style="121" customWidth="1"/>
    <col min="7685" max="7685" width="12.33203125" style="121" customWidth="1"/>
    <col min="7686" max="7686" width="35.77734375" style="121" customWidth="1"/>
    <col min="7687" max="7687" width="12" style="121" customWidth="1"/>
    <col min="7688" max="7690" width="13" style="121" customWidth="1"/>
    <col min="7691" max="7691" width="10.88671875" style="121" customWidth="1"/>
    <col min="7692" max="7694" width="15.77734375" style="121" customWidth="1"/>
    <col min="7695" max="7695" width="12.5546875" style="121" customWidth="1"/>
    <col min="7696" max="7696" width="8.5546875" style="121" customWidth="1"/>
    <col min="7697" max="7697" width="11.109375" style="121" customWidth="1"/>
    <col min="7698" max="7698" width="11.6640625" style="121" customWidth="1"/>
    <col min="7699" max="7699" width="8.88671875" style="121" customWidth="1"/>
    <col min="7700" max="7700" width="9.88671875" style="121" customWidth="1"/>
    <col min="7701" max="7701" width="14.88671875" style="121" customWidth="1"/>
    <col min="7702" max="7702" width="14.5546875" style="121" customWidth="1"/>
    <col min="7703" max="7703" width="16.109375" style="121" customWidth="1"/>
    <col min="7704" max="7708" width="12.88671875" style="121" customWidth="1"/>
    <col min="7709" max="7936" width="8.88671875" style="121"/>
    <col min="7937" max="7937" width="3.77734375" style="121" customWidth="1"/>
    <col min="7938" max="7938" width="6.44140625" style="121" customWidth="1"/>
    <col min="7939" max="7939" width="7.44140625" style="121" customWidth="1"/>
    <col min="7940" max="7940" width="10.33203125" style="121" customWidth="1"/>
    <col min="7941" max="7941" width="12.33203125" style="121" customWidth="1"/>
    <col min="7942" max="7942" width="35.77734375" style="121" customWidth="1"/>
    <col min="7943" max="7943" width="12" style="121" customWidth="1"/>
    <col min="7944" max="7946" width="13" style="121" customWidth="1"/>
    <col min="7947" max="7947" width="10.88671875" style="121" customWidth="1"/>
    <col min="7948" max="7950" width="15.77734375" style="121" customWidth="1"/>
    <col min="7951" max="7951" width="12.5546875" style="121" customWidth="1"/>
    <col min="7952" max="7952" width="8.5546875" style="121" customWidth="1"/>
    <col min="7953" max="7953" width="11.109375" style="121" customWidth="1"/>
    <col min="7954" max="7954" width="11.6640625" style="121" customWidth="1"/>
    <col min="7955" max="7955" width="8.88671875" style="121" customWidth="1"/>
    <col min="7956" max="7956" width="9.88671875" style="121" customWidth="1"/>
    <col min="7957" max="7957" width="14.88671875" style="121" customWidth="1"/>
    <col min="7958" max="7958" width="14.5546875" style="121" customWidth="1"/>
    <col min="7959" max="7959" width="16.109375" style="121" customWidth="1"/>
    <col min="7960" max="7964" width="12.88671875" style="121" customWidth="1"/>
    <col min="7965" max="8192" width="8.88671875" style="121"/>
    <col min="8193" max="8193" width="3.77734375" style="121" customWidth="1"/>
    <col min="8194" max="8194" width="6.44140625" style="121" customWidth="1"/>
    <col min="8195" max="8195" width="7.44140625" style="121" customWidth="1"/>
    <col min="8196" max="8196" width="10.33203125" style="121" customWidth="1"/>
    <col min="8197" max="8197" width="12.33203125" style="121" customWidth="1"/>
    <col min="8198" max="8198" width="35.77734375" style="121" customWidth="1"/>
    <col min="8199" max="8199" width="12" style="121" customWidth="1"/>
    <col min="8200" max="8202" width="13" style="121" customWidth="1"/>
    <col min="8203" max="8203" width="10.88671875" style="121" customWidth="1"/>
    <col min="8204" max="8206" width="15.77734375" style="121" customWidth="1"/>
    <col min="8207" max="8207" width="12.5546875" style="121" customWidth="1"/>
    <col min="8208" max="8208" width="8.5546875" style="121" customWidth="1"/>
    <col min="8209" max="8209" width="11.109375" style="121" customWidth="1"/>
    <col min="8210" max="8210" width="11.6640625" style="121" customWidth="1"/>
    <col min="8211" max="8211" width="8.88671875" style="121" customWidth="1"/>
    <col min="8212" max="8212" width="9.88671875" style="121" customWidth="1"/>
    <col min="8213" max="8213" width="14.88671875" style="121" customWidth="1"/>
    <col min="8214" max="8214" width="14.5546875" style="121" customWidth="1"/>
    <col min="8215" max="8215" width="16.109375" style="121" customWidth="1"/>
    <col min="8216" max="8220" width="12.88671875" style="121" customWidth="1"/>
    <col min="8221" max="8448" width="8.88671875" style="121"/>
    <col min="8449" max="8449" width="3.77734375" style="121" customWidth="1"/>
    <col min="8450" max="8450" width="6.44140625" style="121" customWidth="1"/>
    <col min="8451" max="8451" width="7.44140625" style="121" customWidth="1"/>
    <col min="8452" max="8452" width="10.33203125" style="121" customWidth="1"/>
    <col min="8453" max="8453" width="12.33203125" style="121" customWidth="1"/>
    <col min="8454" max="8454" width="35.77734375" style="121" customWidth="1"/>
    <col min="8455" max="8455" width="12" style="121" customWidth="1"/>
    <col min="8456" max="8458" width="13" style="121" customWidth="1"/>
    <col min="8459" max="8459" width="10.88671875" style="121" customWidth="1"/>
    <col min="8460" max="8462" width="15.77734375" style="121" customWidth="1"/>
    <col min="8463" max="8463" width="12.5546875" style="121" customWidth="1"/>
    <col min="8464" max="8464" width="8.5546875" style="121" customWidth="1"/>
    <col min="8465" max="8465" width="11.109375" style="121" customWidth="1"/>
    <col min="8466" max="8466" width="11.6640625" style="121" customWidth="1"/>
    <col min="8467" max="8467" width="8.88671875" style="121" customWidth="1"/>
    <col min="8468" max="8468" width="9.88671875" style="121" customWidth="1"/>
    <col min="8469" max="8469" width="14.88671875" style="121" customWidth="1"/>
    <col min="8470" max="8470" width="14.5546875" style="121" customWidth="1"/>
    <col min="8471" max="8471" width="16.109375" style="121" customWidth="1"/>
    <col min="8472" max="8476" width="12.88671875" style="121" customWidth="1"/>
    <col min="8477" max="8704" width="8.88671875" style="121"/>
    <col min="8705" max="8705" width="3.77734375" style="121" customWidth="1"/>
    <col min="8706" max="8706" width="6.44140625" style="121" customWidth="1"/>
    <col min="8707" max="8707" width="7.44140625" style="121" customWidth="1"/>
    <col min="8708" max="8708" width="10.33203125" style="121" customWidth="1"/>
    <col min="8709" max="8709" width="12.33203125" style="121" customWidth="1"/>
    <col min="8710" max="8710" width="35.77734375" style="121" customWidth="1"/>
    <col min="8711" max="8711" width="12" style="121" customWidth="1"/>
    <col min="8712" max="8714" width="13" style="121" customWidth="1"/>
    <col min="8715" max="8715" width="10.88671875" style="121" customWidth="1"/>
    <col min="8716" max="8718" width="15.77734375" style="121" customWidth="1"/>
    <col min="8719" max="8719" width="12.5546875" style="121" customWidth="1"/>
    <col min="8720" max="8720" width="8.5546875" style="121" customWidth="1"/>
    <col min="8721" max="8721" width="11.109375" style="121" customWidth="1"/>
    <col min="8722" max="8722" width="11.6640625" style="121" customWidth="1"/>
    <col min="8723" max="8723" width="8.88671875" style="121" customWidth="1"/>
    <col min="8724" max="8724" width="9.88671875" style="121" customWidth="1"/>
    <col min="8725" max="8725" width="14.88671875" style="121" customWidth="1"/>
    <col min="8726" max="8726" width="14.5546875" style="121" customWidth="1"/>
    <col min="8727" max="8727" width="16.109375" style="121" customWidth="1"/>
    <col min="8728" max="8732" width="12.88671875" style="121" customWidth="1"/>
    <col min="8733" max="8960" width="8.88671875" style="121"/>
    <col min="8961" max="8961" width="3.77734375" style="121" customWidth="1"/>
    <col min="8962" max="8962" width="6.44140625" style="121" customWidth="1"/>
    <col min="8963" max="8963" width="7.44140625" style="121" customWidth="1"/>
    <col min="8964" max="8964" width="10.33203125" style="121" customWidth="1"/>
    <col min="8965" max="8965" width="12.33203125" style="121" customWidth="1"/>
    <col min="8966" max="8966" width="35.77734375" style="121" customWidth="1"/>
    <col min="8967" max="8967" width="12" style="121" customWidth="1"/>
    <col min="8968" max="8970" width="13" style="121" customWidth="1"/>
    <col min="8971" max="8971" width="10.88671875" style="121" customWidth="1"/>
    <col min="8972" max="8974" width="15.77734375" style="121" customWidth="1"/>
    <col min="8975" max="8975" width="12.5546875" style="121" customWidth="1"/>
    <col min="8976" max="8976" width="8.5546875" style="121" customWidth="1"/>
    <col min="8977" max="8977" width="11.109375" style="121" customWidth="1"/>
    <col min="8978" max="8978" width="11.6640625" style="121" customWidth="1"/>
    <col min="8979" max="8979" width="8.88671875" style="121" customWidth="1"/>
    <col min="8980" max="8980" width="9.88671875" style="121" customWidth="1"/>
    <col min="8981" max="8981" width="14.88671875" style="121" customWidth="1"/>
    <col min="8982" max="8982" width="14.5546875" style="121" customWidth="1"/>
    <col min="8983" max="8983" width="16.109375" style="121" customWidth="1"/>
    <col min="8984" max="8988" width="12.88671875" style="121" customWidth="1"/>
    <col min="8989" max="9216" width="8.88671875" style="121"/>
    <col min="9217" max="9217" width="3.77734375" style="121" customWidth="1"/>
    <col min="9218" max="9218" width="6.44140625" style="121" customWidth="1"/>
    <col min="9219" max="9219" width="7.44140625" style="121" customWidth="1"/>
    <col min="9220" max="9220" width="10.33203125" style="121" customWidth="1"/>
    <col min="9221" max="9221" width="12.33203125" style="121" customWidth="1"/>
    <col min="9222" max="9222" width="35.77734375" style="121" customWidth="1"/>
    <col min="9223" max="9223" width="12" style="121" customWidth="1"/>
    <col min="9224" max="9226" width="13" style="121" customWidth="1"/>
    <col min="9227" max="9227" width="10.88671875" style="121" customWidth="1"/>
    <col min="9228" max="9230" width="15.77734375" style="121" customWidth="1"/>
    <col min="9231" max="9231" width="12.5546875" style="121" customWidth="1"/>
    <col min="9232" max="9232" width="8.5546875" style="121" customWidth="1"/>
    <col min="9233" max="9233" width="11.109375" style="121" customWidth="1"/>
    <col min="9234" max="9234" width="11.6640625" style="121" customWidth="1"/>
    <col min="9235" max="9235" width="8.88671875" style="121" customWidth="1"/>
    <col min="9236" max="9236" width="9.88671875" style="121" customWidth="1"/>
    <col min="9237" max="9237" width="14.88671875" style="121" customWidth="1"/>
    <col min="9238" max="9238" width="14.5546875" style="121" customWidth="1"/>
    <col min="9239" max="9239" width="16.109375" style="121" customWidth="1"/>
    <col min="9240" max="9244" width="12.88671875" style="121" customWidth="1"/>
    <col min="9245" max="9472" width="8.88671875" style="121"/>
    <col min="9473" max="9473" width="3.77734375" style="121" customWidth="1"/>
    <col min="9474" max="9474" width="6.44140625" style="121" customWidth="1"/>
    <col min="9475" max="9475" width="7.44140625" style="121" customWidth="1"/>
    <col min="9476" max="9476" width="10.33203125" style="121" customWidth="1"/>
    <col min="9477" max="9477" width="12.33203125" style="121" customWidth="1"/>
    <col min="9478" max="9478" width="35.77734375" style="121" customWidth="1"/>
    <col min="9479" max="9479" width="12" style="121" customWidth="1"/>
    <col min="9480" max="9482" width="13" style="121" customWidth="1"/>
    <col min="9483" max="9483" width="10.88671875" style="121" customWidth="1"/>
    <col min="9484" max="9486" width="15.77734375" style="121" customWidth="1"/>
    <col min="9487" max="9487" width="12.5546875" style="121" customWidth="1"/>
    <col min="9488" max="9488" width="8.5546875" style="121" customWidth="1"/>
    <col min="9489" max="9489" width="11.109375" style="121" customWidth="1"/>
    <col min="9490" max="9490" width="11.6640625" style="121" customWidth="1"/>
    <col min="9491" max="9491" width="8.88671875" style="121" customWidth="1"/>
    <col min="9492" max="9492" width="9.88671875" style="121" customWidth="1"/>
    <col min="9493" max="9493" width="14.88671875" style="121" customWidth="1"/>
    <col min="9494" max="9494" width="14.5546875" style="121" customWidth="1"/>
    <col min="9495" max="9495" width="16.109375" style="121" customWidth="1"/>
    <col min="9496" max="9500" width="12.88671875" style="121" customWidth="1"/>
    <col min="9501" max="9728" width="8.88671875" style="121"/>
    <col min="9729" max="9729" width="3.77734375" style="121" customWidth="1"/>
    <col min="9730" max="9730" width="6.44140625" style="121" customWidth="1"/>
    <col min="9731" max="9731" width="7.44140625" style="121" customWidth="1"/>
    <col min="9732" max="9732" width="10.33203125" style="121" customWidth="1"/>
    <col min="9733" max="9733" width="12.33203125" style="121" customWidth="1"/>
    <col min="9734" max="9734" width="35.77734375" style="121" customWidth="1"/>
    <col min="9735" max="9735" width="12" style="121" customWidth="1"/>
    <col min="9736" max="9738" width="13" style="121" customWidth="1"/>
    <col min="9739" max="9739" width="10.88671875" style="121" customWidth="1"/>
    <col min="9740" max="9742" width="15.77734375" style="121" customWidth="1"/>
    <col min="9743" max="9743" width="12.5546875" style="121" customWidth="1"/>
    <col min="9744" max="9744" width="8.5546875" style="121" customWidth="1"/>
    <col min="9745" max="9745" width="11.109375" style="121" customWidth="1"/>
    <col min="9746" max="9746" width="11.6640625" style="121" customWidth="1"/>
    <col min="9747" max="9747" width="8.88671875" style="121" customWidth="1"/>
    <col min="9748" max="9748" width="9.88671875" style="121" customWidth="1"/>
    <col min="9749" max="9749" width="14.88671875" style="121" customWidth="1"/>
    <col min="9750" max="9750" width="14.5546875" style="121" customWidth="1"/>
    <col min="9751" max="9751" width="16.109375" style="121" customWidth="1"/>
    <col min="9752" max="9756" width="12.88671875" style="121" customWidth="1"/>
    <col min="9757" max="9984" width="8.88671875" style="121"/>
    <col min="9985" max="9985" width="3.77734375" style="121" customWidth="1"/>
    <col min="9986" max="9986" width="6.44140625" style="121" customWidth="1"/>
    <col min="9987" max="9987" width="7.44140625" style="121" customWidth="1"/>
    <col min="9988" max="9988" width="10.33203125" style="121" customWidth="1"/>
    <col min="9989" max="9989" width="12.33203125" style="121" customWidth="1"/>
    <col min="9990" max="9990" width="35.77734375" style="121" customWidth="1"/>
    <col min="9991" max="9991" width="12" style="121" customWidth="1"/>
    <col min="9992" max="9994" width="13" style="121" customWidth="1"/>
    <col min="9995" max="9995" width="10.88671875" style="121" customWidth="1"/>
    <col min="9996" max="9998" width="15.77734375" style="121" customWidth="1"/>
    <col min="9999" max="9999" width="12.5546875" style="121" customWidth="1"/>
    <col min="10000" max="10000" width="8.5546875" style="121" customWidth="1"/>
    <col min="10001" max="10001" width="11.109375" style="121" customWidth="1"/>
    <col min="10002" max="10002" width="11.6640625" style="121" customWidth="1"/>
    <col min="10003" max="10003" width="8.88671875" style="121" customWidth="1"/>
    <col min="10004" max="10004" width="9.88671875" style="121" customWidth="1"/>
    <col min="10005" max="10005" width="14.88671875" style="121" customWidth="1"/>
    <col min="10006" max="10006" width="14.5546875" style="121" customWidth="1"/>
    <col min="10007" max="10007" width="16.109375" style="121" customWidth="1"/>
    <col min="10008" max="10012" width="12.88671875" style="121" customWidth="1"/>
    <col min="10013" max="10240" width="8.88671875" style="121"/>
    <col min="10241" max="10241" width="3.77734375" style="121" customWidth="1"/>
    <col min="10242" max="10242" width="6.44140625" style="121" customWidth="1"/>
    <col min="10243" max="10243" width="7.44140625" style="121" customWidth="1"/>
    <col min="10244" max="10244" width="10.33203125" style="121" customWidth="1"/>
    <col min="10245" max="10245" width="12.33203125" style="121" customWidth="1"/>
    <col min="10246" max="10246" width="35.77734375" style="121" customWidth="1"/>
    <col min="10247" max="10247" width="12" style="121" customWidth="1"/>
    <col min="10248" max="10250" width="13" style="121" customWidth="1"/>
    <col min="10251" max="10251" width="10.88671875" style="121" customWidth="1"/>
    <col min="10252" max="10254" width="15.77734375" style="121" customWidth="1"/>
    <col min="10255" max="10255" width="12.5546875" style="121" customWidth="1"/>
    <col min="10256" max="10256" width="8.5546875" style="121" customWidth="1"/>
    <col min="10257" max="10257" width="11.109375" style="121" customWidth="1"/>
    <col min="10258" max="10258" width="11.6640625" style="121" customWidth="1"/>
    <col min="10259" max="10259" width="8.88671875" style="121" customWidth="1"/>
    <col min="10260" max="10260" width="9.88671875" style="121" customWidth="1"/>
    <col min="10261" max="10261" width="14.88671875" style="121" customWidth="1"/>
    <col min="10262" max="10262" width="14.5546875" style="121" customWidth="1"/>
    <col min="10263" max="10263" width="16.109375" style="121" customWidth="1"/>
    <col min="10264" max="10268" width="12.88671875" style="121" customWidth="1"/>
    <col min="10269" max="10496" width="8.88671875" style="121"/>
    <col min="10497" max="10497" width="3.77734375" style="121" customWidth="1"/>
    <col min="10498" max="10498" width="6.44140625" style="121" customWidth="1"/>
    <col min="10499" max="10499" width="7.44140625" style="121" customWidth="1"/>
    <col min="10500" max="10500" width="10.33203125" style="121" customWidth="1"/>
    <col min="10501" max="10501" width="12.33203125" style="121" customWidth="1"/>
    <col min="10502" max="10502" width="35.77734375" style="121" customWidth="1"/>
    <col min="10503" max="10503" width="12" style="121" customWidth="1"/>
    <col min="10504" max="10506" width="13" style="121" customWidth="1"/>
    <col min="10507" max="10507" width="10.88671875" style="121" customWidth="1"/>
    <col min="10508" max="10510" width="15.77734375" style="121" customWidth="1"/>
    <col min="10511" max="10511" width="12.5546875" style="121" customWidth="1"/>
    <col min="10512" max="10512" width="8.5546875" style="121" customWidth="1"/>
    <col min="10513" max="10513" width="11.109375" style="121" customWidth="1"/>
    <col min="10514" max="10514" width="11.6640625" style="121" customWidth="1"/>
    <col min="10515" max="10515" width="8.88671875" style="121" customWidth="1"/>
    <col min="10516" max="10516" width="9.88671875" style="121" customWidth="1"/>
    <col min="10517" max="10517" width="14.88671875" style="121" customWidth="1"/>
    <col min="10518" max="10518" width="14.5546875" style="121" customWidth="1"/>
    <col min="10519" max="10519" width="16.109375" style="121" customWidth="1"/>
    <col min="10520" max="10524" width="12.88671875" style="121" customWidth="1"/>
    <col min="10525" max="10752" width="8.88671875" style="121"/>
    <col min="10753" max="10753" width="3.77734375" style="121" customWidth="1"/>
    <col min="10754" max="10754" width="6.44140625" style="121" customWidth="1"/>
    <col min="10755" max="10755" width="7.44140625" style="121" customWidth="1"/>
    <col min="10756" max="10756" width="10.33203125" style="121" customWidth="1"/>
    <col min="10757" max="10757" width="12.33203125" style="121" customWidth="1"/>
    <col min="10758" max="10758" width="35.77734375" style="121" customWidth="1"/>
    <col min="10759" max="10759" width="12" style="121" customWidth="1"/>
    <col min="10760" max="10762" width="13" style="121" customWidth="1"/>
    <col min="10763" max="10763" width="10.88671875" style="121" customWidth="1"/>
    <col min="10764" max="10766" width="15.77734375" style="121" customWidth="1"/>
    <col min="10767" max="10767" width="12.5546875" style="121" customWidth="1"/>
    <col min="10768" max="10768" width="8.5546875" style="121" customWidth="1"/>
    <col min="10769" max="10769" width="11.109375" style="121" customWidth="1"/>
    <col min="10770" max="10770" width="11.6640625" style="121" customWidth="1"/>
    <col min="10771" max="10771" width="8.88671875" style="121" customWidth="1"/>
    <col min="10772" max="10772" width="9.88671875" style="121" customWidth="1"/>
    <col min="10773" max="10773" width="14.88671875" style="121" customWidth="1"/>
    <col min="10774" max="10774" width="14.5546875" style="121" customWidth="1"/>
    <col min="10775" max="10775" width="16.109375" style="121" customWidth="1"/>
    <col min="10776" max="10780" width="12.88671875" style="121" customWidth="1"/>
    <col min="10781" max="11008" width="8.88671875" style="121"/>
    <col min="11009" max="11009" width="3.77734375" style="121" customWidth="1"/>
    <col min="11010" max="11010" width="6.44140625" style="121" customWidth="1"/>
    <col min="11011" max="11011" width="7.44140625" style="121" customWidth="1"/>
    <col min="11012" max="11012" width="10.33203125" style="121" customWidth="1"/>
    <col min="11013" max="11013" width="12.33203125" style="121" customWidth="1"/>
    <col min="11014" max="11014" width="35.77734375" style="121" customWidth="1"/>
    <col min="11015" max="11015" width="12" style="121" customWidth="1"/>
    <col min="11016" max="11018" width="13" style="121" customWidth="1"/>
    <col min="11019" max="11019" width="10.88671875" style="121" customWidth="1"/>
    <col min="11020" max="11022" width="15.77734375" style="121" customWidth="1"/>
    <col min="11023" max="11023" width="12.5546875" style="121" customWidth="1"/>
    <col min="11024" max="11024" width="8.5546875" style="121" customWidth="1"/>
    <col min="11025" max="11025" width="11.109375" style="121" customWidth="1"/>
    <col min="11026" max="11026" width="11.6640625" style="121" customWidth="1"/>
    <col min="11027" max="11027" width="8.88671875" style="121" customWidth="1"/>
    <col min="11028" max="11028" width="9.88671875" style="121" customWidth="1"/>
    <col min="11029" max="11029" width="14.88671875" style="121" customWidth="1"/>
    <col min="11030" max="11030" width="14.5546875" style="121" customWidth="1"/>
    <col min="11031" max="11031" width="16.109375" style="121" customWidth="1"/>
    <col min="11032" max="11036" width="12.88671875" style="121" customWidth="1"/>
    <col min="11037" max="11264" width="8.88671875" style="121"/>
    <col min="11265" max="11265" width="3.77734375" style="121" customWidth="1"/>
    <col min="11266" max="11266" width="6.44140625" style="121" customWidth="1"/>
    <col min="11267" max="11267" width="7.44140625" style="121" customWidth="1"/>
    <col min="11268" max="11268" width="10.33203125" style="121" customWidth="1"/>
    <col min="11269" max="11269" width="12.33203125" style="121" customWidth="1"/>
    <col min="11270" max="11270" width="35.77734375" style="121" customWidth="1"/>
    <col min="11271" max="11271" width="12" style="121" customWidth="1"/>
    <col min="11272" max="11274" width="13" style="121" customWidth="1"/>
    <col min="11275" max="11275" width="10.88671875" style="121" customWidth="1"/>
    <col min="11276" max="11278" width="15.77734375" style="121" customWidth="1"/>
    <col min="11279" max="11279" width="12.5546875" style="121" customWidth="1"/>
    <col min="11280" max="11280" width="8.5546875" style="121" customWidth="1"/>
    <col min="11281" max="11281" width="11.109375" style="121" customWidth="1"/>
    <col min="11282" max="11282" width="11.6640625" style="121" customWidth="1"/>
    <col min="11283" max="11283" width="8.88671875" style="121" customWidth="1"/>
    <col min="11284" max="11284" width="9.88671875" style="121" customWidth="1"/>
    <col min="11285" max="11285" width="14.88671875" style="121" customWidth="1"/>
    <col min="11286" max="11286" width="14.5546875" style="121" customWidth="1"/>
    <col min="11287" max="11287" width="16.109375" style="121" customWidth="1"/>
    <col min="11288" max="11292" width="12.88671875" style="121" customWidth="1"/>
    <col min="11293" max="11520" width="8.88671875" style="121"/>
    <col min="11521" max="11521" width="3.77734375" style="121" customWidth="1"/>
    <col min="11522" max="11522" width="6.44140625" style="121" customWidth="1"/>
    <col min="11523" max="11523" width="7.44140625" style="121" customWidth="1"/>
    <col min="11524" max="11524" width="10.33203125" style="121" customWidth="1"/>
    <col min="11525" max="11525" width="12.33203125" style="121" customWidth="1"/>
    <col min="11526" max="11526" width="35.77734375" style="121" customWidth="1"/>
    <col min="11527" max="11527" width="12" style="121" customWidth="1"/>
    <col min="11528" max="11530" width="13" style="121" customWidth="1"/>
    <col min="11531" max="11531" width="10.88671875" style="121" customWidth="1"/>
    <col min="11532" max="11534" width="15.77734375" style="121" customWidth="1"/>
    <col min="11535" max="11535" width="12.5546875" style="121" customWidth="1"/>
    <col min="11536" max="11536" width="8.5546875" style="121" customWidth="1"/>
    <col min="11537" max="11537" width="11.109375" style="121" customWidth="1"/>
    <col min="11538" max="11538" width="11.6640625" style="121" customWidth="1"/>
    <col min="11539" max="11539" width="8.88671875" style="121" customWidth="1"/>
    <col min="11540" max="11540" width="9.88671875" style="121" customWidth="1"/>
    <col min="11541" max="11541" width="14.88671875" style="121" customWidth="1"/>
    <col min="11542" max="11542" width="14.5546875" style="121" customWidth="1"/>
    <col min="11543" max="11543" width="16.109375" style="121" customWidth="1"/>
    <col min="11544" max="11548" width="12.88671875" style="121" customWidth="1"/>
    <col min="11549" max="11776" width="8.88671875" style="121"/>
    <col min="11777" max="11777" width="3.77734375" style="121" customWidth="1"/>
    <col min="11778" max="11778" width="6.44140625" style="121" customWidth="1"/>
    <col min="11779" max="11779" width="7.44140625" style="121" customWidth="1"/>
    <col min="11780" max="11780" width="10.33203125" style="121" customWidth="1"/>
    <col min="11781" max="11781" width="12.33203125" style="121" customWidth="1"/>
    <col min="11782" max="11782" width="35.77734375" style="121" customWidth="1"/>
    <col min="11783" max="11783" width="12" style="121" customWidth="1"/>
    <col min="11784" max="11786" width="13" style="121" customWidth="1"/>
    <col min="11787" max="11787" width="10.88671875" style="121" customWidth="1"/>
    <col min="11788" max="11790" width="15.77734375" style="121" customWidth="1"/>
    <col min="11791" max="11791" width="12.5546875" style="121" customWidth="1"/>
    <col min="11792" max="11792" width="8.5546875" style="121" customWidth="1"/>
    <col min="11793" max="11793" width="11.109375" style="121" customWidth="1"/>
    <col min="11794" max="11794" width="11.6640625" style="121" customWidth="1"/>
    <col min="11795" max="11795" width="8.88671875" style="121" customWidth="1"/>
    <col min="11796" max="11796" width="9.88671875" style="121" customWidth="1"/>
    <col min="11797" max="11797" width="14.88671875" style="121" customWidth="1"/>
    <col min="11798" max="11798" width="14.5546875" style="121" customWidth="1"/>
    <col min="11799" max="11799" width="16.109375" style="121" customWidth="1"/>
    <col min="11800" max="11804" width="12.88671875" style="121" customWidth="1"/>
    <col min="11805" max="12032" width="8.88671875" style="121"/>
    <col min="12033" max="12033" width="3.77734375" style="121" customWidth="1"/>
    <col min="12034" max="12034" width="6.44140625" style="121" customWidth="1"/>
    <col min="12035" max="12035" width="7.44140625" style="121" customWidth="1"/>
    <col min="12036" max="12036" width="10.33203125" style="121" customWidth="1"/>
    <col min="12037" max="12037" width="12.33203125" style="121" customWidth="1"/>
    <col min="12038" max="12038" width="35.77734375" style="121" customWidth="1"/>
    <col min="12039" max="12039" width="12" style="121" customWidth="1"/>
    <col min="12040" max="12042" width="13" style="121" customWidth="1"/>
    <col min="12043" max="12043" width="10.88671875" style="121" customWidth="1"/>
    <col min="12044" max="12046" width="15.77734375" style="121" customWidth="1"/>
    <col min="12047" max="12047" width="12.5546875" style="121" customWidth="1"/>
    <col min="12048" max="12048" width="8.5546875" style="121" customWidth="1"/>
    <col min="12049" max="12049" width="11.109375" style="121" customWidth="1"/>
    <col min="12050" max="12050" width="11.6640625" style="121" customWidth="1"/>
    <col min="12051" max="12051" width="8.88671875" style="121" customWidth="1"/>
    <col min="12052" max="12052" width="9.88671875" style="121" customWidth="1"/>
    <col min="12053" max="12053" width="14.88671875" style="121" customWidth="1"/>
    <col min="12054" max="12054" width="14.5546875" style="121" customWidth="1"/>
    <col min="12055" max="12055" width="16.109375" style="121" customWidth="1"/>
    <col min="12056" max="12060" width="12.88671875" style="121" customWidth="1"/>
    <col min="12061" max="12288" width="8.88671875" style="121"/>
    <col min="12289" max="12289" width="3.77734375" style="121" customWidth="1"/>
    <col min="12290" max="12290" width="6.44140625" style="121" customWidth="1"/>
    <col min="12291" max="12291" width="7.44140625" style="121" customWidth="1"/>
    <col min="12292" max="12292" width="10.33203125" style="121" customWidth="1"/>
    <col min="12293" max="12293" width="12.33203125" style="121" customWidth="1"/>
    <col min="12294" max="12294" width="35.77734375" style="121" customWidth="1"/>
    <col min="12295" max="12295" width="12" style="121" customWidth="1"/>
    <col min="12296" max="12298" width="13" style="121" customWidth="1"/>
    <col min="12299" max="12299" width="10.88671875" style="121" customWidth="1"/>
    <col min="12300" max="12302" width="15.77734375" style="121" customWidth="1"/>
    <col min="12303" max="12303" width="12.5546875" style="121" customWidth="1"/>
    <col min="12304" max="12304" width="8.5546875" style="121" customWidth="1"/>
    <col min="12305" max="12305" width="11.109375" style="121" customWidth="1"/>
    <col min="12306" max="12306" width="11.6640625" style="121" customWidth="1"/>
    <col min="12307" max="12307" width="8.88671875" style="121" customWidth="1"/>
    <col min="12308" max="12308" width="9.88671875" style="121" customWidth="1"/>
    <col min="12309" max="12309" width="14.88671875" style="121" customWidth="1"/>
    <col min="12310" max="12310" width="14.5546875" style="121" customWidth="1"/>
    <col min="12311" max="12311" width="16.109375" style="121" customWidth="1"/>
    <col min="12312" max="12316" width="12.88671875" style="121" customWidth="1"/>
    <col min="12317" max="12544" width="8.88671875" style="121"/>
    <col min="12545" max="12545" width="3.77734375" style="121" customWidth="1"/>
    <col min="12546" max="12546" width="6.44140625" style="121" customWidth="1"/>
    <col min="12547" max="12547" width="7.44140625" style="121" customWidth="1"/>
    <col min="12548" max="12548" width="10.33203125" style="121" customWidth="1"/>
    <col min="12549" max="12549" width="12.33203125" style="121" customWidth="1"/>
    <col min="12550" max="12550" width="35.77734375" style="121" customWidth="1"/>
    <col min="12551" max="12551" width="12" style="121" customWidth="1"/>
    <col min="12552" max="12554" width="13" style="121" customWidth="1"/>
    <col min="12555" max="12555" width="10.88671875" style="121" customWidth="1"/>
    <col min="12556" max="12558" width="15.77734375" style="121" customWidth="1"/>
    <col min="12559" max="12559" width="12.5546875" style="121" customWidth="1"/>
    <col min="12560" max="12560" width="8.5546875" style="121" customWidth="1"/>
    <col min="12561" max="12561" width="11.109375" style="121" customWidth="1"/>
    <col min="12562" max="12562" width="11.6640625" style="121" customWidth="1"/>
    <col min="12563" max="12563" width="8.88671875" style="121" customWidth="1"/>
    <col min="12564" max="12564" width="9.88671875" style="121" customWidth="1"/>
    <col min="12565" max="12565" width="14.88671875" style="121" customWidth="1"/>
    <col min="12566" max="12566" width="14.5546875" style="121" customWidth="1"/>
    <col min="12567" max="12567" width="16.109375" style="121" customWidth="1"/>
    <col min="12568" max="12572" width="12.88671875" style="121" customWidth="1"/>
    <col min="12573" max="12800" width="8.88671875" style="121"/>
    <col min="12801" max="12801" width="3.77734375" style="121" customWidth="1"/>
    <col min="12802" max="12802" width="6.44140625" style="121" customWidth="1"/>
    <col min="12803" max="12803" width="7.44140625" style="121" customWidth="1"/>
    <col min="12804" max="12804" width="10.33203125" style="121" customWidth="1"/>
    <col min="12805" max="12805" width="12.33203125" style="121" customWidth="1"/>
    <col min="12806" max="12806" width="35.77734375" style="121" customWidth="1"/>
    <col min="12807" max="12807" width="12" style="121" customWidth="1"/>
    <col min="12808" max="12810" width="13" style="121" customWidth="1"/>
    <col min="12811" max="12811" width="10.88671875" style="121" customWidth="1"/>
    <col min="12812" max="12814" width="15.77734375" style="121" customWidth="1"/>
    <col min="12815" max="12815" width="12.5546875" style="121" customWidth="1"/>
    <col min="12816" max="12816" width="8.5546875" style="121" customWidth="1"/>
    <col min="12817" max="12817" width="11.109375" style="121" customWidth="1"/>
    <col min="12818" max="12818" width="11.6640625" style="121" customWidth="1"/>
    <col min="12819" max="12819" width="8.88671875" style="121" customWidth="1"/>
    <col min="12820" max="12820" width="9.88671875" style="121" customWidth="1"/>
    <col min="12821" max="12821" width="14.88671875" style="121" customWidth="1"/>
    <col min="12822" max="12822" width="14.5546875" style="121" customWidth="1"/>
    <col min="12823" max="12823" width="16.109375" style="121" customWidth="1"/>
    <col min="12824" max="12828" width="12.88671875" style="121" customWidth="1"/>
    <col min="12829" max="13056" width="8.88671875" style="121"/>
    <col min="13057" max="13057" width="3.77734375" style="121" customWidth="1"/>
    <col min="13058" max="13058" width="6.44140625" style="121" customWidth="1"/>
    <col min="13059" max="13059" width="7.44140625" style="121" customWidth="1"/>
    <col min="13060" max="13060" width="10.33203125" style="121" customWidth="1"/>
    <col min="13061" max="13061" width="12.33203125" style="121" customWidth="1"/>
    <col min="13062" max="13062" width="35.77734375" style="121" customWidth="1"/>
    <col min="13063" max="13063" width="12" style="121" customWidth="1"/>
    <col min="13064" max="13066" width="13" style="121" customWidth="1"/>
    <col min="13067" max="13067" width="10.88671875" style="121" customWidth="1"/>
    <col min="13068" max="13070" width="15.77734375" style="121" customWidth="1"/>
    <col min="13071" max="13071" width="12.5546875" style="121" customWidth="1"/>
    <col min="13072" max="13072" width="8.5546875" style="121" customWidth="1"/>
    <col min="13073" max="13073" width="11.109375" style="121" customWidth="1"/>
    <col min="13074" max="13074" width="11.6640625" style="121" customWidth="1"/>
    <col min="13075" max="13075" width="8.88671875" style="121" customWidth="1"/>
    <col min="13076" max="13076" width="9.88671875" style="121" customWidth="1"/>
    <col min="13077" max="13077" width="14.88671875" style="121" customWidth="1"/>
    <col min="13078" max="13078" width="14.5546875" style="121" customWidth="1"/>
    <col min="13079" max="13079" width="16.109375" style="121" customWidth="1"/>
    <col min="13080" max="13084" width="12.88671875" style="121" customWidth="1"/>
    <col min="13085" max="13312" width="8.88671875" style="121"/>
    <col min="13313" max="13313" width="3.77734375" style="121" customWidth="1"/>
    <col min="13314" max="13314" width="6.44140625" style="121" customWidth="1"/>
    <col min="13315" max="13315" width="7.44140625" style="121" customWidth="1"/>
    <col min="13316" max="13316" width="10.33203125" style="121" customWidth="1"/>
    <col min="13317" max="13317" width="12.33203125" style="121" customWidth="1"/>
    <col min="13318" max="13318" width="35.77734375" style="121" customWidth="1"/>
    <col min="13319" max="13319" width="12" style="121" customWidth="1"/>
    <col min="13320" max="13322" width="13" style="121" customWidth="1"/>
    <col min="13323" max="13323" width="10.88671875" style="121" customWidth="1"/>
    <col min="13324" max="13326" width="15.77734375" style="121" customWidth="1"/>
    <col min="13327" max="13327" width="12.5546875" style="121" customWidth="1"/>
    <col min="13328" max="13328" width="8.5546875" style="121" customWidth="1"/>
    <col min="13329" max="13329" width="11.109375" style="121" customWidth="1"/>
    <col min="13330" max="13330" width="11.6640625" style="121" customWidth="1"/>
    <col min="13331" max="13331" width="8.88671875" style="121" customWidth="1"/>
    <col min="13332" max="13332" width="9.88671875" style="121" customWidth="1"/>
    <col min="13333" max="13333" width="14.88671875" style="121" customWidth="1"/>
    <col min="13334" max="13334" width="14.5546875" style="121" customWidth="1"/>
    <col min="13335" max="13335" width="16.109375" style="121" customWidth="1"/>
    <col min="13336" max="13340" width="12.88671875" style="121" customWidth="1"/>
    <col min="13341" max="13568" width="8.88671875" style="121"/>
    <col min="13569" max="13569" width="3.77734375" style="121" customWidth="1"/>
    <col min="13570" max="13570" width="6.44140625" style="121" customWidth="1"/>
    <col min="13571" max="13571" width="7.44140625" style="121" customWidth="1"/>
    <col min="13572" max="13572" width="10.33203125" style="121" customWidth="1"/>
    <col min="13573" max="13573" width="12.33203125" style="121" customWidth="1"/>
    <col min="13574" max="13574" width="35.77734375" style="121" customWidth="1"/>
    <col min="13575" max="13575" width="12" style="121" customWidth="1"/>
    <col min="13576" max="13578" width="13" style="121" customWidth="1"/>
    <col min="13579" max="13579" width="10.88671875" style="121" customWidth="1"/>
    <col min="13580" max="13582" width="15.77734375" style="121" customWidth="1"/>
    <col min="13583" max="13583" width="12.5546875" style="121" customWidth="1"/>
    <col min="13584" max="13584" width="8.5546875" style="121" customWidth="1"/>
    <col min="13585" max="13585" width="11.109375" style="121" customWidth="1"/>
    <col min="13586" max="13586" width="11.6640625" style="121" customWidth="1"/>
    <col min="13587" max="13587" width="8.88671875" style="121" customWidth="1"/>
    <col min="13588" max="13588" width="9.88671875" style="121" customWidth="1"/>
    <col min="13589" max="13589" width="14.88671875" style="121" customWidth="1"/>
    <col min="13590" max="13590" width="14.5546875" style="121" customWidth="1"/>
    <col min="13591" max="13591" width="16.109375" style="121" customWidth="1"/>
    <col min="13592" max="13596" width="12.88671875" style="121" customWidth="1"/>
    <col min="13597" max="13824" width="8.88671875" style="121"/>
    <col min="13825" max="13825" width="3.77734375" style="121" customWidth="1"/>
    <col min="13826" max="13826" width="6.44140625" style="121" customWidth="1"/>
    <col min="13827" max="13827" width="7.44140625" style="121" customWidth="1"/>
    <col min="13828" max="13828" width="10.33203125" style="121" customWidth="1"/>
    <col min="13829" max="13829" width="12.33203125" style="121" customWidth="1"/>
    <col min="13830" max="13830" width="35.77734375" style="121" customWidth="1"/>
    <col min="13831" max="13831" width="12" style="121" customWidth="1"/>
    <col min="13832" max="13834" width="13" style="121" customWidth="1"/>
    <col min="13835" max="13835" width="10.88671875" style="121" customWidth="1"/>
    <col min="13836" max="13838" width="15.77734375" style="121" customWidth="1"/>
    <col min="13839" max="13839" width="12.5546875" style="121" customWidth="1"/>
    <col min="13840" max="13840" width="8.5546875" style="121" customWidth="1"/>
    <col min="13841" max="13841" width="11.109375" style="121" customWidth="1"/>
    <col min="13842" max="13842" width="11.6640625" style="121" customWidth="1"/>
    <col min="13843" max="13843" width="8.88671875" style="121" customWidth="1"/>
    <col min="13844" max="13844" width="9.88671875" style="121" customWidth="1"/>
    <col min="13845" max="13845" width="14.88671875" style="121" customWidth="1"/>
    <col min="13846" max="13846" width="14.5546875" style="121" customWidth="1"/>
    <col min="13847" max="13847" width="16.109375" style="121" customWidth="1"/>
    <col min="13848" max="13852" width="12.88671875" style="121" customWidth="1"/>
    <col min="13853" max="14080" width="8.88671875" style="121"/>
    <col min="14081" max="14081" width="3.77734375" style="121" customWidth="1"/>
    <col min="14082" max="14082" width="6.44140625" style="121" customWidth="1"/>
    <col min="14083" max="14083" width="7.44140625" style="121" customWidth="1"/>
    <col min="14084" max="14084" width="10.33203125" style="121" customWidth="1"/>
    <col min="14085" max="14085" width="12.33203125" style="121" customWidth="1"/>
    <col min="14086" max="14086" width="35.77734375" style="121" customWidth="1"/>
    <col min="14087" max="14087" width="12" style="121" customWidth="1"/>
    <col min="14088" max="14090" width="13" style="121" customWidth="1"/>
    <col min="14091" max="14091" width="10.88671875" style="121" customWidth="1"/>
    <col min="14092" max="14094" width="15.77734375" style="121" customWidth="1"/>
    <col min="14095" max="14095" width="12.5546875" style="121" customWidth="1"/>
    <col min="14096" max="14096" width="8.5546875" style="121" customWidth="1"/>
    <col min="14097" max="14097" width="11.109375" style="121" customWidth="1"/>
    <col min="14098" max="14098" width="11.6640625" style="121" customWidth="1"/>
    <col min="14099" max="14099" width="8.88671875" style="121" customWidth="1"/>
    <col min="14100" max="14100" width="9.88671875" style="121" customWidth="1"/>
    <col min="14101" max="14101" width="14.88671875" style="121" customWidth="1"/>
    <col min="14102" max="14102" width="14.5546875" style="121" customWidth="1"/>
    <col min="14103" max="14103" width="16.109375" style="121" customWidth="1"/>
    <col min="14104" max="14108" width="12.88671875" style="121" customWidth="1"/>
    <col min="14109" max="14336" width="8.88671875" style="121"/>
    <col min="14337" max="14337" width="3.77734375" style="121" customWidth="1"/>
    <col min="14338" max="14338" width="6.44140625" style="121" customWidth="1"/>
    <col min="14339" max="14339" width="7.44140625" style="121" customWidth="1"/>
    <col min="14340" max="14340" width="10.33203125" style="121" customWidth="1"/>
    <col min="14341" max="14341" width="12.33203125" style="121" customWidth="1"/>
    <col min="14342" max="14342" width="35.77734375" style="121" customWidth="1"/>
    <col min="14343" max="14343" width="12" style="121" customWidth="1"/>
    <col min="14344" max="14346" width="13" style="121" customWidth="1"/>
    <col min="14347" max="14347" width="10.88671875" style="121" customWidth="1"/>
    <col min="14348" max="14350" width="15.77734375" style="121" customWidth="1"/>
    <col min="14351" max="14351" width="12.5546875" style="121" customWidth="1"/>
    <col min="14352" max="14352" width="8.5546875" style="121" customWidth="1"/>
    <col min="14353" max="14353" width="11.109375" style="121" customWidth="1"/>
    <col min="14354" max="14354" width="11.6640625" style="121" customWidth="1"/>
    <col min="14355" max="14355" width="8.88671875" style="121" customWidth="1"/>
    <col min="14356" max="14356" width="9.88671875" style="121" customWidth="1"/>
    <col min="14357" max="14357" width="14.88671875" style="121" customWidth="1"/>
    <col min="14358" max="14358" width="14.5546875" style="121" customWidth="1"/>
    <col min="14359" max="14359" width="16.109375" style="121" customWidth="1"/>
    <col min="14360" max="14364" width="12.88671875" style="121" customWidth="1"/>
    <col min="14365" max="14592" width="8.88671875" style="121"/>
    <col min="14593" max="14593" width="3.77734375" style="121" customWidth="1"/>
    <col min="14594" max="14594" width="6.44140625" style="121" customWidth="1"/>
    <col min="14595" max="14595" width="7.44140625" style="121" customWidth="1"/>
    <col min="14596" max="14596" width="10.33203125" style="121" customWidth="1"/>
    <col min="14597" max="14597" width="12.33203125" style="121" customWidth="1"/>
    <col min="14598" max="14598" width="35.77734375" style="121" customWidth="1"/>
    <col min="14599" max="14599" width="12" style="121" customWidth="1"/>
    <col min="14600" max="14602" width="13" style="121" customWidth="1"/>
    <col min="14603" max="14603" width="10.88671875" style="121" customWidth="1"/>
    <col min="14604" max="14606" width="15.77734375" style="121" customWidth="1"/>
    <col min="14607" max="14607" width="12.5546875" style="121" customWidth="1"/>
    <col min="14608" max="14608" width="8.5546875" style="121" customWidth="1"/>
    <col min="14609" max="14609" width="11.109375" style="121" customWidth="1"/>
    <col min="14610" max="14610" width="11.6640625" style="121" customWidth="1"/>
    <col min="14611" max="14611" width="8.88671875" style="121" customWidth="1"/>
    <col min="14612" max="14612" width="9.88671875" style="121" customWidth="1"/>
    <col min="14613" max="14613" width="14.88671875" style="121" customWidth="1"/>
    <col min="14614" max="14614" width="14.5546875" style="121" customWidth="1"/>
    <col min="14615" max="14615" width="16.109375" style="121" customWidth="1"/>
    <col min="14616" max="14620" width="12.88671875" style="121" customWidth="1"/>
    <col min="14621" max="14848" width="8.88671875" style="121"/>
    <col min="14849" max="14849" width="3.77734375" style="121" customWidth="1"/>
    <col min="14850" max="14850" width="6.44140625" style="121" customWidth="1"/>
    <col min="14851" max="14851" width="7.44140625" style="121" customWidth="1"/>
    <col min="14852" max="14852" width="10.33203125" style="121" customWidth="1"/>
    <col min="14853" max="14853" width="12.33203125" style="121" customWidth="1"/>
    <col min="14854" max="14854" width="35.77734375" style="121" customWidth="1"/>
    <col min="14855" max="14855" width="12" style="121" customWidth="1"/>
    <col min="14856" max="14858" width="13" style="121" customWidth="1"/>
    <col min="14859" max="14859" width="10.88671875" style="121" customWidth="1"/>
    <col min="14860" max="14862" width="15.77734375" style="121" customWidth="1"/>
    <col min="14863" max="14863" width="12.5546875" style="121" customWidth="1"/>
    <col min="14864" max="14864" width="8.5546875" style="121" customWidth="1"/>
    <col min="14865" max="14865" width="11.109375" style="121" customWidth="1"/>
    <col min="14866" max="14866" width="11.6640625" style="121" customWidth="1"/>
    <col min="14867" max="14867" width="8.88671875" style="121" customWidth="1"/>
    <col min="14868" max="14868" width="9.88671875" style="121" customWidth="1"/>
    <col min="14869" max="14869" width="14.88671875" style="121" customWidth="1"/>
    <col min="14870" max="14870" width="14.5546875" style="121" customWidth="1"/>
    <col min="14871" max="14871" width="16.109375" style="121" customWidth="1"/>
    <col min="14872" max="14876" width="12.88671875" style="121" customWidth="1"/>
    <col min="14877" max="15104" width="8.88671875" style="121"/>
    <col min="15105" max="15105" width="3.77734375" style="121" customWidth="1"/>
    <col min="15106" max="15106" width="6.44140625" style="121" customWidth="1"/>
    <col min="15107" max="15107" width="7.44140625" style="121" customWidth="1"/>
    <col min="15108" max="15108" width="10.33203125" style="121" customWidth="1"/>
    <col min="15109" max="15109" width="12.33203125" style="121" customWidth="1"/>
    <col min="15110" max="15110" width="35.77734375" style="121" customWidth="1"/>
    <col min="15111" max="15111" width="12" style="121" customWidth="1"/>
    <col min="15112" max="15114" width="13" style="121" customWidth="1"/>
    <col min="15115" max="15115" width="10.88671875" style="121" customWidth="1"/>
    <col min="15116" max="15118" width="15.77734375" style="121" customWidth="1"/>
    <col min="15119" max="15119" width="12.5546875" style="121" customWidth="1"/>
    <col min="15120" max="15120" width="8.5546875" style="121" customWidth="1"/>
    <col min="15121" max="15121" width="11.109375" style="121" customWidth="1"/>
    <col min="15122" max="15122" width="11.6640625" style="121" customWidth="1"/>
    <col min="15123" max="15123" width="8.88671875" style="121" customWidth="1"/>
    <col min="15124" max="15124" width="9.88671875" style="121" customWidth="1"/>
    <col min="15125" max="15125" width="14.88671875" style="121" customWidth="1"/>
    <col min="15126" max="15126" width="14.5546875" style="121" customWidth="1"/>
    <col min="15127" max="15127" width="16.109375" style="121" customWidth="1"/>
    <col min="15128" max="15132" width="12.88671875" style="121" customWidth="1"/>
    <col min="15133" max="15360" width="8.88671875" style="121"/>
    <col min="15361" max="15361" width="3.77734375" style="121" customWidth="1"/>
    <col min="15362" max="15362" width="6.44140625" style="121" customWidth="1"/>
    <col min="15363" max="15363" width="7.44140625" style="121" customWidth="1"/>
    <col min="15364" max="15364" width="10.33203125" style="121" customWidth="1"/>
    <col min="15365" max="15365" width="12.33203125" style="121" customWidth="1"/>
    <col min="15366" max="15366" width="35.77734375" style="121" customWidth="1"/>
    <col min="15367" max="15367" width="12" style="121" customWidth="1"/>
    <col min="15368" max="15370" width="13" style="121" customWidth="1"/>
    <col min="15371" max="15371" width="10.88671875" style="121" customWidth="1"/>
    <col min="15372" max="15374" width="15.77734375" style="121" customWidth="1"/>
    <col min="15375" max="15375" width="12.5546875" style="121" customWidth="1"/>
    <col min="15376" max="15376" width="8.5546875" style="121" customWidth="1"/>
    <col min="15377" max="15377" width="11.109375" style="121" customWidth="1"/>
    <col min="15378" max="15378" width="11.6640625" style="121" customWidth="1"/>
    <col min="15379" max="15379" width="8.88671875" style="121" customWidth="1"/>
    <col min="15380" max="15380" width="9.88671875" style="121" customWidth="1"/>
    <col min="15381" max="15381" width="14.88671875" style="121" customWidth="1"/>
    <col min="15382" max="15382" width="14.5546875" style="121" customWidth="1"/>
    <col min="15383" max="15383" width="16.109375" style="121" customWidth="1"/>
    <col min="15384" max="15388" width="12.88671875" style="121" customWidth="1"/>
    <col min="15389" max="15616" width="8.88671875" style="121"/>
    <col min="15617" max="15617" width="3.77734375" style="121" customWidth="1"/>
    <col min="15618" max="15618" width="6.44140625" style="121" customWidth="1"/>
    <col min="15619" max="15619" width="7.44140625" style="121" customWidth="1"/>
    <col min="15620" max="15620" width="10.33203125" style="121" customWidth="1"/>
    <col min="15621" max="15621" width="12.33203125" style="121" customWidth="1"/>
    <col min="15622" max="15622" width="35.77734375" style="121" customWidth="1"/>
    <col min="15623" max="15623" width="12" style="121" customWidth="1"/>
    <col min="15624" max="15626" width="13" style="121" customWidth="1"/>
    <col min="15627" max="15627" width="10.88671875" style="121" customWidth="1"/>
    <col min="15628" max="15630" width="15.77734375" style="121" customWidth="1"/>
    <col min="15631" max="15631" width="12.5546875" style="121" customWidth="1"/>
    <col min="15632" max="15632" width="8.5546875" style="121" customWidth="1"/>
    <col min="15633" max="15633" width="11.109375" style="121" customWidth="1"/>
    <col min="15634" max="15634" width="11.6640625" style="121" customWidth="1"/>
    <col min="15635" max="15635" width="8.88671875" style="121" customWidth="1"/>
    <col min="15636" max="15636" width="9.88671875" style="121" customWidth="1"/>
    <col min="15637" max="15637" width="14.88671875" style="121" customWidth="1"/>
    <col min="15638" max="15638" width="14.5546875" style="121" customWidth="1"/>
    <col min="15639" max="15639" width="16.109375" style="121" customWidth="1"/>
    <col min="15640" max="15644" width="12.88671875" style="121" customWidth="1"/>
    <col min="15645" max="15872" width="8.88671875" style="121"/>
    <col min="15873" max="15873" width="3.77734375" style="121" customWidth="1"/>
    <col min="15874" max="15874" width="6.44140625" style="121" customWidth="1"/>
    <col min="15875" max="15875" width="7.44140625" style="121" customWidth="1"/>
    <col min="15876" max="15876" width="10.33203125" style="121" customWidth="1"/>
    <col min="15877" max="15877" width="12.33203125" style="121" customWidth="1"/>
    <col min="15878" max="15878" width="35.77734375" style="121" customWidth="1"/>
    <col min="15879" max="15879" width="12" style="121" customWidth="1"/>
    <col min="15880" max="15882" width="13" style="121" customWidth="1"/>
    <col min="15883" max="15883" width="10.88671875" style="121" customWidth="1"/>
    <col min="15884" max="15886" width="15.77734375" style="121" customWidth="1"/>
    <col min="15887" max="15887" width="12.5546875" style="121" customWidth="1"/>
    <col min="15888" max="15888" width="8.5546875" style="121" customWidth="1"/>
    <col min="15889" max="15889" width="11.109375" style="121" customWidth="1"/>
    <col min="15890" max="15890" width="11.6640625" style="121" customWidth="1"/>
    <col min="15891" max="15891" width="8.88671875" style="121" customWidth="1"/>
    <col min="15892" max="15892" width="9.88671875" style="121" customWidth="1"/>
    <col min="15893" max="15893" width="14.88671875" style="121" customWidth="1"/>
    <col min="15894" max="15894" width="14.5546875" style="121" customWidth="1"/>
    <col min="15895" max="15895" width="16.109375" style="121" customWidth="1"/>
    <col min="15896" max="15900" width="12.88671875" style="121" customWidth="1"/>
    <col min="15901" max="16128" width="8.88671875" style="121"/>
    <col min="16129" max="16129" width="3.77734375" style="121" customWidth="1"/>
    <col min="16130" max="16130" width="6.44140625" style="121" customWidth="1"/>
    <col min="16131" max="16131" width="7.44140625" style="121" customWidth="1"/>
    <col min="16132" max="16132" width="10.33203125" style="121" customWidth="1"/>
    <col min="16133" max="16133" width="12.33203125" style="121" customWidth="1"/>
    <col min="16134" max="16134" width="35.77734375" style="121" customWidth="1"/>
    <col min="16135" max="16135" width="12" style="121" customWidth="1"/>
    <col min="16136" max="16138" width="13" style="121" customWidth="1"/>
    <col min="16139" max="16139" width="10.88671875" style="121" customWidth="1"/>
    <col min="16140" max="16142" width="15.77734375" style="121" customWidth="1"/>
    <col min="16143" max="16143" width="12.5546875" style="121" customWidth="1"/>
    <col min="16144" max="16144" width="8.5546875" style="121" customWidth="1"/>
    <col min="16145" max="16145" width="11.109375" style="121" customWidth="1"/>
    <col min="16146" max="16146" width="11.6640625" style="121" customWidth="1"/>
    <col min="16147" max="16147" width="8.88671875" style="121" customWidth="1"/>
    <col min="16148" max="16148" width="9.88671875" style="121" customWidth="1"/>
    <col min="16149" max="16149" width="14.88671875" style="121" customWidth="1"/>
    <col min="16150" max="16150" width="14.5546875" style="121" customWidth="1"/>
    <col min="16151" max="16151" width="16.109375" style="121" customWidth="1"/>
    <col min="16152" max="16156" width="12.88671875" style="121" customWidth="1"/>
    <col min="16157" max="16384" width="8.88671875" style="121"/>
  </cols>
  <sheetData>
    <row r="1" spans="1:244" ht="18.75" thickBot="1">
      <c r="A1" s="121"/>
      <c r="B1" s="118"/>
      <c r="C1" s="118"/>
      <c r="D1" s="118"/>
      <c r="E1" s="118"/>
      <c r="F1" s="118"/>
      <c r="G1" s="118"/>
      <c r="H1" s="118"/>
      <c r="I1" s="118"/>
      <c r="J1" s="118"/>
      <c r="K1" s="119"/>
      <c r="L1" s="118"/>
      <c r="M1" s="118"/>
      <c r="N1" s="118"/>
      <c r="O1" s="120"/>
      <c r="P1" s="118"/>
      <c r="Q1" s="118"/>
    </row>
    <row r="2" spans="1:244" ht="17.25" thickBot="1">
      <c r="A2" s="121"/>
      <c r="B2" s="244" t="s">
        <v>49</v>
      </c>
      <c r="C2" s="246" t="s">
        <v>50</v>
      </c>
      <c r="D2" s="242" t="s">
        <v>51</v>
      </c>
      <c r="E2" s="242" t="s">
        <v>52</v>
      </c>
      <c r="F2" s="242" t="s">
        <v>53</v>
      </c>
      <c r="G2" s="242" t="s">
        <v>54</v>
      </c>
      <c r="H2" s="242" t="s">
        <v>55</v>
      </c>
      <c r="I2" s="242" t="s">
        <v>56</v>
      </c>
      <c r="J2" s="242" t="s">
        <v>57</v>
      </c>
      <c r="K2" s="242" t="s">
        <v>58</v>
      </c>
      <c r="L2" s="267" t="s">
        <v>59</v>
      </c>
      <c r="M2" s="242" t="s">
        <v>60</v>
      </c>
      <c r="N2" s="259" t="s">
        <v>61</v>
      </c>
      <c r="O2" s="261" t="s">
        <v>62</v>
      </c>
      <c r="P2" s="244" t="s">
        <v>63</v>
      </c>
      <c r="Q2" s="244" t="s">
        <v>64</v>
      </c>
      <c r="R2" s="263" t="s">
        <v>65</v>
      </c>
      <c r="S2" s="265" t="s">
        <v>66</v>
      </c>
      <c r="T2" s="249" t="s">
        <v>67</v>
      </c>
      <c r="U2" s="125"/>
      <c r="V2" s="160"/>
      <c r="W2" s="251" t="s">
        <v>68</v>
      </c>
      <c r="X2" s="251"/>
      <c r="Y2" s="251"/>
      <c r="Z2" s="251"/>
      <c r="AA2" s="251"/>
      <c r="AB2" s="249"/>
    </row>
    <row r="3" spans="1:244" ht="17.25" thickBot="1">
      <c r="A3" s="121"/>
      <c r="B3" s="245"/>
      <c r="C3" s="247"/>
      <c r="D3" s="248"/>
      <c r="E3" s="248"/>
      <c r="F3" s="248"/>
      <c r="G3" s="243"/>
      <c r="H3" s="248"/>
      <c r="I3" s="243"/>
      <c r="J3" s="248"/>
      <c r="K3" s="248"/>
      <c r="L3" s="268"/>
      <c r="M3" s="243"/>
      <c r="N3" s="260"/>
      <c r="O3" s="262"/>
      <c r="P3" s="245"/>
      <c r="Q3" s="245"/>
      <c r="R3" s="264"/>
      <c r="S3" s="266"/>
      <c r="T3" s="250"/>
      <c r="U3" s="127" t="s">
        <v>40</v>
      </c>
      <c r="V3" s="128" t="s">
        <v>70</v>
      </c>
      <c r="W3" s="129" t="s">
        <v>71</v>
      </c>
      <c r="X3" s="130" t="s">
        <v>72</v>
      </c>
      <c r="Y3" s="131" t="s">
        <v>73</v>
      </c>
      <c r="Z3" s="131">
        <v>10</v>
      </c>
      <c r="AA3" s="131">
        <v>11</v>
      </c>
      <c r="AB3" s="132" t="s">
        <v>74</v>
      </c>
    </row>
    <row r="4" spans="1:244" s="133" customFormat="1">
      <c r="B4" s="162"/>
      <c r="C4" s="163"/>
      <c r="D4" s="164"/>
      <c r="E4" s="164"/>
      <c r="F4" s="164"/>
      <c r="G4" s="165"/>
      <c r="H4" s="165"/>
      <c r="I4" s="165"/>
      <c r="J4" s="166"/>
      <c r="K4" s="167"/>
      <c r="L4" s="168"/>
      <c r="M4" s="169"/>
      <c r="N4" s="170"/>
      <c r="O4" s="171"/>
      <c r="P4" s="172"/>
      <c r="Q4" s="173"/>
      <c r="R4" s="174"/>
      <c r="S4" s="175"/>
      <c r="T4" s="176"/>
      <c r="U4" s="177"/>
      <c r="V4" s="176"/>
      <c r="W4" s="178"/>
      <c r="X4" s="179"/>
      <c r="Y4" s="180"/>
      <c r="Z4" s="180"/>
      <c r="AA4" s="181"/>
      <c r="AB4" s="182"/>
    </row>
    <row r="5" spans="1:244" s="134" customFormat="1">
      <c r="B5" s="183"/>
      <c r="C5" s="184"/>
      <c r="D5" s="185"/>
      <c r="E5" s="185"/>
      <c r="F5" s="185"/>
      <c r="G5" s="186"/>
      <c r="H5" s="186"/>
      <c r="I5" s="186"/>
      <c r="J5" s="187"/>
      <c r="K5" s="188"/>
      <c r="L5" s="189"/>
      <c r="M5" s="190"/>
      <c r="N5" s="191"/>
      <c r="O5" s="192"/>
      <c r="P5" s="193"/>
      <c r="Q5" s="194"/>
      <c r="R5" s="195"/>
      <c r="S5" s="196"/>
      <c r="T5" s="197"/>
      <c r="U5" s="198"/>
      <c r="V5" s="197"/>
      <c r="W5" s="199"/>
      <c r="X5" s="200"/>
      <c r="Y5" s="201"/>
      <c r="Z5" s="202"/>
      <c r="AA5" s="202"/>
      <c r="AB5" s="203"/>
    </row>
    <row r="6" spans="1:244" s="134" customFormat="1" ht="15" thickBot="1">
      <c r="B6" s="183"/>
      <c r="C6" s="184"/>
      <c r="D6" s="185"/>
      <c r="E6" s="185"/>
      <c r="F6" s="185"/>
      <c r="G6" s="186"/>
      <c r="H6" s="186"/>
      <c r="I6" s="186"/>
      <c r="J6" s="187"/>
      <c r="K6" s="188"/>
      <c r="L6" s="189"/>
      <c r="M6" s="190"/>
      <c r="N6" s="191"/>
      <c r="O6" s="192"/>
      <c r="P6" s="193"/>
      <c r="Q6" s="194"/>
      <c r="R6" s="204"/>
      <c r="S6" s="196"/>
      <c r="T6" s="197"/>
      <c r="U6" s="198"/>
      <c r="V6" s="197"/>
      <c r="W6" s="199"/>
      <c r="X6" s="205"/>
      <c r="Y6" s="201"/>
      <c r="Z6" s="201"/>
      <c r="AA6" s="202"/>
      <c r="AB6" s="203"/>
    </row>
    <row r="7" spans="1:244" ht="15" thickBot="1">
      <c r="A7" s="121"/>
      <c r="B7" s="135"/>
      <c r="C7" s="136"/>
      <c r="D7" s="137"/>
      <c r="E7" s="137"/>
      <c r="F7" s="137"/>
      <c r="G7" s="137"/>
      <c r="H7" s="138">
        <f>SUM(H4:H6)</f>
        <v>0</v>
      </c>
      <c r="I7" s="138"/>
      <c r="J7" s="138"/>
      <c r="K7" s="139"/>
      <c r="L7" s="140">
        <f>SUM(L4:L6)</f>
        <v>0</v>
      </c>
      <c r="M7" s="140">
        <f>SUM(M4:M6)</f>
        <v>0</v>
      </c>
      <c r="N7" s="140"/>
      <c r="O7" s="141"/>
      <c r="P7" s="142"/>
      <c r="Q7" s="142"/>
      <c r="R7" s="140"/>
      <c r="S7" s="140"/>
      <c r="T7" s="140"/>
      <c r="U7" s="143">
        <f t="shared" ref="U7:AB7" si="0">SUM(U4:U6)</f>
        <v>0</v>
      </c>
      <c r="V7" s="143">
        <f t="shared" si="0"/>
        <v>0</v>
      </c>
      <c r="W7" s="143">
        <f t="shared" si="0"/>
        <v>0</v>
      </c>
      <c r="X7" s="143">
        <f t="shared" si="0"/>
        <v>0</v>
      </c>
      <c r="Y7" s="143">
        <f t="shared" si="0"/>
        <v>0</v>
      </c>
      <c r="Z7" s="143">
        <f t="shared" si="0"/>
        <v>0</v>
      </c>
      <c r="AA7" s="143">
        <f t="shared" si="0"/>
        <v>0</v>
      </c>
      <c r="AB7" s="143">
        <f t="shared" si="0"/>
        <v>0</v>
      </c>
    </row>
    <row r="8" spans="1:244" ht="15" thickBot="1">
      <c r="A8" s="121"/>
      <c r="T8" s="146"/>
      <c r="U8" s="252">
        <f>SUM(U7:AB7)</f>
        <v>0</v>
      </c>
      <c r="V8" s="253"/>
      <c r="W8" s="253"/>
      <c r="X8" s="253"/>
      <c r="Y8" s="253"/>
      <c r="Z8" s="253"/>
      <c r="AA8" s="253"/>
      <c r="AB8" s="254"/>
    </row>
    <row r="9" spans="1:244" ht="15" thickBot="1">
      <c r="A9" s="121"/>
      <c r="B9" s="161"/>
      <c r="C9" s="161"/>
      <c r="D9" s="161"/>
      <c r="E9" s="161"/>
      <c r="U9" s="121"/>
      <c r="V9" s="121"/>
      <c r="W9" s="121"/>
    </row>
    <row r="10" spans="1:244" ht="18" thickBot="1">
      <c r="A10" s="121"/>
      <c r="B10" s="147"/>
      <c r="C10" s="148"/>
      <c r="D10" s="149"/>
      <c r="E10" s="150"/>
      <c r="F10" s="99" t="s">
        <v>41</v>
      </c>
      <c r="G10" s="255" t="s">
        <v>81</v>
      </c>
      <c r="H10" s="256"/>
      <c r="I10" s="257"/>
      <c r="J10" s="258"/>
      <c r="K10" s="100"/>
      <c r="L10" s="122"/>
      <c r="M10" s="122"/>
      <c r="N10" s="121"/>
      <c r="O10" s="121"/>
      <c r="Q10" s="121"/>
      <c r="T10" s="121"/>
      <c r="U10" s="121"/>
      <c r="V10" s="121"/>
      <c r="W10" s="121"/>
    </row>
    <row r="11" spans="1:244" ht="15" thickBot="1">
      <c r="A11" s="121"/>
      <c r="B11" s="148"/>
      <c r="C11" s="148"/>
      <c r="D11" s="149"/>
      <c r="E11" s="151"/>
      <c r="F11" s="101" t="s">
        <v>44</v>
      </c>
      <c r="G11" s="152" t="s">
        <v>45</v>
      </c>
      <c r="H11" s="153" t="s">
        <v>78</v>
      </c>
      <c r="I11" s="154" t="s">
        <v>79</v>
      </c>
      <c r="J11" s="155" t="s">
        <v>80</v>
      </c>
      <c r="K11" s="102" t="s">
        <v>47</v>
      </c>
      <c r="L11" s="122"/>
      <c r="M11" s="122"/>
      <c r="N11" s="121"/>
      <c r="O11" s="121"/>
      <c r="Q11" s="121"/>
      <c r="T11" s="121"/>
      <c r="U11" s="121"/>
      <c r="V11" s="121"/>
      <c r="W11" s="121"/>
    </row>
    <row r="12" spans="1:244">
      <c r="A12" s="121"/>
      <c r="B12" s="148"/>
      <c r="C12" s="148"/>
      <c r="D12" s="149"/>
      <c r="E12" s="151"/>
      <c r="F12" s="103"/>
      <c r="G12" s="104"/>
      <c r="H12" s="105"/>
      <c r="I12" s="156"/>
      <c r="J12" s="106"/>
      <c r="K12" s="107"/>
      <c r="L12" s="122"/>
      <c r="M12" s="122"/>
      <c r="N12" s="121"/>
      <c r="O12" s="121"/>
      <c r="Q12" s="121"/>
      <c r="T12" s="121"/>
      <c r="U12" s="121"/>
      <c r="V12" s="121"/>
      <c r="W12" s="121"/>
    </row>
    <row r="13" spans="1:244">
      <c r="A13" s="121"/>
      <c r="B13" s="148"/>
      <c r="C13" s="148"/>
      <c r="D13" s="149"/>
      <c r="E13" s="157"/>
      <c r="F13" s="108"/>
      <c r="G13" s="109"/>
      <c r="H13" s="110"/>
      <c r="I13" s="158"/>
      <c r="J13" s="111"/>
      <c r="K13" s="112"/>
      <c r="L13" s="122"/>
      <c r="M13" s="122"/>
      <c r="N13" s="121"/>
      <c r="O13" s="121"/>
      <c r="Q13" s="121"/>
      <c r="T13" s="121"/>
      <c r="U13" s="121"/>
      <c r="V13" s="121"/>
      <c r="W13" s="121"/>
    </row>
    <row r="14" spans="1:244">
      <c r="A14" s="121"/>
      <c r="B14" s="159"/>
      <c r="C14" s="159"/>
      <c r="D14" s="159"/>
      <c r="E14" s="159"/>
      <c r="F14" s="108"/>
      <c r="G14" s="109"/>
      <c r="H14" s="110"/>
      <c r="I14" s="158"/>
      <c r="J14" s="111"/>
      <c r="K14" s="112"/>
      <c r="L14" s="122"/>
      <c r="M14" s="122"/>
      <c r="N14" s="121"/>
      <c r="O14" s="121"/>
      <c r="Q14" s="121"/>
      <c r="T14" s="121"/>
      <c r="U14" s="121"/>
      <c r="V14" s="121"/>
      <c r="W14" s="121"/>
    </row>
    <row r="15" spans="1:244" s="122" customFormat="1" ht="15" thickBot="1">
      <c r="A15" s="133"/>
      <c r="B15" s="144"/>
      <c r="C15" s="144"/>
      <c r="D15" s="144"/>
      <c r="E15" s="144"/>
      <c r="F15" s="113" t="s">
        <v>48</v>
      </c>
      <c r="G15" s="114">
        <f>SUM(G12:G14)</f>
        <v>0</v>
      </c>
      <c r="H15" s="114">
        <f>SUM(H12:H14)</f>
        <v>0</v>
      </c>
      <c r="I15" s="114">
        <f>SUM(I12:I14)</f>
        <v>0</v>
      </c>
      <c r="J15" s="114">
        <f>SUM(J12:J14)</f>
        <v>0</v>
      </c>
      <c r="K15" s="115"/>
      <c r="N15" s="121"/>
      <c r="O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  <c r="DK15" s="121"/>
      <c r="DL15" s="121"/>
      <c r="DM15" s="121"/>
      <c r="DN15" s="121"/>
      <c r="DO15" s="121"/>
      <c r="DP15" s="121"/>
      <c r="DQ15" s="121"/>
      <c r="DR15" s="121"/>
      <c r="DS15" s="121"/>
      <c r="DT15" s="121"/>
      <c r="DU15" s="121"/>
      <c r="DV15" s="121"/>
      <c r="DW15" s="121"/>
      <c r="DX15" s="121"/>
      <c r="DY15" s="121"/>
      <c r="DZ15" s="121"/>
      <c r="EA15" s="121"/>
      <c r="EB15" s="121"/>
      <c r="EC15" s="121"/>
      <c r="ED15" s="121"/>
      <c r="EE15" s="121"/>
      <c r="EF15" s="121"/>
      <c r="EG15" s="121"/>
      <c r="EH15" s="121"/>
      <c r="EI15" s="121"/>
      <c r="EJ15" s="121"/>
      <c r="EK15" s="121"/>
      <c r="EL15" s="121"/>
      <c r="EM15" s="121"/>
      <c r="EN15" s="121"/>
      <c r="EO15" s="121"/>
      <c r="EP15" s="121"/>
      <c r="EQ15" s="121"/>
      <c r="ER15" s="121"/>
      <c r="ES15" s="121"/>
      <c r="ET15" s="121"/>
      <c r="EU15" s="121"/>
      <c r="EV15" s="121"/>
      <c r="EW15" s="121"/>
      <c r="EX15" s="121"/>
      <c r="EY15" s="121"/>
      <c r="EZ15" s="121"/>
      <c r="FA15" s="121"/>
      <c r="FB15" s="121"/>
      <c r="FC15" s="121"/>
      <c r="FD15" s="121"/>
      <c r="FE15" s="121"/>
      <c r="FF15" s="121"/>
      <c r="FG15" s="121"/>
      <c r="FH15" s="121"/>
      <c r="FI15" s="121"/>
      <c r="FJ15" s="121"/>
      <c r="FK15" s="121"/>
      <c r="FL15" s="121"/>
      <c r="FM15" s="121"/>
      <c r="FN15" s="121"/>
      <c r="FO15" s="121"/>
      <c r="FP15" s="121"/>
      <c r="FQ15" s="121"/>
      <c r="FR15" s="121"/>
      <c r="FS15" s="121"/>
      <c r="FT15" s="121"/>
      <c r="FU15" s="121"/>
      <c r="FV15" s="121"/>
      <c r="FW15" s="121"/>
      <c r="FX15" s="121"/>
      <c r="FY15" s="121"/>
      <c r="FZ15" s="121"/>
      <c r="GA15" s="121"/>
      <c r="GB15" s="121"/>
      <c r="GC15" s="121"/>
      <c r="GD15" s="121"/>
      <c r="GE15" s="121"/>
      <c r="GF15" s="121"/>
      <c r="GG15" s="121"/>
      <c r="GH15" s="121"/>
      <c r="GI15" s="121"/>
      <c r="GJ15" s="121"/>
      <c r="GK15" s="121"/>
      <c r="GL15" s="121"/>
      <c r="GM15" s="121"/>
      <c r="GN15" s="121"/>
      <c r="GO15" s="121"/>
      <c r="GP15" s="121"/>
      <c r="GQ15" s="121"/>
      <c r="GR15" s="121"/>
      <c r="GS15" s="121"/>
      <c r="GT15" s="121"/>
      <c r="GU15" s="121"/>
      <c r="GV15" s="121"/>
      <c r="GW15" s="121"/>
      <c r="GX15" s="121"/>
      <c r="GY15" s="121"/>
      <c r="GZ15" s="121"/>
      <c r="HA15" s="121"/>
      <c r="HB15" s="121"/>
      <c r="HC15" s="121"/>
      <c r="HD15" s="121"/>
      <c r="HE15" s="121"/>
      <c r="HF15" s="121"/>
      <c r="HG15" s="121"/>
      <c r="HH15" s="121"/>
      <c r="HI15" s="121"/>
      <c r="HJ15" s="121"/>
      <c r="HK15" s="121"/>
      <c r="HL15" s="121"/>
      <c r="HM15" s="121"/>
      <c r="HN15" s="121"/>
      <c r="HO15" s="121"/>
      <c r="HP15" s="121"/>
      <c r="HQ15" s="121"/>
      <c r="HR15" s="121"/>
      <c r="HS15" s="121"/>
      <c r="HT15" s="121"/>
      <c r="HU15" s="121"/>
      <c r="HV15" s="121"/>
      <c r="HW15" s="121"/>
      <c r="HX15" s="121"/>
      <c r="HY15" s="121"/>
      <c r="HZ15" s="121"/>
      <c r="IA15" s="121"/>
      <c r="IB15" s="121"/>
      <c r="IC15" s="121"/>
      <c r="ID15" s="121"/>
      <c r="IE15" s="121"/>
      <c r="IF15" s="121"/>
      <c r="IG15" s="121"/>
      <c r="IH15" s="121"/>
      <c r="II15" s="121"/>
      <c r="IJ15" s="121"/>
    </row>
    <row r="16" spans="1:244">
      <c r="U16" s="121"/>
      <c r="V16" s="121"/>
      <c r="W16" s="121"/>
    </row>
  </sheetData>
  <mergeCells count="22">
    <mergeCell ref="G2:G3"/>
    <mergeCell ref="B2:B3"/>
    <mergeCell ref="C2:C3"/>
    <mergeCell ref="D2:D3"/>
    <mergeCell ref="E2:E3"/>
    <mergeCell ref="F2:F3"/>
    <mergeCell ref="T2:T3"/>
    <mergeCell ref="W2:AB2"/>
    <mergeCell ref="U8:AB8"/>
    <mergeCell ref="G10:J10"/>
    <mergeCell ref="N2:N3"/>
    <mergeCell ref="O2:O3"/>
    <mergeCell ref="P2:P3"/>
    <mergeCell ref="Q2:Q3"/>
    <mergeCell ref="R2:R3"/>
    <mergeCell ref="S2:S3"/>
    <mergeCell ref="H2:H3"/>
    <mergeCell ref="I2:I3"/>
    <mergeCell ref="J2:J3"/>
    <mergeCell ref="K2:K3"/>
    <mergeCell ref="L2:L3"/>
    <mergeCell ref="M2:M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</vt:lpstr>
      <vt:lpstr>BVT 선적계획</vt:lpstr>
      <vt:lpstr>ETP 선적계획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vmwaretn1</cp:lastModifiedBy>
  <dcterms:created xsi:type="dcterms:W3CDTF">2018-08-27T14:32:37Z</dcterms:created>
  <dcterms:modified xsi:type="dcterms:W3CDTF">2023-11-13T06:36:46Z</dcterms:modified>
</cp:coreProperties>
</file>