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hints\templets\"/>
    </mc:Choice>
  </mc:AlternateContent>
  <xr:revisionPtr revIDLastSave="0" documentId="13_ncr:1_{F2F0BC63-F200-4C77-9875-A8AC3A818F42}" xr6:coauthVersionLast="47" xr6:coauthVersionMax="47" xr10:uidLastSave="{00000000-0000-0000-0000-000000000000}"/>
  <bookViews>
    <workbookView xWindow="-28920" yWindow="30" windowWidth="29040" windowHeight="15840" activeTab="16" xr2:uid="{00000000-000D-0000-FFFF-FFFF00000000}"/>
  </bookViews>
  <sheets>
    <sheet name="I" sheetId="1" r:id="rId1"/>
    <sheet name="SHINTS" sheetId="2" r:id="rId2"/>
    <sheet name="V1" sheetId="3" r:id="rId3"/>
    <sheet name="V2" sheetId="21" r:id="rId4"/>
    <sheet name="V3" sheetId="5" r:id="rId5"/>
    <sheet name="V4" sheetId="6" r:id="rId6"/>
    <sheet name="V5" sheetId="7" r:id="rId7"/>
    <sheet name="V6" sheetId="8" r:id="rId8"/>
    <sheet name="V7" sheetId="9" r:id="rId9"/>
    <sheet name="V8" sheetId="10" r:id="rId10"/>
    <sheet name="V9" sheetId="11" r:id="rId11"/>
    <sheet name="V10" sheetId="12" r:id="rId12"/>
    <sheet name="P" sheetId="13" r:id="rId13"/>
    <sheet name="C.INV" sheetId="14" r:id="rId14"/>
    <sheet name="BVT.INV" sheetId="15" r:id="rId15"/>
    <sheet name="D.INV" sheetId="16" r:id="rId16"/>
    <sheet name="PAC" sheetId="17" r:id="rId17"/>
    <sheet name="D.PAC" sheetId="18" r:id="rId18"/>
    <sheet name="SC" sheetId="19" r:id="rId19"/>
    <sheet name="PIM" sheetId="20" r:id="rId20"/>
    <sheet name="Sheet1" sheetId="22" r:id="rId21"/>
  </sheets>
  <definedNames>
    <definedName name="_xlnm.Print_Area" localSheetId="14">BVT.INV!$A$1:$J$6</definedName>
    <definedName name="_xlnm.Print_Area" localSheetId="13">'C.INV'!$A$1:$K$41</definedName>
    <definedName name="_xlnm.Print_Area" localSheetId="15">D.INV!$A:$G</definedName>
    <definedName name="_xlnm.Print_Area" localSheetId="17">D.PAC!$A:$J</definedName>
    <definedName name="_xlnm.Print_Area" localSheetId="0">I!$A$1:$J$6</definedName>
    <definedName name="_xlnm.Print_Area" localSheetId="12">P!$A:$I</definedName>
    <definedName name="_xlnm.Print_Area" localSheetId="16">PAC!$A$1:$K$52</definedName>
    <definedName name="_xlnm.Print_Area" localSheetId="19">PIM!$A:$G</definedName>
    <definedName name="_xlnm.Print_Area" localSheetId="18">SC!$A$1:$K$56</definedName>
    <definedName name="_xlnm.Print_Area" localSheetId="1">SHINTS!$A$1:$K$43</definedName>
    <definedName name="_xlnm.Print_Area" localSheetId="2">'V1'!$A$1:$K$38</definedName>
    <definedName name="_xlnm.Print_Area" localSheetId="11">'V10'!$A$1:$K$38</definedName>
    <definedName name="_xlnm.Print_Area" localSheetId="3">'V2'!$A$1:$K$38</definedName>
    <definedName name="_xlnm.Print_Area" localSheetId="4">'V3'!$A$1:$K$38</definedName>
    <definedName name="_xlnm.Print_Area" localSheetId="5">'V4'!$A$1:$K$38</definedName>
    <definedName name="_xlnm.Print_Area" localSheetId="6">'V5'!$A$1:$K$38</definedName>
    <definedName name="_xlnm.Print_Area" localSheetId="7">'V6'!$A$1:$K$38</definedName>
    <definedName name="_xlnm.Print_Area" localSheetId="8">'V7'!$A$1:$K$38</definedName>
    <definedName name="_xlnm.Print_Area" localSheetId="9">'V8'!$A$1:$K$38</definedName>
    <definedName name="_xlnm.Print_Area" localSheetId="10">'V9'!$A$1:$K$38</definedName>
    <definedName name="_xlnm.Print_Titles" localSheetId="15">D.INV!$8:$8</definedName>
    <definedName name="_xlnm.Print_Titles" localSheetId="17">D.PAC!$3:$3</definedName>
    <definedName name="_xlnm.Print_Titles" localSheetId="12">P!$3:$3</definedName>
    <definedName name="_xlnm.Print_Titles" localSheetId="19">PIM!#REF!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0" i="21" l="1"/>
  <c r="J59" i="21"/>
  <c r="J58" i="21"/>
  <c r="J57" i="21"/>
  <c r="J56" i="21"/>
  <c r="J55" i="21"/>
  <c r="J54" i="21"/>
  <c r="J53" i="21"/>
  <c r="J52" i="21"/>
  <c r="J51" i="21"/>
  <c r="J50" i="21"/>
  <c r="J49" i="21"/>
  <c r="J48" i="21"/>
  <c r="J47" i="21"/>
  <c r="J46" i="21"/>
  <c r="J45" i="21"/>
  <c r="J44" i="21"/>
  <c r="J43" i="21"/>
  <c r="J42" i="21"/>
  <c r="J41" i="21"/>
  <c r="J40" i="21"/>
  <c r="J39" i="21"/>
  <c r="J38" i="21"/>
  <c r="J37" i="21"/>
  <c r="J36" i="21"/>
  <c r="J35" i="21"/>
  <c r="J34" i="21"/>
  <c r="J33" i="21"/>
  <c r="J32" i="21"/>
  <c r="J31" i="21"/>
  <c r="J30" i="21"/>
  <c r="J29" i="21"/>
  <c r="J28" i="21"/>
  <c r="J27" i="21"/>
  <c r="J28" i="3"/>
  <c r="J61" i="3" s="1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27" i="3"/>
  <c r="J61" i="21" l="1"/>
  <c r="G14" i="16"/>
  <c r="I17" i="21" l="1"/>
  <c r="I18" i="21" s="1"/>
  <c r="J14" i="21"/>
  <c r="J13" i="21"/>
  <c r="I17" i="3"/>
  <c r="I18" i="3" s="1"/>
  <c r="J14" i="3"/>
  <c r="J13" i="3"/>
  <c r="G12" i="20" l="1"/>
  <c r="E12" i="20"/>
  <c r="G14" i="20"/>
  <c r="H7" i="18" l="1"/>
  <c r="G7" i="18"/>
  <c r="G12" i="16"/>
  <c r="J31" i="14" s="1"/>
  <c r="E12" i="16"/>
  <c r="I6" i="15"/>
  <c r="I25" i="17" s="1"/>
  <c r="J25" i="17" s="1"/>
  <c r="K25" i="17" s="1"/>
  <c r="G6" i="15"/>
  <c r="E6" i="15"/>
  <c r="J32" i="14"/>
  <c r="G7" i="13"/>
  <c r="G25" i="17" s="1"/>
  <c r="F7" i="13"/>
  <c r="K29" i="12"/>
  <c r="I17" i="12" s="1"/>
  <c r="I18" i="12" s="1"/>
  <c r="J28" i="12"/>
  <c r="J27" i="12"/>
  <c r="J29" i="12" s="1"/>
  <c r="K29" i="11"/>
  <c r="J28" i="11"/>
  <c r="J27" i="11"/>
  <c r="J29" i="11" s="1"/>
  <c r="J13" i="11" s="1"/>
  <c r="I17" i="11"/>
  <c r="I18" i="11" s="1"/>
  <c r="K29" i="10"/>
  <c r="I17" i="10" s="1"/>
  <c r="I18" i="10" s="1"/>
  <c r="J28" i="10"/>
  <c r="J27" i="10"/>
  <c r="J29" i="10" s="1"/>
  <c r="K29" i="9"/>
  <c r="J28" i="9"/>
  <c r="J29" i="9" s="1"/>
  <c r="J27" i="9"/>
  <c r="I17" i="9"/>
  <c r="I18" i="9"/>
  <c r="K29" i="8"/>
  <c r="J28" i="8"/>
  <c r="J29" i="8" s="1"/>
  <c r="J27" i="8"/>
  <c r="I17" i="8"/>
  <c r="I18" i="8" s="1"/>
  <c r="K29" i="7"/>
  <c r="I17" i="7" s="1"/>
  <c r="I18" i="7" s="1"/>
  <c r="J28" i="7"/>
  <c r="J27" i="7"/>
  <c r="J29" i="7" s="1"/>
  <c r="K29" i="6"/>
  <c r="I17" i="6" s="1"/>
  <c r="I18" i="6" s="1"/>
  <c r="J28" i="6"/>
  <c r="J29" i="6" s="1"/>
  <c r="J27" i="6"/>
  <c r="K29" i="5"/>
  <c r="J28" i="5"/>
  <c r="J27" i="5"/>
  <c r="J29" i="5" s="1"/>
  <c r="I17" i="5"/>
  <c r="I18" i="5" s="1"/>
  <c r="I6" i="1"/>
  <c r="I17" i="2" s="1"/>
  <c r="I18" i="2" s="1"/>
  <c r="G6" i="1"/>
  <c r="J29" i="2" s="1"/>
  <c r="E6" i="1"/>
  <c r="J14" i="10" l="1"/>
  <c r="J13" i="10"/>
  <c r="J14" i="5"/>
  <c r="J13" i="5"/>
  <c r="J14" i="9"/>
  <c r="J13" i="9"/>
  <c r="J13" i="12"/>
  <c r="J14" i="12"/>
  <c r="J14" i="7"/>
  <c r="J13" i="7"/>
  <c r="J13" i="2"/>
  <c r="J14" i="2"/>
  <c r="J13" i="8"/>
  <c r="J14" i="8"/>
  <c r="J14" i="6"/>
  <c r="J13" i="6"/>
  <c r="J14" i="11"/>
</calcChain>
</file>

<file path=xl/sharedStrings.xml><?xml version="1.0" encoding="utf-8"?>
<sst xmlns="http://schemas.openxmlformats.org/spreadsheetml/2006/main" count="909" uniqueCount="264">
  <si>
    <t>No</t>
  </si>
  <si>
    <t>HS_No</t>
  </si>
  <si>
    <t>Matl Name</t>
    <phoneticPr fontId="3" type="noConversion"/>
  </si>
  <si>
    <t>Unit Price</t>
  </si>
  <si>
    <t>Q'ty</t>
  </si>
  <si>
    <t>Unit</t>
  </si>
  <si>
    <t>Amount</t>
  </si>
  <si>
    <t>Country</t>
  </si>
  <si>
    <t>Weight</t>
  </si>
  <si>
    <t>Width</t>
    <phoneticPr fontId="3" type="noConversion"/>
  </si>
  <si>
    <t>Composition</t>
    <phoneticPr fontId="3" type="noConversion"/>
  </si>
  <si>
    <t>kg</t>
    <phoneticPr fontId="3" type="noConversion"/>
  </si>
  <si>
    <t>GRAND TOTAL :</t>
  </si>
  <si>
    <t>COMMERCIAL INVOICE</t>
    <phoneticPr fontId="3" type="noConversion"/>
  </si>
  <si>
    <t>1) Shipper/ Exporter :</t>
  </si>
  <si>
    <t>8) No &amp; Date of Invoice</t>
  </si>
  <si>
    <t>SHIN TEXTILE SOLUTIONS CO., LTD.</t>
  </si>
  <si>
    <t>801, E&amp;C VENTURE DREAMTOWER 2</t>
    <phoneticPr fontId="3" type="noConversion"/>
  </si>
  <si>
    <t>STS-S11-026</t>
  </si>
  <si>
    <t>55, DIGITAL-RO 33-GIL, GURO-GU, SEOUL, KOREA</t>
    <phoneticPr fontId="3" type="noConversion"/>
  </si>
  <si>
    <t>9) No &amp; Date L/C</t>
  </si>
  <si>
    <t>TEL : 070-4659-3337 FAX : 82-2-6330-2019</t>
    <phoneticPr fontId="3" type="noConversion"/>
  </si>
  <si>
    <t>2) Consignee :</t>
  </si>
  <si>
    <t xml:space="preserve"> </t>
  </si>
  <si>
    <t>10) L/C issuing bank</t>
  </si>
  <si>
    <t>11) Remarks:</t>
  </si>
  <si>
    <t>3) Notify party :</t>
  </si>
  <si>
    <t>FREIGHT CHARGE :</t>
  </si>
  <si>
    <t>THE SAME AS ABOVE</t>
  </si>
  <si>
    <t>INSURANCE CHARGE :</t>
  </si>
  <si>
    <t>제조자 미상</t>
    <phoneticPr fontId="5" type="noConversion"/>
  </si>
  <si>
    <t>4) Port of loading:</t>
  </si>
  <si>
    <t>5) Final Destination:</t>
  </si>
  <si>
    <t>C/T :</t>
  </si>
  <si>
    <t>CT</t>
  </si>
  <si>
    <t>NET :</t>
  </si>
  <si>
    <t>KGS</t>
  </si>
  <si>
    <t>HAIPHONG, VIETNAM</t>
  </si>
  <si>
    <t>GRS :</t>
  </si>
  <si>
    <t>6) Carrier</t>
  </si>
  <si>
    <t xml:space="preserve">7) Sailing on/ or About </t>
  </si>
  <si>
    <t>12) Marks and Number of PKGS</t>
  </si>
  <si>
    <t>13) Description of Goods</t>
  </si>
  <si>
    <t>14) Quantity/Uint</t>
  </si>
  <si>
    <t>15) Unit/price</t>
  </si>
  <si>
    <t>16) Amount</t>
  </si>
  <si>
    <t xml:space="preserve">  ( CIF  HAIPHONG, VIETNAM ) </t>
  </si>
  <si>
    <t>TOTAL</t>
  </si>
  <si>
    <t xml:space="preserve"> TEL NO.  : 070-4006-3700~14, (DIR. 070-4006-3727)</t>
    <phoneticPr fontId="5" type="noConversion"/>
  </si>
  <si>
    <t xml:space="preserve"> FAX NO.  : (02)6330-2019</t>
    <phoneticPr fontId="5" type="noConversion"/>
  </si>
  <si>
    <t>17).Signed by :</t>
    <phoneticPr fontId="3" type="noConversion"/>
  </si>
  <si>
    <t>Q'ty</t>
    <phoneticPr fontId="3" type="noConversion"/>
  </si>
  <si>
    <t>Unit</t>
    <phoneticPr fontId="3" type="noConversion"/>
  </si>
  <si>
    <t>DESC/SPEC</t>
    <phoneticPr fontId="3" type="noConversion"/>
  </si>
  <si>
    <t>HS CODE</t>
    <phoneticPr fontId="3" type="noConversion"/>
  </si>
  <si>
    <t>OFFER SPEC</t>
    <phoneticPr fontId="3" type="noConversion"/>
  </si>
  <si>
    <t xml:space="preserve"> TEL NO.  : 070-4006-3700~14, (DIR. 070-4006-3727)</t>
    <phoneticPr fontId="5" type="noConversion"/>
  </si>
  <si>
    <t xml:space="preserve"> FAX NO.  : (02)6330-2019</t>
    <phoneticPr fontId="5" type="noConversion"/>
  </si>
  <si>
    <t>17).Signed by :</t>
    <phoneticPr fontId="3" type="noConversion"/>
  </si>
  <si>
    <t>Desc</t>
    <phoneticPr fontId="3" type="noConversion"/>
  </si>
  <si>
    <t>Q'ty</t>
    <phoneticPr fontId="3" type="noConversion"/>
  </si>
  <si>
    <t>Unit</t>
    <phoneticPr fontId="3" type="noConversion"/>
  </si>
  <si>
    <t>Price</t>
    <phoneticPr fontId="3" type="noConversion"/>
  </si>
  <si>
    <t>Total</t>
    <phoneticPr fontId="3" type="noConversion"/>
  </si>
  <si>
    <t>DESC/SPEC</t>
    <phoneticPr fontId="3" type="noConversion"/>
  </si>
  <si>
    <t>HS CODE</t>
    <phoneticPr fontId="3" type="noConversion"/>
  </si>
  <si>
    <t>OFFER SPEC</t>
    <phoneticPr fontId="3" type="noConversion"/>
  </si>
  <si>
    <t xml:space="preserve"> TEL NO.  : 070-4006-3700~14, (DIR. 070-4006-3727)</t>
    <phoneticPr fontId="5" type="noConversion"/>
  </si>
  <si>
    <t xml:space="preserve"> FAX NO.  : (02)6330-2019</t>
    <phoneticPr fontId="5" type="noConversion"/>
  </si>
  <si>
    <t>17).Signed by :</t>
    <phoneticPr fontId="3" type="noConversion"/>
  </si>
  <si>
    <t>Desc</t>
    <phoneticPr fontId="3" type="noConversion"/>
  </si>
  <si>
    <t>Q'ty</t>
    <phoneticPr fontId="3" type="noConversion"/>
  </si>
  <si>
    <t>Unit</t>
    <phoneticPr fontId="3" type="noConversion"/>
  </si>
  <si>
    <t>Price</t>
    <phoneticPr fontId="3" type="noConversion"/>
  </si>
  <si>
    <t>Total</t>
    <phoneticPr fontId="3" type="noConversion"/>
  </si>
  <si>
    <t>COMMERCIAL INVOICE</t>
    <phoneticPr fontId="3" type="noConversion"/>
  </si>
  <si>
    <t>801, E&amp;C VENTURE DREAMTOWER 2</t>
    <phoneticPr fontId="3" type="noConversion"/>
  </si>
  <si>
    <t>55, DIGITAL-RO 33-GIL, GURO-GU, SEOUL, KOREA</t>
    <phoneticPr fontId="3" type="noConversion"/>
  </si>
  <si>
    <t>TEL : 070-4659-3337 FAX : 82-2-6330-2019</t>
    <phoneticPr fontId="3" type="noConversion"/>
  </si>
  <si>
    <t>THACH KHOI WARD, HAI DUONG CITY,</t>
    <phoneticPr fontId="3" type="noConversion"/>
  </si>
  <si>
    <t>Desc</t>
    <phoneticPr fontId="3" type="noConversion"/>
  </si>
  <si>
    <t>Q'ty</t>
    <phoneticPr fontId="3" type="noConversion"/>
  </si>
  <si>
    <t>Unit</t>
    <phoneticPr fontId="3" type="noConversion"/>
  </si>
  <si>
    <t>Price</t>
    <phoneticPr fontId="3" type="noConversion"/>
  </si>
  <si>
    <t>Total</t>
    <phoneticPr fontId="3" type="noConversion"/>
  </si>
  <si>
    <t>DESC/SPEC</t>
    <phoneticPr fontId="3" type="noConversion"/>
  </si>
  <si>
    <t>HS CODE</t>
    <phoneticPr fontId="3" type="noConversion"/>
  </si>
  <si>
    <t>OFFER SPEC</t>
    <phoneticPr fontId="3" type="noConversion"/>
  </si>
  <si>
    <t xml:space="preserve"> TEL NO.  : 070-4006-3700~14, (DIR. 070-4006-3727)</t>
    <phoneticPr fontId="5" type="noConversion"/>
  </si>
  <si>
    <t xml:space="preserve"> FAX NO.  : (02)6330-2019</t>
    <phoneticPr fontId="5" type="noConversion"/>
  </si>
  <si>
    <t>17).Signed by :</t>
    <phoneticPr fontId="3" type="noConversion"/>
  </si>
  <si>
    <t>Desc</t>
    <phoneticPr fontId="3" type="noConversion"/>
  </si>
  <si>
    <t>Q'ty</t>
    <phoneticPr fontId="3" type="noConversion"/>
  </si>
  <si>
    <t>Unit</t>
    <phoneticPr fontId="3" type="noConversion"/>
  </si>
  <si>
    <t>Price</t>
    <phoneticPr fontId="3" type="noConversion"/>
  </si>
  <si>
    <t>Total</t>
    <phoneticPr fontId="3" type="noConversion"/>
  </si>
  <si>
    <t>COMMERCIAL INVOICE</t>
    <phoneticPr fontId="3" type="noConversion"/>
  </si>
  <si>
    <t>801, E&amp;C VENTURE DREAMTOWER 2</t>
    <phoneticPr fontId="3" type="noConversion"/>
  </si>
  <si>
    <t>55, DIGITAL-RO 33-GIL, GURO-GU, SEOUL, KOREA</t>
    <phoneticPr fontId="3" type="noConversion"/>
  </si>
  <si>
    <t>TEL : 070-4659-3337 FAX : 82-2-6330-2019</t>
    <phoneticPr fontId="3" type="noConversion"/>
  </si>
  <si>
    <t>Desc</t>
    <phoneticPr fontId="3" type="noConversion"/>
  </si>
  <si>
    <t>Q'ty</t>
    <phoneticPr fontId="3" type="noConversion"/>
  </si>
  <si>
    <t>Unit</t>
    <phoneticPr fontId="3" type="noConversion"/>
  </si>
  <si>
    <t>Price</t>
    <phoneticPr fontId="3" type="noConversion"/>
  </si>
  <si>
    <t>Total</t>
    <phoneticPr fontId="3" type="noConversion"/>
  </si>
  <si>
    <t>DESC/SPEC</t>
    <phoneticPr fontId="3" type="noConversion"/>
  </si>
  <si>
    <t>HS CODE</t>
    <phoneticPr fontId="3" type="noConversion"/>
  </si>
  <si>
    <t>OFFER SPEC</t>
    <phoneticPr fontId="3" type="noConversion"/>
  </si>
  <si>
    <t xml:space="preserve"> TEL NO.  : 070-4006-3700~14, (DIR. 070-4006-3727)</t>
    <phoneticPr fontId="5" type="noConversion"/>
  </si>
  <si>
    <t xml:space="preserve"> FAX NO.  : (02)6330-2019</t>
    <phoneticPr fontId="5" type="noConversion"/>
  </si>
  <si>
    <t>17).Signed by :</t>
    <phoneticPr fontId="3" type="noConversion"/>
  </si>
  <si>
    <t xml:space="preserve">DETAIL PACKING LIST FOR </t>
    <phoneticPr fontId="3" type="noConversion"/>
  </si>
  <si>
    <t>Supplier</t>
  </si>
  <si>
    <t>DESCRIPTION</t>
  </si>
  <si>
    <t>COLOR</t>
  </si>
  <si>
    <t>SPEC</t>
  </si>
  <si>
    <t>UNIT</t>
  </si>
  <si>
    <t>IN-Q'TY</t>
  </si>
  <si>
    <t>C/T Q'ty</t>
  </si>
  <si>
    <t>C/T No.</t>
  </si>
  <si>
    <t>Remark</t>
  </si>
  <si>
    <t>TOTAL</t>
    <phoneticPr fontId="3" type="noConversion"/>
  </si>
  <si>
    <t>BALES</t>
    <phoneticPr fontId="3" type="noConversion"/>
  </si>
  <si>
    <t xml:space="preserve">COMMERCIAL INVOICE </t>
  </si>
  <si>
    <t>SHINTS BVT</t>
  </si>
  <si>
    <t>(IN DIA)</t>
  </si>
  <si>
    <t>MATERIALS FOR GARMENT</t>
    <phoneticPr fontId="3" type="noConversion"/>
  </si>
  <si>
    <t>STYLE NO.:</t>
  </si>
  <si>
    <t>ITEM  :</t>
  </si>
  <si>
    <t>Q'TY  :</t>
  </si>
  <si>
    <t>C/T NO. :</t>
  </si>
  <si>
    <t>PROFORMA INVOICE FOR BVT</t>
    <phoneticPr fontId="3" type="noConversion"/>
  </si>
  <si>
    <t>Matl Name</t>
    <phoneticPr fontId="3" type="noConversion"/>
  </si>
  <si>
    <t>Width</t>
    <phoneticPr fontId="3" type="noConversion"/>
  </si>
  <si>
    <t>Composition</t>
    <phoneticPr fontId="3" type="noConversion"/>
  </si>
  <si>
    <t>kg</t>
    <phoneticPr fontId="3" type="noConversion"/>
  </si>
  <si>
    <t>kg</t>
    <phoneticPr fontId="3" type="noConversion"/>
  </si>
  <si>
    <t>kg</t>
    <phoneticPr fontId="3" type="noConversion"/>
  </si>
  <si>
    <t>No.</t>
    <phoneticPr fontId="3" type="noConversion"/>
  </si>
  <si>
    <t>ORDER No.</t>
    <phoneticPr fontId="3" type="noConversion"/>
  </si>
  <si>
    <t>STYLE</t>
    <phoneticPr fontId="3" type="noConversion"/>
  </si>
  <si>
    <t>QUANTITY</t>
    <phoneticPr fontId="3" type="noConversion"/>
  </si>
  <si>
    <t>UNIT</t>
    <phoneticPr fontId="3" type="noConversion"/>
  </si>
  <si>
    <t>DELIVERY</t>
    <phoneticPr fontId="3" type="noConversion"/>
  </si>
  <si>
    <t>No</t>
    <phoneticPr fontId="3" type="noConversion"/>
  </si>
  <si>
    <t>HS_No</t>
    <phoneticPr fontId="3" type="noConversion"/>
  </si>
  <si>
    <t>HS Name</t>
    <phoneticPr fontId="3" type="noConversion"/>
  </si>
  <si>
    <t>Unit Price</t>
    <phoneticPr fontId="3" type="noConversion"/>
  </si>
  <si>
    <t>Amount</t>
    <phoneticPr fontId="3" type="noConversion"/>
  </si>
  <si>
    <t>Country</t>
    <phoneticPr fontId="3" type="noConversion"/>
  </si>
  <si>
    <t>Weight</t>
    <phoneticPr fontId="3" type="noConversion"/>
  </si>
  <si>
    <t>g</t>
    <phoneticPr fontId="3" type="noConversion"/>
  </si>
  <si>
    <t>PACKING LIST</t>
  </si>
  <si>
    <t>1) Shipper/ Exporter:</t>
    <phoneticPr fontId="5" type="noConversion"/>
  </si>
  <si>
    <t>8) No &amp; Date of Invoice</t>
    <phoneticPr fontId="5" type="noConversion"/>
  </si>
  <si>
    <t>SHIN TEXTILE SOLUTIONS CO., LTD.</t>
    <phoneticPr fontId="5" type="noConversion"/>
  </si>
  <si>
    <t>9) Remarks:</t>
    <phoneticPr fontId="5" type="noConversion"/>
  </si>
  <si>
    <t>2) Consignee :</t>
    <phoneticPr fontId="5" type="noConversion"/>
  </si>
  <si>
    <t>THE SAME AS ABOVE</t>
    <phoneticPr fontId="3" type="noConversion"/>
  </si>
  <si>
    <t>4) Port of loading:</t>
    <phoneticPr fontId="5" type="noConversion"/>
  </si>
  <si>
    <t>5) Final Destination:</t>
    <phoneticPr fontId="5" type="noConversion"/>
  </si>
  <si>
    <t>HAIPHONG, VIETNAM</t>
    <phoneticPr fontId="5" type="noConversion"/>
  </si>
  <si>
    <t>6) Carrier</t>
    <phoneticPr fontId="5" type="noConversion"/>
  </si>
  <si>
    <t xml:space="preserve">7) Sailing on/ or About </t>
    <phoneticPr fontId="5" type="noConversion"/>
  </si>
  <si>
    <t xml:space="preserve"> </t>
    <phoneticPr fontId="5" type="noConversion"/>
  </si>
  <si>
    <t>10) Marks and Number of PKGS</t>
    <phoneticPr fontId="5" type="noConversion"/>
  </si>
  <si>
    <t>11) Description of Goods</t>
    <phoneticPr fontId="5" type="noConversion"/>
  </si>
  <si>
    <t>12) Quantity</t>
    <phoneticPr fontId="5" type="noConversion"/>
  </si>
  <si>
    <t>13) Net</t>
    <phoneticPr fontId="5" type="noConversion"/>
  </si>
  <si>
    <t>14) Gross</t>
    <phoneticPr fontId="5" type="noConversion"/>
  </si>
  <si>
    <t>15) Measurement</t>
    <phoneticPr fontId="5" type="noConversion"/>
  </si>
  <si>
    <t>Weight</t>
    <phoneticPr fontId="5" type="noConversion"/>
  </si>
  <si>
    <t>TOTAL  :</t>
    <phoneticPr fontId="5" type="noConversion"/>
  </si>
  <si>
    <t>SHINTS BVT</t>
    <phoneticPr fontId="5" type="noConversion"/>
  </si>
  <si>
    <t>(IN DIA)</t>
    <phoneticPr fontId="3" type="noConversion"/>
  </si>
  <si>
    <t>MATERIALS FOR GARMENT</t>
    <phoneticPr fontId="5" type="noConversion"/>
  </si>
  <si>
    <t>STYLE NO.:</t>
    <phoneticPr fontId="3" type="noConversion"/>
  </si>
  <si>
    <t>ITEM  :</t>
    <phoneticPr fontId="3" type="noConversion"/>
  </si>
  <si>
    <t>Q'TY  :</t>
    <phoneticPr fontId="3" type="noConversion"/>
  </si>
  <si>
    <t>C/T NO. :</t>
    <phoneticPr fontId="3" type="noConversion"/>
  </si>
  <si>
    <t>TOTAL</t>
    <phoneticPr fontId="5" type="noConversion"/>
  </si>
  <si>
    <t xml:space="preserve"> TEL NO.  : (02)6330-2000~14, (DIR. 6330-2012)</t>
    <phoneticPr fontId="5" type="noConversion"/>
  </si>
  <si>
    <t>16).Signed by :</t>
  </si>
  <si>
    <t>SALES CONTRACT</t>
    <phoneticPr fontId="3" type="noConversion"/>
  </si>
  <si>
    <t>SHIN TEXTILE SOLUTIONS CO., LTD.</t>
    <phoneticPr fontId="3" type="noConversion"/>
  </si>
  <si>
    <t>801, E&amp;C VENTURE DREAMTOWER 2, 55,</t>
    <phoneticPr fontId="3" type="noConversion"/>
  </si>
  <si>
    <t>stb</t>
    <phoneticPr fontId="3" type="noConversion"/>
  </si>
  <si>
    <t>DIGITAL-RO,33-GIL,GURO-GU,SEOUL,KOREA</t>
    <phoneticPr fontId="3" type="noConversion"/>
  </si>
  <si>
    <t>TEL : 82-2-6330-2000 FAX : 82-2-6330-2019</t>
    <phoneticPr fontId="3" type="noConversion"/>
  </si>
  <si>
    <t>9) Remarks:</t>
    <phoneticPr fontId="3" type="noConversion"/>
  </si>
  <si>
    <t>SEA OR AIR</t>
    <phoneticPr fontId="3" type="noConversion"/>
  </si>
  <si>
    <t>DETAIL - ATTACHED FILE</t>
    <phoneticPr fontId="3" type="noConversion"/>
  </si>
  <si>
    <t xml:space="preserve">  1) Price term :</t>
  </si>
  <si>
    <t xml:space="preserve">CFR </t>
    <phoneticPr fontId="3" type="noConversion"/>
  </si>
  <si>
    <t xml:space="preserve">  2) Destination:</t>
  </si>
  <si>
    <t>VIETNAM</t>
    <phoneticPr fontId="3" type="noConversion"/>
  </si>
  <si>
    <t xml:space="preserve">  3) Consignee &amp;</t>
  </si>
  <si>
    <t>SHINTS BVT CO.,LTD.</t>
    <phoneticPr fontId="3" type="noConversion"/>
  </si>
  <si>
    <t xml:space="preserve">       Notify </t>
  </si>
  <si>
    <t>HAI DUONG PROVINCE, VIET NAM</t>
    <phoneticPr fontId="3" type="noConversion"/>
  </si>
  <si>
    <t xml:space="preserve">  4) Loading port :</t>
  </si>
  <si>
    <t>KOREA PORT</t>
    <phoneticPr fontId="3" type="noConversion"/>
  </si>
  <si>
    <t xml:space="preserve">  5) Insurance :</t>
  </si>
  <si>
    <t xml:space="preserve">  6) Packing</t>
  </si>
  <si>
    <t>STANDARD PACKING</t>
    <phoneticPr fontId="3" type="noConversion"/>
  </si>
  <si>
    <t xml:space="preserve">  7) Payment by</t>
  </si>
  <si>
    <t xml:space="preserve">  8) Bank Details</t>
  </si>
  <si>
    <t>Bank Name</t>
  </si>
  <si>
    <t>WOORI BANK, GURO DIGITAL VALLEY BRANCH</t>
  </si>
  <si>
    <t>Bank Address</t>
  </si>
  <si>
    <t>1F, 182-13, GURO-DONG, GURO-GU, SEOUL, KOREA</t>
  </si>
  <si>
    <t>Account Name</t>
  </si>
  <si>
    <t>SHIN TEXTILE SOLUTIONS CO.,LTD.</t>
  </si>
  <si>
    <t>Account No.</t>
  </si>
  <si>
    <t>1081-400-467685</t>
  </si>
  <si>
    <t>Swift Code</t>
  </si>
  <si>
    <t>HVBKKRSEXXX</t>
  </si>
  <si>
    <t>1) Seller :</t>
    <phoneticPr fontId="3" type="noConversion"/>
  </si>
  <si>
    <t>2) Buyer :</t>
  </si>
  <si>
    <t>3) Price term :</t>
  </si>
  <si>
    <t>CFR</t>
  </si>
  <si>
    <t>VIETNAM ANY PORT</t>
    <phoneticPr fontId="3" type="noConversion"/>
  </si>
  <si>
    <t>6) Shipmode :</t>
  </si>
  <si>
    <t>7) Shipping Date :</t>
  </si>
  <si>
    <t>5) Final Destination :</t>
    <phoneticPr fontId="3" type="noConversion"/>
  </si>
  <si>
    <t>4) Port of loading :</t>
    <phoneticPr fontId="3" type="noConversion"/>
  </si>
  <si>
    <t>10) Description of Goods</t>
    <phoneticPr fontId="3" type="noConversion"/>
  </si>
  <si>
    <t>11) Quantity/Uint</t>
    <phoneticPr fontId="3" type="noConversion"/>
  </si>
  <si>
    <t>12) Unit/price</t>
    <phoneticPr fontId="3" type="noConversion"/>
  </si>
  <si>
    <t>13) Amount</t>
    <phoneticPr fontId="3" type="noConversion"/>
  </si>
  <si>
    <t>14).Signed by :</t>
    <phoneticPr fontId="3" type="noConversion"/>
  </si>
  <si>
    <t>15).Signed by :</t>
    <phoneticPr fontId="3" type="noConversion"/>
  </si>
  <si>
    <t>SHINTS BVT CO.,LTD.</t>
    <phoneticPr fontId="3" type="noConversion"/>
  </si>
  <si>
    <t>SHIN TEXTILE SOLUTIONS CO., LTD.</t>
    <phoneticPr fontId="3" type="noConversion"/>
  </si>
  <si>
    <t xml:space="preserve">DETAILS FOR </t>
    <phoneticPr fontId="3" type="noConversion"/>
  </si>
  <si>
    <t>G.TOTAL</t>
    <phoneticPr fontId="3" type="noConversion"/>
  </si>
  <si>
    <t xml:space="preserve">ATTACH OF SALES CONTRACT NO. </t>
    <phoneticPr fontId="3" type="noConversion"/>
  </si>
  <si>
    <t>G.TOTAL</t>
    <phoneticPr fontId="3" type="noConversion"/>
  </si>
  <si>
    <t>Mrs. Shin</t>
    <phoneticPr fontId="3" type="noConversion"/>
  </si>
  <si>
    <t>Mr. Ha Dong Wan</t>
    <phoneticPr fontId="3" type="noConversion"/>
  </si>
  <si>
    <t>INCHEON, KOREA</t>
    <phoneticPr fontId="3" type="noConversion"/>
  </si>
  <si>
    <t>COMMERCIAL INVOICE</t>
  </si>
  <si>
    <t>801, E&amp;C VENTURE DREAMTOWER 2</t>
  </si>
  <si>
    <t>55, DIGITAL-RO 33-GIL, GURO-GU, SEOUL, KOREA</t>
  </si>
  <si>
    <t>TEL : 070-4659-3337 FAX : 82-2-6330-2019</t>
  </si>
  <si>
    <t xml:space="preserve">             -</t>
  </si>
  <si>
    <t>INCHEON, KOREA</t>
  </si>
  <si>
    <t>Desc</t>
  </si>
  <si>
    <t>Price</t>
  </si>
  <si>
    <t>Total</t>
  </si>
  <si>
    <t>DESC/SPEC</t>
  </si>
  <si>
    <t>HS CODE</t>
  </si>
  <si>
    <t>OFFER SPEC</t>
  </si>
  <si>
    <t xml:space="preserve"> TEL NO.  : 070-4006-3700~14, (DIR. 070-4006-3727)</t>
  </si>
  <si>
    <t xml:space="preserve"> FAX NO.  : (02)6330-2019</t>
  </si>
  <si>
    <t>17).Signed by :</t>
  </si>
  <si>
    <t>PROFORMA INVOICE FOR SHINTS</t>
    <phoneticPr fontId="3" type="noConversion"/>
  </si>
  <si>
    <t>SHINTS BVT CO.,LTD  VAT:0800006025</t>
  </si>
  <si>
    <t>PHU TAO RESIDENTIAL AREA,THACH KHOI WARD</t>
  </si>
  <si>
    <t>HAI DUONG CITY,HAI DUONG PROVINCE - VIETNAM</t>
  </si>
  <si>
    <t>TEL:84-320-3861727  FAX:84-320-3861730</t>
  </si>
  <si>
    <t>XNK-Thy Ha &lt;thyha@shintsbvt.com&gt;</t>
  </si>
  <si>
    <t>MATL CODE</t>
    <phoneticPr fontId="3" type="noConversion"/>
  </si>
  <si>
    <t>PREPAID PAYMENT BEFORE SHIPMENT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</si>
</sst>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3" formatCode="_-* #,##0.00_-;\-* #,##0.00_-;_-* &quot;-&quot;??_-;_-@_-"/>
    <numFmt numFmtId="26" formatCode="\$#,##0.00_);[Red]\(\$#,##0.00\)"/>
    <numFmt numFmtId="176" formatCode="\$#,##0.0000_);[Red]\(\$#,##0.0000\)"/>
    <numFmt numFmtId="177" formatCode="#,##0_ "/>
    <numFmt numFmtId="178" formatCode="_-* #,##0.0_-;\-* #,##0.0_-;_-* &quot;-&quot;_-;_-@_-"/>
    <numFmt numFmtId="179" formatCode="0.00_ "/>
    <numFmt numFmtId="180" formatCode="0.0_ "/>
    <numFmt numFmtId="181" formatCode="[$-409]d&quot;-&quot;mmm&quot;-&quot;yy;@"/>
    <numFmt numFmtId="182" formatCode="_-* #,##0.00_-;\-* #,##0.00_-;_-* &quot;-&quot;_-;_-@_-"/>
    <numFmt numFmtId="183" formatCode="&quot;US$&quot;#,##0.00"/>
    <numFmt numFmtId="184" formatCode="#,##0.00_ "/>
    <numFmt numFmtId="185" formatCode="0.000&quot;CBM&quot;"/>
    <numFmt numFmtId="186" formatCode="&quot;US&quot;\ #,##0.00"/>
    <numFmt numFmtId="187" formatCode="\$#,##0.00"/>
    <numFmt numFmtId="188" formatCode="&quot;US$&quot;#,##0.00_);[Red]\(&quot;US$&quot;#,##0.00\)"/>
    <numFmt numFmtId="189" formatCode="#,###.00&quot;KGS&quot;"/>
    <numFmt numFmtId="190" formatCode="_(&quot;$&quot;* #,##0.00_);_(&quot;$&quot;* \(#,##0.00\);_(&quot;$&quot;* &quot;-&quot;??_);_(@_)"/>
    <numFmt numFmtId="194" formatCode="#,###&quot; CARTON&quot;"/>
  </numFmts>
  <fonts count="56">
    <font>
      <sz val="11"/>
      <color theme="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b/>
      <u/>
      <sz val="14"/>
      <name val="돋움"/>
      <family val="3"/>
      <charset val="129"/>
    </font>
    <font>
      <sz val="10"/>
      <name val="VNI-Times"/>
      <family val="2"/>
    </font>
    <font>
      <b/>
      <sz val="16"/>
      <name val="돋움체"/>
      <family val="3"/>
      <charset val="129"/>
    </font>
    <font>
      <sz val="16"/>
      <name val="돋움체"/>
      <family val="3"/>
      <charset val="129"/>
    </font>
    <font>
      <sz val="10"/>
      <name val="돋움"/>
      <family val="3"/>
      <charset val="129"/>
    </font>
    <font>
      <sz val="10"/>
      <name val="돋움체"/>
      <family val="3"/>
      <charset val="129"/>
    </font>
    <font>
      <b/>
      <sz val="10"/>
      <name val="돋움"/>
      <family val="3"/>
      <charset val="129"/>
    </font>
    <font>
      <b/>
      <sz val="10"/>
      <name val="돋움체"/>
      <family val="3"/>
      <charset val="129"/>
    </font>
    <font>
      <b/>
      <sz val="8"/>
      <name val="돋움체"/>
      <family val="3"/>
      <charset val="129"/>
    </font>
    <font>
      <sz val="11"/>
      <name val="돋움"/>
      <family val="3"/>
      <charset val="129"/>
    </font>
    <font>
      <sz val="9"/>
      <name val="돋움체"/>
      <family val="3"/>
      <charset val="129"/>
    </font>
    <font>
      <b/>
      <sz val="9"/>
      <name val="돋움체"/>
      <family val="3"/>
      <charset val="129"/>
    </font>
    <font>
      <b/>
      <sz val="16"/>
      <name val="돋움"/>
      <family val="3"/>
      <charset val="129"/>
    </font>
    <font>
      <sz val="12"/>
      <name val="돋움체"/>
      <family val="3"/>
      <charset val="129"/>
    </font>
    <font>
      <b/>
      <u/>
      <sz val="10"/>
      <name val="돋움"/>
      <family val="3"/>
      <charset val="129"/>
    </font>
    <font>
      <sz val="10"/>
      <name val="Arial"/>
      <family val="2"/>
    </font>
    <font>
      <u/>
      <sz val="10"/>
      <color indexed="36"/>
      <name val="Arial"/>
      <family val="2"/>
    </font>
    <font>
      <u/>
      <sz val="8"/>
      <color indexed="12"/>
      <name val="Times New Roman"/>
      <family val="1"/>
    </font>
    <font>
      <sz val="11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</fonts>
  <fills count="3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rgb="FF000000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73">
    <xf numFmtId="0" fontId="0" fillId="0" borderId="0">
      <alignment vertical="center"/>
    </xf>
    <xf numFmtId="0" fontId="19" fillId="0" borderId="0"/>
    <xf numFmtId="41" fontId="2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1" fontId="13" fillId="0" borderId="0"/>
    <xf numFmtId="1" fontId="13" fillId="0" borderId="0"/>
    <xf numFmtId="0" fontId="13" fillId="0" borderId="0">
      <alignment vertical="center"/>
    </xf>
    <xf numFmtId="0" fontId="5" fillId="0" borderId="0"/>
    <xf numFmtId="190" fontId="19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40" fillId="0" borderId="0" applyNumberFormat="0" applyFill="0" applyBorder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7" fillId="10" borderId="25" applyNumberFormat="0" applyAlignment="0" applyProtection="0">
      <alignment vertical="center"/>
    </xf>
    <xf numFmtId="0" fontId="48" fillId="11" borderId="26" applyNumberFormat="0" applyAlignment="0" applyProtection="0">
      <alignment vertical="center"/>
    </xf>
    <xf numFmtId="0" fontId="49" fillId="11" borderId="25" applyNumberFormat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51" fillId="12" borderId="28" applyNumberForma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30" applyNumberFormat="0" applyFill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2" fillId="13" borderId="29" applyNumberFormat="0" applyFont="0" applyAlignment="0" applyProtection="0">
      <alignment vertical="center"/>
    </xf>
    <xf numFmtId="0" fontId="39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1" fillId="13" borderId="29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</cellStyleXfs>
  <cellXfs count="731">
    <xf numFmtId="0" fontId="0" fillId="0" borderId="0" xfId="0">
      <alignment vertical="center"/>
    </xf>
    <xf numFmtId="0" fontId="0" fillId="3" borderId="0" xfId="0" applyFill="1" applyAlignment="1"/>
    <xf numFmtId="0" fontId="6" fillId="3" borderId="0" xfId="11" applyFont="1" applyFill="1" applyAlignment="1"/>
    <xf numFmtId="0" fontId="7" fillId="3" borderId="0" xfId="11" applyFont="1" applyFill="1"/>
    <xf numFmtId="0" fontId="8" fillId="3" borderId="0" xfId="0" applyFont="1" applyFill="1" applyBorder="1" applyAlignment="1" applyProtection="1">
      <alignment horizontal="left" vertical="center"/>
      <protection locked="0"/>
    </xf>
    <xf numFmtId="0" fontId="8" fillId="3" borderId="0" xfId="0" applyFont="1" applyFill="1" applyAlignment="1">
      <alignment horizontal="left"/>
    </xf>
    <xf numFmtId="0" fontId="9" fillId="3" borderId="0" xfId="11" applyFont="1" applyFill="1" applyBorder="1"/>
    <xf numFmtId="0" fontId="9" fillId="3" borderId="0" xfId="11" applyFont="1" applyFill="1"/>
    <xf numFmtId="0" fontId="10" fillId="3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11" fillId="3" borderId="0" xfId="11" applyFont="1" applyFill="1" applyBorder="1" applyAlignment="1">
      <alignment horizontal="center" vertical="center"/>
    </xf>
    <xf numFmtId="0" fontId="11" fillId="3" borderId="0" xfId="11" applyFont="1" applyFill="1" applyAlignment="1">
      <alignment horizontal="center" vertical="center"/>
    </xf>
    <xf numFmtId="0" fontId="8" fillId="3" borderId="0" xfId="0" applyFont="1" applyFill="1" applyBorder="1" applyAlignment="1">
      <alignment horizontal="right" vertical="center"/>
    </xf>
    <xf numFmtId="0" fontId="8" fillId="3" borderId="0" xfId="0" applyFont="1" applyFill="1" applyBorder="1" applyAlignment="1">
      <alignment vertical="center"/>
    </xf>
    <xf numFmtId="176" fontId="8" fillId="3" borderId="0" xfId="0" applyNumberFormat="1" applyFont="1" applyFill="1" applyBorder="1" applyAlignment="1">
      <alignment vertical="center"/>
    </xf>
    <xf numFmtId="177" fontId="8" fillId="3" borderId="0" xfId="0" applyNumberFormat="1" applyFont="1" applyFill="1" applyBorder="1" applyAlignment="1">
      <alignment vertical="center"/>
    </xf>
    <xf numFmtId="26" fontId="8" fillId="3" borderId="0" xfId="0" applyNumberFormat="1" applyFont="1" applyFill="1" applyBorder="1" applyAlignment="1">
      <alignment horizontal="center" vertical="center"/>
    </xf>
    <xf numFmtId="26" fontId="8" fillId="3" borderId="0" xfId="0" applyNumberFormat="1" applyFont="1" applyFill="1" applyBorder="1" applyAlignment="1">
      <alignment vertical="center"/>
    </xf>
    <xf numFmtId="178" fontId="8" fillId="3" borderId="0" xfId="2" applyNumberFormat="1" applyFont="1" applyFill="1" applyBorder="1" applyAlignment="1">
      <alignment vertical="center"/>
    </xf>
    <xf numFmtId="179" fontId="8" fillId="3" borderId="0" xfId="0" applyNumberFormat="1" applyFont="1" applyFill="1" applyBorder="1" applyAlignment="1">
      <alignment vertical="center"/>
    </xf>
    <xf numFmtId="0" fontId="8" fillId="3" borderId="0" xfId="0" applyFont="1" applyFill="1" applyAlignment="1">
      <alignment horizontal="left" vertical="center"/>
    </xf>
    <xf numFmtId="0" fontId="8" fillId="3" borderId="2" xfId="0" applyFont="1" applyFill="1" applyBorder="1" applyAlignment="1">
      <alignment horizontal="center"/>
    </xf>
    <xf numFmtId="0" fontId="8" fillId="3" borderId="2" xfId="0" applyFont="1" applyFill="1" applyBorder="1" applyAlignment="1"/>
    <xf numFmtId="176" fontId="8" fillId="3" borderId="2" xfId="0" applyNumberFormat="1" applyFont="1" applyFill="1" applyBorder="1" applyAlignment="1"/>
    <xf numFmtId="177" fontId="8" fillId="3" borderId="2" xfId="0" applyNumberFormat="1" applyFont="1" applyFill="1" applyBorder="1" applyAlignment="1"/>
    <xf numFmtId="26" fontId="8" fillId="3" borderId="2" xfId="0" applyNumberFormat="1" applyFont="1" applyFill="1" applyBorder="1" applyAlignment="1">
      <alignment horizontal="center"/>
    </xf>
    <xf numFmtId="26" fontId="8" fillId="3" borderId="2" xfId="0" applyNumberFormat="1" applyFont="1" applyFill="1" applyBorder="1" applyAlignment="1"/>
    <xf numFmtId="178" fontId="8" fillId="3" borderId="2" xfId="2" applyNumberFormat="1" applyFont="1" applyFill="1" applyBorder="1" applyAlignment="1"/>
    <xf numFmtId="179" fontId="8" fillId="3" borderId="2" xfId="0" applyNumberFormat="1" applyFont="1" applyFill="1" applyBorder="1" applyAlignment="1"/>
    <xf numFmtId="180" fontId="9" fillId="3" borderId="0" xfId="11" applyNumberFormat="1" applyFont="1" applyFill="1" applyBorder="1"/>
    <xf numFmtId="0" fontId="6" fillId="0" borderId="0" xfId="11" applyFont="1" applyFill="1" applyAlignment="1"/>
    <xf numFmtId="0" fontId="7" fillId="0" borderId="0" xfId="11" applyFont="1" applyFill="1"/>
    <xf numFmtId="0" fontId="12" fillId="0" borderId="3" xfId="11" applyFont="1" applyFill="1" applyBorder="1"/>
    <xf numFmtId="0" fontId="9" fillId="0" borderId="3" xfId="11" applyFont="1" applyFill="1" applyBorder="1"/>
    <xf numFmtId="0" fontId="9" fillId="0" borderId="4" xfId="11" applyFont="1" applyFill="1" applyBorder="1"/>
    <xf numFmtId="0" fontId="12" fillId="0" borderId="5" xfId="11" applyFont="1" applyFill="1" applyBorder="1"/>
    <xf numFmtId="0" fontId="9" fillId="0" borderId="0" xfId="11" applyFont="1" applyFill="1"/>
    <xf numFmtId="0" fontId="11" fillId="0" borderId="0" xfId="11" applyFont="1" applyFill="1" applyBorder="1"/>
    <xf numFmtId="0" fontId="9" fillId="0" borderId="6" xfId="11" applyFont="1" applyFill="1" applyBorder="1"/>
    <xf numFmtId="0" fontId="13" fillId="0" borderId="0" xfId="8" applyNumberFormat="1"/>
    <xf numFmtId="0" fontId="9" fillId="0" borderId="0" xfId="11" applyFont="1" applyFill="1" applyBorder="1"/>
    <xf numFmtId="181" fontId="9" fillId="0" borderId="0" xfId="11" quotePrefix="1" applyNumberFormat="1" applyFont="1" applyFill="1" applyBorder="1" applyAlignment="1">
      <alignment horizontal="left"/>
    </xf>
    <xf numFmtId="0" fontId="14" fillId="0" borderId="7" xfId="8" applyNumberFormat="1" applyFont="1" applyFill="1" applyBorder="1" applyAlignment="1">
      <alignment vertical="center"/>
    </xf>
    <xf numFmtId="181" fontId="9" fillId="0" borderId="1" xfId="11" applyNumberFormat="1" applyFont="1" applyFill="1" applyBorder="1" applyAlignment="1">
      <alignment horizontal="right"/>
    </xf>
    <xf numFmtId="0" fontId="9" fillId="0" borderId="0" xfId="11" applyFont="1" applyFill="1" applyBorder="1" applyAlignment="1"/>
    <xf numFmtId="182" fontId="11" fillId="0" borderId="0" xfId="2" applyNumberFormat="1" applyFont="1" applyFill="1" applyBorder="1" applyAlignment="1">
      <alignment horizontal="center"/>
    </xf>
    <xf numFmtId="0" fontId="9" fillId="0" borderId="7" xfId="11" applyFont="1" applyFill="1" applyBorder="1"/>
    <xf numFmtId="15" fontId="9" fillId="0" borderId="0" xfId="11" applyNumberFormat="1" applyFont="1" applyFill="1" applyBorder="1"/>
    <xf numFmtId="182" fontId="9" fillId="0" borderId="0" xfId="2" applyNumberFormat="1" applyFont="1" applyFill="1" applyBorder="1" applyAlignment="1">
      <alignment horizontal="center"/>
    </xf>
    <xf numFmtId="182" fontId="9" fillId="0" borderId="3" xfId="2" applyNumberFormat="1" applyFont="1" applyFill="1" applyBorder="1" applyAlignment="1">
      <alignment horizontal="center"/>
    </xf>
    <xf numFmtId="0" fontId="9" fillId="0" borderId="0" xfId="8" applyNumberFormat="1" applyFont="1" applyFill="1" applyBorder="1"/>
    <xf numFmtId="179" fontId="9" fillId="0" borderId="0" xfId="11" applyNumberFormat="1" applyFont="1" applyFill="1" applyBorder="1"/>
    <xf numFmtId="0" fontId="9" fillId="0" borderId="0" xfId="11" applyFont="1" applyFill="1" applyBorder="1" applyAlignment="1">
      <alignment horizontal="right"/>
    </xf>
    <xf numFmtId="0" fontId="9" fillId="0" borderId="8" xfId="11" applyFont="1" applyFill="1" applyBorder="1"/>
    <xf numFmtId="0" fontId="9" fillId="0" borderId="1" xfId="11" applyFont="1" applyFill="1" applyBorder="1"/>
    <xf numFmtId="182" fontId="9" fillId="0" borderId="0" xfId="2" applyNumberFormat="1" applyFont="1" applyFill="1" applyBorder="1" applyAlignment="1">
      <alignment horizontal="right"/>
    </xf>
    <xf numFmtId="182" fontId="9" fillId="0" borderId="3" xfId="2" applyNumberFormat="1" applyFont="1" applyFill="1" applyBorder="1" applyAlignment="1">
      <alignment horizontal="left"/>
    </xf>
    <xf numFmtId="0" fontId="9" fillId="0" borderId="0" xfId="8" applyNumberFormat="1" applyFont="1" applyFill="1"/>
    <xf numFmtId="182" fontId="9" fillId="0" borderId="0" xfId="2" applyNumberFormat="1" applyFont="1" applyFill="1" applyBorder="1" applyAlignment="1">
      <alignment horizontal="left"/>
    </xf>
    <xf numFmtId="0" fontId="11" fillId="0" borderId="0" xfId="8" applyNumberFormat="1" applyFont="1" applyFill="1" applyAlignment="1">
      <alignment horizontal="right"/>
    </xf>
    <xf numFmtId="183" fontId="9" fillId="2" borderId="0" xfId="11" applyNumberFormat="1" applyFont="1" applyFill="1" applyBorder="1" applyAlignment="1">
      <alignment horizontal="left"/>
    </xf>
    <xf numFmtId="0" fontId="15" fillId="0" borderId="0" xfId="8" applyNumberFormat="1" applyFont="1" applyFill="1" applyBorder="1" applyAlignment="1">
      <alignment vertical="center"/>
    </xf>
    <xf numFmtId="0" fontId="11" fillId="0" borderId="0" xfId="11" applyFont="1" applyFill="1" applyBorder="1" applyAlignment="1">
      <alignment horizontal="right"/>
    </xf>
    <xf numFmtId="183" fontId="9" fillId="0" borderId="0" xfId="11" applyNumberFormat="1" applyFont="1" applyFill="1" applyBorder="1" applyAlignment="1">
      <alignment horizontal="left"/>
    </xf>
    <xf numFmtId="0" fontId="9" fillId="0" borderId="0" xfId="11" quotePrefix="1" applyFont="1" applyFill="1"/>
    <xf numFmtId="0" fontId="11" fillId="0" borderId="0" xfId="8" applyNumberFormat="1" applyFont="1" applyFill="1"/>
    <xf numFmtId="0" fontId="11" fillId="0" borderId="0" xfId="11" applyFont="1" applyFill="1" applyBorder="1" applyAlignment="1">
      <alignment horizontal="center"/>
    </xf>
    <xf numFmtId="41" fontId="9" fillId="0" borderId="0" xfId="2" applyFont="1" applyFill="1" applyBorder="1" applyAlignment="1"/>
    <xf numFmtId="0" fontId="14" fillId="0" borderId="0" xfId="8" applyNumberFormat="1" applyFont="1" applyFill="1" applyBorder="1" applyAlignment="1">
      <alignment vertical="center"/>
    </xf>
    <xf numFmtId="184" fontId="9" fillId="0" borderId="0" xfId="2" applyNumberFormat="1" applyFont="1" applyFill="1" applyBorder="1" applyAlignment="1"/>
    <xf numFmtId="182" fontId="11" fillId="0" borderId="1" xfId="2" applyNumberFormat="1" applyFont="1" applyFill="1" applyBorder="1" applyAlignment="1">
      <alignment horizontal="center"/>
    </xf>
    <xf numFmtId="0" fontId="12" fillId="0" borderId="10" xfId="11" applyFont="1" applyFill="1" applyBorder="1" applyAlignment="1">
      <alignment horizontal="center"/>
    </xf>
    <xf numFmtId="0" fontId="12" fillId="0" borderId="0" xfId="11" applyFont="1" applyFill="1" applyBorder="1" applyAlignment="1">
      <alignment horizontal="center"/>
    </xf>
    <xf numFmtId="0" fontId="12" fillId="0" borderId="0" xfId="11" applyFont="1" applyFill="1" applyAlignment="1">
      <alignment horizontal="center"/>
    </xf>
    <xf numFmtId="0" fontId="9" fillId="0" borderId="11" xfId="11" applyFont="1" applyFill="1" applyBorder="1"/>
    <xf numFmtId="0" fontId="11" fillId="0" borderId="0" xfId="11" applyFont="1" applyFill="1" applyBorder="1" applyAlignment="1">
      <alignment horizontal="left"/>
    </xf>
    <xf numFmtId="17" fontId="14" fillId="0" borderId="0" xfId="8" applyNumberFormat="1" applyFont="1" applyFill="1" applyBorder="1" applyAlignment="1">
      <alignment horizontal="left" vertical="center"/>
    </xf>
    <xf numFmtId="185" fontId="9" fillId="0" borderId="0" xfId="11" applyNumberFormat="1" applyFont="1" applyFill="1" applyAlignment="1">
      <alignment horizontal="center"/>
    </xf>
    <xf numFmtId="0" fontId="14" fillId="0" borderId="0" xfId="8" applyNumberFormat="1" applyFont="1" applyFill="1" applyBorder="1" applyAlignment="1">
      <alignment horizontal="center" vertical="center"/>
    </xf>
    <xf numFmtId="0" fontId="9" fillId="0" borderId="0" xfId="8" applyNumberFormat="1" applyFont="1" applyFill="1" applyBorder="1" applyAlignment="1">
      <alignment horizontal="center" vertical="center"/>
    </xf>
    <xf numFmtId="0" fontId="9" fillId="0" borderId="0" xfId="8" applyNumberFormat="1" applyFont="1" applyBorder="1" applyAlignment="1">
      <alignment horizontal="center" vertical="center"/>
    </xf>
    <xf numFmtId="179" fontId="9" fillId="0" borderId="0" xfId="11" applyNumberFormat="1" applyFont="1" applyFill="1" applyBorder="1" applyAlignment="1"/>
    <xf numFmtId="0" fontId="14" fillId="0" borderId="0" xfId="8" applyNumberFormat="1" applyFont="1" applyFill="1" applyBorder="1" applyAlignment="1">
      <alignment horizontal="left"/>
    </xf>
    <xf numFmtId="0" fontId="8" fillId="0" borderId="0" xfId="8" applyNumberFormat="1" applyFont="1"/>
    <xf numFmtId="177" fontId="8" fillId="0" borderId="0" xfId="8" applyNumberFormat="1" applyFont="1"/>
    <xf numFmtId="26" fontId="8" fillId="0" borderId="0" xfId="8" applyNumberFormat="1" applyFont="1" applyAlignment="1">
      <alignment horizontal="center"/>
    </xf>
    <xf numFmtId="176" fontId="8" fillId="0" borderId="0" xfId="8" applyNumberFormat="1" applyFont="1"/>
    <xf numFmtId="26" fontId="8" fillId="0" borderId="0" xfId="8" applyNumberFormat="1" applyFont="1"/>
    <xf numFmtId="0" fontId="9" fillId="0" borderId="0" xfId="0" applyFont="1" applyFill="1" applyAlignment="1"/>
    <xf numFmtId="186" fontId="11" fillId="0" borderId="0" xfId="4" applyNumberFormat="1" applyFont="1" applyFill="1" applyBorder="1" applyAlignment="1">
      <alignment horizontal="center"/>
    </xf>
    <xf numFmtId="177" fontId="9" fillId="0" borderId="0" xfId="8" applyNumberFormat="1" applyFont="1" applyFill="1"/>
    <xf numFmtId="0" fontId="11" fillId="0" borderId="2" xfId="11" applyFont="1" applyFill="1" applyBorder="1" applyAlignment="1"/>
    <xf numFmtId="0" fontId="11" fillId="0" borderId="2" xfId="8" applyNumberFormat="1" applyFont="1" applyFill="1" applyBorder="1"/>
    <xf numFmtId="0" fontId="11" fillId="0" borderId="2" xfId="2" applyNumberFormat="1" applyFont="1" applyFill="1" applyBorder="1" applyAlignment="1">
      <alignment horizontal="right"/>
    </xf>
    <xf numFmtId="26" fontId="11" fillId="0" borderId="2" xfId="8" applyNumberFormat="1" applyFont="1" applyFill="1" applyBorder="1" applyAlignment="1">
      <alignment horizontal="left"/>
    </xf>
    <xf numFmtId="187" fontId="11" fillId="0" borderId="2" xfId="11" applyNumberFormat="1" applyFont="1" applyFill="1" applyBorder="1"/>
    <xf numFmtId="188" fontId="11" fillId="0" borderId="2" xfId="11" applyNumberFormat="1" applyFont="1" applyFill="1" applyBorder="1"/>
    <xf numFmtId="26" fontId="9" fillId="0" borderId="0" xfId="8" applyNumberFormat="1" applyFont="1" applyFill="1" applyAlignment="1">
      <alignment horizontal="center"/>
    </xf>
    <xf numFmtId="176" fontId="9" fillId="0" borderId="0" xfId="8" applyNumberFormat="1" applyFont="1" applyFill="1"/>
    <xf numFmtId="188" fontId="9" fillId="0" borderId="0" xfId="11" applyNumberFormat="1" applyFont="1" applyFill="1"/>
    <xf numFmtId="0" fontId="9" fillId="0" borderId="0" xfId="0" applyFont="1" applyFill="1" applyBorder="1" applyAlignment="1"/>
    <xf numFmtId="177" fontId="9" fillId="0" borderId="0" xfId="8" applyNumberFormat="1" applyFont="1" applyFill="1" applyBorder="1"/>
    <xf numFmtId="26" fontId="9" fillId="0" borderId="0" xfId="8" applyNumberFormat="1" applyFont="1" applyFill="1" applyBorder="1" applyAlignment="1">
      <alignment horizontal="center"/>
    </xf>
    <xf numFmtId="176" fontId="9" fillId="0" borderId="0" xfId="8" applyNumberFormat="1" applyFont="1" applyFill="1" applyBorder="1"/>
    <xf numFmtId="26" fontId="9" fillId="0" borderId="0" xfId="11" applyNumberFormat="1" applyFont="1" applyFill="1" applyBorder="1"/>
    <xf numFmtId="177" fontId="9" fillId="0" borderId="0" xfId="0" applyNumberFormat="1" applyFont="1" applyFill="1" applyBorder="1" applyAlignment="1"/>
    <xf numFmtId="26" fontId="9" fillId="0" borderId="0" xfId="0" applyNumberFormat="1" applyFont="1" applyFill="1" applyBorder="1" applyAlignment="1">
      <alignment horizontal="center"/>
    </xf>
    <xf numFmtId="179" fontId="9" fillId="0" borderId="0" xfId="0" applyNumberFormat="1" applyFont="1" applyFill="1" applyBorder="1" applyAlignment="1"/>
    <xf numFmtId="0" fontId="9" fillId="0" borderId="0" xfId="11" applyFont="1" applyFill="1" applyBorder="1" applyAlignment="1">
      <alignment horizontal="left" indent="3"/>
    </xf>
    <xf numFmtId="0" fontId="9" fillId="0" borderId="0" xfId="11" applyFont="1" applyFill="1" applyBorder="1" applyAlignment="1">
      <alignment horizontal="left"/>
    </xf>
    <xf numFmtId="0" fontId="9" fillId="0" borderId="0" xfId="11" applyFont="1" applyFill="1" applyAlignment="1"/>
    <xf numFmtId="0" fontId="12" fillId="0" borderId="0" xfId="11" applyFont="1" applyFill="1"/>
    <xf numFmtId="0" fontId="12" fillId="0" borderId="1" xfId="11" applyFont="1" applyFill="1" applyBorder="1" applyAlignment="1">
      <alignment horizontal="right"/>
    </xf>
    <xf numFmtId="0" fontId="9" fillId="0" borderId="1" xfId="8" applyNumberFormat="1" applyFont="1" applyFill="1" applyBorder="1" applyAlignment="1">
      <alignment horizontal="center" vertical="center"/>
    </xf>
    <xf numFmtId="0" fontId="9" fillId="0" borderId="1" xfId="8" applyNumberFormat="1" applyFont="1" applyBorder="1" applyAlignment="1">
      <alignment horizontal="center" vertical="center"/>
    </xf>
    <xf numFmtId="0" fontId="8" fillId="0" borderId="0" xfId="0" applyFont="1" applyFill="1" applyAlignment="1"/>
    <xf numFmtId="0" fontId="10" fillId="0" borderId="12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49" fontId="8" fillId="0" borderId="7" xfId="0" applyNumberFormat="1" applyFont="1" applyFill="1" applyBorder="1" applyAlignment="1"/>
    <xf numFmtId="49" fontId="8" fillId="0" borderId="11" xfId="0" applyNumberFormat="1" applyFont="1" applyFill="1" applyBorder="1" applyAlignment="1"/>
    <xf numFmtId="0" fontId="8" fillId="0" borderId="11" xfId="0" applyFont="1" applyFill="1" applyBorder="1" applyAlignment="1">
      <alignment horizontal="center"/>
    </xf>
    <xf numFmtId="41" fontId="8" fillId="0" borderId="11" xfId="2" applyNumberFormat="1" applyFont="1" applyFill="1" applyBorder="1" applyAlignment="1">
      <alignment horizontal="right"/>
    </xf>
    <xf numFmtId="41" fontId="8" fillId="0" borderId="11" xfId="2" applyNumberFormat="1" applyFont="1" applyFill="1" applyBorder="1" applyAlignment="1"/>
    <xf numFmtId="0" fontId="8" fillId="0" borderId="11" xfId="2" quotePrefix="1" applyNumberFormat="1" applyFont="1" applyFill="1" applyBorder="1" applyAlignment="1"/>
    <xf numFmtId="49" fontId="8" fillId="0" borderId="14" xfId="0" applyNumberFormat="1" applyFont="1" applyFill="1" applyBorder="1" applyAlignment="1"/>
    <xf numFmtId="49" fontId="8" fillId="0" borderId="15" xfId="0" applyNumberFormat="1" applyFont="1" applyFill="1" applyBorder="1" applyAlignment="1"/>
    <xf numFmtId="0" fontId="8" fillId="0" borderId="15" xfId="0" applyFont="1" applyFill="1" applyBorder="1" applyAlignment="1">
      <alignment horizontal="center"/>
    </xf>
    <xf numFmtId="41" fontId="8" fillId="0" borderId="15" xfId="2" applyNumberFormat="1" applyFont="1" applyFill="1" applyBorder="1" applyAlignment="1">
      <alignment horizontal="right"/>
    </xf>
    <xf numFmtId="41" fontId="8" fillId="0" borderId="16" xfId="2" applyNumberFormat="1" applyFont="1" applyFill="1" applyBorder="1" applyAlignment="1"/>
    <xf numFmtId="0" fontId="8" fillId="0" borderId="15" xfId="2" quotePrefix="1" applyNumberFormat="1" applyFont="1" applyFill="1" applyBorder="1" applyAlignment="1"/>
    <xf numFmtId="0" fontId="8" fillId="0" borderId="15" xfId="2" applyNumberFormat="1" applyFont="1" applyFill="1" applyBorder="1" applyAlignment="1"/>
    <xf numFmtId="0" fontId="10" fillId="0" borderId="17" xfId="0" applyFont="1" applyFill="1" applyBorder="1" applyAlignment="1">
      <alignment horizontal="center"/>
    </xf>
    <xf numFmtId="0" fontId="8" fillId="0" borderId="17" xfId="0" applyFont="1" applyFill="1" applyBorder="1" applyAlignment="1"/>
    <xf numFmtId="41" fontId="8" fillId="0" borderId="17" xfId="0" applyNumberFormat="1" applyFont="1" applyFill="1" applyBorder="1" applyAlignment="1"/>
    <xf numFmtId="41" fontId="10" fillId="0" borderId="17" xfId="0" applyNumberFormat="1" applyFont="1" applyFill="1" applyBorder="1" applyAlignment="1"/>
    <xf numFmtId="184" fontId="8" fillId="0" borderId="0" xfId="0" applyNumberFormat="1" applyFont="1" applyFill="1" applyAlignment="1"/>
    <xf numFmtId="0" fontId="13" fillId="0" borderId="0" xfId="9" applyNumberFormat="1"/>
    <xf numFmtId="0" fontId="14" fillId="0" borderId="7" xfId="9" applyNumberFormat="1" applyFont="1" applyFill="1" applyBorder="1" applyAlignment="1">
      <alignment vertical="center"/>
    </xf>
    <xf numFmtId="0" fontId="9" fillId="0" borderId="0" xfId="9" applyNumberFormat="1" applyFont="1" applyFill="1" applyBorder="1"/>
    <xf numFmtId="0" fontId="9" fillId="0" borderId="0" xfId="9" applyNumberFormat="1" applyFont="1" applyFill="1"/>
    <xf numFmtId="0" fontId="11" fillId="0" borderId="0" xfId="9" applyNumberFormat="1" applyFont="1" applyFill="1" applyAlignment="1">
      <alignment horizontal="right"/>
    </xf>
    <xf numFmtId="183" fontId="11" fillId="0" borderId="0" xfId="11" applyNumberFormat="1" applyFont="1" applyFill="1" applyBorder="1" applyAlignment="1">
      <alignment horizontal="left"/>
    </xf>
    <xf numFmtId="0" fontId="15" fillId="0" borderId="0" xfId="9" applyNumberFormat="1" applyFont="1" applyFill="1" applyBorder="1" applyAlignment="1">
      <alignment vertical="center"/>
    </xf>
    <xf numFmtId="0" fontId="11" fillId="0" borderId="0" xfId="9" applyNumberFormat="1" applyFont="1" applyFill="1"/>
    <xf numFmtId="0" fontId="14" fillId="0" borderId="0" xfId="9" applyNumberFormat="1" applyFont="1" applyFill="1" applyBorder="1" applyAlignment="1">
      <alignment vertical="center"/>
    </xf>
    <xf numFmtId="17" fontId="14" fillId="0" borderId="0" xfId="9" applyNumberFormat="1" applyFont="1" applyFill="1" applyBorder="1" applyAlignment="1">
      <alignment horizontal="left" vertical="center"/>
    </xf>
    <xf numFmtId="0" fontId="14" fillId="0" borderId="0" xfId="9" applyNumberFormat="1" applyFont="1" applyFill="1" applyBorder="1" applyAlignment="1">
      <alignment horizontal="center" vertical="center"/>
    </xf>
    <xf numFmtId="0" fontId="14" fillId="0" borderId="0" xfId="9" applyNumberFormat="1" applyFont="1" applyFill="1" applyBorder="1" applyAlignment="1">
      <alignment horizontal="left"/>
    </xf>
    <xf numFmtId="0" fontId="11" fillId="0" borderId="0" xfId="11" applyFont="1" applyFill="1"/>
    <xf numFmtId="177" fontId="9" fillId="0" borderId="0" xfId="9" applyNumberFormat="1" applyFont="1" applyFill="1"/>
    <xf numFmtId="26" fontId="9" fillId="0" borderId="0" xfId="9" applyNumberFormat="1" applyFont="1" applyFill="1" applyAlignment="1">
      <alignment horizontal="center"/>
    </xf>
    <xf numFmtId="176" fontId="9" fillId="0" borderId="0" xfId="9" applyNumberFormat="1" applyFont="1" applyFill="1"/>
    <xf numFmtId="26" fontId="9" fillId="0" borderId="0" xfId="9" applyNumberFormat="1" applyFont="1" applyFill="1"/>
    <xf numFmtId="0" fontId="11" fillId="0" borderId="18" xfId="11" applyFont="1" applyFill="1" applyBorder="1" applyAlignment="1"/>
    <xf numFmtId="0" fontId="11" fillId="0" borderId="18" xfId="9" applyNumberFormat="1" applyFont="1" applyFill="1" applyBorder="1"/>
    <xf numFmtId="0" fontId="11" fillId="0" borderId="18" xfId="2" applyNumberFormat="1" applyFont="1" applyFill="1" applyBorder="1" applyAlignment="1">
      <alignment horizontal="right"/>
    </xf>
    <xf numFmtId="26" fontId="11" fillId="0" borderId="18" xfId="9" applyNumberFormat="1" applyFont="1" applyFill="1" applyBorder="1" applyAlignment="1">
      <alignment horizontal="left"/>
    </xf>
    <xf numFmtId="187" fontId="11" fillId="0" borderId="18" xfId="11" applyNumberFormat="1" applyFont="1" applyFill="1" applyBorder="1"/>
    <xf numFmtId="177" fontId="9" fillId="0" borderId="0" xfId="9" applyNumberFormat="1" applyFont="1" applyFill="1" applyBorder="1"/>
    <xf numFmtId="0" fontId="13" fillId="0" borderId="0" xfId="9" applyNumberFormat="1" applyBorder="1"/>
    <xf numFmtId="26" fontId="9" fillId="0" borderId="0" xfId="9" applyNumberFormat="1" applyFont="1" applyFill="1" applyBorder="1" applyAlignment="1">
      <alignment horizontal="center"/>
    </xf>
    <xf numFmtId="176" fontId="9" fillId="0" borderId="0" xfId="9" applyNumberFormat="1" applyFont="1" applyFill="1" applyBorder="1"/>
    <xf numFmtId="188" fontId="9" fillId="0" borderId="0" xfId="11" applyNumberFormat="1" applyFont="1" applyFill="1" applyBorder="1"/>
    <xf numFmtId="0" fontId="8" fillId="0" borderId="0" xfId="0" applyFont="1" applyAlignme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10" fillId="0" borderId="19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8" fillId="0" borderId="0" xfId="0" applyFont="1" applyFill="1" applyBorder="1" applyAlignment="1" applyProtection="1">
      <alignment horizontal="center" vertical="center"/>
      <protection locked="0"/>
    </xf>
    <xf numFmtId="41" fontId="8" fillId="0" borderId="0" xfId="0" applyNumberFormat="1" applyFont="1" applyBorder="1" applyAlignment="1">
      <alignment vertical="center"/>
    </xf>
    <xf numFmtId="177" fontId="8" fillId="0" borderId="0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/>
    <xf numFmtId="0" fontId="8" fillId="0" borderId="3" xfId="0" applyFont="1" applyFill="1" applyBorder="1" applyAlignment="1" applyProtection="1">
      <alignment horizontal="left" vertical="center"/>
      <protection locked="0"/>
    </xf>
    <xf numFmtId="0" fontId="10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Border="1" applyAlignment="1">
      <alignment horizontal="center"/>
    </xf>
    <xf numFmtId="176" fontId="8" fillId="0" borderId="0" xfId="0" applyNumberFormat="1" applyFont="1" applyBorder="1" applyAlignment="1"/>
    <xf numFmtId="177" fontId="8" fillId="0" borderId="0" xfId="0" applyNumberFormat="1" applyFont="1" applyBorder="1" applyAlignment="1"/>
    <xf numFmtId="26" fontId="8" fillId="0" borderId="0" xfId="0" applyNumberFormat="1" applyFont="1" applyBorder="1" applyAlignment="1">
      <alignment horizontal="center"/>
    </xf>
    <xf numFmtId="26" fontId="8" fillId="0" borderId="0" xfId="0" applyNumberFormat="1" applyFont="1" applyBorder="1" applyAlignment="1"/>
    <xf numFmtId="178" fontId="8" fillId="0" borderId="0" xfId="2" applyNumberFormat="1" applyFont="1" applyBorder="1" applyAlignment="1"/>
    <xf numFmtId="176" fontId="8" fillId="0" borderId="0" xfId="0" applyNumberFormat="1" applyFont="1" applyAlignment="1"/>
    <xf numFmtId="177" fontId="8" fillId="0" borderId="0" xfId="0" applyNumberFormat="1" applyFont="1" applyAlignment="1"/>
    <xf numFmtId="26" fontId="8" fillId="0" borderId="0" xfId="0" applyNumberFormat="1" applyFont="1" applyAlignment="1">
      <alignment horizontal="center"/>
    </xf>
    <xf numFmtId="26" fontId="8" fillId="0" borderId="0" xfId="0" applyNumberFormat="1" applyFont="1" applyAlignment="1"/>
    <xf numFmtId="0" fontId="8" fillId="0" borderId="2" xfId="0" applyFont="1" applyBorder="1" applyAlignment="1">
      <alignment horizontal="center"/>
    </xf>
    <xf numFmtId="0" fontId="8" fillId="0" borderId="2" xfId="0" applyFont="1" applyBorder="1" applyAlignment="1"/>
    <xf numFmtId="176" fontId="8" fillId="0" borderId="2" xfId="0" applyNumberFormat="1" applyFont="1" applyBorder="1" applyAlignment="1"/>
    <xf numFmtId="177" fontId="8" fillId="0" borderId="2" xfId="0" applyNumberFormat="1" applyFont="1" applyBorder="1" applyAlignment="1"/>
    <xf numFmtId="26" fontId="8" fillId="0" borderId="2" xfId="0" applyNumberFormat="1" applyFont="1" applyBorder="1" applyAlignment="1">
      <alignment horizontal="center"/>
    </xf>
    <xf numFmtId="26" fontId="8" fillId="0" borderId="2" xfId="0" applyNumberFormat="1" applyFont="1" applyBorder="1" applyAlignment="1"/>
    <xf numFmtId="178" fontId="8" fillId="0" borderId="2" xfId="2" applyNumberFormat="1" applyFont="1" applyBorder="1" applyAlignment="1"/>
    <xf numFmtId="0" fontId="9" fillId="0" borderId="7" xfId="0" applyFont="1" applyFill="1" applyBorder="1" applyAlignment="1">
      <alignment vertical="center"/>
    </xf>
    <xf numFmtId="181" fontId="9" fillId="0" borderId="0" xfId="11" applyNumberFormat="1" applyFont="1" applyFill="1" applyBorder="1" applyAlignment="1">
      <alignment horizontal="left"/>
    </xf>
    <xf numFmtId="0" fontId="9" fillId="0" borderId="8" xfId="0" applyFont="1" applyFill="1" applyBorder="1" applyAlignment="1">
      <alignment vertical="center"/>
    </xf>
    <xf numFmtId="0" fontId="12" fillId="0" borderId="7" xfId="11" applyFont="1" applyFill="1" applyBorder="1"/>
    <xf numFmtId="0" fontId="11" fillId="0" borderId="7" xfId="11" applyFont="1" applyFill="1" applyBorder="1" applyAlignment="1">
      <alignment horizontal="left" indent="3"/>
    </xf>
    <xf numFmtId="0" fontId="11" fillId="0" borderId="0" xfId="11" applyFont="1" applyFill="1" applyBorder="1" applyAlignment="1">
      <alignment horizontal="left" indent="2"/>
    </xf>
    <xf numFmtId="0" fontId="11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181" fontId="9" fillId="0" borderId="0" xfId="11" applyNumberFormat="1" applyFont="1" applyFill="1" applyBorder="1"/>
    <xf numFmtId="0" fontId="11" fillId="0" borderId="8" xfId="11" applyFont="1" applyFill="1" applyBorder="1" applyAlignment="1">
      <alignment horizontal="left" indent="3"/>
    </xf>
    <xf numFmtId="0" fontId="9" fillId="0" borderId="1" xfId="11" quotePrefix="1" applyFont="1" applyFill="1" applyBorder="1"/>
    <xf numFmtId="0" fontId="11" fillId="0" borderId="1" xfId="11" applyFont="1" applyFill="1" applyBorder="1" applyAlignment="1">
      <alignment horizontal="center"/>
    </xf>
    <xf numFmtId="0" fontId="12" fillId="0" borderId="6" xfId="11" applyFont="1" applyFill="1" applyBorder="1" applyAlignment="1">
      <alignment horizontal="center"/>
    </xf>
    <xf numFmtId="0" fontId="12" fillId="0" borderId="11" xfId="11" applyFont="1" applyFill="1" applyBorder="1" applyAlignment="1">
      <alignment horizontal="center"/>
    </xf>
    <xf numFmtId="0" fontId="9" fillId="0" borderId="6" xfId="11" applyFont="1" applyFill="1" applyBorder="1" applyAlignment="1">
      <alignment horizontal="center"/>
    </xf>
    <xf numFmtId="0" fontId="9" fillId="0" borderId="11" xfId="11" applyFont="1" applyFill="1" applyBorder="1" applyAlignment="1">
      <alignment horizontal="center"/>
    </xf>
    <xf numFmtId="189" fontId="9" fillId="0" borderId="0" xfId="11" applyNumberFormat="1" applyFont="1" applyFill="1" applyBorder="1" applyAlignment="1">
      <alignment horizontal="center" shrinkToFit="1"/>
    </xf>
    <xf numFmtId="189" fontId="9" fillId="0" borderId="0" xfId="11" applyNumberFormat="1" applyFont="1" applyFill="1" applyAlignment="1">
      <alignment horizontal="center"/>
    </xf>
    <xf numFmtId="41" fontId="11" fillId="0" borderId="0" xfId="11" applyNumberFormat="1" applyFont="1" applyFill="1"/>
    <xf numFmtId="179" fontId="17" fillId="0" borderId="0" xfId="11" applyNumberFormat="1" applyFont="1" applyFill="1" applyBorder="1" applyAlignment="1"/>
    <xf numFmtId="17" fontId="9" fillId="0" borderId="0" xfId="0" applyNumberFormat="1" applyFont="1" applyFill="1" applyBorder="1" applyAlignment="1">
      <alignment horizontal="left" vertical="center"/>
    </xf>
    <xf numFmtId="41" fontId="9" fillId="0" borderId="0" xfId="11" applyNumberFormat="1" applyFont="1" applyFill="1"/>
    <xf numFmtId="182" fontId="9" fillId="0" borderId="0" xfId="2" applyNumberFormat="1" applyFont="1" applyFill="1" applyBorder="1" applyAlignment="1"/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/>
    </xf>
    <xf numFmtId="26" fontId="9" fillId="0" borderId="0" xfId="0" applyNumberFormat="1" applyFont="1" applyFill="1" applyAlignment="1">
      <alignment horizontal="center"/>
    </xf>
    <xf numFmtId="0" fontId="9" fillId="0" borderId="0" xfId="0" applyFont="1" applyFill="1" applyAlignment="1">
      <alignment horizontal="right"/>
    </xf>
    <xf numFmtId="177" fontId="9" fillId="0" borderId="0" xfId="0" applyNumberFormat="1" applyFont="1" applyFill="1" applyAlignment="1"/>
    <xf numFmtId="0" fontId="11" fillId="0" borderId="2" xfId="0" applyFont="1" applyFill="1" applyBorder="1" applyAlignment="1"/>
    <xf numFmtId="0" fontId="9" fillId="0" borderId="2" xfId="0" applyFont="1" applyFill="1" applyBorder="1" applyAlignment="1"/>
    <xf numFmtId="0" fontId="9" fillId="0" borderId="2" xfId="11" applyFont="1" applyFill="1" applyBorder="1"/>
    <xf numFmtId="177" fontId="9" fillId="0" borderId="2" xfId="11" applyNumberFormat="1" applyFont="1" applyFill="1" applyBorder="1" applyAlignment="1"/>
    <xf numFmtId="26" fontId="9" fillId="0" borderId="2" xfId="0" applyNumberFormat="1" applyFont="1" applyFill="1" applyBorder="1" applyAlignment="1">
      <alignment horizontal="center"/>
    </xf>
    <xf numFmtId="0" fontId="11" fillId="0" borderId="0" xfId="11" applyFont="1" applyFill="1" applyBorder="1" applyAlignment="1"/>
    <xf numFmtId="41" fontId="8" fillId="0" borderId="11" xfId="2" applyFont="1" applyFill="1" applyBorder="1" applyAlignment="1">
      <alignment horizontal="right"/>
    </xf>
    <xf numFmtId="41" fontId="8" fillId="0" borderId="11" xfId="2" applyFont="1" applyFill="1" applyBorder="1" applyAlignment="1"/>
    <xf numFmtId="41" fontId="8" fillId="0" borderId="11" xfId="2" quotePrefix="1" applyFont="1" applyFill="1" applyBorder="1" applyAlignment="1"/>
    <xf numFmtId="13" fontId="8" fillId="0" borderId="11" xfId="2" quotePrefix="1" applyNumberFormat="1" applyFont="1" applyFill="1" applyBorder="1" applyAlignment="1"/>
    <xf numFmtId="41" fontId="8" fillId="0" borderId="15" xfId="2" applyFont="1" applyFill="1" applyBorder="1" applyAlignment="1">
      <alignment horizontal="right"/>
    </xf>
    <xf numFmtId="41" fontId="8" fillId="0" borderId="16" xfId="2" applyFont="1" applyFill="1" applyBorder="1" applyAlignment="1"/>
    <xf numFmtId="41" fontId="8" fillId="0" borderId="15" xfId="2" quotePrefix="1" applyFont="1" applyFill="1" applyBorder="1" applyAlignment="1"/>
    <xf numFmtId="41" fontId="8" fillId="0" borderId="15" xfId="2" applyFont="1" applyFill="1" applyBorder="1" applyAlignment="1"/>
    <xf numFmtId="0" fontId="23" fillId="0" borderId="0" xfId="11" applyFont="1" applyFill="1" applyAlignment="1"/>
    <xf numFmtId="0" fontId="24" fillId="0" borderId="0" xfId="11" applyFont="1" applyFill="1"/>
    <xf numFmtId="0" fontId="25" fillId="0" borderId="3" xfId="11" applyFont="1" applyFill="1" applyBorder="1"/>
    <xf numFmtId="0" fontId="26" fillId="0" borderId="3" xfId="11" applyFont="1" applyFill="1" applyBorder="1"/>
    <xf numFmtId="0" fontId="25" fillId="0" borderId="5" xfId="11" applyFont="1" applyFill="1" applyBorder="1"/>
    <xf numFmtId="0" fontId="26" fillId="0" borderId="0" xfId="11" applyFont="1" applyFill="1"/>
    <xf numFmtId="0" fontId="27" fillId="0" borderId="0" xfId="11" applyFont="1" applyFill="1" applyBorder="1"/>
    <xf numFmtId="0" fontId="26" fillId="0" borderId="0" xfId="11" applyFont="1" applyFill="1" applyBorder="1"/>
    <xf numFmtId="0" fontId="28" fillId="0" borderId="7" xfId="9" applyNumberFormat="1" applyFont="1" applyBorder="1"/>
    <xf numFmtId="0" fontId="28" fillId="0" borderId="0" xfId="9" applyNumberFormat="1" applyFont="1" applyBorder="1"/>
    <xf numFmtId="181" fontId="26" fillId="0" borderId="0" xfId="11" quotePrefix="1" applyNumberFormat="1" applyFont="1" applyFill="1" applyBorder="1" applyAlignment="1">
      <alignment horizontal="left"/>
    </xf>
    <xf numFmtId="0" fontId="29" fillId="0" borderId="7" xfId="9" applyNumberFormat="1" applyFont="1" applyFill="1" applyBorder="1" applyAlignment="1">
      <alignment vertical="center"/>
    </xf>
    <xf numFmtId="181" fontId="26" fillId="0" borderId="0" xfId="11" applyNumberFormat="1" applyFont="1" applyFill="1" applyBorder="1" applyAlignment="1">
      <alignment horizontal="right"/>
    </xf>
    <xf numFmtId="0" fontId="25" fillId="0" borderId="7" xfId="11" applyFont="1" applyFill="1" applyBorder="1"/>
    <xf numFmtId="0" fontId="26" fillId="0" borderId="0" xfId="11" applyFont="1" applyFill="1" applyBorder="1" applyAlignment="1"/>
    <xf numFmtId="0" fontId="28" fillId="0" borderId="8" xfId="9" applyNumberFormat="1" applyFont="1" applyBorder="1"/>
    <xf numFmtId="0" fontId="28" fillId="0" borderId="1" xfId="9" applyNumberFormat="1" applyFont="1" applyBorder="1"/>
    <xf numFmtId="182" fontId="27" fillId="0" borderId="1" xfId="2" applyNumberFormat="1" applyFont="1" applyFill="1" applyBorder="1" applyAlignment="1">
      <alignment horizontal="center"/>
    </xf>
    <xf numFmtId="15" fontId="26" fillId="0" borderId="0" xfId="11" applyNumberFormat="1" applyFont="1" applyFill="1" applyBorder="1"/>
    <xf numFmtId="182" fontId="26" fillId="0" borderId="0" xfId="2" applyNumberFormat="1" applyFont="1" applyFill="1" applyBorder="1" applyAlignment="1">
      <alignment horizontal="center"/>
    </xf>
    <xf numFmtId="0" fontId="27" fillId="0" borderId="0" xfId="9" applyNumberFormat="1" applyFont="1" applyFill="1" applyBorder="1"/>
    <xf numFmtId="0" fontId="26" fillId="0" borderId="0" xfId="9" applyNumberFormat="1" applyFont="1" applyFill="1" applyBorder="1"/>
    <xf numFmtId="0" fontId="26" fillId="0" borderId="7" xfId="11" applyFont="1" applyFill="1" applyBorder="1"/>
    <xf numFmtId="179" fontId="26" fillId="0" borderId="0" xfId="11" applyNumberFormat="1" applyFont="1" applyFill="1" applyBorder="1"/>
    <xf numFmtId="0" fontId="26" fillId="0" borderId="0" xfId="11" applyFont="1" applyFill="1" applyBorder="1" applyAlignment="1">
      <alignment horizontal="right"/>
    </xf>
    <xf numFmtId="182" fontId="26" fillId="0" borderId="0" xfId="2" applyNumberFormat="1" applyFont="1" applyFill="1" applyBorder="1" applyAlignment="1">
      <alignment horizontal="right"/>
    </xf>
    <xf numFmtId="0" fontId="26" fillId="0" borderId="1" xfId="11" applyFont="1" applyFill="1" applyBorder="1"/>
    <xf numFmtId="182" fontId="26" fillId="0" borderId="0" xfId="2" applyNumberFormat="1" applyFont="1" applyFill="1" applyBorder="1" applyAlignment="1">
      <alignment horizontal="left"/>
    </xf>
    <xf numFmtId="0" fontId="30" fillId="0" borderId="0" xfId="0" applyFont="1" applyFill="1" applyAlignment="1">
      <alignment horizontal="left" vertical="center"/>
    </xf>
    <xf numFmtId="0" fontId="24" fillId="0" borderId="0" xfId="0" applyFont="1" applyFill="1" applyAlignment="1">
      <alignment vertical="center"/>
    </xf>
    <xf numFmtId="0" fontId="26" fillId="0" borderId="0" xfId="9" applyNumberFormat="1" applyFont="1" applyFill="1"/>
    <xf numFmtId="0" fontId="24" fillId="0" borderId="0" xfId="0" applyFont="1" applyFill="1" applyAlignment="1">
      <alignment horizontal="center" vertical="center"/>
    </xf>
    <xf numFmtId="0" fontId="25" fillId="0" borderId="0" xfId="11" applyFont="1" applyFill="1" applyBorder="1"/>
    <xf numFmtId="0" fontId="27" fillId="0" borderId="0" xfId="9" applyNumberFormat="1" applyFont="1" applyFill="1" applyAlignment="1">
      <alignment horizontal="right"/>
    </xf>
    <xf numFmtId="183" fontId="27" fillId="0" borderId="0" xfId="11" applyNumberFormat="1" applyFont="1" applyFill="1" applyBorder="1" applyAlignment="1">
      <alignment horizontal="left"/>
    </xf>
    <xf numFmtId="0" fontId="31" fillId="0" borderId="0" xfId="9" applyNumberFormat="1" applyFont="1" applyFill="1" applyBorder="1" applyAlignment="1">
      <alignment vertical="center"/>
    </xf>
    <xf numFmtId="0" fontId="27" fillId="0" borderId="0" xfId="11" applyFont="1" applyFill="1" applyBorder="1" applyAlignment="1">
      <alignment horizontal="right"/>
    </xf>
    <xf numFmtId="0" fontId="26" fillId="0" borderId="7" xfId="11" quotePrefix="1" applyFont="1" applyFill="1" applyBorder="1"/>
    <xf numFmtId="0" fontId="27" fillId="0" borderId="0" xfId="9" applyNumberFormat="1" applyFont="1" applyFill="1"/>
    <xf numFmtId="0" fontId="26" fillId="0" borderId="4" xfId="11" applyFont="1" applyFill="1" applyBorder="1"/>
    <xf numFmtId="41" fontId="26" fillId="0" borderId="0" xfId="2" applyFont="1" applyFill="1" applyBorder="1" applyAlignment="1"/>
    <xf numFmtId="0" fontId="29" fillId="0" borderId="0" xfId="9" applyNumberFormat="1" applyFont="1" applyFill="1" applyBorder="1" applyAlignment="1">
      <alignment vertical="center"/>
    </xf>
    <xf numFmtId="0" fontId="32" fillId="0" borderId="0" xfId="0" applyFont="1" applyFill="1" applyAlignment="1">
      <alignment vertical="center"/>
    </xf>
    <xf numFmtId="0" fontId="32" fillId="0" borderId="0" xfId="0" quotePrefix="1" applyFont="1" applyFill="1" applyAlignment="1">
      <alignment vertical="center"/>
    </xf>
    <xf numFmtId="0" fontId="32" fillId="0" borderId="0" xfId="0" applyFont="1" applyFill="1" applyAlignment="1">
      <alignment horizontal="center" vertical="center"/>
    </xf>
    <xf numFmtId="0" fontId="26" fillId="0" borderId="6" xfId="11" applyFont="1" applyFill="1" applyBorder="1"/>
    <xf numFmtId="0" fontId="33" fillId="0" borderId="0" xfId="0" applyFont="1" applyFill="1" applyAlignment="1">
      <alignment horizontal="left" vertical="center" indent="1"/>
    </xf>
    <xf numFmtId="0" fontId="28" fillId="0" borderId="0" xfId="0" applyFont="1" applyFill="1" applyAlignment="1">
      <alignment vertical="center"/>
    </xf>
    <xf numFmtId="0" fontId="33" fillId="0" borderId="0" xfId="0" applyFont="1" applyFill="1" applyAlignment="1">
      <alignment vertical="center"/>
    </xf>
    <xf numFmtId="0" fontId="34" fillId="0" borderId="0" xfId="0" applyFont="1" applyFill="1" applyAlignment="1">
      <alignment vertical="center"/>
    </xf>
    <xf numFmtId="0" fontId="25" fillId="0" borderId="10" xfId="11" applyFont="1" applyFill="1" applyBorder="1" applyAlignment="1">
      <alignment horizontal="center"/>
    </xf>
    <xf numFmtId="0" fontId="25" fillId="0" borderId="0" xfId="11" applyFont="1" applyFill="1" applyBorder="1" applyAlignment="1">
      <alignment horizontal="center"/>
    </xf>
    <xf numFmtId="0" fontId="25" fillId="0" borderId="0" xfId="11" applyFont="1" applyFill="1" applyAlignment="1">
      <alignment horizontal="center"/>
    </xf>
    <xf numFmtId="0" fontId="26" fillId="0" borderId="11" xfId="11" applyFont="1" applyFill="1" applyBorder="1"/>
    <xf numFmtId="0" fontId="27" fillId="0" borderId="0" xfId="11" applyFont="1" applyFill="1" applyBorder="1" applyAlignment="1">
      <alignment horizontal="left"/>
    </xf>
    <xf numFmtId="17" fontId="29" fillId="0" borderId="0" xfId="9" applyNumberFormat="1" applyFont="1" applyFill="1" applyBorder="1" applyAlignment="1">
      <alignment horizontal="left" vertical="center"/>
    </xf>
    <xf numFmtId="0" fontId="28" fillId="0" borderId="0" xfId="9" applyNumberFormat="1" applyFont="1"/>
    <xf numFmtId="185" fontId="26" fillId="0" borderId="0" xfId="11" applyNumberFormat="1" applyFont="1" applyFill="1" applyAlignment="1">
      <alignment horizontal="center"/>
    </xf>
    <xf numFmtId="0" fontId="29" fillId="0" borderId="0" xfId="9" applyNumberFormat="1" applyFont="1" applyFill="1" applyBorder="1" applyAlignment="1">
      <alignment horizontal="center" vertical="center"/>
    </xf>
    <xf numFmtId="179" fontId="26" fillId="0" borderId="0" xfId="11" applyNumberFormat="1" applyFont="1" applyFill="1" applyBorder="1" applyAlignment="1"/>
    <xf numFmtId="0" fontId="29" fillId="0" borderId="0" xfId="9" applyNumberFormat="1" applyFont="1" applyFill="1" applyBorder="1" applyAlignment="1">
      <alignment horizontal="left"/>
    </xf>
    <xf numFmtId="0" fontId="28" fillId="0" borderId="0" xfId="11" applyFont="1" applyFill="1" applyBorder="1"/>
    <xf numFmtId="0" fontId="35" fillId="0" borderId="0" xfId="11" applyFont="1" applyFill="1" applyBorder="1"/>
    <xf numFmtId="179" fontId="28" fillId="0" borderId="0" xfId="11" applyNumberFormat="1" applyFont="1" applyFill="1" applyBorder="1" applyAlignment="1"/>
    <xf numFmtId="0" fontId="28" fillId="0" borderId="0" xfId="0" applyFont="1" applyFill="1" applyAlignment="1"/>
    <xf numFmtId="0" fontId="28" fillId="0" borderId="0" xfId="9" applyNumberFormat="1" applyFont="1" applyFill="1"/>
    <xf numFmtId="0" fontId="28" fillId="0" borderId="1" xfId="9" applyNumberFormat="1" applyFont="1" applyFill="1" applyBorder="1"/>
    <xf numFmtId="0" fontId="28" fillId="0" borderId="1" xfId="11" applyFont="1" applyFill="1" applyBorder="1"/>
    <xf numFmtId="186" fontId="27" fillId="0" borderId="0" xfId="4" applyNumberFormat="1" applyFont="1" applyFill="1" applyBorder="1" applyAlignment="1">
      <alignment horizontal="center"/>
    </xf>
    <xf numFmtId="0" fontId="35" fillId="4" borderId="18" xfId="11" applyFont="1" applyFill="1" applyBorder="1" applyAlignment="1"/>
    <xf numFmtId="0" fontId="35" fillId="4" borderId="18" xfId="9" applyNumberFormat="1" applyFont="1" applyFill="1" applyBorder="1"/>
    <xf numFmtId="0" fontId="35" fillId="4" borderId="18" xfId="2" applyNumberFormat="1" applyFont="1" applyFill="1" applyBorder="1" applyAlignment="1">
      <alignment horizontal="right"/>
    </xf>
    <xf numFmtId="26" fontId="35" fillId="4" borderId="18" xfId="9" applyNumberFormat="1" applyFont="1" applyFill="1" applyBorder="1" applyAlignment="1">
      <alignment horizontal="left"/>
    </xf>
    <xf numFmtId="187" fontId="35" fillId="4" borderId="18" xfId="11" applyNumberFormat="1" applyFont="1" applyFill="1" applyBorder="1"/>
    <xf numFmtId="177" fontId="26" fillId="0" borderId="0" xfId="9" applyNumberFormat="1" applyFont="1" applyFill="1"/>
    <xf numFmtId="177" fontId="28" fillId="0" borderId="0" xfId="9" applyNumberFormat="1" applyFont="1" applyFill="1"/>
    <xf numFmtId="26" fontId="28" fillId="0" borderId="0" xfId="9" applyNumberFormat="1" applyFont="1" applyFill="1" applyAlignment="1">
      <alignment horizontal="center"/>
    </xf>
    <xf numFmtId="176" fontId="28" fillId="0" borderId="0" xfId="9" applyNumberFormat="1" applyFont="1" applyFill="1"/>
    <xf numFmtId="26" fontId="28" fillId="0" borderId="0" xfId="9" applyNumberFormat="1" applyFont="1" applyFill="1"/>
    <xf numFmtId="0" fontId="28" fillId="0" borderId="0" xfId="0" applyFont="1" applyFill="1" applyBorder="1" applyAlignment="1"/>
    <xf numFmtId="177" fontId="26" fillId="0" borderId="0" xfId="9" applyNumberFormat="1" applyFont="1" applyFill="1" applyBorder="1"/>
    <xf numFmtId="0" fontId="28" fillId="0" borderId="0" xfId="9" applyNumberFormat="1" applyFont="1" applyFill="1" applyBorder="1"/>
    <xf numFmtId="0" fontId="35" fillId="0" borderId="0" xfId="0" applyFont="1" applyFill="1" applyAlignment="1">
      <alignment horizontal="left" vertical="center"/>
    </xf>
    <xf numFmtId="26" fontId="28" fillId="0" borderId="0" xfId="9" applyNumberFormat="1" applyFont="1" applyFill="1" applyBorder="1" applyAlignment="1">
      <alignment horizontal="center"/>
    </xf>
    <xf numFmtId="176" fontId="28" fillId="0" borderId="0" xfId="9" applyNumberFormat="1" applyFont="1" applyFill="1" applyBorder="1"/>
    <xf numFmtId="188" fontId="28" fillId="0" borderId="0" xfId="11" applyNumberFormat="1" applyFont="1" applyFill="1" applyBorder="1"/>
    <xf numFmtId="0" fontId="28" fillId="0" borderId="0" xfId="11" applyFont="1" applyFill="1"/>
    <xf numFmtId="0" fontId="35" fillId="0" borderId="0" xfId="9" applyNumberFormat="1" applyFont="1" applyFill="1" applyBorder="1"/>
    <xf numFmtId="0" fontId="28" fillId="0" borderId="0" xfId="0" quotePrefix="1" applyFont="1" applyFill="1" applyAlignment="1">
      <alignment vertical="center"/>
    </xf>
    <xf numFmtId="0" fontId="35" fillId="0" borderId="0" xfId="0" applyFont="1" applyFill="1" applyAlignment="1">
      <alignment horizontal="left" vertical="center" indent="1"/>
    </xf>
    <xf numFmtId="0" fontId="36" fillId="0" borderId="0" xfId="0" applyFont="1" applyFill="1" applyAlignment="1">
      <alignment vertical="center"/>
    </xf>
    <xf numFmtId="0" fontId="28" fillId="0" borderId="0" xfId="10" applyFont="1" applyBorder="1">
      <alignment vertical="center"/>
    </xf>
    <xf numFmtId="0" fontId="35" fillId="0" borderId="0" xfId="0" applyFont="1" applyFill="1" applyBorder="1" applyAlignment="1">
      <alignment vertical="center"/>
    </xf>
    <xf numFmtId="0" fontId="35" fillId="0" borderId="0" xfId="0" applyFont="1" applyFill="1" applyAlignment="1">
      <alignment vertical="center"/>
    </xf>
    <xf numFmtId="0" fontId="37" fillId="0" borderId="0" xfId="11" applyFont="1" applyFill="1" applyBorder="1"/>
    <xf numFmtId="0" fontId="38" fillId="0" borderId="0" xfId="10" applyFont="1" applyBorder="1">
      <alignment vertical="center"/>
    </xf>
    <xf numFmtId="177" fontId="28" fillId="0" borderId="0" xfId="9" applyNumberFormat="1" applyFont="1" applyFill="1" applyBorder="1"/>
    <xf numFmtId="26" fontId="26" fillId="0" borderId="0" xfId="9" applyNumberFormat="1" applyFont="1" applyFill="1" applyBorder="1" applyAlignment="1">
      <alignment horizontal="center"/>
    </xf>
    <xf numFmtId="176" fontId="26" fillId="0" borderId="0" xfId="9" applyNumberFormat="1" applyFont="1" applyFill="1" applyBorder="1"/>
    <xf numFmtId="188" fontId="26" fillId="0" borderId="0" xfId="11" applyNumberFormat="1" applyFont="1" applyFill="1" applyBorder="1"/>
    <xf numFmtId="0" fontId="26" fillId="0" borderId="0" xfId="0" applyFont="1" applyFill="1" applyBorder="1" applyAlignment="1"/>
    <xf numFmtId="0" fontId="26" fillId="0" borderId="0" xfId="11" applyFont="1" applyFill="1" applyAlignment="1"/>
    <xf numFmtId="0" fontId="25" fillId="0" borderId="1" xfId="11" applyFont="1" applyFill="1" applyBorder="1" applyAlignment="1">
      <alignment horizontal="left"/>
    </xf>
    <xf numFmtId="0" fontId="25" fillId="0" borderId="1" xfId="11" applyFont="1" applyFill="1" applyBorder="1" applyAlignment="1">
      <alignment horizontal="right"/>
    </xf>
    <xf numFmtId="0" fontId="25" fillId="0" borderId="0" xfId="11" applyFont="1" applyFill="1"/>
    <xf numFmtId="0" fontId="0" fillId="0" borderId="0" xfId="0" applyAlignment="1"/>
    <xf numFmtId="177" fontId="18" fillId="5" borderId="0" xfId="0" applyNumberFormat="1" applyFont="1" applyFill="1" applyAlignment="1"/>
    <xf numFmtId="26" fontId="18" fillId="5" borderId="0" xfId="0" applyNumberFormat="1" applyFont="1" applyFill="1" applyAlignment="1">
      <alignment horizontal="center"/>
    </xf>
    <xf numFmtId="26" fontId="18" fillId="5" borderId="0" xfId="0" applyNumberFormat="1" applyFont="1" applyFill="1" applyAlignment="1"/>
    <xf numFmtId="0" fontId="8" fillId="0" borderId="0" xfId="7" applyFont="1"/>
    <xf numFmtId="0" fontId="8" fillId="0" borderId="0" xfId="7" applyFont="1" applyAlignment="1">
      <alignment horizontal="left"/>
    </xf>
    <xf numFmtId="0" fontId="8" fillId="0" borderId="0" xfId="7" applyFont="1" applyAlignment="1">
      <alignment horizontal="right"/>
    </xf>
    <xf numFmtId="0" fontId="8" fillId="0" borderId="0" xfId="7" applyFont="1" applyBorder="1" applyAlignment="1">
      <alignment vertical="center"/>
    </xf>
    <xf numFmtId="0" fontId="8" fillId="0" borderId="0" xfId="7" applyFont="1" applyFill="1" applyBorder="1" applyAlignment="1" applyProtection="1">
      <alignment horizontal="center" vertical="center"/>
      <protection locked="0"/>
    </xf>
    <xf numFmtId="41" fontId="8" fillId="0" borderId="0" xfId="7" applyNumberFormat="1" applyFont="1" applyBorder="1" applyAlignment="1">
      <alignment vertical="center"/>
    </xf>
    <xf numFmtId="177" fontId="8" fillId="0" borderId="0" xfId="7" applyNumberFormat="1" applyFont="1" applyBorder="1" applyAlignment="1">
      <alignment horizontal="center" vertical="center"/>
    </xf>
    <xf numFmtId="0" fontId="8" fillId="0" borderId="0" xfId="7" applyFont="1" applyBorder="1" applyAlignment="1">
      <alignment horizontal="center" vertical="center"/>
    </xf>
    <xf numFmtId="0" fontId="8" fillId="0" borderId="0" xfId="7" applyFont="1" applyBorder="1"/>
    <xf numFmtId="0" fontId="8" fillId="0" borderId="3" xfId="7" applyFont="1" applyFill="1" applyBorder="1" applyAlignment="1" applyProtection="1">
      <alignment horizontal="left" vertical="center"/>
      <protection locked="0"/>
    </xf>
    <xf numFmtId="0" fontId="10" fillId="0" borderId="1" xfId="7" applyFont="1" applyBorder="1" applyAlignment="1">
      <alignment horizontal="center" vertical="center"/>
    </xf>
    <xf numFmtId="0" fontId="8" fillId="0" borderId="0" xfId="7" applyFont="1" applyAlignment="1">
      <alignment horizontal="center"/>
    </xf>
    <xf numFmtId="0" fontId="8" fillId="0" borderId="0" xfId="7" applyFont="1" applyBorder="1" applyAlignment="1">
      <alignment horizontal="center"/>
    </xf>
    <xf numFmtId="176" fontId="8" fillId="0" borderId="0" xfId="7" applyNumberFormat="1" applyFont="1" applyBorder="1"/>
    <xf numFmtId="177" fontId="8" fillId="0" borderId="0" xfId="7" applyNumberFormat="1" applyFont="1" applyBorder="1"/>
    <xf numFmtId="26" fontId="8" fillId="0" borderId="0" xfId="7" applyNumberFormat="1" applyFont="1" applyBorder="1" applyAlignment="1">
      <alignment horizontal="center"/>
    </xf>
    <xf numFmtId="26" fontId="8" fillId="0" borderId="0" xfId="7" applyNumberFormat="1" applyFont="1" applyBorder="1"/>
    <xf numFmtId="178" fontId="8" fillId="0" borderId="0" xfId="3" applyNumberFormat="1" applyFont="1" applyBorder="1"/>
    <xf numFmtId="176" fontId="8" fillId="0" borderId="0" xfId="7" applyNumberFormat="1" applyFont="1"/>
    <xf numFmtId="177" fontId="8" fillId="0" borderId="0" xfId="7" applyNumberFormat="1" applyFont="1"/>
    <xf numFmtId="26" fontId="8" fillId="0" borderId="0" xfId="7" applyNumberFormat="1" applyFont="1" applyAlignment="1">
      <alignment horizontal="center"/>
    </xf>
    <xf numFmtId="26" fontId="8" fillId="0" borderId="0" xfId="7" applyNumberFormat="1" applyFont="1"/>
    <xf numFmtId="0" fontId="8" fillId="0" borderId="2" xfId="7" applyFont="1" applyBorder="1" applyAlignment="1">
      <alignment horizontal="center"/>
    </xf>
    <xf numFmtId="0" fontId="8" fillId="0" borderId="2" xfId="7" applyFont="1" applyBorder="1"/>
    <xf numFmtId="176" fontId="8" fillId="0" borderId="2" xfId="7" applyNumberFormat="1" applyFont="1" applyBorder="1"/>
    <xf numFmtId="177" fontId="8" fillId="0" borderId="2" xfId="7" applyNumberFormat="1" applyFont="1" applyBorder="1"/>
    <xf numFmtId="26" fontId="8" fillId="0" borderId="2" xfId="7" applyNumberFormat="1" applyFont="1" applyBorder="1" applyAlignment="1">
      <alignment horizontal="center"/>
    </xf>
    <xf numFmtId="26" fontId="8" fillId="0" borderId="2" xfId="7" applyNumberFormat="1" applyFont="1" applyBorder="1"/>
    <xf numFmtId="178" fontId="8" fillId="0" borderId="2" xfId="3" applyNumberFormat="1" applyFont="1" applyBorder="1"/>
    <xf numFmtId="177" fontId="18" fillId="5" borderId="0" xfId="7" applyNumberFormat="1" applyFont="1" applyFill="1" applyAlignment="1"/>
    <xf numFmtId="26" fontId="18" fillId="5" borderId="0" xfId="7" applyNumberFormat="1" applyFont="1" applyFill="1" applyAlignment="1">
      <alignment horizontal="center"/>
    </xf>
    <xf numFmtId="26" fontId="18" fillId="5" borderId="0" xfId="7" applyNumberFormat="1" applyFont="1" applyFill="1" applyAlignment="1"/>
    <xf numFmtId="0" fontId="10" fillId="0" borderId="19" xfId="7" applyFont="1" applyBorder="1" applyAlignment="1">
      <alignment horizontal="center" vertical="center"/>
    </xf>
    <xf numFmtId="0" fontId="13" fillId="0" borderId="0" xfId="7" applyFont="1" applyAlignment="1"/>
    <xf numFmtId="0" fontId="9" fillId="0" borderId="0" xfId="11" applyFont="1" applyFill="1"/>
    <xf numFmtId="0" fontId="12" fillId="0" borderId="0" xfId="11" applyFont="1" applyBorder="1"/>
    <xf numFmtId="0" fontId="12" fillId="0" borderId="3" xfId="11" applyFont="1" applyBorder="1"/>
    <xf numFmtId="0" fontId="9" fillId="0" borderId="3" xfId="11" applyFont="1" applyFill="1" applyBorder="1"/>
    <xf numFmtId="0" fontId="9" fillId="0" borderId="4" xfId="11" applyFont="1" applyFill="1" applyBorder="1"/>
    <xf numFmtId="0" fontId="12" fillId="0" borderId="5" xfId="11" applyFont="1" applyBorder="1"/>
    <xf numFmtId="0" fontId="11" fillId="0" borderId="0" xfId="11" applyFont="1" applyBorder="1"/>
    <xf numFmtId="0" fontId="11" fillId="0" borderId="0" xfId="11" applyFont="1" applyFill="1"/>
    <xf numFmtId="0" fontId="9" fillId="0" borderId="6" xfId="11" applyFont="1" applyFill="1" applyBorder="1"/>
    <xf numFmtId="0" fontId="13" fillId="0" borderId="0" xfId="8" applyNumberFormat="1" applyFont="1" applyFill="1"/>
    <xf numFmtId="181" fontId="9" fillId="0" borderId="0" xfId="11" applyNumberFormat="1" applyFont="1" applyFill="1" applyAlignment="1">
      <alignment horizontal="left"/>
    </xf>
    <xf numFmtId="0" fontId="9" fillId="0" borderId="0" xfId="11" applyFont="1" applyBorder="1"/>
    <xf numFmtId="0" fontId="14" fillId="0" borderId="0" xfId="8" applyNumberFormat="1" applyFont="1" applyFill="1" applyAlignment="1">
      <alignment vertical="center"/>
    </xf>
    <xf numFmtId="181" fontId="9" fillId="0" borderId="1" xfId="11" applyNumberFormat="1" applyFont="1" applyFill="1" applyBorder="1" applyAlignment="1">
      <alignment horizontal="right"/>
    </xf>
    <xf numFmtId="15" fontId="9" fillId="0" borderId="0" xfId="11" applyNumberFormat="1" applyFont="1" applyFill="1"/>
    <xf numFmtId="41" fontId="9" fillId="0" borderId="0" xfId="56" applyFont="1" applyFill="1" applyAlignment="1"/>
    <xf numFmtId="182" fontId="11" fillId="0" borderId="0" xfId="56" applyNumberFormat="1" applyFont="1" applyFill="1" applyAlignment="1">
      <alignment horizontal="center"/>
    </xf>
    <xf numFmtId="182" fontId="9" fillId="0" borderId="0" xfId="56" applyNumberFormat="1" applyFont="1" applyFill="1" applyAlignment="1">
      <alignment horizontal="center"/>
    </xf>
    <xf numFmtId="182" fontId="9" fillId="0" borderId="3" xfId="56" applyNumberFormat="1" applyFont="1" applyFill="1" applyBorder="1" applyAlignment="1">
      <alignment horizontal="center"/>
    </xf>
    <xf numFmtId="0" fontId="9" fillId="0" borderId="0" xfId="8" applyNumberFormat="1" applyFont="1" applyBorder="1"/>
    <xf numFmtId="179" fontId="9" fillId="0" borderId="0" xfId="11" applyNumberFormat="1" applyFont="1" applyFill="1"/>
    <xf numFmtId="0" fontId="9" fillId="0" borderId="1" xfId="11" applyFont="1" applyFill="1" applyBorder="1"/>
    <xf numFmtId="182" fontId="9" fillId="0" borderId="3" xfId="56" applyNumberFormat="1" applyFont="1" applyFill="1" applyBorder="1" applyAlignment="1">
      <alignment horizontal="left"/>
    </xf>
    <xf numFmtId="0" fontId="9" fillId="0" borderId="0" xfId="8" applyNumberFormat="1" applyFont="1" applyFill="1"/>
    <xf numFmtId="182" fontId="9" fillId="0" borderId="0" xfId="56" applyNumberFormat="1" applyFont="1" applyFill="1" applyAlignment="1">
      <alignment horizontal="left"/>
    </xf>
    <xf numFmtId="0" fontId="11" fillId="0" borderId="0" xfId="8" applyNumberFormat="1" applyFont="1" applyFill="1" applyAlignment="1">
      <alignment horizontal="right"/>
    </xf>
    <xf numFmtId="0" fontId="15" fillId="0" borderId="0" xfId="8" applyNumberFormat="1" applyFont="1" applyBorder="1" applyAlignment="1">
      <alignment vertical="center"/>
    </xf>
    <xf numFmtId="0" fontId="11" fillId="0" borderId="0" xfId="11" applyFont="1" applyFill="1" applyAlignment="1">
      <alignment horizontal="right"/>
    </xf>
    <xf numFmtId="183" fontId="9" fillId="0" borderId="0" xfId="11" applyNumberFormat="1" applyFont="1" applyFill="1" applyAlignment="1">
      <alignment horizontal="left"/>
    </xf>
    <xf numFmtId="0" fontId="11" fillId="0" borderId="0" xfId="8" applyNumberFormat="1" applyFont="1" applyFill="1"/>
    <xf numFmtId="0" fontId="11" fillId="0" borderId="0" xfId="11" applyFont="1" applyFill="1" applyAlignment="1">
      <alignment horizontal="center"/>
    </xf>
    <xf numFmtId="0" fontId="12" fillId="0" borderId="31" xfId="11" applyFont="1" applyBorder="1"/>
    <xf numFmtId="0" fontId="14" fillId="0" borderId="7" xfId="8" applyNumberFormat="1" applyFont="1" applyFill="1" applyBorder="1" applyAlignment="1">
      <alignment vertical="center"/>
    </xf>
    <xf numFmtId="184" fontId="9" fillId="0" borderId="0" xfId="56" applyNumberFormat="1" applyFont="1" applyFill="1" applyAlignment="1"/>
    <xf numFmtId="182" fontId="11" fillId="0" borderId="1" xfId="56" applyNumberFormat="1" applyFont="1" applyFill="1" applyBorder="1" applyAlignment="1">
      <alignment horizontal="center"/>
    </xf>
    <xf numFmtId="0" fontId="12" fillId="0" borderId="0" xfId="11" applyFont="1" applyFill="1" applyAlignment="1">
      <alignment horizontal="center"/>
    </xf>
    <xf numFmtId="0" fontId="12" fillId="0" borderId="6" xfId="11" applyFont="1" applyFill="1" applyBorder="1" applyAlignment="1">
      <alignment horizontal="center"/>
    </xf>
    <xf numFmtId="0" fontId="11" fillId="0" borderId="0" xfId="11" applyFont="1" applyBorder="1" applyAlignment="1">
      <alignment horizontal="left"/>
    </xf>
    <xf numFmtId="17" fontId="14" fillId="0" borderId="0" xfId="8" applyNumberFormat="1" applyFont="1" applyFill="1" applyAlignment="1">
      <alignment horizontal="left" vertical="center"/>
    </xf>
    <xf numFmtId="185" fontId="9" fillId="0" borderId="0" xfId="11" applyNumberFormat="1" applyFont="1" applyFill="1" applyAlignment="1">
      <alignment horizontal="center"/>
    </xf>
    <xf numFmtId="0" fontId="14" fillId="0" borderId="0" xfId="8" applyNumberFormat="1" applyFont="1" applyFill="1" applyAlignment="1">
      <alignment horizontal="center" vertical="center"/>
    </xf>
    <xf numFmtId="0" fontId="14" fillId="0" borderId="0" xfId="8" applyNumberFormat="1" applyFont="1" applyFill="1" applyAlignment="1">
      <alignment horizontal="left"/>
    </xf>
    <xf numFmtId="0" fontId="8" fillId="0" borderId="0" xfId="8" applyNumberFormat="1" applyFont="1" applyFill="1"/>
    <xf numFmtId="177" fontId="8" fillId="0" borderId="0" xfId="8" applyNumberFormat="1" applyFont="1" applyFill="1"/>
    <xf numFmtId="26" fontId="8" fillId="0" borderId="0" xfId="8" applyNumberFormat="1" applyFont="1" applyFill="1" applyAlignment="1">
      <alignment horizontal="center"/>
    </xf>
    <xf numFmtId="176" fontId="8" fillId="0" borderId="0" xfId="8" applyNumberFormat="1" applyFont="1" applyFill="1"/>
    <xf numFmtId="26" fontId="8" fillId="0" borderId="0" xfId="8" applyNumberFormat="1" applyFont="1" applyFill="1"/>
    <xf numFmtId="177" fontId="9" fillId="0" borderId="0" xfId="8" applyNumberFormat="1" applyFont="1" applyFill="1"/>
    <xf numFmtId="0" fontId="11" fillId="0" borderId="2" xfId="11" applyFont="1" applyFill="1" applyBorder="1"/>
    <xf numFmtId="0" fontId="11" fillId="0" borderId="2" xfId="8" applyNumberFormat="1" applyFont="1" applyFill="1" applyBorder="1"/>
    <xf numFmtId="0" fontId="11" fillId="0" borderId="2" xfId="56" applyNumberFormat="1" applyFont="1" applyFill="1" applyBorder="1" applyAlignment="1">
      <alignment horizontal="right"/>
    </xf>
    <xf numFmtId="26" fontId="11" fillId="0" borderId="2" xfId="8" applyNumberFormat="1" applyFont="1" applyFill="1" applyBorder="1" applyAlignment="1">
      <alignment horizontal="left"/>
    </xf>
    <xf numFmtId="187" fontId="11" fillId="0" borderId="2" xfId="11" applyNumberFormat="1" applyFont="1" applyFill="1" applyBorder="1"/>
    <xf numFmtId="188" fontId="11" fillId="0" borderId="2" xfId="11" applyNumberFormat="1" applyFont="1" applyFill="1" applyBorder="1"/>
    <xf numFmtId="26" fontId="9" fillId="0" borderId="0" xfId="8" applyNumberFormat="1" applyFont="1" applyFill="1" applyAlignment="1">
      <alignment horizontal="center"/>
    </xf>
    <xf numFmtId="176" fontId="9" fillId="0" borderId="0" xfId="8" applyNumberFormat="1" applyFont="1" applyFill="1"/>
    <xf numFmtId="188" fontId="9" fillId="0" borderId="0" xfId="11" applyNumberFormat="1" applyFont="1" applyFill="1"/>
    <xf numFmtId="0" fontId="12" fillId="0" borderId="1" xfId="11" applyFont="1" applyFill="1" applyBorder="1" applyAlignment="1">
      <alignment horizontal="right"/>
    </xf>
    <xf numFmtId="0" fontId="9" fillId="0" borderId="1" xfId="8" applyNumberFormat="1" applyFont="1" applyFill="1" applyBorder="1" applyAlignment="1">
      <alignment horizontal="center" vertical="center"/>
    </xf>
    <xf numFmtId="0" fontId="13" fillId="0" borderId="0" xfId="7" applyFont="1" applyAlignment="1"/>
    <xf numFmtId="0" fontId="7" fillId="0" borderId="0" xfId="11" applyFont="1" applyFill="1"/>
    <xf numFmtId="0" fontId="9" fillId="0" borderId="0" xfId="11" applyFont="1" applyFill="1"/>
    <xf numFmtId="0" fontId="12" fillId="0" borderId="0" xfId="11" applyFont="1" applyBorder="1"/>
    <xf numFmtId="0" fontId="12" fillId="0" borderId="3" xfId="11" applyFont="1" applyBorder="1"/>
    <xf numFmtId="0" fontId="9" fillId="0" borderId="3" xfId="11" applyFont="1" applyFill="1" applyBorder="1"/>
    <xf numFmtId="0" fontId="9" fillId="0" borderId="4" xfId="11" applyFont="1" applyFill="1" applyBorder="1"/>
    <xf numFmtId="0" fontId="12" fillId="0" borderId="5" xfId="11" applyFont="1" applyBorder="1"/>
    <xf numFmtId="0" fontId="11" fillId="0" borderId="0" xfId="11" applyFont="1" applyBorder="1"/>
    <xf numFmtId="0" fontId="11" fillId="0" borderId="0" xfId="11" applyFont="1" applyFill="1"/>
    <xf numFmtId="0" fontId="9" fillId="0" borderId="6" xfId="11" applyFont="1" applyFill="1" applyBorder="1"/>
    <xf numFmtId="0" fontId="13" fillId="0" borderId="0" xfId="8" applyNumberFormat="1" applyFont="1" applyFill="1"/>
    <xf numFmtId="181" fontId="9" fillId="0" borderId="0" xfId="11" applyNumberFormat="1" applyFont="1" applyFill="1" applyAlignment="1">
      <alignment horizontal="left"/>
    </xf>
    <xf numFmtId="0" fontId="9" fillId="0" borderId="0" xfId="11" applyFont="1" applyBorder="1"/>
    <xf numFmtId="0" fontId="14" fillId="0" borderId="0" xfId="8" applyNumberFormat="1" applyFont="1" applyFill="1" applyAlignment="1">
      <alignment vertical="center"/>
    </xf>
    <xf numFmtId="181" fontId="9" fillId="0" borderId="1" xfId="11" applyNumberFormat="1" applyFont="1" applyFill="1" applyBorder="1" applyAlignment="1">
      <alignment horizontal="right"/>
    </xf>
    <xf numFmtId="15" fontId="9" fillId="0" borderId="0" xfId="11" applyNumberFormat="1" applyFont="1" applyFill="1"/>
    <xf numFmtId="41" fontId="9" fillId="0" borderId="0" xfId="56" applyFont="1" applyFill="1" applyAlignment="1"/>
    <xf numFmtId="182" fontId="11" fillId="0" borderId="0" xfId="56" applyNumberFormat="1" applyFont="1" applyFill="1" applyAlignment="1">
      <alignment horizontal="center"/>
    </xf>
    <xf numFmtId="182" fontId="9" fillId="0" borderId="0" xfId="56" applyNumberFormat="1" applyFont="1" applyFill="1" applyAlignment="1">
      <alignment horizontal="center"/>
    </xf>
    <xf numFmtId="182" fontId="9" fillId="0" borderId="3" xfId="56" applyNumberFormat="1" applyFont="1" applyFill="1" applyBorder="1" applyAlignment="1">
      <alignment horizontal="center"/>
    </xf>
    <xf numFmtId="0" fontId="9" fillId="0" borderId="0" xfId="8" applyNumberFormat="1" applyFont="1" applyBorder="1"/>
    <xf numFmtId="179" fontId="9" fillId="0" borderId="0" xfId="11" applyNumberFormat="1" applyFont="1" applyFill="1"/>
    <xf numFmtId="0" fontId="9" fillId="0" borderId="1" xfId="11" applyFont="1" applyFill="1" applyBorder="1"/>
    <xf numFmtId="182" fontId="9" fillId="0" borderId="3" xfId="56" applyNumberFormat="1" applyFont="1" applyFill="1" applyBorder="1" applyAlignment="1">
      <alignment horizontal="left"/>
    </xf>
    <xf numFmtId="0" fontId="9" fillId="0" borderId="0" xfId="8" applyNumberFormat="1" applyFont="1" applyFill="1"/>
    <xf numFmtId="182" fontId="9" fillId="0" borderId="0" xfId="56" applyNumberFormat="1" applyFont="1" applyFill="1" applyAlignment="1">
      <alignment horizontal="left"/>
    </xf>
    <xf numFmtId="0" fontId="11" fillId="0" borderId="0" xfId="8" applyNumberFormat="1" applyFont="1" applyFill="1" applyAlignment="1">
      <alignment horizontal="right"/>
    </xf>
    <xf numFmtId="183" fontId="9" fillId="38" borderId="0" xfId="11" applyNumberFormat="1" applyFont="1" applyFill="1" applyAlignment="1">
      <alignment horizontal="left"/>
    </xf>
    <xf numFmtId="0" fontId="15" fillId="0" borderId="0" xfId="8" applyNumberFormat="1" applyFont="1" applyBorder="1" applyAlignment="1">
      <alignment vertical="center"/>
    </xf>
    <xf numFmtId="0" fontId="11" fillId="0" borderId="0" xfId="11" applyFont="1" applyFill="1" applyAlignment="1">
      <alignment horizontal="right"/>
    </xf>
    <xf numFmtId="183" fontId="9" fillId="0" borderId="0" xfId="11" applyNumberFormat="1" applyFont="1" applyFill="1" applyAlignment="1">
      <alignment horizontal="left"/>
    </xf>
    <xf numFmtId="0" fontId="11" fillId="0" borderId="0" xfId="8" applyNumberFormat="1" applyFont="1" applyFill="1"/>
    <xf numFmtId="0" fontId="11" fillId="0" borderId="0" xfId="11" applyFont="1" applyFill="1" applyAlignment="1">
      <alignment horizontal="center"/>
    </xf>
    <xf numFmtId="0" fontId="12" fillId="0" borderId="31" xfId="11" applyFont="1" applyBorder="1"/>
    <xf numFmtId="0" fontId="14" fillId="0" borderId="7" xfId="8" applyNumberFormat="1" applyFont="1" applyFill="1" applyBorder="1" applyAlignment="1">
      <alignment vertical="center"/>
    </xf>
    <xf numFmtId="184" fontId="9" fillId="0" borderId="0" xfId="56" applyNumberFormat="1" applyFont="1" applyFill="1" applyAlignment="1"/>
    <xf numFmtId="182" fontId="11" fillId="0" borderId="1" xfId="56" applyNumberFormat="1" applyFont="1" applyFill="1" applyBorder="1" applyAlignment="1">
      <alignment horizontal="center"/>
    </xf>
    <xf numFmtId="0" fontId="12" fillId="0" borderId="0" xfId="11" applyFont="1" applyFill="1" applyAlignment="1">
      <alignment horizontal="center"/>
    </xf>
    <xf numFmtId="0" fontId="12" fillId="0" borderId="6" xfId="11" applyFont="1" applyFill="1" applyBorder="1" applyAlignment="1">
      <alignment horizontal="center"/>
    </xf>
    <xf numFmtId="0" fontId="11" fillId="0" borderId="0" xfId="11" applyFont="1" applyBorder="1" applyAlignment="1">
      <alignment horizontal="left"/>
    </xf>
    <xf numFmtId="17" fontId="14" fillId="0" borderId="0" xfId="8" applyNumberFormat="1" applyFont="1" applyFill="1" applyAlignment="1">
      <alignment horizontal="left" vertical="center"/>
    </xf>
    <xf numFmtId="185" fontId="9" fillId="0" borderId="0" xfId="11" applyNumberFormat="1" applyFont="1" applyFill="1" applyAlignment="1">
      <alignment horizontal="center"/>
    </xf>
    <xf numFmtId="0" fontId="14" fillId="0" borderId="0" xfId="8" applyNumberFormat="1" applyFont="1" applyFill="1" applyAlignment="1">
      <alignment horizontal="center" vertical="center"/>
    </xf>
    <xf numFmtId="0" fontId="14" fillId="0" borderId="0" xfId="8" applyNumberFormat="1" applyFont="1" applyFill="1" applyAlignment="1">
      <alignment horizontal="left"/>
    </xf>
    <xf numFmtId="0" fontId="8" fillId="0" borderId="0" xfId="8" applyNumberFormat="1" applyFont="1" applyFill="1"/>
    <xf numFmtId="177" fontId="8" fillId="0" borderId="0" xfId="8" applyNumberFormat="1" applyFont="1" applyFill="1"/>
    <xf numFmtId="26" fontId="8" fillId="0" borderId="0" xfId="8" applyNumberFormat="1" applyFont="1" applyFill="1" applyAlignment="1">
      <alignment horizontal="center"/>
    </xf>
    <xf numFmtId="176" fontId="8" fillId="0" borderId="0" xfId="8" applyNumberFormat="1" applyFont="1" applyFill="1"/>
    <xf numFmtId="26" fontId="8" fillId="0" borderId="0" xfId="8" applyNumberFormat="1" applyFont="1" applyFill="1"/>
    <xf numFmtId="177" fontId="9" fillId="0" borderId="0" xfId="8" applyNumberFormat="1" applyFont="1" applyFill="1"/>
    <xf numFmtId="0" fontId="11" fillId="0" borderId="2" xfId="11" applyFont="1" applyFill="1" applyBorder="1"/>
    <xf numFmtId="0" fontId="11" fillId="0" borderId="2" xfId="8" applyNumberFormat="1" applyFont="1" applyFill="1" applyBorder="1"/>
    <xf numFmtId="0" fontId="11" fillId="0" borderId="2" xfId="56" applyNumberFormat="1" applyFont="1" applyFill="1" applyBorder="1" applyAlignment="1">
      <alignment horizontal="right"/>
    </xf>
    <xf numFmtId="26" fontId="11" fillId="0" borderId="2" xfId="8" applyNumberFormat="1" applyFont="1" applyFill="1" applyBorder="1" applyAlignment="1">
      <alignment horizontal="left"/>
    </xf>
    <xf numFmtId="187" fontId="11" fillId="0" borderId="2" xfId="11" applyNumberFormat="1" applyFont="1" applyFill="1" applyBorder="1"/>
    <xf numFmtId="188" fontId="11" fillId="0" borderId="2" xfId="11" applyNumberFormat="1" applyFont="1" applyFill="1" applyBorder="1"/>
    <xf numFmtId="26" fontId="9" fillId="0" borderId="0" xfId="8" applyNumberFormat="1" applyFont="1" applyFill="1" applyAlignment="1">
      <alignment horizontal="center"/>
    </xf>
    <xf numFmtId="176" fontId="9" fillId="0" borderId="0" xfId="8" applyNumberFormat="1" applyFont="1" applyFill="1"/>
    <xf numFmtId="188" fontId="9" fillId="0" borderId="0" xfId="11" applyNumberFormat="1" applyFont="1" applyFill="1"/>
    <xf numFmtId="0" fontId="12" fillId="0" borderId="1" xfId="11" applyFont="1" applyFill="1" applyBorder="1" applyAlignment="1">
      <alignment horizontal="right"/>
    </xf>
    <xf numFmtId="0" fontId="9" fillId="0" borderId="1" xfId="8" applyNumberFormat="1" applyFont="1" applyFill="1" applyBorder="1" applyAlignment="1">
      <alignment horizontal="center" vertical="center"/>
    </xf>
    <xf numFmtId="14" fontId="8" fillId="0" borderId="0" xfId="0" applyNumberFormat="1" applyFont="1" applyBorder="1" applyAlignment="1">
      <alignment horizontal="center" vertical="center"/>
    </xf>
    <xf numFmtId="0" fontId="13" fillId="0" borderId="0" xfId="7" applyFont="1" applyAlignment="1"/>
    <xf numFmtId="0" fontId="9" fillId="0" borderId="0" xfId="11" applyFont="1" applyFill="1"/>
    <xf numFmtId="0" fontId="12" fillId="0" borderId="0" xfId="11" applyFont="1" applyBorder="1"/>
    <xf numFmtId="0" fontId="9" fillId="0" borderId="6" xfId="11" applyFont="1" applyFill="1" applyBorder="1"/>
    <xf numFmtId="0" fontId="11" fillId="0" borderId="0" xfId="8" applyNumberFormat="1" applyFont="1" applyBorder="1"/>
    <xf numFmtId="0" fontId="9" fillId="0" borderId="0" xfId="8" applyNumberFormat="1" applyFont="1" applyBorder="1"/>
    <xf numFmtId="0" fontId="9" fillId="0" borderId="1" xfId="11" applyFont="1" applyFill="1" applyBorder="1"/>
    <xf numFmtId="0" fontId="9" fillId="0" borderId="9" xfId="11" applyFont="1" applyFill="1" applyBorder="1"/>
    <xf numFmtId="0" fontId="9" fillId="0" borderId="0" xfId="11" applyFont="1" applyFill="1" applyBorder="1"/>
    <xf numFmtId="0" fontId="12" fillId="0" borderId="1" xfId="11" applyFont="1" applyBorder="1"/>
    <xf numFmtId="0" fontId="9" fillId="0" borderId="1" xfId="11" applyFont="1" applyBorder="1"/>
    <xf numFmtId="0" fontId="13" fillId="0" borderId="0" xfId="7" applyFont="1" applyAlignment="1"/>
    <xf numFmtId="0" fontId="9" fillId="0" borderId="0" xfId="11" applyFont="1" applyFill="1"/>
    <xf numFmtId="0" fontId="12" fillId="0" borderId="0" xfId="11" applyFont="1" applyBorder="1"/>
    <xf numFmtId="0" fontId="9" fillId="0" borderId="6" xfId="11" applyFont="1" applyFill="1" applyBorder="1"/>
    <xf numFmtId="0" fontId="11" fillId="0" borderId="0" xfId="8" applyNumberFormat="1" applyFont="1" applyBorder="1"/>
    <xf numFmtId="0" fontId="9" fillId="0" borderId="0" xfId="8" applyNumberFormat="1" applyFont="1" applyBorder="1"/>
    <xf numFmtId="0" fontId="9" fillId="0" borderId="1" xfId="11" applyFont="1" applyFill="1" applyBorder="1"/>
    <xf numFmtId="0" fontId="9" fillId="0" borderId="9" xfId="11" applyFont="1" applyFill="1" applyBorder="1"/>
    <xf numFmtId="0" fontId="9" fillId="0" borderId="0" xfId="11" applyFont="1" applyFill="1" applyBorder="1"/>
    <xf numFmtId="0" fontId="12" fillId="0" borderId="1" xfId="11" applyFont="1" applyBorder="1"/>
    <xf numFmtId="0" fontId="9" fillId="0" borderId="1" xfId="11" applyFont="1" applyBorder="1"/>
    <xf numFmtId="0" fontId="13" fillId="0" borderId="0" xfId="7" applyFont="1" applyAlignment="1"/>
    <xf numFmtId="0" fontId="9" fillId="0" borderId="0" xfId="11" applyFont="1" applyFill="1"/>
    <xf numFmtId="0" fontId="12" fillId="0" borderId="0" xfId="11" applyFont="1" applyBorder="1"/>
    <xf numFmtId="0" fontId="9" fillId="0" borderId="6" xfId="11" applyFont="1" applyFill="1" applyBorder="1"/>
    <xf numFmtId="0" fontId="11" fillId="0" borderId="0" xfId="8" applyNumberFormat="1" applyFont="1" applyBorder="1"/>
    <xf numFmtId="0" fontId="9" fillId="0" borderId="0" xfId="8" applyNumberFormat="1" applyFont="1" applyBorder="1"/>
    <xf numFmtId="0" fontId="9" fillId="0" borderId="1" xfId="11" applyFont="1" applyFill="1" applyBorder="1"/>
    <xf numFmtId="0" fontId="9" fillId="0" borderId="9" xfId="11" applyFont="1" applyFill="1" applyBorder="1"/>
    <xf numFmtId="0" fontId="9" fillId="0" borderId="0" xfId="11" applyFont="1" applyFill="1" applyBorder="1"/>
    <xf numFmtId="0" fontId="12" fillId="0" borderId="1" xfId="11" applyFont="1" applyBorder="1"/>
    <xf numFmtId="0" fontId="9" fillId="0" borderId="1" xfId="11" applyFont="1" applyBorder="1"/>
    <xf numFmtId="0" fontId="13" fillId="0" borderId="0" xfId="7" applyFont="1" applyAlignment="1"/>
    <xf numFmtId="0" fontId="9" fillId="0" borderId="0" xfId="11" applyFont="1" applyFill="1"/>
    <xf numFmtId="0" fontId="12" fillId="0" borderId="0" xfId="11" applyFont="1" applyBorder="1"/>
    <xf numFmtId="0" fontId="9" fillId="0" borderId="6" xfId="11" applyFont="1" applyFill="1" applyBorder="1"/>
    <xf numFmtId="0" fontId="11" fillId="0" borderId="0" xfId="8" applyNumberFormat="1" applyFont="1" applyBorder="1"/>
    <xf numFmtId="0" fontId="9" fillId="0" borderId="0" xfId="8" applyNumberFormat="1" applyFont="1" applyBorder="1"/>
    <xf numFmtId="0" fontId="9" fillId="0" borderId="1" xfId="11" applyFont="1" applyFill="1" applyBorder="1"/>
    <xf numFmtId="0" fontId="9" fillId="0" borderId="9" xfId="11" applyFont="1" applyFill="1" applyBorder="1"/>
    <xf numFmtId="0" fontId="9" fillId="0" borderId="0" xfId="11" applyFont="1" applyFill="1" applyBorder="1"/>
    <xf numFmtId="0" fontId="12" fillId="0" borderId="1" xfId="11" applyFont="1" applyBorder="1"/>
    <xf numFmtId="0" fontId="9" fillId="0" borderId="1" xfId="11" applyFont="1" applyBorder="1"/>
    <xf numFmtId="0" fontId="13" fillId="0" borderId="0" xfId="7" applyFont="1" applyAlignment="1"/>
    <xf numFmtId="0" fontId="9" fillId="0" borderId="0" xfId="11" applyFont="1" applyFill="1"/>
    <xf numFmtId="0" fontId="12" fillId="0" borderId="0" xfId="11" applyFont="1" applyBorder="1"/>
    <xf numFmtId="0" fontId="9" fillId="0" borderId="6" xfId="11" applyFont="1" applyFill="1" applyBorder="1"/>
    <xf numFmtId="0" fontId="11" fillId="0" borderId="0" xfId="8" applyNumberFormat="1" applyFont="1" applyBorder="1"/>
    <xf numFmtId="0" fontId="9" fillId="0" borderId="0" xfId="8" applyNumberFormat="1" applyFont="1" applyBorder="1"/>
    <xf numFmtId="0" fontId="9" fillId="0" borderId="1" xfId="11" applyFont="1" applyFill="1" applyBorder="1"/>
    <xf numFmtId="0" fontId="9" fillId="0" borderId="9" xfId="11" applyFont="1" applyFill="1" applyBorder="1"/>
    <xf numFmtId="0" fontId="9" fillId="0" borderId="0" xfId="11" applyFont="1" applyFill="1" applyBorder="1"/>
    <xf numFmtId="0" fontId="12" fillId="0" borderId="1" xfId="11" applyFont="1" applyBorder="1"/>
    <xf numFmtId="0" fontId="9" fillId="0" borderId="1" xfId="11" applyFont="1" applyBorder="1"/>
    <xf numFmtId="0" fontId="13" fillId="0" borderId="0" xfId="7" applyFont="1" applyAlignment="1"/>
    <xf numFmtId="0" fontId="9" fillId="0" borderId="0" xfId="11" applyFont="1" applyFill="1"/>
    <xf numFmtId="0" fontId="12" fillId="0" borderId="0" xfId="11" applyFont="1" applyBorder="1"/>
    <xf numFmtId="0" fontId="9" fillId="0" borderId="6" xfId="11" applyFont="1" applyFill="1" applyBorder="1"/>
    <xf numFmtId="0" fontId="11" fillId="0" borderId="0" xfId="8" applyNumberFormat="1" applyFont="1" applyBorder="1"/>
    <xf numFmtId="0" fontId="9" fillId="0" borderId="0" xfId="8" applyNumberFormat="1" applyFont="1" applyBorder="1"/>
    <xf numFmtId="0" fontId="9" fillId="0" borderId="1" xfId="11" applyFont="1" applyFill="1" applyBorder="1"/>
    <xf numFmtId="0" fontId="9" fillId="0" borderId="9" xfId="11" applyFont="1" applyFill="1" applyBorder="1"/>
    <xf numFmtId="0" fontId="9" fillId="0" borderId="0" xfId="11" applyFont="1" applyFill="1" applyBorder="1"/>
    <xf numFmtId="0" fontId="12" fillId="0" borderId="1" xfId="11" applyFont="1" applyBorder="1"/>
    <xf numFmtId="0" fontId="9" fillId="0" borderId="1" xfId="11" applyFont="1" applyBorder="1"/>
    <xf numFmtId="0" fontId="13" fillId="0" borderId="0" xfId="7" applyFont="1" applyAlignment="1"/>
    <xf numFmtId="0" fontId="9" fillId="0" borderId="0" xfId="11" applyFont="1" applyFill="1"/>
    <xf numFmtId="0" fontId="12" fillId="0" borderId="0" xfId="11" applyFont="1" applyBorder="1"/>
    <xf numFmtId="0" fontId="9" fillId="0" borderId="6" xfId="11" applyFont="1" applyFill="1" applyBorder="1"/>
    <xf numFmtId="0" fontId="11" fillId="0" borderId="0" xfId="8" applyNumberFormat="1" applyFont="1" applyBorder="1"/>
    <xf numFmtId="0" fontId="9" fillId="0" borderId="0" xfId="8" applyNumberFormat="1" applyFont="1" applyBorder="1"/>
    <xf numFmtId="0" fontId="9" fillId="0" borderId="1" xfId="11" applyFont="1" applyFill="1" applyBorder="1"/>
    <xf numFmtId="0" fontId="9" fillId="0" borderId="9" xfId="11" applyFont="1" applyFill="1" applyBorder="1"/>
    <xf numFmtId="0" fontId="9" fillId="0" borderId="0" xfId="11" applyFont="1" applyFill="1" applyBorder="1"/>
    <xf numFmtId="0" fontId="12" fillId="0" borderId="1" xfId="11" applyFont="1" applyBorder="1"/>
    <xf numFmtId="0" fontId="9" fillId="0" borderId="1" xfId="11" applyFont="1" applyBorder="1"/>
    <xf numFmtId="0" fontId="13" fillId="0" borderId="0" xfId="7" applyFont="1" applyAlignment="1"/>
    <xf numFmtId="0" fontId="9" fillId="0" borderId="0" xfId="11" applyFont="1" applyFill="1"/>
    <xf numFmtId="0" fontId="12" fillId="0" borderId="0" xfId="11" applyFont="1" applyBorder="1"/>
    <xf numFmtId="0" fontId="9" fillId="0" borderId="6" xfId="11" applyFont="1" applyFill="1" applyBorder="1"/>
    <xf numFmtId="0" fontId="11" fillId="0" borderId="0" xfId="8" applyNumberFormat="1" applyFont="1" applyBorder="1"/>
    <xf numFmtId="0" fontId="9" fillId="0" borderId="0" xfId="8" applyNumberFormat="1" applyFont="1" applyBorder="1"/>
    <xf numFmtId="0" fontId="9" fillId="0" borderId="1" xfId="11" applyFont="1" applyFill="1" applyBorder="1"/>
    <xf numFmtId="0" fontId="9" fillId="0" borderId="9" xfId="11" applyFont="1" applyFill="1" applyBorder="1"/>
    <xf numFmtId="0" fontId="9" fillId="0" borderId="0" xfId="11" applyFont="1" applyFill="1" applyBorder="1"/>
    <xf numFmtId="0" fontId="12" fillId="0" borderId="1" xfId="11" applyFont="1" applyBorder="1"/>
    <xf numFmtId="0" fontId="9" fillId="0" borderId="1" xfId="11" applyFont="1" applyBorder="1"/>
    <xf numFmtId="0" fontId="13" fillId="0" borderId="0" xfId="7" applyFont="1" applyAlignment="1"/>
    <xf numFmtId="0" fontId="9" fillId="0" borderId="0" xfId="11" applyFont="1" applyFill="1"/>
    <xf numFmtId="0" fontId="12" fillId="0" borderId="0" xfId="11" applyFont="1" applyBorder="1"/>
    <xf numFmtId="0" fontId="9" fillId="0" borderId="6" xfId="11" applyFont="1" applyFill="1" applyBorder="1"/>
    <xf numFmtId="0" fontId="11" fillId="0" borderId="0" xfId="8" applyNumberFormat="1" applyFont="1" applyBorder="1"/>
    <xf numFmtId="0" fontId="9" fillId="0" borderId="0" xfId="8" applyNumberFormat="1" applyFont="1" applyBorder="1"/>
    <xf numFmtId="0" fontId="9" fillId="0" borderId="1" xfId="11" applyFont="1" applyFill="1" applyBorder="1"/>
    <xf numFmtId="0" fontId="9" fillId="0" borderId="9" xfId="11" applyFont="1" applyFill="1" applyBorder="1"/>
    <xf numFmtId="0" fontId="9" fillId="0" borderId="0" xfId="11" applyFont="1" applyFill="1" applyBorder="1"/>
    <xf numFmtId="0" fontId="12" fillId="0" borderId="1" xfId="11" applyFont="1" applyBorder="1"/>
    <xf numFmtId="0" fontId="9" fillId="0" borderId="1" xfId="11" applyFont="1" applyBorder="1"/>
    <xf numFmtId="0" fontId="13" fillId="0" borderId="0" xfId="7" applyFont="1" applyAlignment="1"/>
    <xf numFmtId="0" fontId="9" fillId="0" borderId="0" xfId="11" applyFont="1" applyFill="1"/>
    <xf numFmtId="0" fontId="12" fillId="0" borderId="0" xfId="11" applyFont="1" applyBorder="1"/>
    <xf numFmtId="0" fontId="9" fillId="0" borderId="6" xfId="11" applyFont="1" applyFill="1" applyBorder="1"/>
    <xf numFmtId="0" fontId="11" fillId="0" borderId="0" xfId="8" applyNumberFormat="1" applyFont="1" applyBorder="1"/>
    <xf numFmtId="0" fontId="9" fillId="0" borderId="0" xfId="8" applyNumberFormat="1" applyFont="1" applyBorder="1"/>
    <xf numFmtId="0" fontId="9" fillId="0" borderId="1" xfId="11" applyFont="1" applyFill="1" applyBorder="1"/>
    <xf numFmtId="0" fontId="9" fillId="0" borderId="9" xfId="11" applyFont="1" applyFill="1" applyBorder="1"/>
    <xf numFmtId="0" fontId="9" fillId="0" borderId="0" xfId="11" applyFont="1" applyFill="1" applyBorder="1"/>
    <xf numFmtId="0" fontId="12" fillId="0" borderId="1" xfId="11" applyFont="1" applyBorder="1"/>
    <xf numFmtId="0" fontId="9" fillId="0" borderId="1" xfId="11" applyFont="1" applyBorder="1"/>
    <xf numFmtId="0" fontId="13" fillId="0" borderId="0" xfId="7" applyFont="1" applyAlignment="1"/>
    <xf numFmtId="0" fontId="9" fillId="0" borderId="0" xfId="11" applyFont="1" applyFill="1"/>
    <xf numFmtId="0" fontId="12" fillId="0" borderId="0" xfId="11" applyFont="1" applyBorder="1"/>
    <xf numFmtId="0" fontId="9" fillId="0" borderId="6" xfId="11" applyFont="1" applyFill="1" applyBorder="1"/>
    <xf numFmtId="0" fontId="11" fillId="0" borderId="0" xfId="8" applyNumberFormat="1" applyFont="1" applyBorder="1"/>
    <xf numFmtId="0" fontId="9" fillId="0" borderId="0" xfId="8" applyNumberFormat="1" applyFont="1" applyBorder="1"/>
    <xf numFmtId="0" fontId="9" fillId="0" borderId="1" xfId="11" applyFont="1" applyFill="1" applyBorder="1"/>
    <xf numFmtId="0" fontId="9" fillId="0" borderId="9" xfId="11" applyFont="1" applyFill="1" applyBorder="1"/>
    <xf numFmtId="0" fontId="9" fillId="0" borderId="0" xfId="11" applyFont="1" applyFill="1" applyBorder="1"/>
    <xf numFmtId="0" fontId="12" fillId="0" borderId="1" xfId="11" applyFont="1" applyBorder="1"/>
    <xf numFmtId="0" fontId="9" fillId="0" borderId="1" xfId="11" applyFont="1" applyBorder="1"/>
    <xf numFmtId="0" fontId="13" fillId="0" borderId="0" xfId="7" applyFont="1" applyAlignment="1"/>
    <xf numFmtId="0" fontId="9" fillId="0" borderId="0" xfId="11" applyFont="1" applyFill="1"/>
    <xf numFmtId="0" fontId="12" fillId="0" borderId="0" xfId="11" applyFont="1" applyBorder="1"/>
    <xf numFmtId="0" fontId="9" fillId="0" borderId="6" xfId="11" applyFont="1" applyFill="1" applyBorder="1"/>
    <xf numFmtId="0" fontId="11" fillId="0" borderId="0" xfId="8" applyNumberFormat="1" applyFont="1" applyBorder="1"/>
    <xf numFmtId="0" fontId="9" fillId="0" borderId="0" xfId="8" applyNumberFormat="1" applyFont="1" applyBorder="1"/>
    <xf numFmtId="0" fontId="9" fillId="0" borderId="1" xfId="11" applyFont="1" applyFill="1" applyBorder="1"/>
    <xf numFmtId="0" fontId="9" fillId="0" borderId="9" xfId="11" applyFont="1" applyFill="1" applyBorder="1"/>
    <xf numFmtId="0" fontId="9" fillId="0" borderId="0" xfId="11" applyFont="1" applyFill="1" applyBorder="1"/>
    <xf numFmtId="0" fontId="12" fillId="0" borderId="1" xfId="11" applyFont="1" applyBorder="1"/>
    <xf numFmtId="0" fontId="9" fillId="0" borderId="1" xfId="11" applyFont="1" applyBorder="1"/>
    <xf numFmtId="0" fontId="13" fillId="0" borderId="0" xfId="7" applyFont="1" applyAlignment="1"/>
    <xf numFmtId="0" fontId="9" fillId="0" borderId="0" xfId="11" applyFont="1" applyFill="1"/>
    <xf numFmtId="0" fontId="12" fillId="0" borderId="0" xfId="11" applyFont="1" applyBorder="1"/>
    <xf numFmtId="0" fontId="9" fillId="0" borderId="6" xfId="11" applyFont="1" applyFill="1" applyBorder="1"/>
    <xf numFmtId="0" fontId="11" fillId="0" borderId="0" xfId="8" applyNumberFormat="1" applyFont="1" applyBorder="1"/>
    <xf numFmtId="0" fontId="9" fillId="0" borderId="0" xfId="8" applyNumberFormat="1" applyFont="1" applyBorder="1"/>
    <xf numFmtId="0" fontId="9" fillId="0" borderId="1" xfId="11" applyFont="1" applyFill="1" applyBorder="1"/>
    <xf numFmtId="0" fontId="9" fillId="0" borderId="9" xfId="11" applyFont="1" applyFill="1" applyBorder="1"/>
    <xf numFmtId="0" fontId="9" fillId="0" borderId="0" xfId="11" applyFont="1" applyFill="1" applyBorder="1"/>
    <xf numFmtId="0" fontId="12" fillId="0" borderId="1" xfId="11" applyFont="1" applyBorder="1"/>
    <xf numFmtId="0" fontId="9" fillId="0" borderId="1" xfId="11" applyFont="1" applyBorder="1"/>
    <xf numFmtId="0" fontId="13" fillId="0" borderId="0" xfId="7" applyFont="1" applyAlignment="1"/>
    <xf numFmtId="0" fontId="9" fillId="0" borderId="0" xfId="11" applyFont="1" applyFill="1"/>
    <xf numFmtId="0" fontId="9" fillId="0" borderId="6" xfId="11" applyFont="1" applyFill="1" applyBorder="1"/>
    <xf numFmtId="0" fontId="11" fillId="0" borderId="0" xfId="8" applyNumberFormat="1" applyFont="1" applyBorder="1"/>
    <xf numFmtId="0" fontId="9" fillId="0" borderId="0" xfId="8" applyNumberFormat="1" applyFont="1" applyBorder="1"/>
    <xf numFmtId="0" fontId="9" fillId="0" borderId="1" xfId="11" applyFont="1" applyFill="1" applyBorder="1"/>
    <xf numFmtId="0" fontId="9" fillId="0" borderId="9" xfId="11" applyFont="1" applyFill="1" applyBorder="1"/>
    <xf numFmtId="0" fontId="9" fillId="0" borderId="0" xfId="11" applyFont="1" applyFill="1" applyBorder="1"/>
    <xf numFmtId="0" fontId="12" fillId="0" borderId="1" xfId="11" applyFont="1" applyBorder="1"/>
    <xf numFmtId="0" fontId="9" fillId="0" borderId="1" xfId="11" applyFont="1" applyBorder="1"/>
    <xf numFmtId="0" fontId="4" fillId="3" borderId="0" xfId="0" applyFont="1" applyFill="1" applyBorder="1" applyAlignment="1">
      <alignment horizontal="center"/>
    </xf>
    <xf numFmtId="0" fontId="0" fillId="0" borderId="0" xfId="0" applyAlignment="1"/>
    <xf numFmtId="0" fontId="12" fillId="0" borderId="3" xfId="11" applyFont="1" applyFill="1" applyBorder="1" applyAlignment="1">
      <alignment horizontal="center"/>
    </xf>
    <xf numFmtId="0" fontId="12" fillId="0" borderId="4" xfId="11" applyFont="1" applyFill="1" applyBorder="1" applyAlignment="1">
      <alignment horizontal="center"/>
    </xf>
    <xf numFmtId="0" fontId="12" fillId="0" borderId="5" xfId="11" applyFont="1" applyFill="1" applyBorder="1" applyAlignment="1">
      <alignment horizontal="center"/>
    </xf>
    <xf numFmtId="0" fontId="6" fillId="0" borderId="0" xfId="11" applyFont="1" applyFill="1" applyAlignment="1">
      <alignment horizontal="center"/>
    </xf>
    <xf numFmtId="0" fontId="9" fillId="0" borderId="1" xfId="11" applyFont="1" applyFill="1" applyBorder="1" applyAlignment="1">
      <alignment horizontal="center"/>
    </xf>
    <xf numFmtId="0" fontId="9" fillId="0" borderId="9" xfId="11" applyFont="1" applyFill="1" applyBorder="1" applyAlignment="1">
      <alignment horizontal="center"/>
    </xf>
    <xf numFmtId="0" fontId="14" fillId="0" borderId="8" xfId="8" applyNumberFormat="1" applyFont="1" applyFill="1" applyBorder="1" applyAlignment="1">
      <alignment horizontal="center" vertical="center"/>
    </xf>
    <xf numFmtId="0" fontId="14" fillId="0" borderId="1" xfId="8" applyNumberFormat="1" applyFont="1" applyFill="1" applyBorder="1" applyAlignment="1">
      <alignment horizontal="center" vertical="center"/>
    </xf>
    <xf numFmtId="0" fontId="14" fillId="0" borderId="9" xfId="8" applyNumberFormat="1" applyFont="1" applyFill="1" applyBorder="1" applyAlignment="1">
      <alignment horizontal="center" vertical="center"/>
    </xf>
    <xf numFmtId="0" fontId="9" fillId="0" borderId="1" xfId="11" applyFont="1" applyFill="1" applyBorder="1" applyAlignment="1">
      <alignment horizontal="center" wrapText="1"/>
    </xf>
    <xf numFmtId="0" fontId="9" fillId="0" borderId="9" xfId="11" applyFont="1" applyFill="1" applyBorder="1" applyAlignment="1">
      <alignment horizontal="center" wrapText="1"/>
    </xf>
    <xf numFmtId="181" fontId="9" fillId="0" borderId="8" xfId="11" applyNumberFormat="1" applyFont="1" applyFill="1" applyBorder="1" applyAlignment="1">
      <alignment horizontal="center"/>
    </xf>
    <xf numFmtId="181" fontId="9" fillId="0" borderId="1" xfId="11" applyNumberFormat="1" applyFont="1" applyFill="1" applyBorder="1" applyAlignment="1">
      <alignment horizontal="center"/>
    </xf>
    <xf numFmtId="181" fontId="9" fillId="0" borderId="9" xfId="11" applyNumberFormat="1" applyFont="1" applyFill="1" applyBorder="1" applyAlignment="1">
      <alignment horizontal="center"/>
    </xf>
    <xf numFmtId="0" fontId="6" fillId="0" borderId="1" xfId="11" applyFont="1" applyBorder="1" applyAlignment="1">
      <alignment horizontal="center"/>
    </xf>
    <xf numFmtId="0" fontId="9" fillId="0" borderId="1" xfId="11" applyFont="1" applyBorder="1" applyAlignment="1">
      <alignment horizontal="center"/>
    </xf>
    <xf numFmtId="0" fontId="9" fillId="0" borderId="32" xfId="11" applyFont="1" applyBorder="1" applyAlignment="1">
      <alignment horizontal="center"/>
    </xf>
    <xf numFmtId="0" fontId="14" fillId="0" borderId="33" xfId="8" applyNumberFormat="1" applyFont="1" applyBorder="1" applyAlignment="1">
      <alignment horizontal="center" vertical="center"/>
    </xf>
    <xf numFmtId="0" fontId="14" fillId="0" borderId="1" xfId="8" applyNumberFormat="1" applyFont="1" applyBorder="1" applyAlignment="1">
      <alignment horizontal="center" vertical="center"/>
    </xf>
    <xf numFmtId="0" fontId="14" fillId="0" borderId="32" xfId="8" applyNumberFormat="1" applyFont="1" applyBorder="1" applyAlignment="1">
      <alignment horizontal="center" vertical="center"/>
    </xf>
    <xf numFmtId="0" fontId="9" fillId="0" borderId="1" xfId="11" applyFont="1" applyBorder="1" applyAlignment="1">
      <alignment horizontal="center" wrapText="1"/>
    </xf>
    <xf numFmtId="0" fontId="9" fillId="0" borderId="32" xfId="11" applyFont="1" applyBorder="1" applyAlignment="1">
      <alignment horizontal="center" wrapText="1"/>
    </xf>
    <xf numFmtId="181" fontId="9" fillId="0" borderId="33" xfId="11" applyNumberFormat="1" applyFont="1" applyBorder="1" applyAlignment="1">
      <alignment horizontal="center"/>
    </xf>
    <xf numFmtId="181" fontId="9" fillId="0" borderId="1" xfId="11" applyNumberFormat="1" applyFont="1" applyBorder="1" applyAlignment="1">
      <alignment horizontal="center"/>
    </xf>
    <xf numFmtId="181" fontId="9" fillId="0" borderId="32" xfId="11" applyNumberFormat="1" applyFont="1" applyBorder="1" applyAlignment="1">
      <alignment horizontal="center"/>
    </xf>
    <xf numFmtId="0" fontId="9" fillId="0" borderId="12" xfId="11" applyFont="1" applyBorder="1" applyAlignment="1">
      <alignment horizontal="left" vertical="center"/>
    </xf>
    <xf numFmtId="0" fontId="9" fillId="0" borderId="19" xfId="11" applyFont="1" applyBorder="1" applyAlignment="1">
      <alignment horizontal="left" vertical="center"/>
    </xf>
    <xf numFmtId="0" fontId="9" fillId="0" borderId="20" xfId="11" applyFont="1" applyBorder="1" applyAlignment="1">
      <alignment horizontal="left" vertical="center"/>
    </xf>
    <xf numFmtId="0" fontId="9" fillId="0" borderId="12" xfId="8" applyNumberFormat="1" applyFont="1" applyBorder="1" applyAlignment="1">
      <alignment horizontal="left" vertical="center"/>
    </xf>
    <xf numFmtId="0" fontId="9" fillId="0" borderId="20" xfId="8" applyNumberFormat="1" applyFont="1" applyBorder="1" applyAlignment="1">
      <alignment horizontal="left" vertical="center"/>
    </xf>
    <xf numFmtId="49" fontId="9" fillId="0" borderId="12" xfId="11" applyNumberFormat="1" applyFont="1" applyBorder="1" applyAlignment="1">
      <alignment horizontal="left" vertical="center" wrapText="1"/>
    </xf>
    <xf numFmtId="49" fontId="9" fillId="0" borderId="19" xfId="11" applyNumberFormat="1" applyFont="1" applyBorder="1" applyAlignment="1">
      <alignment horizontal="left" vertical="center" wrapText="1"/>
    </xf>
    <xf numFmtId="49" fontId="9" fillId="0" borderId="35" xfId="11" applyNumberFormat="1" applyFont="1" applyBorder="1" applyAlignment="1">
      <alignment horizontal="left" vertical="center" wrapText="1"/>
    </xf>
    <xf numFmtId="0" fontId="12" fillId="0" borderId="3" xfId="11" applyFont="1" applyBorder="1" applyAlignment="1">
      <alignment horizontal="center"/>
    </xf>
    <xf numFmtId="0" fontId="12" fillId="0" borderId="31" xfId="11" applyFont="1" applyBorder="1" applyAlignment="1">
      <alignment horizontal="center"/>
    </xf>
    <xf numFmtId="0" fontId="12" fillId="0" borderId="34" xfId="11" applyFont="1" applyBorder="1" applyAlignment="1">
      <alignment horizontal="center"/>
    </xf>
    <xf numFmtId="0" fontId="6" fillId="0" borderId="1" xfId="11" applyFont="1" applyFill="1" applyBorder="1" applyAlignment="1">
      <alignment horizontal="center"/>
    </xf>
    <xf numFmtId="0" fontId="9" fillId="0" borderId="13" xfId="11" applyFont="1" applyFill="1" applyBorder="1" applyAlignment="1">
      <alignment horizontal="left" vertical="center"/>
    </xf>
    <xf numFmtId="0" fontId="9" fillId="0" borderId="13" xfId="8" applyNumberFormat="1" applyFont="1" applyFill="1" applyBorder="1" applyAlignment="1">
      <alignment horizontal="left" vertical="center"/>
    </xf>
    <xf numFmtId="0" fontId="16" fillId="0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14" fillId="0" borderId="8" xfId="9" applyNumberFormat="1" applyFont="1" applyFill="1" applyBorder="1" applyAlignment="1">
      <alignment horizontal="center" vertical="center"/>
    </xf>
    <xf numFmtId="0" fontId="14" fillId="0" borderId="1" xfId="9" applyNumberFormat="1" applyFont="1" applyFill="1" applyBorder="1" applyAlignment="1">
      <alignment horizontal="center" vertical="center"/>
    </xf>
    <xf numFmtId="0" fontId="14" fillId="0" borderId="9" xfId="9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19" xfId="0" applyFont="1" applyBorder="1" applyAlignment="1">
      <alignment horizontal="center" vertical="center"/>
    </xf>
    <xf numFmtId="14" fontId="8" fillId="0" borderId="3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12" fillId="0" borderId="7" xfId="11" applyFont="1" applyFill="1" applyBorder="1" applyAlignment="1">
      <alignment horizontal="center"/>
    </xf>
    <xf numFmtId="0" fontId="12" fillId="0" borderId="6" xfId="11" applyFont="1" applyFill="1" applyBorder="1" applyAlignment="1">
      <alignment horizontal="center"/>
    </xf>
    <xf numFmtId="0" fontId="9" fillId="0" borderId="8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25" fillId="0" borderId="3" xfId="11" applyFont="1" applyFill="1" applyBorder="1" applyAlignment="1">
      <alignment horizontal="center"/>
    </xf>
    <xf numFmtId="0" fontId="25" fillId="0" borderId="4" xfId="11" applyFont="1" applyFill="1" applyBorder="1" applyAlignment="1">
      <alignment horizontal="center"/>
    </xf>
    <xf numFmtId="0" fontId="25" fillId="0" borderId="5" xfId="11" applyFont="1" applyFill="1" applyBorder="1" applyAlignment="1">
      <alignment horizontal="center"/>
    </xf>
    <xf numFmtId="0" fontId="23" fillId="0" borderId="1" xfId="11" applyFont="1" applyFill="1" applyBorder="1" applyAlignment="1">
      <alignment horizontal="center"/>
    </xf>
    <xf numFmtId="0" fontId="28" fillId="0" borderId="1" xfId="0" applyFont="1" applyFill="1" applyBorder="1" applyAlignment="1">
      <alignment horizontal="center"/>
    </xf>
    <xf numFmtId="0" fontId="26" fillId="6" borderId="1" xfId="11" applyFont="1" applyFill="1" applyBorder="1" applyAlignment="1">
      <alignment horizontal="center"/>
    </xf>
    <xf numFmtId="0" fontId="26" fillId="6" borderId="9" xfId="11" applyFont="1" applyFill="1" applyBorder="1" applyAlignment="1">
      <alignment horizontal="center"/>
    </xf>
    <xf numFmtId="0" fontId="29" fillId="0" borderId="8" xfId="9" applyNumberFormat="1" applyFont="1" applyFill="1" applyBorder="1" applyAlignment="1">
      <alignment horizontal="center" vertical="center"/>
    </xf>
    <xf numFmtId="0" fontId="29" fillId="0" borderId="1" xfId="9" applyNumberFormat="1" applyFont="1" applyFill="1" applyBorder="1" applyAlignment="1">
      <alignment horizontal="center" vertical="center"/>
    </xf>
    <xf numFmtId="0" fontId="29" fillId="0" borderId="9" xfId="9" applyNumberFormat="1" applyFont="1" applyFill="1" applyBorder="1" applyAlignment="1">
      <alignment horizontal="center" vertical="center"/>
    </xf>
    <xf numFmtId="0" fontId="26" fillId="0" borderId="1" xfId="11" applyFont="1" applyFill="1" applyBorder="1" applyAlignment="1">
      <alignment horizontal="center" wrapText="1"/>
    </xf>
    <xf numFmtId="0" fontId="26" fillId="0" borderId="9" xfId="11" applyFont="1" applyFill="1" applyBorder="1" applyAlignment="1">
      <alignment horizontal="center" wrapText="1"/>
    </xf>
    <xf numFmtId="181" fontId="26" fillId="6" borderId="8" xfId="11" applyNumberFormat="1" applyFont="1" applyFill="1" applyBorder="1" applyAlignment="1">
      <alignment horizontal="center"/>
    </xf>
    <xf numFmtId="181" fontId="26" fillId="6" borderId="1" xfId="11" applyNumberFormat="1" applyFont="1" applyFill="1" applyBorder="1" applyAlignment="1">
      <alignment horizontal="center"/>
    </xf>
    <xf numFmtId="181" fontId="26" fillId="6" borderId="9" xfId="11" applyNumberFormat="1" applyFont="1" applyFill="1" applyBorder="1" applyAlignment="1">
      <alignment horizontal="center"/>
    </xf>
    <xf numFmtId="0" fontId="4" fillId="0" borderId="21" xfId="7" applyFont="1" applyBorder="1" applyAlignment="1">
      <alignment horizontal="center"/>
    </xf>
    <xf numFmtId="0" fontId="10" fillId="0" borderId="19" xfId="7" applyFont="1" applyBorder="1" applyAlignment="1">
      <alignment horizontal="center" vertical="center"/>
    </xf>
    <xf numFmtId="14" fontId="8" fillId="0" borderId="3" xfId="7" applyNumberFormat="1" applyFont="1" applyBorder="1" applyAlignment="1">
      <alignment horizontal="center" vertical="center"/>
    </xf>
    <xf numFmtId="14" fontId="8" fillId="0" borderId="1" xfId="7" applyNumberFormat="1" applyFont="1" applyBorder="1" applyAlignment="1">
      <alignment horizontal="center" vertical="center"/>
    </xf>
    <xf numFmtId="14" fontId="8" fillId="0" borderId="0" xfId="7" applyNumberFormat="1" applyFont="1" applyBorder="1" applyAlignment="1">
      <alignment horizontal="center" vertical="center"/>
    </xf>
    <xf numFmtId="194" fontId="9" fillId="0" borderId="0" xfId="0" applyNumberFormat="1" applyFont="1" applyFill="1" applyBorder="1" applyAlignment="1">
      <alignment horizontal="center"/>
    </xf>
  </cellXfs>
  <cellStyles count="73">
    <cellStyle name="??_x000c_&quot;_x001b__x000d__x0015_U_x0001_??_x0007__x0001__x0001_" xfId="1" xr:uid="{00000000-0005-0000-0000-000000000000}"/>
    <cellStyle name="20% - 강조색1" xfId="33" builtinId="30" customBuiltin="1"/>
    <cellStyle name="20% - 강조색1 2" xfId="61" xr:uid="{00000000-0005-0000-0000-000002000000}"/>
    <cellStyle name="20% - 강조색2" xfId="37" builtinId="34" customBuiltin="1"/>
    <cellStyle name="20% - 강조색2 2" xfId="63" xr:uid="{00000000-0005-0000-0000-000004000000}"/>
    <cellStyle name="20% - 강조색3" xfId="41" builtinId="38" customBuiltin="1"/>
    <cellStyle name="20% - 강조색3 2" xfId="65" xr:uid="{00000000-0005-0000-0000-000006000000}"/>
    <cellStyle name="20% - 강조색4" xfId="45" builtinId="42" customBuiltin="1"/>
    <cellStyle name="20% - 강조색4 2" xfId="67" xr:uid="{00000000-0005-0000-0000-000008000000}"/>
    <cellStyle name="20% - 강조색5" xfId="49" builtinId="46" customBuiltin="1"/>
    <cellStyle name="20% - 강조색5 2" xfId="69" xr:uid="{00000000-0005-0000-0000-00000A000000}"/>
    <cellStyle name="20% - 강조색6" xfId="53" builtinId="50" customBuiltin="1"/>
    <cellStyle name="20% - 강조색6 2" xfId="71" xr:uid="{00000000-0005-0000-0000-00000C000000}"/>
    <cellStyle name="40% - 강조색1" xfId="34" builtinId="31" customBuiltin="1"/>
    <cellStyle name="40% - 강조색1 2" xfId="62" xr:uid="{00000000-0005-0000-0000-00000E000000}"/>
    <cellStyle name="40% - 강조색2" xfId="38" builtinId="35" customBuiltin="1"/>
    <cellStyle name="40% - 강조색2 2" xfId="64" xr:uid="{00000000-0005-0000-0000-000010000000}"/>
    <cellStyle name="40% - 강조색3" xfId="42" builtinId="39" customBuiltin="1"/>
    <cellStyle name="40% - 강조색3 2" xfId="66" xr:uid="{00000000-0005-0000-0000-000012000000}"/>
    <cellStyle name="40% - 강조색4" xfId="46" builtinId="43" customBuiltin="1"/>
    <cellStyle name="40% - 강조색4 2" xfId="68" xr:uid="{00000000-0005-0000-0000-000014000000}"/>
    <cellStyle name="40% - 강조색5" xfId="50" builtinId="47" customBuiltin="1"/>
    <cellStyle name="40% - 강조색5 2" xfId="70" xr:uid="{00000000-0005-0000-0000-000016000000}"/>
    <cellStyle name="40% - 강조색6" xfId="54" builtinId="51" customBuiltin="1"/>
    <cellStyle name="40% - 강조색6 2" xfId="72" xr:uid="{00000000-0005-0000-0000-000018000000}"/>
    <cellStyle name="60% - 강조색1" xfId="35" builtinId="32" customBuiltin="1"/>
    <cellStyle name="60% - 강조색2" xfId="39" builtinId="36" customBuiltin="1"/>
    <cellStyle name="60% - 강조색3" xfId="43" builtinId="40" customBuiltin="1"/>
    <cellStyle name="60% - 강조색4" xfId="47" builtinId="44" customBuiltin="1"/>
    <cellStyle name="60% - 강조색5" xfId="51" builtinId="48" customBuiltin="1"/>
    <cellStyle name="60% - 강조색6" xfId="55" builtinId="52" customBuiltin="1"/>
    <cellStyle name="Currency_F01INV" xfId="12" xr:uid="{00000000-0005-0000-0000-000045000000}"/>
    <cellStyle name="Followed Hyperlink" xfId="13" xr:uid="{00000000-0005-0000-0000-000046000000}"/>
    <cellStyle name="Hyperlink" xfId="14" xr:uid="{00000000-0005-0000-0000-000047000000}"/>
    <cellStyle name="Normal_#26-PSS Rev and Drivers " xfId="15" xr:uid="{00000000-0005-0000-0000-000048000000}"/>
    <cellStyle name="강조색1" xfId="32" builtinId="29" customBuiltin="1"/>
    <cellStyle name="강조색2" xfId="36" builtinId="33" customBuiltin="1"/>
    <cellStyle name="강조색3" xfId="40" builtinId="37" customBuiltin="1"/>
    <cellStyle name="강조색4" xfId="44" builtinId="41" customBuiltin="1"/>
    <cellStyle name="강조색5" xfId="48" builtinId="45" customBuiltin="1"/>
    <cellStyle name="강조색6" xfId="52" builtinId="49" customBuiltin="1"/>
    <cellStyle name="경고문" xfId="29" builtinId="11" customBuiltin="1"/>
    <cellStyle name="계산" xfId="26" builtinId="22" customBuiltin="1"/>
    <cellStyle name="나쁨" xfId="22" builtinId="27" customBuiltin="1"/>
    <cellStyle name="메모 2" xfId="57" xr:uid="{00000000-0005-0000-0000-000028000000}"/>
    <cellStyle name="메모 3" xfId="60" xr:uid="{00000000-0005-0000-0000-000029000000}"/>
    <cellStyle name="보통" xfId="23" builtinId="28" customBuiltin="1"/>
    <cellStyle name="설명 텍스트" xfId="30" builtinId="53" customBuiltin="1"/>
    <cellStyle name="셀 확인" xfId="28" builtinId="23" customBuiltin="1"/>
    <cellStyle name="쉼표 [0]" xfId="2" builtinId="6"/>
    <cellStyle name="쉼표 [0] 2" xfId="3" xr:uid="{00000000-0005-0000-0000-00002E000000}"/>
    <cellStyle name="쉼표 [0] 3" xfId="59" xr:uid="{00000000-0005-0000-0000-00002F000000}"/>
    <cellStyle name="쉼표 [0] 4" xfId="56" xr:uid="{00000000-0005-0000-0000-000030000000}"/>
    <cellStyle name="쉼표_TP050122" xfId="4" xr:uid="{00000000-0005-0000-0000-000031000000}"/>
    <cellStyle name="연결된 셀" xfId="27" builtinId="24" customBuiltin="1"/>
    <cellStyle name="요약" xfId="31" builtinId="25" customBuiltin="1"/>
    <cellStyle name="입력" xfId="24" builtinId="20" customBuiltin="1"/>
    <cellStyle name="제목" xfId="16" builtinId="15" customBuiltin="1"/>
    <cellStyle name="제목 1" xfId="17" builtinId="16" customBuiltin="1"/>
    <cellStyle name="제목 2" xfId="18" builtinId="17" customBuiltin="1"/>
    <cellStyle name="제목 3" xfId="19" builtinId="18" customBuiltin="1"/>
    <cellStyle name="제목 4" xfId="20" builtinId="19" customBuiltin="1"/>
    <cellStyle name="좋음" xfId="21" builtinId="26" customBuiltin="1"/>
    <cellStyle name="출력" xfId="25" builtinId="21" customBuiltin="1"/>
    <cellStyle name="콤마 [0]_DOC" xfId="5" xr:uid="{00000000-0005-0000-0000-00003C000000}"/>
    <cellStyle name="콤마_DOC" xfId="6" xr:uid="{00000000-0005-0000-0000-00003D000000}"/>
    <cellStyle name="표준" xfId="0" builtinId="0" customBuiltin="1"/>
    <cellStyle name="표준 2" xfId="7" xr:uid="{00000000-0005-0000-0000-00003F000000}"/>
    <cellStyle name="표준 3" xfId="58" xr:uid="{00000000-0005-0000-0000-000040000000}"/>
    <cellStyle name="표준 4" xfId="8" xr:uid="{00000000-0005-0000-0000-000041000000}"/>
    <cellStyle name="표준 5" xfId="9" xr:uid="{00000000-0005-0000-0000-000042000000}"/>
    <cellStyle name="표준_Sheet2" xfId="10" xr:uid="{00000000-0005-0000-0000-000043000000}"/>
    <cellStyle name="표준_TP050122" xfId="11" xr:uid="{00000000-0005-0000-0000-00004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37</xdr:row>
      <xdr:rowOff>142875</xdr:rowOff>
    </xdr:from>
    <xdr:to>
      <xdr:col>9</xdr:col>
      <xdr:colOff>981075</xdr:colOff>
      <xdr:row>43</xdr:row>
      <xdr:rowOff>0</xdr:rowOff>
    </xdr:to>
    <xdr:pic>
      <xdr:nvPicPr>
        <xdr:cNvPr id="2089" name="그림 1">
          <a:extLst>
            <a:ext uri="{FF2B5EF4-FFF2-40B4-BE49-F238E27FC236}">
              <a16:creationId xmlns:a16="http://schemas.microsoft.com/office/drawing/2014/main" id="{00000000-0008-0000-0100-00002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7258050"/>
          <a:ext cx="20288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314325</xdr:colOff>
      <xdr:row>97</xdr:row>
      <xdr:rowOff>76200</xdr:rowOff>
    </xdr:from>
    <xdr:to>
      <xdr:col>9</xdr:col>
      <xdr:colOff>1257300</xdr:colOff>
      <xdr:row>102</xdr:row>
      <xdr:rowOff>123825</xdr:rowOff>
    </xdr:to>
    <xdr:pic>
      <xdr:nvPicPr>
        <xdr:cNvPr id="3113" name="그림 1">
          <a:extLst>
            <a:ext uri="{FF2B5EF4-FFF2-40B4-BE49-F238E27FC236}">
              <a16:creationId xmlns:a16="http://schemas.microsoft.com/office/drawing/2014/main" id="{00000000-0008-0000-0200-00002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4025" y="19697700"/>
          <a:ext cx="20288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314325</xdr:colOff>
      <xdr:row>97</xdr:row>
      <xdr:rowOff>76200</xdr:rowOff>
    </xdr:from>
    <xdr:to>
      <xdr:col>9</xdr:col>
      <xdr:colOff>1257300</xdr:colOff>
      <xdr:row>102</xdr:row>
      <xdr:rowOff>123825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4025" y="18602325"/>
          <a:ext cx="20288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32</xdr:row>
      <xdr:rowOff>142875</xdr:rowOff>
    </xdr:from>
    <xdr:to>
      <xdr:col>9</xdr:col>
      <xdr:colOff>981075</xdr:colOff>
      <xdr:row>38</xdr:row>
      <xdr:rowOff>0</xdr:rowOff>
    </xdr:to>
    <xdr:pic>
      <xdr:nvPicPr>
        <xdr:cNvPr id="5161" name="그림 1">
          <a:extLst>
            <a:ext uri="{FF2B5EF4-FFF2-40B4-BE49-F238E27FC236}">
              <a16:creationId xmlns:a16="http://schemas.microsoft.com/office/drawing/2014/main" id="{00000000-0008-0000-0400-000029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7381875"/>
          <a:ext cx="20288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32</xdr:row>
      <xdr:rowOff>142875</xdr:rowOff>
    </xdr:from>
    <xdr:to>
      <xdr:col>9</xdr:col>
      <xdr:colOff>981075</xdr:colOff>
      <xdr:row>38</xdr:row>
      <xdr:rowOff>0</xdr:rowOff>
    </xdr:to>
    <xdr:pic>
      <xdr:nvPicPr>
        <xdr:cNvPr id="6185" name="그림 1">
          <a:extLst>
            <a:ext uri="{FF2B5EF4-FFF2-40B4-BE49-F238E27FC236}">
              <a16:creationId xmlns:a16="http://schemas.microsoft.com/office/drawing/2014/main" id="{00000000-0008-0000-0500-000029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7381875"/>
          <a:ext cx="20288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32</xdr:row>
      <xdr:rowOff>142875</xdr:rowOff>
    </xdr:from>
    <xdr:to>
      <xdr:col>9</xdr:col>
      <xdr:colOff>981075</xdr:colOff>
      <xdr:row>38</xdr:row>
      <xdr:rowOff>0</xdr:rowOff>
    </xdr:to>
    <xdr:pic>
      <xdr:nvPicPr>
        <xdr:cNvPr id="7209" name="그림 1">
          <a:extLst>
            <a:ext uri="{FF2B5EF4-FFF2-40B4-BE49-F238E27FC236}">
              <a16:creationId xmlns:a16="http://schemas.microsoft.com/office/drawing/2014/main" id="{00000000-0008-0000-0600-000029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7381875"/>
          <a:ext cx="20288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32</xdr:row>
      <xdr:rowOff>142875</xdr:rowOff>
    </xdr:from>
    <xdr:to>
      <xdr:col>9</xdr:col>
      <xdr:colOff>981075</xdr:colOff>
      <xdr:row>38</xdr:row>
      <xdr:rowOff>0</xdr:rowOff>
    </xdr:to>
    <xdr:pic>
      <xdr:nvPicPr>
        <xdr:cNvPr id="8233" name="그림 1">
          <a:extLst>
            <a:ext uri="{FF2B5EF4-FFF2-40B4-BE49-F238E27FC236}">
              <a16:creationId xmlns:a16="http://schemas.microsoft.com/office/drawing/2014/main" id="{00000000-0008-0000-0700-00002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7381875"/>
          <a:ext cx="20288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32</xdr:row>
      <xdr:rowOff>142875</xdr:rowOff>
    </xdr:from>
    <xdr:to>
      <xdr:col>9</xdr:col>
      <xdr:colOff>981075</xdr:colOff>
      <xdr:row>38</xdr:row>
      <xdr:rowOff>0</xdr:rowOff>
    </xdr:to>
    <xdr:pic>
      <xdr:nvPicPr>
        <xdr:cNvPr id="9257" name="그림 1">
          <a:extLst>
            <a:ext uri="{FF2B5EF4-FFF2-40B4-BE49-F238E27FC236}">
              <a16:creationId xmlns:a16="http://schemas.microsoft.com/office/drawing/2014/main" id="{00000000-0008-0000-0800-00002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7381875"/>
          <a:ext cx="20288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32</xdr:row>
      <xdr:rowOff>142875</xdr:rowOff>
    </xdr:from>
    <xdr:to>
      <xdr:col>9</xdr:col>
      <xdr:colOff>981075</xdr:colOff>
      <xdr:row>38</xdr:row>
      <xdr:rowOff>0</xdr:rowOff>
    </xdr:to>
    <xdr:pic>
      <xdr:nvPicPr>
        <xdr:cNvPr id="10281" name="그림 1">
          <a:extLst>
            <a:ext uri="{FF2B5EF4-FFF2-40B4-BE49-F238E27FC236}">
              <a16:creationId xmlns:a16="http://schemas.microsoft.com/office/drawing/2014/main" id="{00000000-0008-0000-0900-000029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7381875"/>
          <a:ext cx="20288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32</xdr:row>
      <xdr:rowOff>142875</xdr:rowOff>
    </xdr:from>
    <xdr:to>
      <xdr:col>9</xdr:col>
      <xdr:colOff>981075</xdr:colOff>
      <xdr:row>38</xdr:row>
      <xdr:rowOff>0</xdr:rowOff>
    </xdr:to>
    <xdr:pic>
      <xdr:nvPicPr>
        <xdr:cNvPr id="11305" name="그림 1">
          <a:extLst>
            <a:ext uri="{FF2B5EF4-FFF2-40B4-BE49-F238E27FC236}">
              <a16:creationId xmlns:a16="http://schemas.microsoft.com/office/drawing/2014/main" id="{00000000-0008-0000-0A00-000029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7381875"/>
          <a:ext cx="20288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32</xdr:row>
      <xdr:rowOff>142875</xdr:rowOff>
    </xdr:from>
    <xdr:to>
      <xdr:col>9</xdr:col>
      <xdr:colOff>981075</xdr:colOff>
      <xdr:row>38</xdr:row>
      <xdr:rowOff>0</xdr:rowOff>
    </xdr:to>
    <xdr:pic>
      <xdr:nvPicPr>
        <xdr:cNvPr id="12329" name="그림 1">
          <a:extLst>
            <a:ext uri="{FF2B5EF4-FFF2-40B4-BE49-F238E27FC236}">
              <a16:creationId xmlns:a16="http://schemas.microsoft.com/office/drawing/2014/main" id="{00000000-0008-0000-0B00-000029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7381875"/>
          <a:ext cx="20288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35</xdr:row>
      <xdr:rowOff>142875</xdr:rowOff>
    </xdr:from>
    <xdr:to>
      <xdr:col>9</xdr:col>
      <xdr:colOff>981075</xdr:colOff>
      <xdr:row>41</xdr:row>
      <xdr:rowOff>0</xdr:rowOff>
    </xdr:to>
    <xdr:pic>
      <xdr:nvPicPr>
        <xdr:cNvPr id="14377" name="그림 1">
          <a:extLst>
            <a:ext uri="{FF2B5EF4-FFF2-40B4-BE49-F238E27FC236}">
              <a16:creationId xmlns:a16="http://schemas.microsoft.com/office/drawing/2014/main" id="{00000000-0008-0000-0D00-000029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6877050"/>
          <a:ext cx="20288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46</xdr:row>
      <xdr:rowOff>142875</xdr:rowOff>
    </xdr:from>
    <xdr:to>
      <xdr:col>10</xdr:col>
      <xdr:colOff>219075</xdr:colOff>
      <xdr:row>52</xdr:row>
      <xdr:rowOff>0</xdr:rowOff>
    </xdr:to>
    <xdr:pic>
      <xdr:nvPicPr>
        <xdr:cNvPr id="17449" name="그림 1">
          <a:extLst>
            <a:ext uri="{FF2B5EF4-FFF2-40B4-BE49-F238E27FC236}">
              <a16:creationId xmlns:a16="http://schemas.microsoft.com/office/drawing/2014/main" id="{00000000-0008-0000-1000-0000294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8972550"/>
          <a:ext cx="20288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50</xdr:row>
      <xdr:rowOff>142875</xdr:rowOff>
    </xdr:from>
    <xdr:to>
      <xdr:col>9</xdr:col>
      <xdr:colOff>981075</xdr:colOff>
      <xdr:row>56</xdr:row>
      <xdr:rowOff>0</xdr:rowOff>
    </xdr:to>
    <xdr:pic>
      <xdr:nvPicPr>
        <xdr:cNvPr id="19497" name="그림 1">
          <a:extLst>
            <a:ext uri="{FF2B5EF4-FFF2-40B4-BE49-F238E27FC236}">
              <a16:creationId xmlns:a16="http://schemas.microsoft.com/office/drawing/2014/main" id="{00000000-0008-0000-1200-0000294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1150" y="9810750"/>
          <a:ext cx="20288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50"/>
    <pageSetUpPr fitToPage="1"/>
  </sheetPr>
  <dimension ref="A1:L7"/>
  <sheetViews>
    <sheetView zoomScaleNormal="100" workbookViewId="0">
      <selection sqref="A1:I1"/>
    </sheetView>
  </sheetViews>
  <sheetFormatPr defaultRowHeight="12"/>
  <cols>
    <col min="1" max="1" width="4.5546875" style="7" customWidth="1"/>
    <col min="2" max="2" width="15.109375" style="7" customWidth="1"/>
    <col min="3" max="3" width="26.44140625" style="7" customWidth="1"/>
    <col min="4" max="4" width="7.77734375" style="7" customWidth="1"/>
    <col min="5" max="5" width="9.6640625" style="7" customWidth="1"/>
    <col min="6" max="6" width="4.109375" style="7" customWidth="1"/>
    <col min="7" max="7" width="11.33203125" style="7" customWidth="1"/>
    <col min="8" max="9" width="9" style="7" customWidth="1"/>
    <col min="10" max="10" width="2.44140625" style="7" customWidth="1"/>
    <col min="11" max="11" width="7.88671875" style="7" customWidth="1"/>
    <col min="12" max="12" width="11.21875" style="7" bestFit="1" customWidth="1"/>
    <col min="13" max="16384" width="8.88671875" style="7"/>
  </cols>
  <sheetData>
    <row r="1" spans="1:12" s="3" customFormat="1" ht="23.25" customHeight="1">
      <c r="A1" s="656" t="s">
        <v>256</v>
      </c>
      <c r="B1" s="656"/>
      <c r="C1" s="656"/>
      <c r="D1" s="656"/>
      <c r="E1" s="656"/>
      <c r="F1" s="656"/>
      <c r="G1" s="656"/>
      <c r="H1" s="657"/>
      <c r="I1" s="657"/>
      <c r="J1" s="1"/>
      <c r="K1" s="2"/>
    </row>
    <row r="2" spans="1:12" ht="12" customHeight="1">
      <c r="A2" s="4"/>
      <c r="B2" s="4"/>
      <c r="C2" s="4"/>
      <c r="D2" s="4"/>
      <c r="E2" s="4"/>
      <c r="F2" s="4"/>
      <c r="G2" s="4"/>
      <c r="H2" s="5"/>
      <c r="I2" s="1"/>
      <c r="J2" s="1"/>
      <c r="K2" s="6"/>
    </row>
    <row r="3" spans="1:12" ht="12" customHeight="1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9"/>
      <c r="K3" s="10" t="s">
        <v>9</v>
      </c>
      <c r="L3" s="11" t="s">
        <v>10</v>
      </c>
    </row>
    <row r="4" spans="1:12" ht="12" customHeight="1">
      <c r="A4" s="12"/>
      <c r="B4" s="13"/>
      <c r="C4" s="13"/>
      <c r="D4" s="14"/>
      <c r="E4" s="15"/>
      <c r="F4" s="16"/>
      <c r="G4" s="17"/>
      <c r="H4" s="18"/>
      <c r="I4" s="19"/>
      <c r="J4" s="20" t="s">
        <v>11</v>
      </c>
      <c r="K4" s="6"/>
    </row>
    <row r="5" spans="1:12" ht="12" customHeight="1">
      <c r="A5" s="12"/>
      <c r="B5" s="13"/>
      <c r="C5" s="13"/>
      <c r="D5" s="14"/>
      <c r="E5" s="15"/>
      <c r="F5" s="16"/>
      <c r="G5" s="17"/>
      <c r="H5" s="18"/>
      <c r="I5" s="19"/>
      <c r="J5" s="20" t="s">
        <v>11</v>
      </c>
      <c r="K5" s="6"/>
    </row>
    <row r="6" spans="1:12" ht="12" customHeight="1" thickBot="1">
      <c r="A6" s="21"/>
      <c r="B6" s="22" t="s">
        <v>12</v>
      </c>
      <c r="C6" s="22"/>
      <c r="D6" s="23"/>
      <c r="E6" s="24">
        <f>SUM(E4:E5)</f>
        <v>0</v>
      </c>
      <c r="F6" s="25"/>
      <c r="G6" s="26">
        <f>SUM(G4:G5)</f>
        <v>0</v>
      </c>
      <c r="H6" s="27"/>
      <c r="I6" s="28">
        <f>SUM(I4:I5)</f>
        <v>0</v>
      </c>
      <c r="J6" s="20" t="s">
        <v>11</v>
      </c>
      <c r="K6" s="29"/>
    </row>
    <row r="7" spans="1:12" ht="12" customHeight="1" thickTop="1"/>
  </sheetData>
  <mergeCells count="1">
    <mergeCell ref="A1:I1"/>
  </mergeCells>
  <phoneticPr fontId="3" type="noConversion"/>
  <printOptions horizontalCentered="1"/>
  <pageMargins left="0.15748031496062992" right="0.15748031496062992" top="0.70866141732283472" bottom="0.43307086614173229" header="0.51181102362204722" footer="0.23622047244094491"/>
  <pageSetup paperSize="9" orientation="portrait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50"/>
    <pageSetUpPr fitToPage="1"/>
  </sheetPr>
  <dimension ref="A1:M43"/>
  <sheetViews>
    <sheetView zoomScaleNormal="100" workbookViewId="0">
      <selection activeCell="D29" sqref="D29"/>
    </sheetView>
  </sheetViews>
  <sheetFormatPr defaultRowHeight="15" customHeight="1"/>
  <cols>
    <col min="1" max="4" width="7.77734375" style="36" customWidth="1"/>
    <col min="5" max="5" width="6.5546875" style="36" customWidth="1"/>
    <col min="6" max="6" width="7.77734375" style="36" customWidth="1"/>
    <col min="7" max="7" width="8" style="36" customWidth="1"/>
    <col min="8" max="8" width="7.44140625" style="36" customWidth="1"/>
    <col min="9" max="9" width="12.6640625" style="36" customWidth="1"/>
    <col min="10" max="10" width="14.77734375" style="36" customWidth="1"/>
    <col min="11" max="11" width="8.44140625" style="36" customWidth="1"/>
    <col min="12" max="12" width="12" style="36" customWidth="1"/>
    <col min="13" max="13" width="8.5546875" style="36" bestFit="1" customWidth="1"/>
    <col min="14" max="16384" width="8.88671875" style="36"/>
  </cols>
  <sheetData>
    <row r="1" spans="1:13" s="31" customFormat="1" ht="20.25">
      <c r="A1" s="661" t="s">
        <v>13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30"/>
    </row>
    <row r="2" spans="1:13" ht="15" customHeight="1">
      <c r="A2" s="32" t="s">
        <v>14</v>
      </c>
      <c r="B2" s="33"/>
      <c r="C2" s="33"/>
      <c r="D2" s="33"/>
      <c r="E2" s="33"/>
      <c r="F2" s="34"/>
      <c r="G2" s="35" t="s">
        <v>15</v>
      </c>
      <c r="H2" s="33"/>
      <c r="I2" s="33"/>
      <c r="J2" s="33"/>
      <c r="K2" s="33"/>
    </row>
    <row r="3" spans="1:13" ht="15" customHeight="1">
      <c r="A3" s="37" t="s">
        <v>16</v>
      </c>
      <c r="B3" s="37"/>
      <c r="C3" s="37"/>
      <c r="D3" s="37"/>
      <c r="E3" s="37"/>
      <c r="F3" s="38"/>
      <c r="G3" s="39"/>
      <c r="H3" s="40"/>
      <c r="I3" s="40"/>
      <c r="J3" s="39"/>
      <c r="K3" s="41"/>
    </row>
    <row r="4" spans="1:13" ht="15" customHeight="1">
      <c r="A4" s="40" t="s">
        <v>17</v>
      </c>
      <c r="B4" s="40"/>
      <c r="C4" s="40"/>
      <c r="D4" s="40"/>
      <c r="E4" s="40"/>
      <c r="F4" s="38"/>
      <c r="G4" s="42" t="s">
        <v>18</v>
      </c>
      <c r="H4" s="40"/>
      <c r="I4" s="40"/>
      <c r="J4" s="43"/>
      <c r="K4" s="43">
        <v>40711</v>
      </c>
    </row>
    <row r="5" spans="1:13" ht="15" customHeight="1">
      <c r="A5" s="40" t="s">
        <v>19</v>
      </c>
      <c r="B5" s="40"/>
      <c r="C5" s="40"/>
      <c r="D5" s="40"/>
      <c r="E5" s="40"/>
      <c r="F5" s="38"/>
      <c r="G5" s="35" t="s">
        <v>20</v>
      </c>
      <c r="H5" s="33"/>
      <c r="I5" s="33"/>
      <c r="J5" s="33"/>
      <c r="K5" s="40"/>
    </row>
    <row r="6" spans="1:13" ht="15" customHeight="1">
      <c r="A6" s="44" t="s">
        <v>21</v>
      </c>
      <c r="B6" s="44"/>
      <c r="C6" s="44"/>
      <c r="D6" s="44"/>
      <c r="E6" s="44"/>
      <c r="F6" s="38"/>
      <c r="G6" s="39"/>
      <c r="H6" s="39"/>
      <c r="I6" s="39"/>
      <c r="J6" s="39"/>
      <c r="K6" s="45"/>
    </row>
    <row r="7" spans="1:13" ht="15" customHeight="1">
      <c r="A7" s="32" t="s">
        <v>22</v>
      </c>
      <c r="B7" s="33"/>
      <c r="C7" s="33"/>
      <c r="D7" s="33"/>
      <c r="E7" s="33"/>
      <c r="F7" s="34"/>
      <c r="G7" s="46"/>
      <c r="H7" s="37"/>
      <c r="I7" s="37"/>
      <c r="J7" s="47" t="s">
        <v>23</v>
      </c>
      <c r="K7" s="48"/>
      <c r="L7" s="40"/>
    </row>
    <row r="8" spans="1:13" ht="15" customHeight="1">
      <c r="A8" s="507" t="s">
        <v>257</v>
      </c>
      <c r="B8" s="507"/>
      <c r="C8" s="507"/>
      <c r="D8" s="503"/>
      <c r="E8" s="503"/>
      <c r="F8" s="506"/>
      <c r="G8" s="35" t="s">
        <v>24</v>
      </c>
      <c r="H8" s="33"/>
      <c r="I8" s="33"/>
      <c r="J8" s="33"/>
      <c r="K8" s="49"/>
      <c r="L8" s="40"/>
    </row>
    <row r="9" spans="1:13" ht="15" customHeight="1">
      <c r="A9" s="508" t="s">
        <v>258</v>
      </c>
      <c r="B9" s="508"/>
      <c r="C9" s="508"/>
      <c r="D9" s="508"/>
      <c r="E9" s="503"/>
      <c r="F9" s="506"/>
      <c r="G9" s="46" t="s">
        <v>23</v>
      </c>
      <c r="H9" s="40"/>
      <c r="I9" s="40"/>
      <c r="J9" s="40"/>
      <c r="K9" s="48"/>
      <c r="L9" s="51"/>
      <c r="M9" s="52"/>
    </row>
    <row r="10" spans="1:13" ht="15" customHeight="1">
      <c r="A10" s="508" t="s">
        <v>259</v>
      </c>
      <c r="B10" s="508"/>
      <c r="C10" s="508"/>
      <c r="D10" s="503"/>
      <c r="E10" s="503"/>
      <c r="F10" s="506"/>
      <c r="G10" s="53" t="s">
        <v>23</v>
      </c>
      <c r="H10" s="54"/>
      <c r="I10" s="54"/>
      <c r="J10" s="54"/>
      <c r="K10" s="48"/>
      <c r="L10" s="51"/>
      <c r="M10" s="55"/>
    </row>
    <row r="11" spans="1:13" ht="15" customHeight="1">
      <c r="A11" s="504" t="s">
        <v>260</v>
      </c>
      <c r="B11" s="511"/>
      <c r="C11" s="511"/>
      <c r="D11" s="511"/>
      <c r="E11" s="511"/>
      <c r="F11" s="506"/>
      <c r="G11" s="35" t="s">
        <v>25</v>
      </c>
      <c r="H11" s="33"/>
      <c r="I11" s="33"/>
      <c r="J11" s="33"/>
      <c r="K11" s="56"/>
      <c r="M11" s="55"/>
    </row>
    <row r="12" spans="1:13" ht="15" customHeight="1">
      <c r="A12" s="513" t="s">
        <v>261</v>
      </c>
      <c r="B12" s="512"/>
      <c r="C12" s="509"/>
      <c r="D12" s="509"/>
      <c r="E12" s="509"/>
      <c r="F12" s="510"/>
      <c r="G12" s="39"/>
      <c r="H12" s="57"/>
      <c r="I12" s="40"/>
      <c r="J12" s="40"/>
      <c r="K12" s="58"/>
      <c r="L12" s="40"/>
    </row>
    <row r="13" spans="1:13" ht="15" customHeight="1">
      <c r="A13" s="505" t="s">
        <v>26</v>
      </c>
      <c r="B13" s="503"/>
      <c r="C13" s="503"/>
      <c r="D13" s="503"/>
      <c r="E13" s="503"/>
      <c r="F13" s="506"/>
      <c r="G13" s="39"/>
      <c r="H13" s="57"/>
      <c r="I13" s="59" t="s">
        <v>27</v>
      </c>
      <c r="J13" s="60">
        <f>1500/324106.53*J29</f>
        <v>0</v>
      </c>
      <c r="K13" s="58"/>
      <c r="L13" s="40"/>
    </row>
    <row r="14" spans="1:13" ht="15" customHeight="1">
      <c r="A14" s="61" t="s">
        <v>28</v>
      </c>
      <c r="B14" s="40"/>
      <c r="C14" s="40"/>
      <c r="D14" s="40"/>
      <c r="E14" s="40"/>
      <c r="F14" s="38"/>
      <c r="G14" s="46"/>
      <c r="H14" s="57"/>
      <c r="I14" s="62" t="s">
        <v>29</v>
      </c>
      <c r="J14" s="63">
        <f>J29*1.1*0.026%</f>
        <v>0</v>
      </c>
      <c r="K14" s="58"/>
      <c r="L14" s="51"/>
    </row>
    <row r="15" spans="1:13" ht="15" customHeight="1">
      <c r="A15" s="40"/>
      <c r="B15" s="40"/>
      <c r="C15" s="40"/>
      <c r="D15" s="40"/>
      <c r="E15" s="40"/>
      <c r="F15" s="38"/>
      <c r="G15" s="64"/>
      <c r="H15" s="65"/>
      <c r="I15" s="66" t="s">
        <v>30</v>
      </c>
      <c r="J15" s="40"/>
      <c r="K15" s="58"/>
      <c r="L15" s="51"/>
    </row>
    <row r="16" spans="1:13" ht="15" customHeight="1">
      <c r="A16" s="32" t="s">
        <v>31</v>
      </c>
      <c r="B16" s="33"/>
      <c r="C16" s="34"/>
      <c r="D16" s="32" t="s">
        <v>32</v>
      </c>
      <c r="E16" s="33"/>
      <c r="F16" s="34"/>
      <c r="G16" s="39"/>
      <c r="H16" s="59" t="s">
        <v>33</v>
      </c>
      <c r="I16" s="67">
        <v>0</v>
      </c>
      <c r="J16" s="37" t="s">
        <v>34</v>
      </c>
      <c r="K16" s="58"/>
      <c r="L16" s="40"/>
    </row>
    <row r="17" spans="1:13" ht="15" customHeight="1">
      <c r="A17" s="40"/>
      <c r="B17" s="40"/>
      <c r="C17" s="40"/>
      <c r="D17" s="42" t="s">
        <v>23</v>
      </c>
      <c r="E17" s="68"/>
      <c r="F17" s="38"/>
      <c r="G17" s="40"/>
      <c r="H17" s="62" t="s">
        <v>35</v>
      </c>
      <c r="I17" s="69">
        <f>I!I6</f>
        <v>0</v>
      </c>
      <c r="J17" s="37" t="s">
        <v>36</v>
      </c>
      <c r="K17" s="58"/>
      <c r="L17" s="40"/>
    </row>
    <row r="18" spans="1:13" ht="15" customHeight="1">
      <c r="A18" s="662" t="s">
        <v>240</v>
      </c>
      <c r="B18" s="662"/>
      <c r="C18" s="663"/>
      <c r="D18" s="664" t="s">
        <v>37</v>
      </c>
      <c r="E18" s="665"/>
      <c r="F18" s="666"/>
      <c r="G18" s="46"/>
      <c r="H18" s="62" t="s">
        <v>38</v>
      </c>
      <c r="I18" s="69">
        <f>I17*1.1</f>
        <v>0</v>
      </c>
      <c r="J18" s="37" t="s">
        <v>36</v>
      </c>
      <c r="K18" s="58"/>
    </row>
    <row r="19" spans="1:13" ht="15" customHeight="1">
      <c r="A19" s="32" t="s">
        <v>39</v>
      </c>
      <c r="B19" s="33"/>
      <c r="C19" s="34"/>
      <c r="D19" s="32" t="s">
        <v>40</v>
      </c>
      <c r="E19" s="33"/>
      <c r="F19" s="34"/>
      <c r="G19" s="46"/>
      <c r="H19" s="40"/>
      <c r="I19" s="40"/>
      <c r="J19" s="40"/>
      <c r="K19" s="58"/>
    </row>
    <row r="20" spans="1:13" ht="15" customHeight="1">
      <c r="A20" s="40" t="s">
        <v>23</v>
      </c>
      <c r="B20" s="40"/>
      <c r="C20" s="38"/>
      <c r="D20" s="40" t="s">
        <v>23</v>
      </c>
      <c r="E20" s="40"/>
      <c r="F20" s="38"/>
      <c r="G20" s="36" t="s">
        <v>23</v>
      </c>
      <c r="H20" s="40"/>
      <c r="I20" s="40"/>
      <c r="J20" s="40"/>
      <c r="K20" s="58"/>
    </row>
    <row r="21" spans="1:13" ht="15" customHeight="1">
      <c r="A21" s="667"/>
      <c r="B21" s="667"/>
      <c r="C21" s="668"/>
      <c r="D21" s="669"/>
      <c r="E21" s="670"/>
      <c r="F21" s="671"/>
      <c r="G21" s="54"/>
      <c r="H21" s="54"/>
      <c r="I21" s="54"/>
      <c r="J21" s="54"/>
      <c r="K21" s="70"/>
    </row>
    <row r="22" spans="1:13" s="73" customFormat="1" ht="15" customHeight="1">
      <c r="A22" s="658" t="s">
        <v>41</v>
      </c>
      <c r="B22" s="658"/>
      <c r="C22" s="659"/>
      <c r="D22" s="660" t="s">
        <v>42</v>
      </c>
      <c r="E22" s="658"/>
      <c r="F22" s="659"/>
      <c r="G22" s="660" t="s">
        <v>43</v>
      </c>
      <c r="H22" s="659"/>
      <c r="I22" s="71" t="s">
        <v>44</v>
      </c>
      <c r="J22" s="72" t="s">
        <v>45</v>
      </c>
      <c r="K22" s="72"/>
    </row>
    <row r="23" spans="1:13" ht="15" customHeight="1">
      <c r="A23" s="57" t="s">
        <v>23</v>
      </c>
      <c r="B23" s="40"/>
      <c r="C23" s="38"/>
      <c r="D23" s="40"/>
      <c r="E23" s="40"/>
      <c r="F23" s="38"/>
      <c r="G23" s="40"/>
      <c r="H23" s="38"/>
      <c r="I23" s="74"/>
      <c r="J23" s="40"/>
    </row>
    <row r="24" spans="1:13" ht="15" customHeight="1">
      <c r="A24" s="57" t="s">
        <v>23</v>
      </c>
      <c r="B24" s="40"/>
      <c r="C24" s="40"/>
      <c r="D24" s="40"/>
      <c r="E24" s="40"/>
      <c r="F24" s="40"/>
      <c r="G24" s="75" t="s">
        <v>46</v>
      </c>
      <c r="H24" s="40"/>
      <c r="I24" s="40"/>
      <c r="J24" s="40"/>
    </row>
    <row r="25" spans="1:13" ht="15" customHeight="1">
      <c r="A25" s="76"/>
      <c r="B25" s="57"/>
      <c r="C25" s="39"/>
      <c r="D25" s="57"/>
      <c r="E25" s="57"/>
      <c r="F25" s="39"/>
      <c r="G25" s="39"/>
      <c r="H25" s="39"/>
      <c r="I25" s="39"/>
      <c r="J25" s="39"/>
      <c r="K25" s="77"/>
    </row>
    <row r="26" spans="1:13" ht="15" customHeight="1">
      <c r="A26" s="78"/>
      <c r="B26" s="57"/>
      <c r="C26" s="39"/>
      <c r="D26" s="79"/>
      <c r="E26" s="79"/>
      <c r="F26" s="80"/>
      <c r="G26" s="80"/>
      <c r="H26" s="80"/>
      <c r="I26" s="80"/>
      <c r="J26" s="80"/>
      <c r="K26" s="81"/>
      <c r="L26" s="44"/>
    </row>
    <row r="27" spans="1:13" ht="15" customHeight="1">
      <c r="A27" s="82"/>
      <c r="B27" s="57"/>
      <c r="C27" s="40"/>
      <c r="D27" s="83"/>
      <c r="E27" s="39"/>
      <c r="F27" s="84"/>
      <c r="G27" s="84"/>
      <c r="H27" s="85"/>
      <c r="I27" s="86"/>
      <c r="J27" s="87"/>
      <c r="K27" s="81"/>
      <c r="L27" s="88"/>
    </row>
    <row r="28" spans="1:13" s="40" customFormat="1" ht="15" customHeight="1">
      <c r="A28" s="82"/>
      <c r="B28" s="57"/>
      <c r="C28" s="57"/>
      <c r="D28" s="83"/>
      <c r="E28" s="39"/>
      <c r="F28" s="84"/>
      <c r="G28" s="84"/>
      <c r="H28" s="85"/>
      <c r="I28" s="86"/>
      <c r="J28" s="87"/>
      <c r="K28" s="81"/>
      <c r="L28" s="88"/>
      <c r="M28" s="89"/>
    </row>
    <row r="29" spans="1:13" s="40" customFormat="1" ht="15" customHeight="1" thickBot="1">
      <c r="A29" s="82"/>
      <c r="B29" s="90"/>
      <c r="C29" s="39"/>
      <c r="D29" s="91" t="s">
        <v>47</v>
      </c>
      <c r="E29" s="91"/>
      <c r="F29" s="92"/>
      <c r="G29" s="93"/>
      <c r="H29" s="94"/>
      <c r="I29" s="95"/>
      <c r="J29" s="96">
        <f>I!G6</f>
        <v>0</v>
      </c>
      <c r="L29" s="88"/>
    </row>
    <row r="30" spans="1:13" s="40" customFormat="1" ht="15" customHeight="1" thickTop="1">
      <c r="B30" s="90"/>
      <c r="C30" s="57"/>
      <c r="D30" s="57"/>
      <c r="E30" s="57"/>
      <c r="F30" s="39"/>
      <c r="G30" s="90"/>
      <c r="H30" s="97"/>
      <c r="I30" s="98"/>
      <c r="J30" s="99"/>
      <c r="K30" s="100"/>
      <c r="L30" s="88"/>
    </row>
    <row r="31" spans="1:13" ht="15" customHeight="1">
      <c r="A31" s="40"/>
      <c r="B31" s="101"/>
      <c r="C31" s="40"/>
      <c r="D31" s="50"/>
      <c r="E31" s="50"/>
      <c r="F31" s="52"/>
      <c r="G31" s="101"/>
      <c r="H31" s="102"/>
      <c r="I31" s="103"/>
      <c r="J31" s="104"/>
      <c r="K31" s="40"/>
    </row>
    <row r="32" spans="1:13" ht="15" customHeight="1">
      <c r="A32" s="40"/>
      <c r="B32" s="101"/>
      <c r="C32" s="40"/>
      <c r="D32" s="50"/>
      <c r="E32" s="50"/>
      <c r="F32" s="52"/>
      <c r="G32" s="101"/>
      <c r="H32" s="102"/>
      <c r="I32" s="103"/>
      <c r="J32" s="104"/>
      <c r="K32" s="100"/>
    </row>
    <row r="33" spans="1:11" ht="15" customHeight="1">
      <c r="A33" s="40"/>
      <c r="B33" s="44"/>
      <c r="C33" s="100"/>
      <c r="D33" s="40"/>
      <c r="E33" s="40"/>
      <c r="F33" s="52"/>
      <c r="G33" s="105"/>
      <c r="H33" s="106"/>
      <c r="I33" s="44"/>
      <c r="J33" s="44"/>
      <c r="K33" s="44"/>
    </row>
    <row r="34" spans="1:11" ht="15" customHeight="1">
      <c r="A34" s="40"/>
      <c r="B34" s="44"/>
      <c r="C34" s="100"/>
      <c r="D34" s="100"/>
      <c r="E34" s="100"/>
      <c r="F34" s="52"/>
      <c r="G34" s="105"/>
      <c r="H34" s="106"/>
      <c r="I34" s="100"/>
      <c r="J34" s="107"/>
      <c r="K34" s="100"/>
    </row>
    <row r="35" spans="1:11" ht="15" customHeight="1">
      <c r="A35" s="40"/>
      <c r="B35" s="44"/>
      <c r="C35" s="100"/>
      <c r="D35" s="40"/>
      <c r="E35" s="40"/>
      <c r="F35" s="52"/>
      <c r="G35" s="40"/>
      <c r="H35" s="40"/>
      <c r="I35" s="40"/>
      <c r="J35" s="40"/>
      <c r="K35" s="40"/>
    </row>
    <row r="36" spans="1:11" ht="15" customHeight="1">
      <c r="A36" s="40"/>
      <c r="B36" s="44"/>
      <c r="C36" s="100"/>
      <c r="D36" s="108"/>
      <c r="E36" s="108"/>
      <c r="F36" s="52"/>
      <c r="G36" s="109"/>
      <c r="H36" s="44"/>
      <c r="I36" s="44"/>
      <c r="J36" s="44"/>
      <c r="K36" s="44"/>
    </row>
    <row r="37" spans="1:11" ht="15" customHeight="1">
      <c r="B37" s="110"/>
      <c r="C37" s="100"/>
      <c r="D37" s="110"/>
      <c r="E37" s="110"/>
      <c r="F37" s="110"/>
      <c r="G37" s="110"/>
      <c r="H37" s="110"/>
      <c r="I37" s="110"/>
      <c r="J37" s="110"/>
      <c r="K37" s="110"/>
    </row>
    <row r="38" spans="1:11" ht="15" customHeight="1">
      <c r="B38" s="110"/>
      <c r="C38" s="100"/>
      <c r="D38" s="110"/>
      <c r="E38" s="110"/>
      <c r="F38" s="110"/>
      <c r="G38" s="110"/>
      <c r="H38" s="110"/>
      <c r="I38" s="110"/>
      <c r="J38" s="110"/>
      <c r="K38" s="110"/>
    </row>
    <row r="39" spans="1:11" ht="15" customHeight="1">
      <c r="B39" s="110"/>
      <c r="C39" s="100"/>
      <c r="D39" s="110"/>
      <c r="E39" s="110"/>
      <c r="F39" s="110"/>
      <c r="G39" s="110"/>
      <c r="H39" s="110"/>
      <c r="I39" s="110"/>
      <c r="J39" s="110"/>
      <c r="K39" s="110"/>
    </row>
    <row r="40" spans="1:11" ht="15" customHeight="1">
      <c r="B40" s="110"/>
      <c r="C40" s="100"/>
      <c r="D40" s="110"/>
      <c r="E40" s="110"/>
      <c r="F40" s="110"/>
      <c r="G40" s="110"/>
      <c r="H40" s="110"/>
      <c r="I40" s="110"/>
      <c r="J40" s="110"/>
      <c r="K40" s="110"/>
    </row>
    <row r="41" spans="1:11" ht="15" customHeight="1">
      <c r="B41" s="110"/>
      <c r="C41" s="100"/>
      <c r="D41" s="110"/>
      <c r="E41" s="110"/>
      <c r="F41" s="110"/>
      <c r="G41" s="110"/>
      <c r="H41" s="110"/>
      <c r="I41" s="110"/>
      <c r="J41" s="110"/>
      <c r="K41" s="110"/>
    </row>
    <row r="42" spans="1:11" ht="15" customHeight="1">
      <c r="A42" s="111" t="s">
        <v>48</v>
      </c>
    </row>
    <row r="43" spans="1:11" ht="15" customHeight="1">
      <c r="A43" s="111" t="s">
        <v>49</v>
      </c>
      <c r="H43" s="112" t="s">
        <v>50</v>
      </c>
      <c r="I43" s="54"/>
      <c r="J43" s="54"/>
      <c r="K43" s="54"/>
    </row>
  </sheetData>
  <mergeCells count="8">
    <mergeCell ref="A22:C22"/>
    <mergeCell ref="D22:F22"/>
    <mergeCell ref="G22:H22"/>
    <mergeCell ref="A1:K1"/>
    <mergeCell ref="A18:C18"/>
    <mergeCell ref="D18:F18"/>
    <mergeCell ref="A21:C21"/>
    <mergeCell ref="D21:F21"/>
  </mergeCells>
  <phoneticPr fontId="3" type="noConversion"/>
  <printOptions horizontalCentered="1"/>
  <pageMargins left="0.15748031496062992" right="0.15748031496062992" top="0.70866141732283472" bottom="0.43307086614173229" header="0.51181102362204722" footer="0.23622047244094491"/>
  <pageSetup paperSize="9" orientation="portrait" r:id="rId1"/>
  <headerFooter>
    <oddFooter>&amp;C&amp;P/&amp;N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50"/>
    <pageSetUpPr fitToPage="1"/>
  </sheetPr>
  <dimension ref="A1:M103"/>
  <sheetViews>
    <sheetView zoomScaleNormal="100" workbookViewId="0">
      <selection activeCell="A8" sqref="A8:F13"/>
    </sheetView>
  </sheetViews>
  <sheetFormatPr defaultRowHeight="15" customHeight="1"/>
  <cols>
    <col min="1" max="4" width="7.77734375" style="36" customWidth="1"/>
    <col min="5" max="5" width="6.5546875" style="36" customWidth="1"/>
    <col min="6" max="6" width="7.77734375" style="36" customWidth="1"/>
    <col min="7" max="7" width="8" style="36" customWidth="1"/>
    <col min="8" max="8" width="7.44140625" style="36" customWidth="1"/>
    <col min="9" max="9" width="12.6640625" style="36" customWidth="1"/>
    <col min="10" max="10" width="14.77734375" style="36" customWidth="1"/>
    <col min="11" max="11" width="8.44140625" style="36" customWidth="1"/>
    <col min="12" max="12" width="12" style="36" customWidth="1"/>
    <col min="13" max="13" width="8.5546875" style="36" bestFit="1" customWidth="1"/>
    <col min="14" max="16384" width="8.88671875" style="36"/>
  </cols>
  <sheetData>
    <row r="1" spans="1:13" s="31" customFormat="1" ht="20.25">
      <c r="A1" s="672" t="s">
        <v>241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30"/>
    </row>
    <row r="2" spans="1:13" ht="15" customHeight="1">
      <c r="A2" s="383" t="s">
        <v>14</v>
      </c>
      <c r="B2" s="383"/>
      <c r="C2" s="383"/>
      <c r="D2" s="384"/>
      <c r="E2" s="384"/>
      <c r="F2" s="385"/>
      <c r="G2" s="386" t="s">
        <v>15</v>
      </c>
      <c r="H2" s="383"/>
      <c r="I2" s="383"/>
      <c r="J2" s="384"/>
      <c r="K2" s="384"/>
    </row>
    <row r="3" spans="1:13" ht="15" customHeight="1">
      <c r="A3" s="387" t="s">
        <v>16</v>
      </c>
      <c r="B3" s="387"/>
      <c r="C3" s="387"/>
      <c r="D3" s="387"/>
      <c r="E3" s="388"/>
      <c r="F3" s="389"/>
      <c r="G3" s="390"/>
      <c r="H3" s="380"/>
      <c r="I3" s="380"/>
      <c r="J3" s="390"/>
      <c r="K3" s="391"/>
    </row>
    <row r="4" spans="1:13" ht="15" customHeight="1">
      <c r="A4" s="392" t="s">
        <v>242</v>
      </c>
      <c r="B4" s="392"/>
      <c r="C4" s="392"/>
      <c r="D4" s="380"/>
      <c r="E4" s="380"/>
      <c r="F4" s="389"/>
      <c r="G4" s="393"/>
      <c r="H4" s="380"/>
      <c r="I4" s="380"/>
      <c r="J4" s="394"/>
      <c r="K4" s="394"/>
    </row>
    <row r="5" spans="1:13" ht="15" customHeight="1">
      <c r="A5" s="392" t="s">
        <v>243</v>
      </c>
      <c r="B5" s="392"/>
      <c r="C5" s="392"/>
      <c r="D5" s="392"/>
      <c r="E5" s="392"/>
      <c r="F5" s="389"/>
      <c r="G5" s="386" t="s">
        <v>20</v>
      </c>
      <c r="H5" s="383"/>
      <c r="I5" s="384"/>
      <c r="J5" s="380"/>
      <c r="K5" s="380"/>
    </row>
    <row r="6" spans="1:13" ht="15" customHeight="1">
      <c r="A6" s="392" t="s">
        <v>244</v>
      </c>
      <c r="B6" s="392"/>
      <c r="C6" s="392"/>
      <c r="D6" s="392"/>
      <c r="E6" s="392"/>
      <c r="F6" s="389"/>
      <c r="G6" s="390"/>
      <c r="H6" s="390"/>
      <c r="I6" s="390"/>
      <c r="J6" s="390"/>
      <c r="K6" s="397"/>
    </row>
    <row r="7" spans="1:13" ht="15" customHeight="1">
      <c r="A7" s="383" t="s">
        <v>22</v>
      </c>
      <c r="B7" s="383"/>
      <c r="C7" s="384"/>
      <c r="D7" s="384"/>
      <c r="E7" s="384"/>
      <c r="F7" s="385"/>
      <c r="G7" s="380"/>
      <c r="H7" s="388"/>
      <c r="I7" s="388"/>
      <c r="J7" s="395" t="s">
        <v>23</v>
      </c>
      <c r="K7" s="398"/>
      <c r="L7" s="40"/>
    </row>
    <row r="8" spans="1:13" ht="15" customHeight="1">
      <c r="A8" s="518" t="s">
        <v>257</v>
      </c>
      <c r="B8" s="518"/>
      <c r="C8" s="518"/>
      <c r="D8" s="514"/>
      <c r="E8" s="514"/>
      <c r="F8" s="517"/>
      <c r="G8" s="386" t="s">
        <v>24</v>
      </c>
      <c r="H8" s="383"/>
      <c r="I8" s="383"/>
      <c r="J8" s="384"/>
      <c r="K8" s="399"/>
      <c r="L8" s="40"/>
    </row>
    <row r="9" spans="1:13" ht="15" customHeight="1">
      <c r="A9" s="519" t="s">
        <v>258</v>
      </c>
      <c r="B9" s="519"/>
      <c r="C9" s="519"/>
      <c r="D9" s="519"/>
      <c r="E9" s="514"/>
      <c r="F9" s="517"/>
      <c r="G9" s="381" t="s">
        <v>23</v>
      </c>
      <c r="H9" s="380"/>
      <c r="I9" s="380"/>
      <c r="J9" s="380"/>
      <c r="K9" s="398"/>
      <c r="L9" s="51"/>
      <c r="M9" s="52"/>
    </row>
    <row r="10" spans="1:13" ht="15" customHeight="1">
      <c r="A10" s="519" t="s">
        <v>259</v>
      </c>
      <c r="B10" s="519"/>
      <c r="C10" s="519"/>
      <c r="D10" s="514"/>
      <c r="E10" s="514"/>
      <c r="F10" s="517"/>
      <c r="G10" s="402" t="s">
        <v>23</v>
      </c>
      <c r="H10" s="402"/>
      <c r="I10" s="402"/>
      <c r="J10" s="402"/>
      <c r="K10" s="398"/>
      <c r="L10" s="51"/>
      <c r="M10" s="55"/>
    </row>
    <row r="11" spans="1:13" ht="15" customHeight="1">
      <c r="A11" s="515" t="s">
        <v>260</v>
      </c>
      <c r="B11" s="522"/>
      <c r="C11" s="522"/>
      <c r="D11" s="522"/>
      <c r="E11" s="522"/>
      <c r="F11" s="517"/>
      <c r="G11" s="386" t="s">
        <v>25</v>
      </c>
      <c r="H11" s="383"/>
      <c r="I11" s="380"/>
      <c r="J11" s="380"/>
      <c r="K11" s="403"/>
      <c r="M11" s="55"/>
    </row>
    <row r="12" spans="1:13" ht="15" customHeight="1">
      <c r="A12" s="524" t="s">
        <v>261</v>
      </c>
      <c r="B12" s="523"/>
      <c r="C12" s="520"/>
      <c r="D12" s="520"/>
      <c r="E12" s="520"/>
      <c r="F12" s="521"/>
      <c r="G12" s="390"/>
      <c r="H12" s="404"/>
      <c r="I12" s="380"/>
      <c r="J12" s="380"/>
      <c r="K12" s="405"/>
      <c r="L12" s="40"/>
    </row>
    <row r="13" spans="1:13" ht="15" customHeight="1">
      <c r="A13" s="516" t="s">
        <v>26</v>
      </c>
      <c r="B13" s="514"/>
      <c r="C13" s="514"/>
      <c r="D13" s="514"/>
      <c r="E13" s="514"/>
      <c r="F13" s="517"/>
      <c r="G13" s="390"/>
      <c r="H13" s="404"/>
      <c r="I13" s="406" t="s">
        <v>27</v>
      </c>
      <c r="J13" s="468">
        <f>1500/324106.53*J61</f>
        <v>0</v>
      </c>
      <c r="K13" s="405"/>
      <c r="L13" s="40"/>
    </row>
    <row r="14" spans="1:13" ht="15" customHeight="1">
      <c r="A14" s="407" t="s">
        <v>28</v>
      </c>
      <c r="B14" s="407"/>
      <c r="C14" s="380"/>
      <c r="D14" s="380"/>
      <c r="E14" s="380"/>
      <c r="F14" s="389"/>
      <c r="G14" s="380"/>
      <c r="H14" s="404"/>
      <c r="I14" s="408" t="s">
        <v>29</v>
      </c>
      <c r="J14" s="409">
        <f>J61*1.1*0.026%</f>
        <v>0</v>
      </c>
      <c r="K14" s="405"/>
      <c r="L14" s="51"/>
    </row>
    <row r="15" spans="1:13" ht="15" customHeight="1">
      <c r="A15" s="380"/>
      <c r="B15" s="380"/>
      <c r="C15" s="380"/>
      <c r="D15" s="380"/>
      <c r="E15" s="380"/>
      <c r="F15" s="389"/>
      <c r="G15" s="380"/>
      <c r="H15" s="410"/>
      <c r="I15" s="411"/>
      <c r="J15" s="380"/>
      <c r="K15" s="405"/>
      <c r="L15" s="51"/>
    </row>
    <row r="16" spans="1:13" ht="15" customHeight="1">
      <c r="A16" s="383" t="s">
        <v>31</v>
      </c>
      <c r="B16" s="383"/>
      <c r="C16" s="385"/>
      <c r="D16" s="383" t="s">
        <v>32</v>
      </c>
      <c r="E16" s="383"/>
      <c r="F16" s="412"/>
      <c r="G16" s="390"/>
      <c r="H16" s="406" t="s">
        <v>33</v>
      </c>
      <c r="I16" s="396" t="s">
        <v>245</v>
      </c>
      <c r="J16" s="388" t="s">
        <v>34</v>
      </c>
      <c r="K16" s="405"/>
      <c r="L16" s="40"/>
    </row>
    <row r="17" spans="1:13" ht="15" customHeight="1">
      <c r="A17" s="380"/>
      <c r="B17" s="380"/>
      <c r="C17" s="380"/>
      <c r="D17" s="413" t="s">
        <v>23</v>
      </c>
      <c r="E17" s="393"/>
      <c r="F17" s="389"/>
      <c r="G17" s="380"/>
      <c r="H17" s="408" t="s">
        <v>35</v>
      </c>
      <c r="I17" s="476">
        <f>K61</f>
        <v>0</v>
      </c>
      <c r="J17" s="388" t="s">
        <v>36</v>
      </c>
      <c r="K17" s="405"/>
      <c r="L17" s="40"/>
    </row>
    <row r="18" spans="1:13" ht="15" customHeight="1">
      <c r="A18" s="673" t="s">
        <v>246</v>
      </c>
      <c r="B18" s="673"/>
      <c r="C18" s="674"/>
      <c r="D18" s="675" t="s">
        <v>37</v>
      </c>
      <c r="E18" s="676"/>
      <c r="F18" s="677"/>
      <c r="G18" s="380"/>
      <c r="H18" s="408" t="s">
        <v>38</v>
      </c>
      <c r="I18" s="414">
        <f>I17*1.1</f>
        <v>0</v>
      </c>
      <c r="J18" s="388" t="s">
        <v>36</v>
      </c>
      <c r="K18" s="405"/>
    </row>
    <row r="19" spans="1:13" ht="15" customHeight="1">
      <c r="A19" s="383" t="s">
        <v>39</v>
      </c>
      <c r="B19" s="383"/>
      <c r="C19" s="389"/>
      <c r="D19" s="383" t="s">
        <v>40</v>
      </c>
      <c r="E19" s="383"/>
      <c r="F19" s="412"/>
      <c r="G19" s="380"/>
      <c r="H19" s="380"/>
      <c r="I19" s="380"/>
      <c r="J19" s="380"/>
      <c r="K19" s="405"/>
    </row>
    <row r="20" spans="1:13" ht="15" customHeight="1">
      <c r="A20" s="381" t="s">
        <v>23</v>
      </c>
      <c r="B20" s="380"/>
      <c r="C20" s="389"/>
      <c r="D20" s="381" t="s">
        <v>23</v>
      </c>
      <c r="E20" s="380"/>
      <c r="F20" s="389"/>
      <c r="G20" s="381" t="s">
        <v>23</v>
      </c>
      <c r="H20" s="380"/>
      <c r="I20" s="380"/>
      <c r="J20" s="380"/>
      <c r="K20" s="405"/>
    </row>
    <row r="21" spans="1:13" ht="15" customHeight="1">
      <c r="A21" s="678"/>
      <c r="B21" s="678"/>
      <c r="C21" s="679"/>
      <c r="D21" s="680"/>
      <c r="E21" s="681"/>
      <c r="F21" s="682"/>
      <c r="G21" s="402"/>
      <c r="H21" s="402"/>
      <c r="I21" s="402"/>
      <c r="J21" s="402"/>
      <c r="K21" s="415"/>
    </row>
    <row r="22" spans="1:13" s="73" customFormat="1" ht="15" customHeight="1">
      <c r="A22" s="691" t="s">
        <v>41</v>
      </c>
      <c r="B22" s="691"/>
      <c r="C22" s="692"/>
      <c r="D22" s="693" t="s">
        <v>42</v>
      </c>
      <c r="E22" s="691"/>
      <c r="F22" s="692"/>
      <c r="G22" s="693" t="s">
        <v>43</v>
      </c>
      <c r="H22" s="692"/>
      <c r="I22" s="417" t="s">
        <v>44</v>
      </c>
      <c r="J22" s="416" t="s">
        <v>45</v>
      </c>
      <c r="K22" s="416"/>
    </row>
    <row r="23" spans="1:13" ht="15" customHeight="1">
      <c r="A23" s="404" t="s">
        <v>23</v>
      </c>
      <c r="B23" s="380"/>
      <c r="C23" s="389"/>
      <c r="D23" s="380"/>
      <c r="E23" s="380"/>
      <c r="F23" s="389"/>
      <c r="G23" s="380"/>
      <c r="H23" s="389"/>
      <c r="I23" s="389"/>
      <c r="J23" s="380"/>
      <c r="K23" s="380"/>
    </row>
    <row r="24" spans="1:13" ht="15" customHeight="1">
      <c r="A24" s="404" t="s">
        <v>23</v>
      </c>
      <c r="B24" s="380"/>
      <c r="C24" s="380"/>
      <c r="D24" s="380"/>
      <c r="E24" s="380"/>
      <c r="F24" s="380"/>
      <c r="G24" s="418" t="s">
        <v>46</v>
      </c>
      <c r="H24" s="418"/>
      <c r="I24" s="418"/>
      <c r="J24" s="380"/>
      <c r="K24" s="380"/>
    </row>
    <row r="25" spans="1:13" ht="15" customHeight="1">
      <c r="A25" s="419"/>
      <c r="B25" s="404"/>
      <c r="C25" s="390"/>
      <c r="D25" s="404"/>
      <c r="E25" s="404"/>
      <c r="F25" s="390"/>
      <c r="G25" s="390"/>
      <c r="H25" s="390"/>
      <c r="I25" s="390"/>
      <c r="J25" s="390"/>
      <c r="K25" s="420"/>
    </row>
    <row r="26" spans="1:13" ht="15" customHeight="1">
      <c r="A26" s="421"/>
      <c r="B26" s="404"/>
      <c r="C26" s="390"/>
      <c r="D26" s="439" t="s">
        <v>247</v>
      </c>
      <c r="E26" s="439"/>
      <c r="F26" s="439"/>
      <c r="G26" s="439" t="s">
        <v>4</v>
      </c>
      <c r="H26" s="439" t="s">
        <v>5</v>
      </c>
      <c r="I26" s="439" t="s">
        <v>248</v>
      </c>
      <c r="J26" s="439" t="s">
        <v>249</v>
      </c>
      <c r="K26" s="401"/>
      <c r="L26" s="44"/>
    </row>
    <row r="27" spans="1:13" ht="15" customHeight="1">
      <c r="A27" s="422"/>
      <c r="B27" s="404"/>
      <c r="C27" s="380"/>
      <c r="D27" s="423"/>
      <c r="E27" s="390"/>
      <c r="F27" s="424"/>
      <c r="G27" s="424"/>
      <c r="H27" s="425"/>
      <c r="I27" s="426"/>
      <c r="J27" s="427">
        <f>G27*I27</f>
        <v>0</v>
      </c>
      <c r="K27" s="401"/>
      <c r="L27" s="88"/>
    </row>
    <row r="28" spans="1:13" s="40" customFormat="1" ht="15" customHeight="1">
      <c r="A28" s="422"/>
      <c r="B28" s="404"/>
      <c r="C28" s="404"/>
      <c r="D28" s="423"/>
      <c r="E28" s="390"/>
      <c r="F28" s="424"/>
      <c r="G28" s="424"/>
      <c r="H28" s="425"/>
      <c r="I28" s="426"/>
      <c r="J28" s="489">
        <f t="shared" ref="J28:J60" si="0">G28*I28</f>
        <v>0</v>
      </c>
      <c r="K28" s="401"/>
      <c r="L28" s="88"/>
      <c r="M28" s="89"/>
    </row>
    <row r="29" spans="1:13" s="40" customFormat="1" ht="15" customHeight="1">
      <c r="A29" s="422"/>
      <c r="B29" s="404"/>
      <c r="C29" s="404"/>
      <c r="D29" s="423"/>
      <c r="E29" s="390"/>
      <c r="F29" s="424"/>
      <c r="G29" s="424"/>
      <c r="H29" s="425"/>
      <c r="I29" s="426"/>
      <c r="J29" s="489">
        <f t="shared" si="0"/>
        <v>0</v>
      </c>
      <c r="K29" s="401"/>
      <c r="L29" s="88"/>
    </row>
    <row r="30" spans="1:13" s="40" customFormat="1" ht="15" customHeight="1">
      <c r="A30" s="422"/>
      <c r="B30" s="404"/>
      <c r="C30" s="404"/>
      <c r="D30" s="423"/>
      <c r="E30" s="390"/>
      <c r="F30" s="424"/>
      <c r="G30" s="424"/>
      <c r="H30" s="425"/>
      <c r="I30" s="426"/>
      <c r="J30" s="489">
        <f t="shared" si="0"/>
        <v>0</v>
      </c>
      <c r="K30" s="401"/>
      <c r="L30" s="88"/>
    </row>
    <row r="31" spans="1:13" s="40" customFormat="1" ht="13.5">
      <c r="A31" s="422"/>
      <c r="B31" s="404"/>
      <c r="C31" s="404"/>
      <c r="D31" s="423"/>
      <c r="E31" s="390"/>
      <c r="F31" s="424"/>
      <c r="G31" s="424"/>
      <c r="H31" s="425"/>
      <c r="I31" s="426"/>
      <c r="J31" s="489">
        <f t="shared" si="0"/>
        <v>0</v>
      </c>
      <c r="K31" s="401"/>
      <c r="L31" s="88"/>
    </row>
    <row r="32" spans="1:13" ht="15" customHeight="1">
      <c r="A32" s="422"/>
      <c r="B32" s="404"/>
      <c r="C32" s="404"/>
      <c r="D32" s="423"/>
      <c r="E32" s="390"/>
      <c r="F32" s="424"/>
      <c r="G32" s="424"/>
      <c r="H32" s="425"/>
      <c r="I32" s="426"/>
      <c r="J32" s="489">
        <f t="shared" si="0"/>
        <v>0</v>
      </c>
      <c r="K32" s="401"/>
    </row>
    <row r="33" spans="1:11" ht="15" customHeight="1">
      <c r="A33" s="422"/>
      <c r="B33" s="404"/>
      <c r="C33" s="404"/>
      <c r="D33" s="423"/>
      <c r="E33" s="390"/>
      <c r="F33" s="424"/>
      <c r="G33" s="424"/>
      <c r="H33" s="425"/>
      <c r="I33" s="426"/>
      <c r="J33" s="489">
        <f t="shared" si="0"/>
        <v>0</v>
      </c>
      <c r="K33" s="401"/>
    </row>
    <row r="34" spans="1:11" ht="15" customHeight="1">
      <c r="A34" s="422"/>
      <c r="B34" s="404"/>
      <c r="C34" s="404"/>
      <c r="D34" s="423"/>
      <c r="E34" s="390"/>
      <c r="F34" s="424"/>
      <c r="G34" s="424"/>
      <c r="H34" s="425"/>
      <c r="I34" s="426"/>
      <c r="J34" s="489">
        <f t="shared" si="0"/>
        <v>0</v>
      </c>
      <c r="K34" s="401"/>
    </row>
    <row r="35" spans="1:11" ht="15" customHeight="1">
      <c r="A35" s="422"/>
      <c r="B35" s="404"/>
      <c r="C35" s="404"/>
      <c r="D35" s="423"/>
      <c r="E35" s="390"/>
      <c r="F35" s="424"/>
      <c r="G35" s="424"/>
      <c r="H35" s="425"/>
      <c r="I35" s="426"/>
      <c r="J35" s="489">
        <f t="shared" si="0"/>
        <v>0</v>
      </c>
      <c r="K35" s="401"/>
    </row>
    <row r="36" spans="1:11" ht="15" customHeight="1">
      <c r="A36" s="422"/>
      <c r="B36" s="404"/>
      <c r="C36" s="404"/>
      <c r="D36" s="423"/>
      <c r="E36" s="390"/>
      <c r="F36" s="424"/>
      <c r="G36" s="424"/>
      <c r="H36" s="425"/>
      <c r="I36" s="426"/>
      <c r="J36" s="489">
        <f t="shared" si="0"/>
        <v>0</v>
      </c>
      <c r="K36" s="401"/>
    </row>
    <row r="37" spans="1:11" ht="15" customHeight="1">
      <c r="A37" s="422"/>
      <c r="B37" s="404"/>
      <c r="C37" s="404"/>
      <c r="D37" s="423"/>
      <c r="E37" s="390"/>
      <c r="F37" s="424"/>
      <c r="G37" s="424"/>
      <c r="H37" s="425"/>
      <c r="I37" s="426"/>
      <c r="J37" s="489">
        <f t="shared" si="0"/>
        <v>0</v>
      </c>
      <c r="K37" s="401"/>
    </row>
    <row r="38" spans="1:11" ht="15" customHeight="1">
      <c r="A38" s="422"/>
      <c r="B38" s="404"/>
      <c r="C38" s="404"/>
      <c r="D38" s="423"/>
      <c r="E38" s="390"/>
      <c r="F38" s="424"/>
      <c r="G38" s="424"/>
      <c r="H38" s="425"/>
      <c r="I38" s="426"/>
      <c r="J38" s="489">
        <f t="shared" si="0"/>
        <v>0</v>
      </c>
      <c r="K38" s="401"/>
    </row>
    <row r="39" spans="1:11" ht="15" customHeight="1">
      <c r="A39" s="422"/>
      <c r="B39" s="404"/>
      <c r="C39" s="404"/>
      <c r="D39" s="423"/>
      <c r="E39" s="390"/>
      <c r="F39" s="424"/>
      <c r="G39" s="424"/>
      <c r="H39" s="425"/>
      <c r="I39" s="426"/>
      <c r="J39" s="489">
        <f t="shared" si="0"/>
        <v>0</v>
      </c>
      <c r="K39" s="401"/>
    </row>
    <row r="40" spans="1:11" ht="15" customHeight="1">
      <c r="A40" s="422"/>
      <c r="B40" s="404"/>
      <c r="C40" s="404"/>
      <c r="D40" s="423"/>
      <c r="E40" s="390"/>
      <c r="F40" s="424"/>
      <c r="G40" s="424"/>
      <c r="H40" s="425"/>
      <c r="I40" s="426"/>
      <c r="J40" s="489">
        <f t="shared" si="0"/>
        <v>0</v>
      </c>
      <c r="K40" s="401"/>
    </row>
    <row r="41" spans="1:11" ht="15" customHeight="1">
      <c r="A41" s="422"/>
      <c r="B41" s="404"/>
      <c r="C41" s="404"/>
      <c r="D41" s="423"/>
      <c r="E41" s="390"/>
      <c r="F41" s="424"/>
      <c r="G41" s="424"/>
      <c r="H41" s="425"/>
      <c r="I41" s="426"/>
      <c r="J41" s="489">
        <f t="shared" si="0"/>
        <v>0</v>
      </c>
      <c r="K41" s="401"/>
    </row>
    <row r="42" spans="1:11" ht="15" customHeight="1">
      <c r="A42" s="422"/>
      <c r="B42" s="404"/>
      <c r="C42" s="404"/>
      <c r="D42" s="423"/>
      <c r="E42" s="390"/>
      <c r="F42" s="424"/>
      <c r="G42" s="424"/>
      <c r="H42" s="425"/>
      <c r="I42" s="426"/>
      <c r="J42" s="489">
        <f t="shared" si="0"/>
        <v>0</v>
      </c>
      <c r="K42" s="401"/>
    </row>
    <row r="43" spans="1:11" ht="15" customHeight="1">
      <c r="A43" s="422"/>
      <c r="B43" s="404"/>
      <c r="C43" s="404"/>
      <c r="D43" s="423"/>
      <c r="E43" s="390"/>
      <c r="F43" s="424"/>
      <c r="G43" s="424"/>
      <c r="H43" s="425"/>
      <c r="I43" s="426"/>
      <c r="J43" s="489">
        <f t="shared" si="0"/>
        <v>0</v>
      </c>
      <c r="K43" s="401"/>
    </row>
    <row r="44" spans="1:11" ht="15" customHeight="1">
      <c r="A44" s="422"/>
      <c r="B44" s="404"/>
      <c r="C44" s="404"/>
      <c r="D44" s="423"/>
      <c r="E44" s="390"/>
      <c r="F44" s="424"/>
      <c r="G44" s="424"/>
      <c r="H44" s="425"/>
      <c r="I44" s="426"/>
      <c r="J44" s="489">
        <f t="shared" si="0"/>
        <v>0</v>
      </c>
      <c r="K44" s="401"/>
    </row>
    <row r="45" spans="1:11" ht="15" customHeight="1">
      <c r="A45" s="422"/>
      <c r="B45" s="404"/>
      <c r="C45" s="404"/>
      <c r="D45" s="423"/>
      <c r="E45" s="390"/>
      <c r="F45" s="424"/>
      <c r="G45" s="424"/>
      <c r="H45" s="425"/>
      <c r="I45" s="426"/>
      <c r="J45" s="489">
        <f t="shared" si="0"/>
        <v>0</v>
      </c>
      <c r="K45" s="401"/>
    </row>
    <row r="46" spans="1:11" ht="15" customHeight="1">
      <c r="A46" s="422"/>
      <c r="B46" s="404"/>
      <c r="C46" s="404"/>
      <c r="D46" s="423"/>
      <c r="E46" s="390"/>
      <c r="F46" s="424"/>
      <c r="G46" s="424"/>
      <c r="H46" s="425"/>
      <c r="I46" s="426"/>
      <c r="J46" s="489">
        <f t="shared" si="0"/>
        <v>0</v>
      </c>
      <c r="K46" s="401"/>
    </row>
    <row r="47" spans="1:11" ht="15" customHeight="1">
      <c r="A47" s="422"/>
      <c r="B47" s="404"/>
      <c r="C47" s="404"/>
      <c r="D47" s="423"/>
      <c r="E47" s="390"/>
      <c r="F47" s="424"/>
      <c r="G47" s="424"/>
      <c r="H47" s="425"/>
      <c r="I47" s="426"/>
      <c r="J47" s="489">
        <f t="shared" si="0"/>
        <v>0</v>
      </c>
      <c r="K47" s="401"/>
    </row>
    <row r="48" spans="1:11" ht="15" customHeight="1">
      <c r="A48" s="422"/>
      <c r="B48" s="404"/>
      <c r="C48" s="404"/>
      <c r="D48" s="423"/>
      <c r="E48" s="390"/>
      <c r="F48" s="424"/>
      <c r="G48" s="424"/>
      <c r="H48" s="425"/>
      <c r="I48" s="426"/>
      <c r="J48" s="489">
        <f t="shared" si="0"/>
        <v>0</v>
      </c>
      <c r="K48" s="401"/>
    </row>
    <row r="49" spans="1:11" ht="15" customHeight="1">
      <c r="A49" s="422"/>
      <c r="B49" s="404"/>
      <c r="C49" s="404"/>
      <c r="D49" s="423"/>
      <c r="E49" s="390"/>
      <c r="F49" s="424"/>
      <c r="G49" s="424"/>
      <c r="H49" s="425"/>
      <c r="I49" s="426"/>
      <c r="J49" s="489">
        <f t="shared" si="0"/>
        <v>0</v>
      </c>
      <c r="K49" s="401"/>
    </row>
    <row r="50" spans="1:11" ht="15" customHeight="1">
      <c r="A50" s="422"/>
      <c r="B50" s="404"/>
      <c r="C50" s="404"/>
      <c r="D50" s="423"/>
      <c r="E50" s="390"/>
      <c r="F50" s="424"/>
      <c r="G50" s="424"/>
      <c r="H50" s="425"/>
      <c r="I50" s="426"/>
      <c r="J50" s="489">
        <f t="shared" si="0"/>
        <v>0</v>
      </c>
      <c r="K50" s="401"/>
    </row>
    <row r="51" spans="1:11" ht="15" customHeight="1">
      <c r="A51" s="422"/>
      <c r="B51" s="404"/>
      <c r="C51" s="404"/>
      <c r="D51" s="423"/>
      <c r="E51" s="390"/>
      <c r="F51" s="424"/>
      <c r="G51" s="424"/>
      <c r="H51" s="425"/>
      <c r="I51" s="426"/>
      <c r="J51" s="489">
        <f t="shared" si="0"/>
        <v>0</v>
      </c>
      <c r="K51" s="401"/>
    </row>
    <row r="52" spans="1:11" ht="15" customHeight="1">
      <c r="A52" s="422"/>
      <c r="B52" s="404"/>
      <c r="C52" s="404"/>
      <c r="D52" s="423"/>
      <c r="E52" s="390"/>
      <c r="F52" s="424"/>
      <c r="G52" s="424"/>
      <c r="H52" s="425"/>
      <c r="I52" s="426"/>
      <c r="J52" s="489">
        <f t="shared" si="0"/>
        <v>0</v>
      </c>
      <c r="K52" s="401"/>
    </row>
    <row r="53" spans="1:11" ht="15" customHeight="1">
      <c r="A53" s="422"/>
      <c r="B53" s="404"/>
      <c r="C53" s="404"/>
      <c r="D53" s="423"/>
      <c r="E53" s="390"/>
      <c r="F53" s="424"/>
      <c r="G53" s="424"/>
      <c r="H53" s="425"/>
      <c r="I53" s="426"/>
      <c r="J53" s="489">
        <f t="shared" si="0"/>
        <v>0</v>
      </c>
      <c r="K53" s="401"/>
    </row>
    <row r="54" spans="1:11" ht="15" customHeight="1">
      <c r="A54" s="422"/>
      <c r="B54" s="404"/>
      <c r="C54" s="404"/>
      <c r="D54" s="423"/>
      <c r="E54" s="390"/>
      <c r="F54" s="424"/>
      <c r="G54" s="424"/>
      <c r="H54" s="425"/>
      <c r="I54" s="426"/>
      <c r="J54" s="489">
        <f t="shared" si="0"/>
        <v>0</v>
      </c>
      <c r="K54" s="401"/>
    </row>
    <row r="55" spans="1:11" ht="15" customHeight="1">
      <c r="A55" s="422"/>
      <c r="B55" s="404"/>
      <c r="C55" s="404"/>
      <c r="D55" s="423"/>
      <c r="E55" s="390"/>
      <c r="F55" s="424"/>
      <c r="G55" s="424"/>
      <c r="H55" s="425"/>
      <c r="I55" s="426"/>
      <c r="J55" s="489">
        <f t="shared" si="0"/>
        <v>0</v>
      </c>
      <c r="K55" s="401"/>
    </row>
    <row r="56" spans="1:11" ht="15" customHeight="1">
      <c r="A56" s="422"/>
      <c r="B56" s="404"/>
      <c r="C56" s="404"/>
      <c r="D56" s="423"/>
      <c r="E56" s="390"/>
      <c r="F56" s="424"/>
      <c r="G56" s="424"/>
      <c r="H56" s="425"/>
      <c r="I56" s="426"/>
      <c r="J56" s="489">
        <f t="shared" si="0"/>
        <v>0</v>
      </c>
      <c r="K56" s="401"/>
    </row>
    <row r="57" spans="1:11" ht="15" customHeight="1">
      <c r="A57" s="422"/>
      <c r="B57" s="404"/>
      <c r="C57" s="404"/>
      <c r="D57" s="423"/>
      <c r="E57" s="390"/>
      <c r="F57" s="424"/>
      <c r="G57" s="424"/>
      <c r="H57" s="425"/>
      <c r="I57" s="426"/>
      <c r="J57" s="489">
        <f t="shared" si="0"/>
        <v>0</v>
      </c>
      <c r="K57" s="401"/>
    </row>
    <row r="58" spans="1:11" ht="15" customHeight="1">
      <c r="A58" s="422"/>
      <c r="B58" s="404"/>
      <c r="C58" s="404"/>
      <c r="D58" s="423"/>
      <c r="E58" s="390"/>
      <c r="F58" s="424"/>
      <c r="G58" s="424"/>
      <c r="H58" s="425"/>
      <c r="I58" s="426"/>
      <c r="J58" s="489">
        <f t="shared" si="0"/>
        <v>0</v>
      </c>
      <c r="K58" s="401"/>
    </row>
    <row r="59" spans="1:11" ht="15" customHeight="1">
      <c r="A59" s="422"/>
      <c r="B59" s="404"/>
      <c r="C59" s="404"/>
      <c r="D59" s="423"/>
      <c r="E59" s="390"/>
      <c r="F59" s="424"/>
      <c r="G59" s="424"/>
      <c r="H59" s="425"/>
      <c r="I59" s="426"/>
      <c r="J59" s="489">
        <f t="shared" si="0"/>
        <v>0</v>
      </c>
      <c r="K59" s="401"/>
    </row>
    <row r="60" spans="1:11" ht="15" customHeight="1">
      <c r="A60" s="422"/>
      <c r="B60" s="404"/>
      <c r="C60" s="404"/>
      <c r="D60" s="423"/>
      <c r="E60" s="390"/>
      <c r="F60" s="424"/>
      <c r="G60" s="424"/>
      <c r="H60" s="425"/>
      <c r="I60" s="426"/>
      <c r="J60" s="489">
        <f t="shared" si="0"/>
        <v>0</v>
      </c>
      <c r="K60" s="401"/>
    </row>
    <row r="61" spans="1:11" ht="15" customHeight="1" thickBot="1">
      <c r="A61" s="422"/>
      <c r="B61" s="428"/>
      <c r="C61" s="390"/>
      <c r="D61" s="429" t="s">
        <v>47</v>
      </c>
      <c r="E61" s="429"/>
      <c r="F61" s="430"/>
      <c r="G61" s="431"/>
      <c r="H61" s="432"/>
      <c r="I61" s="433"/>
      <c r="J61" s="434">
        <f>SUM(J27:J60)</f>
        <v>0</v>
      </c>
      <c r="K61" s="401">
        <v>0</v>
      </c>
    </row>
    <row r="62" spans="1:11" ht="15" customHeight="1" thickTop="1">
      <c r="A62" s="381" t="s">
        <v>250</v>
      </c>
      <c r="B62" s="428"/>
      <c r="C62" s="404"/>
      <c r="D62" s="404" t="s">
        <v>251</v>
      </c>
      <c r="E62" s="404"/>
      <c r="F62" s="400" t="s">
        <v>252</v>
      </c>
      <c r="G62" s="400"/>
      <c r="H62" s="435"/>
      <c r="I62" s="436"/>
      <c r="J62" s="437"/>
      <c r="K62" s="380"/>
    </row>
    <row r="63" spans="1:11" ht="15" customHeight="1">
      <c r="A63" s="683"/>
      <c r="B63" s="684"/>
      <c r="C63" s="685"/>
      <c r="D63" s="686"/>
      <c r="E63" s="687"/>
      <c r="F63" s="688"/>
      <c r="G63" s="689"/>
      <c r="H63" s="689"/>
      <c r="I63" s="689"/>
      <c r="J63" s="689"/>
      <c r="K63" s="690"/>
    </row>
    <row r="64" spans="1:11" ht="15" customHeight="1">
      <c r="A64" s="683"/>
      <c r="B64" s="684"/>
      <c r="C64" s="685"/>
      <c r="D64" s="686"/>
      <c r="E64" s="687"/>
      <c r="F64" s="688"/>
      <c r="G64" s="689"/>
      <c r="H64" s="689"/>
      <c r="I64" s="689"/>
      <c r="J64" s="689"/>
      <c r="K64" s="690"/>
    </row>
    <row r="65" spans="1:11" ht="15" customHeight="1">
      <c r="A65" s="683"/>
      <c r="B65" s="684"/>
      <c r="C65" s="685"/>
      <c r="D65" s="686"/>
      <c r="E65" s="687"/>
      <c r="F65" s="688"/>
      <c r="G65" s="689"/>
      <c r="H65" s="689"/>
      <c r="I65" s="689"/>
      <c r="J65" s="689"/>
      <c r="K65" s="690"/>
    </row>
    <row r="66" spans="1:11" ht="15" customHeight="1">
      <c r="A66" s="683"/>
      <c r="B66" s="684"/>
      <c r="C66" s="685"/>
      <c r="D66" s="686"/>
      <c r="E66" s="687"/>
      <c r="F66" s="688"/>
      <c r="G66" s="689"/>
      <c r="H66" s="689"/>
      <c r="I66" s="689"/>
      <c r="J66" s="689"/>
      <c r="K66" s="690"/>
    </row>
    <row r="67" spans="1:11" ht="15" customHeight="1">
      <c r="A67" s="683"/>
      <c r="B67" s="684"/>
      <c r="C67" s="685"/>
      <c r="D67" s="686"/>
      <c r="E67" s="687"/>
      <c r="F67" s="688"/>
      <c r="G67" s="689"/>
      <c r="H67" s="689"/>
      <c r="I67" s="689"/>
      <c r="J67" s="689"/>
      <c r="K67" s="690"/>
    </row>
    <row r="68" spans="1:11" ht="15" customHeight="1">
      <c r="A68" s="683"/>
      <c r="B68" s="684"/>
      <c r="C68" s="685"/>
      <c r="D68" s="686"/>
      <c r="E68" s="687"/>
      <c r="F68" s="688"/>
      <c r="G68" s="689"/>
      <c r="H68" s="689"/>
      <c r="I68" s="689"/>
      <c r="J68" s="689"/>
      <c r="K68" s="690"/>
    </row>
    <row r="69" spans="1:11" ht="15" customHeight="1">
      <c r="A69" s="683"/>
      <c r="B69" s="684"/>
      <c r="C69" s="685"/>
      <c r="D69" s="686"/>
      <c r="E69" s="687"/>
      <c r="F69" s="688"/>
      <c r="G69" s="689"/>
      <c r="H69" s="689"/>
      <c r="I69" s="689"/>
      <c r="J69" s="689"/>
      <c r="K69" s="690"/>
    </row>
    <row r="70" spans="1:11" ht="15" customHeight="1">
      <c r="A70" s="683"/>
      <c r="B70" s="684"/>
      <c r="C70" s="685"/>
      <c r="D70" s="686"/>
      <c r="E70" s="687"/>
      <c r="F70" s="688"/>
      <c r="G70" s="689"/>
      <c r="H70" s="689"/>
      <c r="I70" s="689"/>
      <c r="J70" s="689"/>
      <c r="K70" s="690"/>
    </row>
    <row r="71" spans="1:11" ht="15" customHeight="1">
      <c r="A71" s="683"/>
      <c r="B71" s="684"/>
      <c r="C71" s="685"/>
      <c r="D71" s="686"/>
      <c r="E71" s="687"/>
      <c r="F71" s="688"/>
      <c r="G71" s="689"/>
      <c r="H71" s="689"/>
      <c r="I71" s="689"/>
      <c r="J71" s="689"/>
      <c r="K71" s="690"/>
    </row>
    <row r="72" spans="1:11" ht="15" customHeight="1">
      <c r="A72" s="683"/>
      <c r="B72" s="684"/>
      <c r="C72" s="685"/>
      <c r="D72" s="686"/>
      <c r="E72" s="687"/>
      <c r="F72" s="688"/>
      <c r="G72" s="689"/>
      <c r="H72" s="689"/>
      <c r="I72" s="689"/>
      <c r="J72" s="689"/>
      <c r="K72" s="690"/>
    </row>
    <row r="73" spans="1:11" ht="15" customHeight="1">
      <c r="A73" s="683"/>
      <c r="B73" s="684"/>
      <c r="C73" s="685"/>
      <c r="D73" s="686"/>
      <c r="E73" s="687"/>
      <c r="F73" s="688"/>
      <c r="G73" s="689"/>
      <c r="H73" s="689"/>
      <c r="I73" s="689"/>
      <c r="J73" s="689"/>
      <c r="K73" s="690"/>
    </row>
    <row r="74" spans="1:11" ht="15" customHeight="1">
      <c r="A74" s="683"/>
      <c r="B74" s="684"/>
      <c r="C74" s="685"/>
      <c r="D74" s="686"/>
      <c r="E74" s="687"/>
      <c r="F74" s="688"/>
      <c r="G74" s="689"/>
      <c r="H74" s="689"/>
      <c r="I74" s="689"/>
      <c r="J74" s="689"/>
      <c r="K74" s="690"/>
    </row>
    <row r="75" spans="1:11" ht="15" customHeight="1">
      <c r="A75" s="683"/>
      <c r="B75" s="684"/>
      <c r="C75" s="685"/>
      <c r="D75" s="686"/>
      <c r="E75" s="687"/>
      <c r="F75" s="688"/>
      <c r="G75" s="689"/>
      <c r="H75" s="689"/>
      <c r="I75" s="689"/>
      <c r="J75" s="689"/>
      <c r="K75" s="690"/>
    </row>
    <row r="76" spans="1:11" ht="15" customHeight="1">
      <c r="A76" s="683"/>
      <c r="B76" s="684"/>
      <c r="C76" s="685"/>
      <c r="D76" s="686"/>
      <c r="E76" s="687"/>
      <c r="F76" s="688"/>
      <c r="G76" s="689"/>
      <c r="H76" s="689"/>
      <c r="I76" s="689"/>
      <c r="J76" s="689"/>
      <c r="K76" s="690"/>
    </row>
    <row r="77" spans="1:11" ht="15" customHeight="1">
      <c r="A77" s="683"/>
      <c r="B77" s="684"/>
      <c r="C77" s="685"/>
      <c r="D77" s="686"/>
      <c r="E77" s="687"/>
      <c r="F77" s="688"/>
      <c r="G77" s="689"/>
      <c r="H77" s="689"/>
      <c r="I77" s="689"/>
      <c r="J77" s="689"/>
      <c r="K77" s="690"/>
    </row>
    <row r="78" spans="1:11" ht="15" customHeight="1">
      <c r="A78" s="683"/>
      <c r="B78" s="684"/>
      <c r="C78" s="685"/>
      <c r="D78" s="686"/>
      <c r="E78" s="687"/>
      <c r="F78" s="688"/>
      <c r="G78" s="689"/>
      <c r="H78" s="689"/>
      <c r="I78" s="689"/>
      <c r="J78" s="689"/>
      <c r="K78" s="690"/>
    </row>
    <row r="79" spans="1:11" ht="15" customHeight="1">
      <c r="A79" s="683"/>
      <c r="B79" s="684"/>
      <c r="C79" s="685"/>
      <c r="D79" s="686"/>
      <c r="E79" s="687"/>
      <c r="F79" s="688"/>
      <c r="G79" s="689"/>
      <c r="H79" s="689"/>
      <c r="I79" s="689"/>
      <c r="J79" s="689"/>
      <c r="K79" s="690"/>
    </row>
    <row r="80" spans="1:11" ht="15" customHeight="1">
      <c r="A80" s="683"/>
      <c r="B80" s="684"/>
      <c r="C80" s="685"/>
      <c r="D80" s="686"/>
      <c r="E80" s="687"/>
      <c r="F80" s="688"/>
      <c r="G80" s="689"/>
      <c r="H80" s="689"/>
      <c r="I80" s="689"/>
      <c r="J80" s="689"/>
      <c r="K80" s="690"/>
    </row>
    <row r="81" spans="1:11" ht="15" customHeight="1">
      <c r="A81" s="683"/>
      <c r="B81" s="684"/>
      <c r="C81" s="685"/>
      <c r="D81" s="686"/>
      <c r="E81" s="687"/>
      <c r="F81" s="688"/>
      <c r="G81" s="689"/>
      <c r="H81" s="689"/>
      <c r="I81" s="689"/>
      <c r="J81" s="689"/>
      <c r="K81" s="690"/>
    </row>
    <row r="82" spans="1:11" ht="15" customHeight="1">
      <c r="A82" s="683"/>
      <c r="B82" s="684"/>
      <c r="C82" s="685"/>
      <c r="D82" s="686"/>
      <c r="E82" s="687"/>
      <c r="F82" s="688"/>
      <c r="G82" s="689"/>
      <c r="H82" s="689"/>
      <c r="I82" s="689"/>
      <c r="J82" s="689"/>
      <c r="K82" s="690"/>
    </row>
    <row r="83" spans="1:11" ht="15" customHeight="1">
      <c r="A83" s="683"/>
      <c r="B83" s="684"/>
      <c r="C83" s="685"/>
      <c r="D83" s="686"/>
      <c r="E83" s="687"/>
      <c r="F83" s="688"/>
      <c r="G83" s="689"/>
      <c r="H83" s="689"/>
      <c r="I83" s="689"/>
      <c r="J83" s="689"/>
      <c r="K83" s="690"/>
    </row>
    <row r="84" spans="1:11" ht="15" customHeight="1">
      <c r="A84" s="683"/>
      <c r="B84" s="684"/>
      <c r="C84" s="685"/>
      <c r="D84" s="686"/>
      <c r="E84" s="687"/>
      <c r="F84" s="688"/>
      <c r="G84" s="689"/>
      <c r="H84" s="689"/>
      <c r="I84" s="689"/>
      <c r="J84" s="689"/>
      <c r="K84" s="690"/>
    </row>
    <row r="85" spans="1:11" ht="15" customHeight="1">
      <c r="A85" s="683"/>
      <c r="B85" s="684"/>
      <c r="C85" s="685"/>
      <c r="D85" s="686"/>
      <c r="E85" s="687"/>
      <c r="F85" s="688"/>
      <c r="G85" s="689"/>
      <c r="H85" s="689"/>
      <c r="I85" s="689"/>
      <c r="J85" s="689"/>
      <c r="K85" s="690"/>
    </row>
    <row r="86" spans="1:11" ht="15" customHeight="1">
      <c r="A86" s="683"/>
      <c r="B86" s="684"/>
      <c r="C86" s="685"/>
      <c r="D86" s="686"/>
      <c r="E86" s="687"/>
      <c r="F86" s="688"/>
      <c r="G86" s="689"/>
      <c r="H86" s="689"/>
      <c r="I86" s="689"/>
      <c r="J86" s="689"/>
      <c r="K86" s="690"/>
    </row>
    <row r="87" spans="1:11" ht="15" customHeight="1">
      <c r="A87" s="683"/>
      <c r="B87" s="684"/>
      <c r="C87" s="685"/>
      <c r="D87" s="686"/>
      <c r="E87" s="687"/>
      <c r="F87" s="688"/>
      <c r="G87" s="689"/>
      <c r="H87" s="689"/>
      <c r="I87" s="689"/>
      <c r="J87" s="689"/>
      <c r="K87" s="690"/>
    </row>
    <row r="88" spans="1:11" ht="15" customHeight="1">
      <c r="A88" s="683"/>
      <c r="B88" s="684"/>
      <c r="C88" s="685"/>
      <c r="D88" s="686"/>
      <c r="E88" s="687"/>
      <c r="F88" s="688"/>
      <c r="G88" s="689"/>
      <c r="H88" s="689"/>
      <c r="I88" s="689"/>
      <c r="J88" s="689"/>
      <c r="K88" s="690"/>
    </row>
    <row r="89" spans="1:11" ht="15" customHeight="1">
      <c r="A89" s="683"/>
      <c r="B89" s="684"/>
      <c r="C89" s="685"/>
      <c r="D89" s="686"/>
      <c r="E89" s="687"/>
      <c r="F89" s="688"/>
      <c r="G89" s="689"/>
      <c r="H89" s="689"/>
      <c r="I89" s="689"/>
      <c r="J89" s="689"/>
      <c r="K89" s="690"/>
    </row>
    <row r="90" spans="1:11" ht="15" customHeight="1">
      <c r="A90" s="683"/>
      <c r="B90" s="684"/>
      <c r="C90" s="685"/>
      <c r="D90" s="686"/>
      <c r="E90" s="687"/>
      <c r="F90" s="688"/>
      <c r="G90" s="689"/>
      <c r="H90" s="689"/>
      <c r="I90" s="689"/>
      <c r="J90" s="689"/>
      <c r="K90" s="690"/>
    </row>
    <row r="91" spans="1:11" ht="15" customHeight="1">
      <c r="A91" s="683"/>
      <c r="B91" s="684"/>
      <c r="C91" s="685"/>
      <c r="D91" s="686"/>
      <c r="E91" s="687"/>
      <c r="F91" s="688"/>
      <c r="G91" s="689"/>
      <c r="H91" s="689"/>
      <c r="I91" s="689"/>
      <c r="J91" s="689"/>
      <c r="K91" s="690"/>
    </row>
    <row r="92" spans="1:11" ht="15" customHeight="1">
      <c r="A92" s="683"/>
      <c r="B92" s="684"/>
      <c r="C92" s="685"/>
      <c r="D92" s="686"/>
      <c r="E92" s="687"/>
      <c r="F92" s="688"/>
      <c r="G92" s="689"/>
      <c r="H92" s="689"/>
      <c r="I92" s="689"/>
      <c r="J92" s="689"/>
      <c r="K92" s="690"/>
    </row>
    <row r="93" spans="1:11" ht="15" customHeight="1">
      <c r="A93" s="683"/>
      <c r="B93" s="684"/>
      <c r="C93" s="685"/>
      <c r="D93" s="686"/>
      <c r="E93" s="687"/>
      <c r="F93" s="688"/>
      <c r="G93" s="689"/>
      <c r="H93" s="689"/>
      <c r="I93" s="689"/>
      <c r="J93" s="689"/>
      <c r="K93" s="690"/>
    </row>
    <row r="94" spans="1:11" ht="15" customHeight="1">
      <c r="A94" s="683"/>
      <c r="B94" s="684"/>
      <c r="C94" s="685"/>
      <c r="D94" s="686"/>
      <c r="E94" s="687"/>
      <c r="F94" s="688"/>
      <c r="G94" s="689"/>
      <c r="H94" s="689"/>
      <c r="I94" s="689"/>
      <c r="J94" s="689"/>
      <c r="K94" s="690"/>
    </row>
    <row r="95" spans="1:11" ht="15" customHeight="1">
      <c r="A95" s="683"/>
      <c r="B95" s="684"/>
      <c r="C95" s="685"/>
      <c r="D95" s="686"/>
      <c r="E95" s="687"/>
      <c r="F95" s="688"/>
      <c r="G95" s="689"/>
      <c r="H95" s="689"/>
      <c r="I95" s="689"/>
      <c r="J95" s="689"/>
      <c r="K95" s="690"/>
    </row>
    <row r="96" spans="1:11" ht="15" customHeight="1">
      <c r="A96" s="683"/>
      <c r="B96" s="684"/>
      <c r="C96" s="685"/>
      <c r="D96" s="686"/>
      <c r="E96" s="687"/>
      <c r="F96" s="688"/>
      <c r="G96" s="689"/>
      <c r="H96" s="689"/>
      <c r="I96" s="689"/>
      <c r="J96" s="689"/>
      <c r="K96" s="690"/>
    </row>
    <row r="97" spans="1:11" ht="15" customHeight="1">
      <c r="A97" s="380"/>
      <c r="B97" s="380"/>
      <c r="C97" s="380"/>
      <c r="D97" s="380"/>
      <c r="E97" s="380"/>
      <c r="F97" s="380"/>
      <c r="G97" s="380"/>
      <c r="H97" s="380"/>
      <c r="I97" s="380"/>
      <c r="J97" s="380"/>
      <c r="K97" s="380"/>
    </row>
    <row r="98" spans="1:11" ht="15" customHeight="1">
      <c r="A98" s="380"/>
      <c r="B98" s="380"/>
      <c r="C98" s="380"/>
      <c r="D98" s="380"/>
      <c r="E98" s="380"/>
      <c r="F98" s="380"/>
      <c r="G98" s="380"/>
      <c r="H98" s="380"/>
      <c r="I98" s="380"/>
      <c r="J98" s="380"/>
      <c r="K98" s="380"/>
    </row>
    <row r="99" spans="1:11" ht="15" customHeight="1">
      <c r="A99" s="380"/>
      <c r="B99" s="380"/>
      <c r="C99" s="380"/>
      <c r="D99" s="380"/>
      <c r="E99" s="380"/>
      <c r="F99" s="380"/>
      <c r="G99" s="380"/>
      <c r="H99" s="380"/>
      <c r="I99" s="380"/>
      <c r="J99" s="380"/>
      <c r="K99" s="380"/>
    </row>
    <row r="100" spans="1:11" ht="15" customHeight="1">
      <c r="A100" s="380"/>
      <c r="B100" s="380"/>
      <c r="C100" s="380"/>
      <c r="D100" s="380"/>
      <c r="E100" s="380"/>
      <c r="F100" s="380"/>
      <c r="G100" s="380"/>
      <c r="H100" s="380"/>
      <c r="I100" s="380"/>
      <c r="J100" s="380"/>
      <c r="K100" s="380"/>
    </row>
    <row r="101" spans="1:11" ht="15" customHeight="1">
      <c r="A101" s="380"/>
      <c r="B101" s="380"/>
      <c r="C101" s="380"/>
      <c r="D101" s="380"/>
      <c r="E101" s="380"/>
      <c r="F101" s="380"/>
      <c r="G101" s="380"/>
      <c r="H101" s="380"/>
      <c r="I101" s="380"/>
      <c r="J101" s="380"/>
      <c r="K101" s="380"/>
    </row>
    <row r="102" spans="1:11" ht="15" customHeight="1">
      <c r="A102" s="382" t="s">
        <v>253</v>
      </c>
      <c r="B102" s="382"/>
      <c r="C102" s="382"/>
      <c r="D102" s="382"/>
      <c r="E102" s="382"/>
      <c r="F102" s="382"/>
      <c r="G102" s="380"/>
      <c r="H102" s="380"/>
      <c r="I102" s="380"/>
      <c r="J102" s="380"/>
      <c r="K102" s="380"/>
    </row>
    <row r="103" spans="1:11" ht="15" customHeight="1">
      <c r="A103" s="382" t="s">
        <v>254</v>
      </c>
      <c r="B103" s="382"/>
      <c r="C103" s="382"/>
      <c r="D103" s="380"/>
      <c r="E103" s="380"/>
      <c r="F103" s="380"/>
      <c r="G103" s="380"/>
      <c r="H103" s="438" t="s">
        <v>255</v>
      </c>
      <c r="I103" s="402"/>
      <c r="J103" s="402"/>
      <c r="K103" s="402"/>
    </row>
  </sheetData>
  <mergeCells count="110">
    <mergeCell ref="A95:C95"/>
    <mergeCell ref="D95:E95"/>
    <mergeCell ref="F95:K95"/>
    <mergeCell ref="A96:C96"/>
    <mergeCell ref="D96:E96"/>
    <mergeCell ref="F96:K96"/>
    <mergeCell ref="A93:C93"/>
    <mergeCell ref="D93:E93"/>
    <mergeCell ref="F93:K93"/>
    <mergeCell ref="A94:C94"/>
    <mergeCell ref="D94:E94"/>
    <mergeCell ref="F94:K94"/>
    <mergeCell ref="A91:C91"/>
    <mergeCell ref="D91:E91"/>
    <mergeCell ref="F91:K91"/>
    <mergeCell ref="A92:C92"/>
    <mergeCell ref="D92:E92"/>
    <mergeCell ref="F92:K92"/>
    <mergeCell ref="A89:C89"/>
    <mergeCell ref="D89:E89"/>
    <mergeCell ref="F89:K89"/>
    <mergeCell ref="A90:C90"/>
    <mergeCell ref="D90:E90"/>
    <mergeCell ref="F90:K90"/>
    <mergeCell ref="A87:C87"/>
    <mergeCell ref="D87:E87"/>
    <mergeCell ref="F87:K87"/>
    <mergeCell ref="A88:C88"/>
    <mergeCell ref="D88:E88"/>
    <mergeCell ref="F88:K88"/>
    <mergeCell ref="A85:C85"/>
    <mergeCell ref="D85:E85"/>
    <mergeCell ref="F85:K85"/>
    <mergeCell ref="A86:C86"/>
    <mergeCell ref="D86:E86"/>
    <mergeCell ref="F86:K86"/>
    <mergeCell ref="A83:C83"/>
    <mergeCell ref="D83:E83"/>
    <mergeCell ref="F83:K83"/>
    <mergeCell ref="A84:C84"/>
    <mergeCell ref="D84:E84"/>
    <mergeCell ref="F84:K84"/>
    <mergeCell ref="A81:C81"/>
    <mergeCell ref="D81:E81"/>
    <mergeCell ref="F81:K81"/>
    <mergeCell ref="A82:C82"/>
    <mergeCell ref="D82:E82"/>
    <mergeCell ref="F82:K82"/>
    <mergeCell ref="A79:C79"/>
    <mergeCell ref="D79:E79"/>
    <mergeCell ref="F79:K79"/>
    <mergeCell ref="A80:C80"/>
    <mergeCell ref="D80:E80"/>
    <mergeCell ref="F80:K80"/>
    <mergeCell ref="A77:C77"/>
    <mergeCell ref="D77:E77"/>
    <mergeCell ref="F77:K77"/>
    <mergeCell ref="A78:C78"/>
    <mergeCell ref="D78:E78"/>
    <mergeCell ref="F78:K78"/>
    <mergeCell ref="A75:C75"/>
    <mergeCell ref="D75:E75"/>
    <mergeCell ref="F75:K75"/>
    <mergeCell ref="A76:C76"/>
    <mergeCell ref="D76:E76"/>
    <mergeCell ref="F76:K76"/>
    <mergeCell ref="A73:C73"/>
    <mergeCell ref="D73:E73"/>
    <mergeCell ref="F73:K73"/>
    <mergeCell ref="A74:C74"/>
    <mergeCell ref="D74:E74"/>
    <mergeCell ref="F74:K74"/>
    <mergeCell ref="A71:C71"/>
    <mergeCell ref="D71:E71"/>
    <mergeCell ref="F71:K71"/>
    <mergeCell ref="A72:C72"/>
    <mergeCell ref="D72:E72"/>
    <mergeCell ref="F72:K72"/>
    <mergeCell ref="A69:C69"/>
    <mergeCell ref="D69:E69"/>
    <mergeCell ref="F69:K69"/>
    <mergeCell ref="A70:C70"/>
    <mergeCell ref="D70:E70"/>
    <mergeCell ref="F70:K70"/>
    <mergeCell ref="A64:C64"/>
    <mergeCell ref="D64:E64"/>
    <mergeCell ref="F64:K64"/>
    <mergeCell ref="A67:C67"/>
    <mergeCell ref="D67:E67"/>
    <mergeCell ref="F67:K67"/>
    <mergeCell ref="A68:C68"/>
    <mergeCell ref="D68:E68"/>
    <mergeCell ref="F68:K68"/>
    <mergeCell ref="A65:C65"/>
    <mergeCell ref="D65:E65"/>
    <mergeCell ref="F65:K65"/>
    <mergeCell ref="A66:C66"/>
    <mergeCell ref="D66:E66"/>
    <mergeCell ref="F66:K66"/>
    <mergeCell ref="A1:K1"/>
    <mergeCell ref="A18:C18"/>
    <mergeCell ref="D18:F18"/>
    <mergeCell ref="A21:C21"/>
    <mergeCell ref="D21:F21"/>
    <mergeCell ref="A63:C63"/>
    <mergeCell ref="D63:E63"/>
    <mergeCell ref="F63:K63"/>
    <mergeCell ref="A22:C22"/>
    <mergeCell ref="D22:F22"/>
    <mergeCell ref="G22:H22"/>
  </mergeCells>
  <phoneticPr fontId="3" type="noConversion"/>
  <printOptions horizontalCentered="1"/>
  <pageMargins left="0.15748031496062992" right="0.15748031496062992" top="0.70866141732283472" bottom="0.43307086614173229" header="0.51181102362204722" footer="0.23622047244094491"/>
  <pageSetup paperSize="9" orientation="portrait" r:id="rId1"/>
  <headerFooter>
    <oddFooter>&amp;C&amp;P/&amp;N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50"/>
    <pageSetUpPr fitToPage="1"/>
  </sheetPr>
  <dimension ref="A1:M103"/>
  <sheetViews>
    <sheetView zoomScaleNormal="100" workbookViewId="0">
      <selection activeCell="A8" sqref="A8:F13"/>
    </sheetView>
  </sheetViews>
  <sheetFormatPr defaultRowHeight="15" customHeight="1"/>
  <cols>
    <col min="1" max="4" width="7.77734375" style="442" customWidth="1"/>
    <col min="5" max="5" width="6.5546875" style="442" customWidth="1"/>
    <col min="6" max="6" width="7.77734375" style="442" customWidth="1"/>
    <col min="7" max="7" width="8" style="442" customWidth="1"/>
    <col min="8" max="8" width="7.44140625" style="442" customWidth="1"/>
    <col min="9" max="9" width="12.6640625" style="442" customWidth="1"/>
    <col min="10" max="10" width="14.77734375" style="442" customWidth="1"/>
    <col min="11" max="11" width="8.44140625" style="442" customWidth="1"/>
    <col min="12" max="12" width="12" style="442" customWidth="1"/>
    <col min="13" max="13" width="8.5546875" style="442" bestFit="1" customWidth="1"/>
    <col min="14" max="16384" width="8.88671875" style="442"/>
  </cols>
  <sheetData>
    <row r="1" spans="1:13" s="441" customFormat="1" ht="20.25">
      <c r="A1" s="672" t="s">
        <v>241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30"/>
    </row>
    <row r="2" spans="1:13" ht="15" customHeight="1">
      <c r="A2" s="444" t="s">
        <v>14</v>
      </c>
      <c r="B2" s="444"/>
      <c r="C2" s="444"/>
      <c r="D2" s="445"/>
      <c r="E2" s="445"/>
      <c r="F2" s="446"/>
      <c r="G2" s="447" t="s">
        <v>15</v>
      </c>
      <c r="H2" s="444"/>
      <c r="I2" s="444"/>
      <c r="J2" s="445"/>
      <c r="K2" s="445"/>
    </row>
    <row r="3" spans="1:13" ht="15" customHeight="1">
      <c r="A3" s="448" t="s">
        <v>16</v>
      </c>
      <c r="B3" s="448"/>
      <c r="C3" s="448"/>
      <c r="D3" s="448"/>
      <c r="E3" s="449"/>
      <c r="F3" s="450"/>
      <c r="G3" s="451"/>
      <c r="H3" s="440"/>
      <c r="I3" s="440"/>
      <c r="J3" s="451"/>
      <c r="K3" s="452"/>
    </row>
    <row r="4" spans="1:13" ht="15" customHeight="1">
      <c r="A4" s="453" t="s">
        <v>242</v>
      </c>
      <c r="B4" s="453"/>
      <c r="C4" s="453"/>
      <c r="D4" s="440"/>
      <c r="E4" s="440"/>
      <c r="F4" s="450"/>
      <c r="G4" s="454"/>
      <c r="H4" s="440"/>
      <c r="I4" s="440"/>
      <c r="J4" s="455"/>
      <c r="K4" s="455"/>
    </row>
    <row r="5" spans="1:13" ht="15" customHeight="1">
      <c r="A5" s="453" t="s">
        <v>243</v>
      </c>
      <c r="B5" s="453"/>
      <c r="C5" s="453"/>
      <c r="D5" s="453"/>
      <c r="E5" s="453"/>
      <c r="F5" s="450"/>
      <c r="G5" s="447" t="s">
        <v>20</v>
      </c>
      <c r="H5" s="444"/>
      <c r="I5" s="445"/>
      <c r="J5" s="440"/>
      <c r="K5" s="440"/>
    </row>
    <row r="6" spans="1:13" ht="15" customHeight="1">
      <c r="A6" s="453" t="s">
        <v>244</v>
      </c>
      <c r="B6" s="453"/>
      <c r="C6" s="453"/>
      <c r="D6" s="453"/>
      <c r="E6" s="453"/>
      <c r="F6" s="450"/>
      <c r="G6" s="451"/>
      <c r="H6" s="451"/>
      <c r="I6" s="451"/>
      <c r="J6" s="451"/>
      <c r="K6" s="458"/>
    </row>
    <row r="7" spans="1:13" ht="15" customHeight="1">
      <c r="A7" s="444" t="s">
        <v>22</v>
      </c>
      <c r="B7" s="444"/>
      <c r="C7" s="445"/>
      <c r="D7" s="445"/>
      <c r="E7" s="445"/>
      <c r="F7" s="446"/>
      <c r="G7" s="440"/>
      <c r="H7" s="449"/>
      <c r="I7" s="449"/>
      <c r="J7" s="456" t="s">
        <v>23</v>
      </c>
      <c r="K7" s="459"/>
      <c r="L7" s="40"/>
    </row>
    <row r="8" spans="1:13" ht="15" customHeight="1">
      <c r="A8" s="529" t="s">
        <v>257</v>
      </c>
      <c r="B8" s="529"/>
      <c r="C8" s="529"/>
      <c r="D8" s="525"/>
      <c r="E8" s="525"/>
      <c r="F8" s="528"/>
      <c r="G8" s="447" t="s">
        <v>24</v>
      </c>
      <c r="H8" s="444"/>
      <c r="I8" s="444"/>
      <c r="J8" s="445"/>
      <c r="K8" s="460"/>
      <c r="L8" s="40"/>
    </row>
    <row r="9" spans="1:13" ht="15" customHeight="1">
      <c r="A9" s="530" t="s">
        <v>258</v>
      </c>
      <c r="B9" s="530"/>
      <c r="C9" s="530"/>
      <c r="D9" s="530"/>
      <c r="E9" s="525"/>
      <c r="F9" s="528"/>
      <c r="G9" s="442" t="s">
        <v>23</v>
      </c>
      <c r="H9" s="440"/>
      <c r="I9" s="440"/>
      <c r="J9" s="440"/>
      <c r="K9" s="459"/>
      <c r="L9" s="51"/>
      <c r="M9" s="52"/>
    </row>
    <row r="10" spans="1:13" ht="15" customHeight="1">
      <c r="A10" s="530" t="s">
        <v>259</v>
      </c>
      <c r="B10" s="530"/>
      <c r="C10" s="530"/>
      <c r="D10" s="525"/>
      <c r="E10" s="525"/>
      <c r="F10" s="528"/>
      <c r="G10" s="463" t="s">
        <v>23</v>
      </c>
      <c r="H10" s="463"/>
      <c r="I10" s="463"/>
      <c r="J10" s="463"/>
      <c r="K10" s="459"/>
      <c r="L10" s="51"/>
      <c r="M10" s="55"/>
    </row>
    <row r="11" spans="1:13" ht="15" customHeight="1">
      <c r="A11" s="526" t="s">
        <v>260</v>
      </c>
      <c r="B11" s="533"/>
      <c r="C11" s="533"/>
      <c r="D11" s="533"/>
      <c r="E11" s="533"/>
      <c r="F11" s="528"/>
      <c r="G11" s="447" t="s">
        <v>25</v>
      </c>
      <c r="H11" s="444"/>
      <c r="I11" s="440"/>
      <c r="J11" s="440"/>
      <c r="K11" s="464"/>
      <c r="M11" s="55"/>
    </row>
    <row r="12" spans="1:13" ht="15" customHeight="1">
      <c r="A12" s="535" t="s">
        <v>261</v>
      </c>
      <c r="B12" s="534"/>
      <c r="C12" s="531"/>
      <c r="D12" s="531"/>
      <c r="E12" s="531"/>
      <c r="F12" s="532"/>
      <c r="G12" s="451"/>
      <c r="H12" s="465"/>
      <c r="I12" s="440"/>
      <c r="J12" s="440"/>
      <c r="K12" s="466"/>
      <c r="L12" s="40"/>
    </row>
    <row r="13" spans="1:13" ht="15" customHeight="1">
      <c r="A13" s="527" t="s">
        <v>26</v>
      </c>
      <c r="B13" s="525"/>
      <c r="C13" s="525"/>
      <c r="D13" s="525"/>
      <c r="E13" s="525"/>
      <c r="F13" s="528"/>
      <c r="G13" s="451"/>
      <c r="H13" s="465"/>
      <c r="I13" s="467" t="s">
        <v>27</v>
      </c>
      <c r="J13" s="468">
        <f>1500/324106.53*J61</f>
        <v>0</v>
      </c>
      <c r="K13" s="466"/>
      <c r="L13" s="40"/>
    </row>
    <row r="14" spans="1:13" ht="15" customHeight="1">
      <c r="A14" s="469" t="s">
        <v>28</v>
      </c>
      <c r="B14" s="469"/>
      <c r="C14" s="440"/>
      <c r="D14" s="440"/>
      <c r="E14" s="440"/>
      <c r="F14" s="450"/>
      <c r="G14" s="440"/>
      <c r="H14" s="465"/>
      <c r="I14" s="470" t="s">
        <v>29</v>
      </c>
      <c r="J14" s="471">
        <f>J61*1.1*0.026%</f>
        <v>0</v>
      </c>
      <c r="K14" s="466"/>
      <c r="L14" s="51"/>
    </row>
    <row r="15" spans="1:13" ht="15" customHeight="1">
      <c r="A15" s="440"/>
      <c r="B15" s="440"/>
      <c r="C15" s="440"/>
      <c r="D15" s="440"/>
      <c r="E15" s="440"/>
      <c r="F15" s="450"/>
      <c r="G15" s="440"/>
      <c r="H15" s="472"/>
      <c r="I15" s="473"/>
      <c r="J15" s="440"/>
      <c r="K15" s="466"/>
      <c r="L15" s="51"/>
    </row>
    <row r="16" spans="1:13" ht="15" customHeight="1">
      <c r="A16" s="444" t="s">
        <v>31</v>
      </c>
      <c r="B16" s="444"/>
      <c r="C16" s="446"/>
      <c r="D16" s="444" t="s">
        <v>32</v>
      </c>
      <c r="E16" s="444"/>
      <c r="F16" s="474"/>
      <c r="G16" s="451"/>
      <c r="H16" s="467" t="s">
        <v>33</v>
      </c>
      <c r="I16" s="457" t="s">
        <v>245</v>
      </c>
      <c r="J16" s="449" t="s">
        <v>34</v>
      </c>
      <c r="K16" s="466"/>
      <c r="L16" s="40"/>
    </row>
    <row r="17" spans="1:13" ht="15" customHeight="1">
      <c r="A17" s="440"/>
      <c r="B17" s="440"/>
      <c r="C17" s="440"/>
      <c r="D17" s="475" t="s">
        <v>23</v>
      </c>
      <c r="E17" s="454"/>
      <c r="F17" s="450"/>
      <c r="G17" s="440"/>
      <c r="H17" s="470" t="s">
        <v>35</v>
      </c>
      <c r="I17" s="476">
        <f>K61</f>
        <v>0</v>
      </c>
      <c r="J17" s="449" t="s">
        <v>36</v>
      </c>
      <c r="K17" s="466"/>
      <c r="L17" s="40"/>
    </row>
    <row r="18" spans="1:13" ht="15" customHeight="1">
      <c r="A18" s="673" t="s">
        <v>246</v>
      </c>
      <c r="B18" s="673"/>
      <c r="C18" s="674"/>
      <c r="D18" s="675" t="s">
        <v>37</v>
      </c>
      <c r="E18" s="676"/>
      <c r="F18" s="677"/>
      <c r="G18" s="440"/>
      <c r="H18" s="470" t="s">
        <v>38</v>
      </c>
      <c r="I18" s="476">
        <f>I17*1.1</f>
        <v>0</v>
      </c>
      <c r="J18" s="449" t="s">
        <v>36</v>
      </c>
      <c r="K18" s="466"/>
    </row>
    <row r="19" spans="1:13" ht="15" customHeight="1">
      <c r="A19" s="444" t="s">
        <v>39</v>
      </c>
      <c r="B19" s="444"/>
      <c r="C19" s="450"/>
      <c r="D19" s="444" t="s">
        <v>40</v>
      </c>
      <c r="E19" s="444"/>
      <c r="F19" s="474"/>
      <c r="G19" s="440"/>
      <c r="H19" s="440"/>
      <c r="I19" s="440"/>
      <c r="J19" s="440"/>
      <c r="K19" s="466"/>
    </row>
    <row r="20" spans="1:13" ht="15" customHeight="1">
      <c r="A20" s="442" t="s">
        <v>23</v>
      </c>
      <c r="B20" s="440"/>
      <c r="C20" s="450"/>
      <c r="D20" s="442" t="s">
        <v>23</v>
      </c>
      <c r="E20" s="440"/>
      <c r="F20" s="450"/>
      <c r="G20" s="442" t="s">
        <v>23</v>
      </c>
      <c r="H20" s="440"/>
      <c r="I20" s="440"/>
      <c r="J20" s="440"/>
      <c r="K20" s="466"/>
    </row>
    <row r="21" spans="1:13" ht="15" customHeight="1">
      <c r="A21" s="678"/>
      <c r="B21" s="678"/>
      <c r="C21" s="679"/>
      <c r="D21" s="680"/>
      <c r="E21" s="681"/>
      <c r="F21" s="682"/>
      <c r="G21" s="463"/>
      <c r="H21" s="463"/>
      <c r="I21" s="463"/>
      <c r="J21" s="463"/>
      <c r="K21" s="477"/>
    </row>
    <row r="22" spans="1:13" s="478" customFormat="1" ht="15" customHeight="1">
      <c r="A22" s="691" t="s">
        <v>41</v>
      </c>
      <c r="B22" s="691"/>
      <c r="C22" s="692"/>
      <c r="D22" s="693" t="s">
        <v>42</v>
      </c>
      <c r="E22" s="691"/>
      <c r="F22" s="692"/>
      <c r="G22" s="693" t="s">
        <v>43</v>
      </c>
      <c r="H22" s="692"/>
      <c r="I22" s="479" t="s">
        <v>44</v>
      </c>
      <c r="J22" s="478" t="s">
        <v>45</v>
      </c>
    </row>
    <row r="23" spans="1:13" ht="15" customHeight="1">
      <c r="A23" s="465" t="s">
        <v>23</v>
      </c>
      <c r="B23" s="440"/>
      <c r="C23" s="450"/>
      <c r="D23" s="440"/>
      <c r="E23" s="440"/>
      <c r="F23" s="450"/>
      <c r="G23" s="440"/>
      <c r="H23" s="450"/>
      <c r="I23" s="450"/>
      <c r="J23" s="440"/>
      <c r="K23" s="440"/>
    </row>
    <row r="24" spans="1:13" ht="15" customHeight="1">
      <c r="A24" s="465" t="s">
        <v>23</v>
      </c>
      <c r="B24" s="440"/>
      <c r="C24" s="440"/>
      <c r="D24" s="440"/>
      <c r="E24" s="440"/>
      <c r="F24" s="440"/>
      <c r="G24" s="480" t="s">
        <v>46</v>
      </c>
      <c r="H24" s="480"/>
      <c r="I24" s="480"/>
      <c r="J24" s="440"/>
      <c r="K24" s="440"/>
    </row>
    <row r="25" spans="1:13" ht="15" customHeight="1">
      <c r="A25" s="481"/>
      <c r="B25" s="465"/>
      <c r="C25" s="451"/>
      <c r="D25" s="465"/>
      <c r="E25" s="465"/>
      <c r="F25" s="451"/>
      <c r="G25" s="451"/>
      <c r="H25" s="451"/>
      <c r="I25" s="451"/>
      <c r="J25" s="451"/>
      <c r="K25" s="482"/>
    </row>
    <row r="26" spans="1:13" ht="15" customHeight="1">
      <c r="A26" s="483"/>
      <c r="B26" s="465"/>
      <c r="C26" s="451"/>
      <c r="D26" s="501" t="s">
        <v>247</v>
      </c>
      <c r="E26" s="501"/>
      <c r="F26" s="501"/>
      <c r="G26" s="501" t="s">
        <v>4</v>
      </c>
      <c r="H26" s="501" t="s">
        <v>5</v>
      </c>
      <c r="I26" s="501" t="s">
        <v>248</v>
      </c>
      <c r="J26" s="501" t="s">
        <v>249</v>
      </c>
      <c r="K26" s="462"/>
      <c r="L26" s="44"/>
    </row>
    <row r="27" spans="1:13" ht="15" customHeight="1">
      <c r="A27" s="484"/>
      <c r="B27" s="465"/>
      <c r="C27" s="440"/>
      <c r="D27" s="485"/>
      <c r="E27" s="451"/>
      <c r="F27" s="486"/>
      <c r="G27" s="486"/>
      <c r="H27" s="487"/>
      <c r="I27" s="488"/>
      <c r="J27" s="489">
        <f>G27*I27</f>
        <v>0</v>
      </c>
      <c r="K27" s="462"/>
      <c r="L27" s="88"/>
    </row>
    <row r="28" spans="1:13" s="40" customFormat="1" ht="15" customHeight="1">
      <c r="A28" s="484"/>
      <c r="B28" s="465"/>
      <c r="C28" s="465"/>
      <c r="D28" s="485"/>
      <c r="E28" s="451"/>
      <c r="F28" s="486"/>
      <c r="G28" s="486"/>
      <c r="H28" s="487"/>
      <c r="I28" s="488"/>
      <c r="J28" s="489">
        <f t="shared" ref="J28:J60" si="0">G28*I28</f>
        <v>0</v>
      </c>
      <c r="K28" s="462"/>
      <c r="L28" s="88"/>
      <c r="M28" s="89"/>
    </row>
    <row r="29" spans="1:13" s="40" customFormat="1" ht="15" customHeight="1">
      <c r="A29" s="484"/>
      <c r="B29" s="465"/>
      <c r="C29" s="465"/>
      <c r="D29" s="485"/>
      <c r="E29" s="451"/>
      <c r="F29" s="486"/>
      <c r="G29" s="486"/>
      <c r="H29" s="487"/>
      <c r="I29" s="488"/>
      <c r="J29" s="489">
        <f t="shared" si="0"/>
        <v>0</v>
      </c>
      <c r="K29" s="462"/>
      <c r="L29" s="88"/>
    </row>
    <row r="30" spans="1:13" s="40" customFormat="1" ht="15" customHeight="1">
      <c r="A30" s="484"/>
      <c r="B30" s="465"/>
      <c r="C30" s="465"/>
      <c r="D30" s="485"/>
      <c r="E30" s="451"/>
      <c r="F30" s="486"/>
      <c r="G30" s="486"/>
      <c r="H30" s="487"/>
      <c r="I30" s="488"/>
      <c r="J30" s="489">
        <f t="shared" si="0"/>
        <v>0</v>
      </c>
      <c r="K30" s="462"/>
      <c r="L30" s="88"/>
    </row>
    <row r="31" spans="1:13" s="40" customFormat="1" ht="13.5">
      <c r="A31" s="484"/>
      <c r="B31" s="465"/>
      <c r="C31" s="465"/>
      <c r="D31" s="485"/>
      <c r="E31" s="451"/>
      <c r="F31" s="486"/>
      <c r="G31" s="486"/>
      <c r="H31" s="487"/>
      <c r="I31" s="488"/>
      <c r="J31" s="489">
        <f t="shared" si="0"/>
        <v>0</v>
      </c>
      <c r="K31" s="462"/>
      <c r="L31" s="88"/>
    </row>
    <row r="32" spans="1:13" ht="15" customHeight="1">
      <c r="A32" s="484"/>
      <c r="B32" s="465"/>
      <c r="C32" s="465"/>
      <c r="D32" s="485"/>
      <c r="E32" s="451"/>
      <c r="F32" s="486"/>
      <c r="G32" s="486"/>
      <c r="H32" s="487"/>
      <c r="I32" s="488"/>
      <c r="J32" s="489">
        <f t="shared" si="0"/>
        <v>0</v>
      </c>
      <c r="K32" s="462"/>
    </row>
    <row r="33" spans="1:11" ht="15" customHeight="1">
      <c r="A33" s="484"/>
      <c r="B33" s="465"/>
      <c r="C33" s="465"/>
      <c r="D33" s="485"/>
      <c r="E33" s="451"/>
      <c r="F33" s="486"/>
      <c r="G33" s="486"/>
      <c r="H33" s="487"/>
      <c r="I33" s="488"/>
      <c r="J33" s="489">
        <f t="shared" si="0"/>
        <v>0</v>
      </c>
      <c r="K33" s="462"/>
    </row>
    <row r="34" spans="1:11" ht="15" customHeight="1">
      <c r="A34" s="484"/>
      <c r="B34" s="465"/>
      <c r="C34" s="465"/>
      <c r="D34" s="485"/>
      <c r="E34" s="451"/>
      <c r="F34" s="486"/>
      <c r="G34" s="486"/>
      <c r="H34" s="487"/>
      <c r="I34" s="488"/>
      <c r="J34" s="489">
        <f t="shared" si="0"/>
        <v>0</v>
      </c>
      <c r="K34" s="462"/>
    </row>
    <row r="35" spans="1:11" ht="15" customHeight="1">
      <c r="A35" s="484"/>
      <c r="B35" s="465"/>
      <c r="C35" s="465"/>
      <c r="D35" s="485"/>
      <c r="E35" s="451"/>
      <c r="F35" s="486"/>
      <c r="G35" s="486"/>
      <c r="H35" s="487"/>
      <c r="I35" s="488"/>
      <c r="J35" s="489">
        <f t="shared" si="0"/>
        <v>0</v>
      </c>
      <c r="K35" s="462"/>
    </row>
    <row r="36" spans="1:11" ht="15" customHeight="1">
      <c r="A36" s="484"/>
      <c r="B36" s="465"/>
      <c r="C36" s="465"/>
      <c r="D36" s="485"/>
      <c r="E36" s="451"/>
      <c r="F36" s="486"/>
      <c r="G36" s="486"/>
      <c r="H36" s="487"/>
      <c r="I36" s="488"/>
      <c r="J36" s="489">
        <f t="shared" si="0"/>
        <v>0</v>
      </c>
      <c r="K36" s="462"/>
    </row>
    <row r="37" spans="1:11" ht="15" customHeight="1">
      <c r="A37" s="484"/>
      <c r="B37" s="465"/>
      <c r="C37" s="465"/>
      <c r="D37" s="485"/>
      <c r="E37" s="451"/>
      <c r="F37" s="486"/>
      <c r="G37" s="486"/>
      <c r="H37" s="487"/>
      <c r="I37" s="488"/>
      <c r="J37" s="489">
        <f t="shared" si="0"/>
        <v>0</v>
      </c>
      <c r="K37" s="462"/>
    </row>
    <row r="38" spans="1:11" ht="15" customHeight="1">
      <c r="A38" s="484"/>
      <c r="B38" s="465"/>
      <c r="C38" s="465"/>
      <c r="D38" s="485"/>
      <c r="E38" s="451"/>
      <c r="F38" s="486"/>
      <c r="G38" s="486"/>
      <c r="H38" s="487"/>
      <c r="I38" s="488"/>
      <c r="J38" s="489">
        <f t="shared" si="0"/>
        <v>0</v>
      </c>
      <c r="K38" s="462"/>
    </row>
    <row r="39" spans="1:11" ht="15" customHeight="1">
      <c r="A39" s="484"/>
      <c r="B39" s="465"/>
      <c r="C39" s="465"/>
      <c r="D39" s="485"/>
      <c r="E39" s="451"/>
      <c r="F39" s="486"/>
      <c r="G39" s="486"/>
      <c r="H39" s="487"/>
      <c r="I39" s="488"/>
      <c r="J39" s="489">
        <f t="shared" si="0"/>
        <v>0</v>
      </c>
      <c r="K39" s="462"/>
    </row>
    <row r="40" spans="1:11" ht="15" customHeight="1">
      <c r="A40" s="484"/>
      <c r="B40" s="465"/>
      <c r="C40" s="465"/>
      <c r="D40" s="485"/>
      <c r="E40" s="451"/>
      <c r="F40" s="486"/>
      <c r="G40" s="486"/>
      <c r="H40" s="487"/>
      <c r="I40" s="488"/>
      <c r="J40" s="489">
        <f t="shared" si="0"/>
        <v>0</v>
      </c>
      <c r="K40" s="462"/>
    </row>
    <row r="41" spans="1:11" ht="15" customHeight="1">
      <c r="A41" s="484"/>
      <c r="B41" s="465"/>
      <c r="C41" s="465"/>
      <c r="D41" s="485"/>
      <c r="E41" s="451"/>
      <c r="F41" s="486"/>
      <c r="G41" s="486"/>
      <c r="H41" s="487"/>
      <c r="I41" s="488"/>
      <c r="J41" s="489">
        <f t="shared" si="0"/>
        <v>0</v>
      </c>
      <c r="K41" s="462"/>
    </row>
    <row r="42" spans="1:11" ht="15" customHeight="1">
      <c r="A42" s="484"/>
      <c r="B42" s="465"/>
      <c r="C42" s="465"/>
      <c r="D42" s="485"/>
      <c r="E42" s="451"/>
      <c r="F42" s="486"/>
      <c r="G42" s="486"/>
      <c r="H42" s="487"/>
      <c r="I42" s="488"/>
      <c r="J42" s="489">
        <f t="shared" si="0"/>
        <v>0</v>
      </c>
      <c r="K42" s="462"/>
    </row>
    <row r="43" spans="1:11" ht="15" customHeight="1">
      <c r="A43" s="484"/>
      <c r="B43" s="465"/>
      <c r="C43" s="465"/>
      <c r="D43" s="485"/>
      <c r="E43" s="451"/>
      <c r="F43" s="486"/>
      <c r="G43" s="486"/>
      <c r="H43" s="487"/>
      <c r="I43" s="488"/>
      <c r="J43" s="489">
        <f t="shared" si="0"/>
        <v>0</v>
      </c>
      <c r="K43" s="462"/>
    </row>
    <row r="44" spans="1:11" ht="15" customHeight="1">
      <c r="A44" s="484"/>
      <c r="B44" s="465"/>
      <c r="C44" s="465"/>
      <c r="D44" s="485"/>
      <c r="E44" s="451"/>
      <c r="F44" s="486"/>
      <c r="G44" s="486"/>
      <c r="H44" s="487"/>
      <c r="I44" s="488"/>
      <c r="J44" s="489">
        <f t="shared" si="0"/>
        <v>0</v>
      </c>
      <c r="K44" s="462"/>
    </row>
    <row r="45" spans="1:11" ht="15" customHeight="1">
      <c r="A45" s="484"/>
      <c r="B45" s="465"/>
      <c r="C45" s="465"/>
      <c r="D45" s="485"/>
      <c r="E45" s="451"/>
      <c r="F45" s="486"/>
      <c r="G45" s="486"/>
      <c r="H45" s="487"/>
      <c r="I45" s="488"/>
      <c r="J45" s="489">
        <f t="shared" si="0"/>
        <v>0</v>
      </c>
      <c r="K45" s="462"/>
    </row>
    <row r="46" spans="1:11" ht="15" customHeight="1">
      <c r="A46" s="484"/>
      <c r="B46" s="465"/>
      <c r="C46" s="465"/>
      <c r="D46" s="485"/>
      <c r="E46" s="451"/>
      <c r="F46" s="486"/>
      <c r="G46" s="486"/>
      <c r="H46" s="487"/>
      <c r="I46" s="488"/>
      <c r="J46" s="489">
        <f t="shared" si="0"/>
        <v>0</v>
      </c>
      <c r="K46" s="462"/>
    </row>
    <row r="47" spans="1:11" ht="15" customHeight="1">
      <c r="A47" s="484"/>
      <c r="B47" s="465"/>
      <c r="C47" s="465"/>
      <c r="D47" s="485"/>
      <c r="E47" s="451"/>
      <c r="F47" s="486"/>
      <c r="G47" s="486"/>
      <c r="H47" s="487"/>
      <c r="I47" s="488"/>
      <c r="J47" s="489">
        <f t="shared" si="0"/>
        <v>0</v>
      </c>
      <c r="K47" s="462"/>
    </row>
    <row r="48" spans="1:11" ht="15" customHeight="1">
      <c r="A48" s="484"/>
      <c r="B48" s="465"/>
      <c r="C48" s="465"/>
      <c r="D48" s="485"/>
      <c r="E48" s="451"/>
      <c r="F48" s="486"/>
      <c r="G48" s="486"/>
      <c r="H48" s="487"/>
      <c r="I48" s="488"/>
      <c r="J48" s="489">
        <f t="shared" si="0"/>
        <v>0</v>
      </c>
      <c r="K48" s="462"/>
    </row>
    <row r="49" spans="1:11" ht="15" customHeight="1">
      <c r="A49" s="484"/>
      <c r="B49" s="465"/>
      <c r="C49" s="465"/>
      <c r="D49" s="485"/>
      <c r="E49" s="451"/>
      <c r="F49" s="486"/>
      <c r="G49" s="486"/>
      <c r="H49" s="487"/>
      <c r="I49" s="488"/>
      <c r="J49" s="489">
        <f t="shared" si="0"/>
        <v>0</v>
      </c>
      <c r="K49" s="462"/>
    </row>
    <row r="50" spans="1:11" ht="15" customHeight="1">
      <c r="A50" s="484"/>
      <c r="B50" s="465"/>
      <c r="C50" s="465"/>
      <c r="D50" s="485"/>
      <c r="E50" s="451"/>
      <c r="F50" s="486"/>
      <c r="G50" s="486"/>
      <c r="H50" s="487"/>
      <c r="I50" s="488"/>
      <c r="J50" s="489">
        <f t="shared" si="0"/>
        <v>0</v>
      </c>
      <c r="K50" s="462"/>
    </row>
    <row r="51" spans="1:11" ht="15" customHeight="1">
      <c r="A51" s="484"/>
      <c r="B51" s="465"/>
      <c r="C51" s="465"/>
      <c r="D51" s="485"/>
      <c r="E51" s="451"/>
      <c r="F51" s="486"/>
      <c r="G51" s="486"/>
      <c r="H51" s="487"/>
      <c r="I51" s="488"/>
      <c r="J51" s="489">
        <f t="shared" si="0"/>
        <v>0</v>
      </c>
      <c r="K51" s="462"/>
    </row>
    <row r="52" spans="1:11" ht="15" customHeight="1">
      <c r="A52" s="484"/>
      <c r="B52" s="465"/>
      <c r="C52" s="465"/>
      <c r="D52" s="485"/>
      <c r="E52" s="451"/>
      <c r="F52" s="486"/>
      <c r="G52" s="486"/>
      <c r="H52" s="487"/>
      <c r="I52" s="488"/>
      <c r="J52" s="489">
        <f t="shared" si="0"/>
        <v>0</v>
      </c>
      <c r="K52" s="462"/>
    </row>
    <row r="53" spans="1:11" ht="15" customHeight="1">
      <c r="A53" s="484"/>
      <c r="B53" s="465"/>
      <c r="C53" s="465"/>
      <c r="D53" s="485"/>
      <c r="E53" s="451"/>
      <c r="F53" s="486"/>
      <c r="G53" s="486"/>
      <c r="H53" s="487"/>
      <c r="I53" s="488"/>
      <c r="J53" s="489">
        <f t="shared" si="0"/>
        <v>0</v>
      </c>
      <c r="K53" s="462"/>
    </row>
    <row r="54" spans="1:11" ht="15" customHeight="1">
      <c r="A54" s="484"/>
      <c r="B54" s="465"/>
      <c r="C54" s="465"/>
      <c r="D54" s="485"/>
      <c r="E54" s="451"/>
      <c r="F54" s="486"/>
      <c r="G54" s="486"/>
      <c r="H54" s="487"/>
      <c r="I54" s="488"/>
      <c r="J54" s="489">
        <f t="shared" si="0"/>
        <v>0</v>
      </c>
      <c r="K54" s="462"/>
    </row>
    <row r="55" spans="1:11" ht="15" customHeight="1">
      <c r="A55" s="484"/>
      <c r="B55" s="465"/>
      <c r="C55" s="465"/>
      <c r="D55" s="485"/>
      <c r="E55" s="451"/>
      <c r="F55" s="486"/>
      <c r="G55" s="486"/>
      <c r="H55" s="487"/>
      <c r="I55" s="488"/>
      <c r="J55" s="489">
        <f t="shared" si="0"/>
        <v>0</v>
      </c>
      <c r="K55" s="462"/>
    </row>
    <row r="56" spans="1:11" ht="15" customHeight="1">
      <c r="A56" s="484"/>
      <c r="B56" s="465"/>
      <c r="C56" s="465"/>
      <c r="D56" s="485"/>
      <c r="E56" s="451"/>
      <c r="F56" s="486"/>
      <c r="G56" s="486"/>
      <c r="H56" s="487"/>
      <c r="I56" s="488"/>
      <c r="J56" s="489">
        <f t="shared" si="0"/>
        <v>0</v>
      </c>
      <c r="K56" s="462"/>
    </row>
    <row r="57" spans="1:11" ht="15" customHeight="1">
      <c r="A57" s="484"/>
      <c r="B57" s="465"/>
      <c r="C57" s="465"/>
      <c r="D57" s="485"/>
      <c r="E57" s="451"/>
      <c r="F57" s="486"/>
      <c r="G57" s="486"/>
      <c r="H57" s="487"/>
      <c r="I57" s="488"/>
      <c r="J57" s="489">
        <f t="shared" si="0"/>
        <v>0</v>
      </c>
      <c r="K57" s="462"/>
    </row>
    <row r="58" spans="1:11" ht="15" customHeight="1">
      <c r="A58" s="484"/>
      <c r="B58" s="465"/>
      <c r="C58" s="465"/>
      <c r="D58" s="485"/>
      <c r="E58" s="451"/>
      <c r="F58" s="486"/>
      <c r="G58" s="486"/>
      <c r="H58" s="487"/>
      <c r="I58" s="488"/>
      <c r="J58" s="489">
        <f t="shared" si="0"/>
        <v>0</v>
      </c>
      <c r="K58" s="462"/>
    </row>
    <row r="59" spans="1:11" ht="15" customHeight="1">
      <c r="A59" s="484"/>
      <c r="B59" s="465"/>
      <c r="C59" s="465"/>
      <c r="D59" s="485"/>
      <c r="E59" s="451"/>
      <c r="F59" s="486"/>
      <c r="G59" s="486"/>
      <c r="H59" s="487"/>
      <c r="I59" s="488"/>
      <c r="J59" s="489">
        <f t="shared" si="0"/>
        <v>0</v>
      </c>
      <c r="K59" s="462"/>
    </row>
    <row r="60" spans="1:11" ht="15" customHeight="1">
      <c r="A60" s="484"/>
      <c r="B60" s="465"/>
      <c r="C60" s="465"/>
      <c r="D60" s="485"/>
      <c r="E60" s="451"/>
      <c r="F60" s="486"/>
      <c r="G60" s="486"/>
      <c r="H60" s="487"/>
      <c r="I60" s="488"/>
      <c r="J60" s="489">
        <f t="shared" si="0"/>
        <v>0</v>
      </c>
      <c r="K60" s="462"/>
    </row>
    <row r="61" spans="1:11" ht="15" customHeight="1" thickBot="1">
      <c r="A61" s="484"/>
      <c r="B61" s="490"/>
      <c r="C61" s="451"/>
      <c r="D61" s="491" t="s">
        <v>47</v>
      </c>
      <c r="E61" s="491"/>
      <c r="F61" s="492"/>
      <c r="G61" s="493"/>
      <c r="H61" s="494"/>
      <c r="I61" s="495"/>
      <c r="J61" s="496">
        <f>SUM(J27:J60)</f>
        <v>0</v>
      </c>
      <c r="K61" s="462">
        <v>0</v>
      </c>
    </row>
    <row r="62" spans="1:11" ht="15" customHeight="1" thickTop="1">
      <c r="A62" s="442" t="s">
        <v>250</v>
      </c>
      <c r="B62" s="490"/>
      <c r="C62" s="465"/>
      <c r="D62" s="465" t="s">
        <v>251</v>
      </c>
      <c r="E62" s="465"/>
      <c r="F62" s="461" t="s">
        <v>252</v>
      </c>
      <c r="G62" s="461"/>
      <c r="H62" s="497"/>
      <c r="I62" s="498"/>
      <c r="J62" s="499"/>
      <c r="K62" s="440"/>
    </row>
    <row r="63" spans="1:11" ht="15" customHeight="1">
      <c r="A63" s="683"/>
      <c r="B63" s="684"/>
      <c r="C63" s="685"/>
      <c r="D63" s="686"/>
      <c r="E63" s="687"/>
      <c r="F63" s="688"/>
      <c r="G63" s="689"/>
      <c r="H63" s="689"/>
      <c r="I63" s="689"/>
      <c r="J63" s="689"/>
      <c r="K63" s="690"/>
    </row>
    <row r="64" spans="1:11" ht="15" customHeight="1">
      <c r="A64" s="683"/>
      <c r="B64" s="684"/>
      <c r="C64" s="685"/>
      <c r="D64" s="686"/>
      <c r="E64" s="687"/>
      <c r="F64" s="688"/>
      <c r="G64" s="689"/>
      <c r="H64" s="689"/>
      <c r="I64" s="689"/>
      <c r="J64" s="689"/>
      <c r="K64" s="690"/>
    </row>
    <row r="65" spans="1:11" ht="15" customHeight="1">
      <c r="A65" s="683"/>
      <c r="B65" s="684"/>
      <c r="C65" s="685"/>
      <c r="D65" s="686"/>
      <c r="E65" s="687"/>
      <c r="F65" s="688"/>
      <c r="G65" s="689"/>
      <c r="H65" s="689"/>
      <c r="I65" s="689"/>
      <c r="J65" s="689"/>
      <c r="K65" s="690"/>
    </row>
    <row r="66" spans="1:11" ht="15" customHeight="1">
      <c r="A66" s="683"/>
      <c r="B66" s="684"/>
      <c r="C66" s="685"/>
      <c r="D66" s="686"/>
      <c r="E66" s="687"/>
      <c r="F66" s="688"/>
      <c r="G66" s="689"/>
      <c r="H66" s="689"/>
      <c r="I66" s="689"/>
      <c r="J66" s="689"/>
      <c r="K66" s="690"/>
    </row>
    <row r="67" spans="1:11" ht="15" customHeight="1">
      <c r="A67" s="683"/>
      <c r="B67" s="684"/>
      <c r="C67" s="685"/>
      <c r="D67" s="686"/>
      <c r="E67" s="687"/>
      <c r="F67" s="688"/>
      <c r="G67" s="689"/>
      <c r="H67" s="689"/>
      <c r="I67" s="689"/>
      <c r="J67" s="689"/>
      <c r="K67" s="690"/>
    </row>
    <row r="68" spans="1:11" ht="15" customHeight="1">
      <c r="A68" s="683"/>
      <c r="B68" s="684"/>
      <c r="C68" s="685"/>
      <c r="D68" s="686"/>
      <c r="E68" s="687"/>
      <c r="F68" s="688"/>
      <c r="G68" s="689"/>
      <c r="H68" s="689"/>
      <c r="I68" s="689"/>
      <c r="J68" s="689"/>
      <c r="K68" s="690"/>
    </row>
    <row r="69" spans="1:11" ht="15" customHeight="1">
      <c r="A69" s="683"/>
      <c r="B69" s="684"/>
      <c r="C69" s="685"/>
      <c r="D69" s="686"/>
      <c r="E69" s="687"/>
      <c r="F69" s="688"/>
      <c r="G69" s="689"/>
      <c r="H69" s="689"/>
      <c r="I69" s="689"/>
      <c r="J69" s="689"/>
      <c r="K69" s="690"/>
    </row>
    <row r="70" spans="1:11" ht="15" customHeight="1">
      <c r="A70" s="683"/>
      <c r="B70" s="684"/>
      <c r="C70" s="685"/>
      <c r="D70" s="686"/>
      <c r="E70" s="687"/>
      <c r="F70" s="688"/>
      <c r="G70" s="689"/>
      <c r="H70" s="689"/>
      <c r="I70" s="689"/>
      <c r="J70" s="689"/>
      <c r="K70" s="690"/>
    </row>
    <row r="71" spans="1:11" ht="15" customHeight="1">
      <c r="A71" s="683"/>
      <c r="B71" s="684"/>
      <c r="C71" s="685"/>
      <c r="D71" s="686"/>
      <c r="E71" s="687"/>
      <c r="F71" s="688"/>
      <c r="G71" s="689"/>
      <c r="H71" s="689"/>
      <c r="I71" s="689"/>
      <c r="J71" s="689"/>
      <c r="K71" s="690"/>
    </row>
    <row r="72" spans="1:11" ht="15" customHeight="1">
      <c r="A72" s="683"/>
      <c r="B72" s="684"/>
      <c r="C72" s="685"/>
      <c r="D72" s="686"/>
      <c r="E72" s="687"/>
      <c r="F72" s="688"/>
      <c r="G72" s="689"/>
      <c r="H72" s="689"/>
      <c r="I72" s="689"/>
      <c r="J72" s="689"/>
      <c r="K72" s="690"/>
    </row>
    <row r="73" spans="1:11" ht="15" customHeight="1">
      <c r="A73" s="683"/>
      <c r="B73" s="684"/>
      <c r="C73" s="685"/>
      <c r="D73" s="686"/>
      <c r="E73" s="687"/>
      <c r="F73" s="688"/>
      <c r="G73" s="689"/>
      <c r="H73" s="689"/>
      <c r="I73" s="689"/>
      <c r="J73" s="689"/>
      <c r="K73" s="690"/>
    </row>
    <row r="74" spans="1:11" ht="15" customHeight="1">
      <c r="A74" s="683"/>
      <c r="B74" s="684"/>
      <c r="C74" s="685"/>
      <c r="D74" s="686"/>
      <c r="E74" s="687"/>
      <c r="F74" s="688"/>
      <c r="G74" s="689"/>
      <c r="H74" s="689"/>
      <c r="I74" s="689"/>
      <c r="J74" s="689"/>
      <c r="K74" s="690"/>
    </row>
    <row r="75" spans="1:11" ht="15" customHeight="1">
      <c r="A75" s="683"/>
      <c r="B75" s="684"/>
      <c r="C75" s="685"/>
      <c r="D75" s="686"/>
      <c r="E75" s="687"/>
      <c r="F75" s="688"/>
      <c r="G75" s="689"/>
      <c r="H75" s="689"/>
      <c r="I75" s="689"/>
      <c r="J75" s="689"/>
      <c r="K75" s="690"/>
    </row>
    <row r="76" spans="1:11" ht="15" customHeight="1">
      <c r="A76" s="683"/>
      <c r="B76" s="684"/>
      <c r="C76" s="685"/>
      <c r="D76" s="686"/>
      <c r="E76" s="687"/>
      <c r="F76" s="688"/>
      <c r="G76" s="689"/>
      <c r="H76" s="689"/>
      <c r="I76" s="689"/>
      <c r="J76" s="689"/>
      <c r="K76" s="690"/>
    </row>
    <row r="77" spans="1:11" ht="15" customHeight="1">
      <c r="A77" s="683"/>
      <c r="B77" s="684"/>
      <c r="C77" s="685"/>
      <c r="D77" s="686"/>
      <c r="E77" s="687"/>
      <c r="F77" s="688"/>
      <c r="G77" s="689"/>
      <c r="H77" s="689"/>
      <c r="I77" s="689"/>
      <c r="J77" s="689"/>
      <c r="K77" s="690"/>
    </row>
    <row r="78" spans="1:11" ht="15" customHeight="1">
      <c r="A78" s="683"/>
      <c r="B78" s="684"/>
      <c r="C78" s="685"/>
      <c r="D78" s="686"/>
      <c r="E78" s="687"/>
      <c r="F78" s="688"/>
      <c r="G78" s="689"/>
      <c r="H78" s="689"/>
      <c r="I78" s="689"/>
      <c r="J78" s="689"/>
      <c r="K78" s="690"/>
    </row>
    <row r="79" spans="1:11" ht="15" customHeight="1">
      <c r="A79" s="683"/>
      <c r="B79" s="684"/>
      <c r="C79" s="685"/>
      <c r="D79" s="686"/>
      <c r="E79" s="687"/>
      <c r="F79" s="688"/>
      <c r="G79" s="689"/>
      <c r="H79" s="689"/>
      <c r="I79" s="689"/>
      <c r="J79" s="689"/>
      <c r="K79" s="690"/>
    </row>
    <row r="80" spans="1:11" ht="15" customHeight="1">
      <c r="A80" s="683"/>
      <c r="B80" s="684"/>
      <c r="C80" s="685"/>
      <c r="D80" s="686"/>
      <c r="E80" s="687"/>
      <c r="F80" s="688"/>
      <c r="G80" s="689"/>
      <c r="H80" s="689"/>
      <c r="I80" s="689"/>
      <c r="J80" s="689"/>
      <c r="K80" s="690"/>
    </row>
    <row r="81" spans="1:11" ht="15" customHeight="1">
      <c r="A81" s="683"/>
      <c r="B81" s="684"/>
      <c r="C81" s="685"/>
      <c r="D81" s="686"/>
      <c r="E81" s="687"/>
      <c r="F81" s="688"/>
      <c r="G81" s="689"/>
      <c r="H81" s="689"/>
      <c r="I81" s="689"/>
      <c r="J81" s="689"/>
      <c r="K81" s="690"/>
    </row>
    <row r="82" spans="1:11" ht="15" customHeight="1">
      <c r="A82" s="683"/>
      <c r="B82" s="684"/>
      <c r="C82" s="685"/>
      <c r="D82" s="686"/>
      <c r="E82" s="687"/>
      <c r="F82" s="688"/>
      <c r="G82" s="689"/>
      <c r="H82" s="689"/>
      <c r="I82" s="689"/>
      <c r="J82" s="689"/>
      <c r="K82" s="690"/>
    </row>
    <row r="83" spans="1:11" ht="15" customHeight="1">
      <c r="A83" s="683"/>
      <c r="B83" s="684"/>
      <c r="C83" s="685"/>
      <c r="D83" s="686"/>
      <c r="E83" s="687"/>
      <c r="F83" s="688"/>
      <c r="G83" s="689"/>
      <c r="H83" s="689"/>
      <c r="I83" s="689"/>
      <c r="J83" s="689"/>
      <c r="K83" s="690"/>
    </row>
    <row r="84" spans="1:11" ht="15" customHeight="1">
      <c r="A84" s="683"/>
      <c r="B84" s="684"/>
      <c r="C84" s="685"/>
      <c r="D84" s="686"/>
      <c r="E84" s="687"/>
      <c r="F84" s="688"/>
      <c r="G84" s="689"/>
      <c r="H84" s="689"/>
      <c r="I84" s="689"/>
      <c r="J84" s="689"/>
      <c r="K84" s="690"/>
    </row>
    <row r="85" spans="1:11" ht="15" customHeight="1">
      <c r="A85" s="683"/>
      <c r="B85" s="684"/>
      <c r="C85" s="685"/>
      <c r="D85" s="686"/>
      <c r="E85" s="687"/>
      <c r="F85" s="688"/>
      <c r="G85" s="689"/>
      <c r="H85" s="689"/>
      <c r="I85" s="689"/>
      <c r="J85" s="689"/>
      <c r="K85" s="690"/>
    </row>
    <row r="86" spans="1:11" ht="15" customHeight="1">
      <c r="A86" s="683"/>
      <c r="B86" s="684"/>
      <c r="C86" s="685"/>
      <c r="D86" s="686"/>
      <c r="E86" s="687"/>
      <c r="F86" s="688"/>
      <c r="G86" s="689"/>
      <c r="H86" s="689"/>
      <c r="I86" s="689"/>
      <c r="J86" s="689"/>
      <c r="K86" s="690"/>
    </row>
    <row r="87" spans="1:11" ht="15" customHeight="1">
      <c r="A87" s="683"/>
      <c r="B87" s="684"/>
      <c r="C87" s="685"/>
      <c r="D87" s="686"/>
      <c r="E87" s="687"/>
      <c r="F87" s="688"/>
      <c r="G87" s="689"/>
      <c r="H87" s="689"/>
      <c r="I87" s="689"/>
      <c r="J87" s="689"/>
      <c r="K87" s="690"/>
    </row>
    <row r="88" spans="1:11" ht="15" customHeight="1">
      <c r="A88" s="683"/>
      <c r="B88" s="684"/>
      <c r="C88" s="685"/>
      <c r="D88" s="686"/>
      <c r="E88" s="687"/>
      <c r="F88" s="688"/>
      <c r="G88" s="689"/>
      <c r="H88" s="689"/>
      <c r="I88" s="689"/>
      <c r="J88" s="689"/>
      <c r="K88" s="690"/>
    </row>
    <row r="89" spans="1:11" ht="15" customHeight="1">
      <c r="A89" s="683"/>
      <c r="B89" s="684"/>
      <c r="C89" s="685"/>
      <c r="D89" s="686"/>
      <c r="E89" s="687"/>
      <c r="F89" s="688"/>
      <c r="G89" s="689"/>
      <c r="H89" s="689"/>
      <c r="I89" s="689"/>
      <c r="J89" s="689"/>
      <c r="K89" s="690"/>
    </row>
    <row r="90" spans="1:11" ht="15" customHeight="1">
      <c r="A90" s="683"/>
      <c r="B90" s="684"/>
      <c r="C90" s="685"/>
      <c r="D90" s="686"/>
      <c r="E90" s="687"/>
      <c r="F90" s="688"/>
      <c r="G90" s="689"/>
      <c r="H90" s="689"/>
      <c r="I90" s="689"/>
      <c r="J90" s="689"/>
      <c r="K90" s="690"/>
    </row>
    <row r="91" spans="1:11" ht="15" customHeight="1">
      <c r="A91" s="683"/>
      <c r="B91" s="684"/>
      <c r="C91" s="685"/>
      <c r="D91" s="686"/>
      <c r="E91" s="687"/>
      <c r="F91" s="688"/>
      <c r="G91" s="689"/>
      <c r="H91" s="689"/>
      <c r="I91" s="689"/>
      <c r="J91" s="689"/>
      <c r="K91" s="690"/>
    </row>
    <row r="92" spans="1:11" ht="15" customHeight="1">
      <c r="A92" s="683"/>
      <c r="B92" s="684"/>
      <c r="C92" s="685"/>
      <c r="D92" s="686"/>
      <c r="E92" s="687"/>
      <c r="F92" s="688"/>
      <c r="G92" s="689"/>
      <c r="H92" s="689"/>
      <c r="I92" s="689"/>
      <c r="J92" s="689"/>
      <c r="K92" s="690"/>
    </row>
    <row r="93" spans="1:11" ht="15" customHeight="1">
      <c r="A93" s="683"/>
      <c r="B93" s="684"/>
      <c r="C93" s="685"/>
      <c r="D93" s="686"/>
      <c r="E93" s="687"/>
      <c r="F93" s="688"/>
      <c r="G93" s="689"/>
      <c r="H93" s="689"/>
      <c r="I93" s="689"/>
      <c r="J93" s="689"/>
      <c r="K93" s="690"/>
    </row>
    <row r="94" spans="1:11" ht="15" customHeight="1">
      <c r="A94" s="683"/>
      <c r="B94" s="684"/>
      <c r="C94" s="685"/>
      <c r="D94" s="686"/>
      <c r="E94" s="687"/>
      <c r="F94" s="688"/>
      <c r="G94" s="689"/>
      <c r="H94" s="689"/>
      <c r="I94" s="689"/>
      <c r="J94" s="689"/>
      <c r="K94" s="690"/>
    </row>
    <row r="95" spans="1:11" ht="15" customHeight="1">
      <c r="A95" s="683"/>
      <c r="B95" s="684"/>
      <c r="C95" s="685"/>
      <c r="D95" s="686"/>
      <c r="E95" s="687"/>
      <c r="F95" s="688"/>
      <c r="G95" s="689"/>
      <c r="H95" s="689"/>
      <c r="I95" s="689"/>
      <c r="J95" s="689"/>
      <c r="K95" s="690"/>
    </row>
    <row r="96" spans="1:11" ht="15" customHeight="1">
      <c r="A96" s="683"/>
      <c r="B96" s="684"/>
      <c r="C96" s="685"/>
      <c r="D96" s="686"/>
      <c r="E96" s="687"/>
      <c r="F96" s="688"/>
      <c r="G96" s="689"/>
      <c r="H96" s="689"/>
      <c r="I96" s="689"/>
      <c r="J96" s="689"/>
      <c r="K96" s="690"/>
    </row>
    <row r="97" spans="1:11" ht="15" customHeight="1">
      <c r="A97" s="440"/>
      <c r="B97" s="440"/>
      <c r="C97" s="440"/>
      <c r="D97" s="440"/>
      <c r="E97" s="440"/>
      <c r="F97" s="440"/>
      <c r="G97" s="440"/>
      <c r="H97" s="440"/>
      <c r="I97" s="440"/>
      <c r="J97" s="440"/>
      <c r="K97" s="440"/>
    </row>
    <row r="98" spans="1:11" ht="15" customHeight="1">
      <c r="A98" s="440"/>
      <c r="B98" s="440"/>
      <c r="C98" s="440"/>
      <c r="D98" s="440"/>
      <c r="E98" s="440"/>
      <c r="F98" s="440"/>
      <c r="G98" s="440"/>
      <c r="H98" s="440"/>
      <c r="I98" s="440"/>
      <c r="J98" s="440"/>
      <c r="K98" s="440"/>
    </row>
    <row r="99" spans="1:11" ht="15" customHeight="1">
      <c r="A99" s="440"/>
      <c r="B99" s="440"/>
      <c r="C99" s="440"/>
      <c r="D99" s="440"/>
      <c r="E99" s="440"/>
      <c r="F99" s="440"/>
      <c r="G99" s="440"/>
      <c r="H99" s="440"/>
      <c r="I99" s="440"/>
      <c r="J99" s="440"/>
      <c r="K99" s="440"/>
    </row>
    <row r="100" spans="1:11" ht="15" customHeight="1">
      <c r="A100" s="440"/>
      <c r="B100" s="440"/>
      <c r="C100" s="440"/>
      <c r="D100" s="440"/>
      <c r="E100" s="440"/>
      <c r="F100" s="440"/>
      <c r="G100" s="440"/>
      <c r="H100" s="440"/>
      <c r="I100" s="440"/>
      <c r="J100" s="440"/>
      <c r="K100" s="440"/>
    </row>
    <row r="101" spans="1:11" ht="15" customHeight="1">
      <c r="A101" s="440"/>
      <c r="B101" s="440"/>
      <c r="C101" s="440"/>
      <c r="D101" s="440"/>
      <c r="E101" s="440"/>
      <c r="F101" s="440"/>
      <c r="G101" s="440"/>
      <c r="H101" s="440"/>
      <c r="I101" s="440"/>
      <c r="J101" s="440"/>
      <c r="K101" s="440"/>
    </row>
    <row r="102" spans="1:11" ht="15" customHeight="1">
      <c r="A102" s="443" t="s">
        <v>253</v>
      </c>
      <c r="B102" s="443"/>
      <c r="C102" s="443"/>
      <c r="D102" s="443"/>
      <c r="E102" s="443"/>
      <c r="F102" s="443"/>
      <c r="G102" s="440"/>
      <c r="H102" s="440"/>
      <c r="I102" s="440"/>
      <c r="J102" s="440"/>
      <c r="K102" s="440"/>
    </row>
    <row r="103" spans="1:11" ht="15" customHeight="1">
      <c r="A103" s="443" t="s">
        <v>254</v>
      </c>
      <c r="B103" s="443"/>
      <c r="C103" s="443"/>
      <c r="D103" s="440"/>
      <c r="E103" s="440"/>
      <c r="F103" s="440"/>
      <c r="G103" s="440"/>
      <c r="H103" s="500" t="s">
        <v>255</v>
      </c>
      <c r="I103" s="463"/>
      <c r="J103" s="463"/>
      <c r="K103" s="463"/>
    </row>
  </sheetData>
  <mergeCells count="110">
    <mergeCell ref="A95:C95"/>
    <mergeCell ref="D95:E95"/>
    <mergeCell ref="F95:K95"/>
    <mergeCell ref="A96:C96"/>
    <mergeCell ref="D96:E96"/>
    <mergeCell ref="F96:K96"/>
    <mergeCell ref="A93:C93"/>
    <mergeCell ref="D93:E93"/>
    <mergeCell ref="F93:K93"/>
    <mergeCell ref="A94:C94"/>
    <mergeCell ref="D94:E94"/>
    <mergeCell ref="F94:K94"/>
    <mergeCell ref="A91:C91"/>
    <mergeCell ref="D91:E91"/>
    <mergeCell ref="F91:K91"/>
    <mergeCell ref="A92:C92"/>
    <mergeCell ref="D92:E92"/>
    <mergeCell ref="F92:K92"/>
    <mergeCell ref="A89:C89"/>
    <mergeCell ref="D89:E89"/>
    <mergeCell ref="F89:K89"/>
    <mergeCell ref="A90:C90"/>
    <mergeCell ref="D90:E90"/>
    <mergeCell ref="F90:K90"/>
    <mergeCell ref="A87:C87"/>
    <mergeCell ref="D87:E87"/>
    <mergeCell ref="F87:K87"/>
    <mergeCell ref="A88:C88"/>
    <mergeCell ref="D88:E88"/>
    <mergeCell ref="F88:K88"/>
    <mergeCell ref="A85:C85"/>
    <mergeCell ref="D85:E85"/>
    <mergeCell ref="F85:K85"/>
    <mergeCell ref="A86:C86"/>
    <mergeCell ref="D86:E86"/>
    <mergeCell ref="F86:K86"/>
    <mergeCell ref="A83:C83"/>
    <mergeCell ref="D83:E83"/>
    <mergeCell ref="F83:K83"/>
    <mergeCell ref="A84:C84"/>
    <mergeCell ref="D84:E84"/>
    <mergeCell ref="F84:K84"/>
    <mergeCell ref="A81:C81"/>
    <mergeCell ref="D81:E81"/>
    <mergeCell ref="F81:K81"/>
    <mergeCell ref="A82:C82"/>
    <mergeCell ref="D82:E82"/>
    <mergeCell ref="F82:K82"/>
    <mergeCell ref="A79:C79"/>
    <mergeCell ref="D79:E79"/>
    <mergeCell ref="F79:K79"/>
    <mergeCell ref="A80:C80"/>
    <mergeCell ref="D80:E80"/>
    <mergeCell ref="F80:K80"/>
    <mergeCell ref="A77:C77"/>
    <mergeCell ref="D77:E77"/>
    <mergeCell ref="F77:K77"/>
    <mergeCell ref="A78:C78"/>
    <mergeCell ref="D78:E78"/>
    <mergeCell ref="F78:K78"/>
    <mergeCell ref="A75:C75"/>
    <mergeCell ref="D75:E75"/>
    <mergeCell ref="F75:K75"/>
    <mergeCell ref="A76:C76"/>
    <mergeCell ref="D76:E76"/>
    <mergeCell ref="F76:K76"/>
    <mergeCell ref="A73:C73"/>
    <mergeCell ref="D73:E73"/>
    <mergeCell ref="F73:K73"/>
    <mergeCell ref="A74:C74"/>
    <mergeCell ref="D74:E74"/>
    <mergeCell ref="F74:K74"/>
    <mergeCell ref="A71:C71"/>
    <mergeCell ref="D71:E71"/>
    <mergeCell ref="F71:K71"/>
    <mergeCell ref="A72:C72"/>
    <mergeCell ref="D72:E72"/>
    <mergeCell ref="F72:K72"/>
    <mergeCell ref="A69:C69"/>
    <mergeCell ref="D69:E69"/>
    <mergeCell ref="F69:K69"/>
    <mergeCell ref="A70:C70"/>
    <mergeCell ref="D70:E70"/>
    <mergeCell ref="F70:K70"/>
    <mergeCell ref="A67:C67"/>
    <mergeCell ref="D67:E67"/>
    <mergeCell ref="F67:K67"/>
    <mergeCell ref="A68:C68"/>
    <mergeCell ref="D68:E68"/>
    <mergeCell ref="F68:K68"/>
    <mergeCell ref="A65:C65"/>
    <mergeCell ref="D65:E65"/>
    <mergeCell ref="F65:K65"/>
    <mergeCell ref="A66:C66"/>
    <mergeCell ref="D66:E66"/>
    <mergeCell ref="F66:K66"/>
    <mergeCell ref="A63:C63"/>
    <mergeCell ref="D63:E63"/>
    <mergeCell ref="F63:K63"/>
    <mergeCell ref="A64:C64"/>
    <mergeCell ref="D64:E64"/>
    <mergeCell ref="F64:K64"/>
    <mergeCell ref="A1:K1"/>
    <mergeCell ref="A18:C18"/>
    <mergeCell ref="D18:F18"/>
    <mergeCell ref="A21:C21"/>
    <mergeCell ref="D21:F21"/>
    <mergeCell ref="A22:C22"/>
    <mergeCell ref="D22:F22"/>
    <mergeCell ref="G22:H22"/>
  </mergeCells>
  <phoneticPr fontId="3" type="noConversion"/>
  <printOptions horizontalCentered="1"/>
  <pageMargins left="0.15748031496062992" right="0.15748031496062992" top="0.70866141732283472" bottom="0.43307086614173229" header="0.51181102362204722" footer="0.23622047244094491"/>
  <pageSetup paperSize="9" orientation="portrait" r:id="rId1"/>
  <headerFooter>
    <oddFooter>&amp;C&amp;P/&amp;N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50"/>
    <pageSetUpPr fitToPage="1"/>
  </sheetPr>
  <dimension ref="A1:M38"/>
  <sheetViews>
    <sheetView zoomScaleNormal="100" workbookViewId="0">
      <selection activeCell="A8" sqref="A8:F13"/>
    </sheetView>
  </sheetViews>
  <sheetFormatPr defaultRowHeight="15" customHeight="1"/>
  <cols>
    <col min="1" max="4" width="7.77734375" style="36" customWidth="1"/>
    <col min="5" max="5" width="6.5546875" style="36" customWidth="1"/>
    <col min="6" max="6" width="7.77734375" style="36" customWidth="1"/>
    <col min="7" max="7" width="8" style="36" customWidth="1"/>
    <col min="8" max="8" width="7.44140625" style="36" customWidth="1"/>
    <col min="9" max="9" width="12.6640625" style="36" customWidth="1"/>
    <col min="10" max="10" width="14.77734375" style="36" customWidth="1"/>
    <col min="11" max="11" width="8.44140625" style="36" customWidth="1"/>
    <col min="12" max="12" width="12" style="36" customWidth="1"/>
    <col min="13" max="13" width="8.5546875" style="36" bestFit="1" customWidth="1"/>
    <col min="14" max="16384" width="8.88671875" style="36"/>
  </cols>
  <sheetData>
    <row r="1" spans="1:13" s="31" customFormat="1" ht="20.25">
      <c r="A1" s="694" t="s">
        <v>13</v>
      </c>
      <c r="B1" s="694"/>
      <c r="C1" s="694"/>
      <c r="D1" s="694"/>
      <c r="E1" s="694"/>
      <c r="F1" s="694"/>
      <c r="G1" s="694"/>
      <c r="H1" s="694"/>
      <c r="I1" s="694"/>
      <c r="J1" s="694"/>
      <c r="K1" s="694"/>
      <c r="L1" s="30"/>
    </row>
    <row r="2" spans="1:13" ht="15" customHeight="1">
      <c r="A2" s="32" t="s">
        <v>14</v>
      </c>
      <c r="B2" s="33"/>
      <c r="C2" s="33"/>
      <c r="D2" s="33"/>
      <c r="E2" s="33"/>
      <c r="F2" s="34"/>
      <c r="G2" s="35" t="s">
        <v>15</v>
      </c>
      <c r="H2" s="33"/>
      <c r="I2" s="33"/>
      <c r="J2" s="33"/>
      <c r="K2" s="33"/>
    </row>
    <row r="3" spans="1:13" ht="15" customHeight="1">
      <c r="A3" s="37" t="s">
        <v>16</v>
      </c>
      <c r="B3" s="37"/>
      <c r="C3" s="37"/>
      <c r="D3" s="37"/>
      <c r="E3" s="37"/>
      <c r="F3" s="38"/>
      <c r="G3" s="39"/>
      <c r="H3" s="40"/>
      <c r="I3" s="40"/>
      <c r="J3" s="39"/>
      <c r="K3" s="41"/>
    </row>
    <row r="4" spans="1:13" ht="15" customHeight="1">
      <c r="A4" s="40" t="s">
        <v>17</v>
      </c>
      <c r="B4" s="40"/>
      <c r="C4" s="40"/>
      <c r="D4" s="40"/>
      <c r="E4" s="40"/>
      <c r="F4" s="38"/>
      <c r="G4" s="42"/>
      <c r="H4" s="40"/>
      <c r="I4" s="40"/>
      <c r="J4" s="43"/>
      <c r="K4" s="43"/>
    </row>
    <row r="5" spans="1:13" ht="15" customHeight="1">
      <c r="A5" s="40" t="s">
        <v>19</v>
      </c>
      <c r="B5" s="40"/>
      <c r="C5" s="40"/>
      <c r="D5" s="40"/>
      <c r="E5" s="40"/>
      <c r="F5" s="38"/>
      <c r="G5" s="35" t="s">
        <v>20</v>
      </c>
      <c r="H5" s="33"/>
      <c r="I5" s="33"/>
      <c r="J5" s="33"/>
      <c r="K5" s="40"/>
    </row>
    <row r="6" spans="1:13" ht="15" customHeight="1">
      <c r="A6" s="44" t="s">
        <v>21</v>
      </c>
      <c r="B6" s="44"/>
      <c r="C6" s="44"/>
      <c r="D6" s="44"/>
      <c r="E6" s="44"/>
      <c r="F6" s="38"/>
      <c r="G6" s="39"/>
      <c r="H6" s="39"/>
      <c r="I6" s="39"/>
      <c r="J6" s="39"/>
      <c r="K6" s="45"/>
    </row>
    <row r="7" spans="1:13" ht="15" customHeight="1">
      <c r="A7" s="32" t="s">
        <v>22</v>
      </c>
      <c r="B7" s="33"/>
      <c r="C7" s="33"/>
      <c r="D7" s="33"/>
      <c r="E7" s="33"/>
      <c r="F7" s="34"/>
      <c r="G7" s="46"/>
      <c r="H7" s="37"/>
      <c r="I7" s="37"/>
      <c r="J7" s="47" t="s">
        <v>23</v>
      </c>
      <c r="K7" s="48"/>
      <c r="L7" s="40"/>
    </row>
    <row r="8" spans="1:13" ht="15" customHeight="1">
      <c r="A8" s="540" t="s">
        <v>257</v>
      </c>
      <c r="B8" s="540"/>
      <c r="C8" s="540"/>
      <c r="D8" s="536"/>
      <c r="E8" s="536"/>
      <c r="F8" s="539"/>
      <c r="G8" s="35" t="s">
        <v>24</v>
      </c>
      <c r="H8" s="33"/>
      <c r="I8" s="33"/>
      <c r="J8" s="33"/>
      <c r="K8" s="49"/>
      <c r="L8" s="40"/>
    </row>
    <row r="9" spans="1:13" ht="15" customHeight="1">
      <c r="A9" s="541" t="s">
        <v>258</v>
      </c>
      <c r="B9" s="541"/>
      <c r="C9" s="541"/>
      <c r="D9" s="541"/>
      <c r="E9" s="536"/>
      <c r="F9" s="539"/>
      <c r="G9" s="46" t="s">
        <v>23</v>
      </c>
      <c r="H9" s="40"/>
      <c r="I9" s="40"/>
      <c r="J9" s="40"/>
      <c r="K9" s="48"/>
      <c r="L9" s="51"/>
      <c r="M9" s="52"/>
    </row>
    <row r="10" spans="1:13" ht="15" customHeight="1">
      <c r="A10" s="541" t="s">
        <v>259</v>
      </c>
      <c r="B10" s="541"/>
      <c r="C10" s="541"/>
      <c r="D10" s="536"/>
      <c r="E10" s="536"/>
      <c r="F10" s="539"/>
      <c r="G10" s="53" t="s">
        <v>23</v>
      </c>
      <c r="H10" s="54"/>
      <c r="I10" s="54"/>
      <c r="J10" s="54"/>
      <c r="K10" s="48"/>
      <c r="L10" s="51"/>
      <c r="M10" s="55"/>
    </row>
    <row r="11" spans="1:13" ht="15" customHeight="1">
      <c r="A11" s="537" t="s">
        <v>260</v>
      </c>
      <c r="B11" s="544"/>
      <c r="C11" s="544"/>
      <c r="D11" s="544"/>
      <c r="E11" s="544"/>
      <c r="F11" s="539"/>
      <c r="G11" s="35" t="s">
        <v>25</v>
      </c>
      <c r="H11" s="33"/>
      <c r="I11" s="33"/>
      <c r="J11" s="33"/>
      <c r="K11" s="56"/>
      <c r="M11" s="55"/>
    </row>
    <row r="12" spans="1:13" ht="15" customHeight="1">
      <c r="A12" s="546" t="s">
        <v>261</v>
      </c>
      <c r="B12" s="545"/>
      <c r="C12" s="542"/>
      <c r="D12" s="542"/>
      <c r="E12" s="542"/>
      <c r="F12" s="543"/>
      <c r="G12" s="39"/>
      <c r="H12" s="57"/>
      <c r="I12" s="40"/>
      <c r="J12" s="40"/>
      <c r="K12" s="58"/>
      <c r="L12" s="40"/>
    </row>
    <row r="13" spans="1:13" ht="15" customHeight="1">
      <c r="A13" s="538" t="s">
        <v>26</v>
      </c>
      <c r="B13" s="536"/>
      <c r="C13" s="536"/>
      <c r="D13" s="536"/>
      <c r="E13" s="536"/>
      <c r="F13" s="539"/>
      <c r="G13" s="39"/>
      <c r="H13" s="57"/>
      <c r="I13" s="59" t="s">
        <v>27</v>
      </c>
      <c r="J13" s="60">
        <f>1500/324106.53*J29</f>
        <v>0</v>
      </c>
      <c r="K13" s="58"/>
      <c r="L13" s="40"/>
    </row>
    <row r="14" spans="1:13" ht="15" customHeight="1">
      <c r="A14" s="61" t="s">
        <v>28</v>
      </c>
      <c r="B14" s="40"/>
      <c r="C14" s="40"/>
      <c r="D14" s="40"/>
      <c r="E14" s="40"/>
      <c r="F14" s="38"/>
      <c r="G14" s="46"/>
      <c r="H14" s="57"/>
      <c r="I14" s="62" t="s">
        <v>29</v>
      </c>
      <c r="J14" s="63">
        <f>J29*1.1*0.026%</f>
        <v>0</v>
      </c>
      <c r="K14" s="58"/>
      <c r="L14" s="51"/>
    </row>
    <row r="15" spans="1:13" ht="15" customHeight="1">
      <c r="A15" s="40"/>
      <c r="B15" s="40"/>
      <c r="C15" s="40"/>
      <c r="D15" s="40"/>
      <c r="E15" s="40"/>
      <c r="F15" s="38"/>
      <c r="G15" s="64"/>
      <c r="H15" s="65"/>
      <c r="I15" s="66"/>
      <c r="J15" s="40"/>
      <c r="K15" s="58"/>
      <c r="L15" s="51"/>
    </row>
    <row r="16" spans="1:13" ht="15" customHeight="1">
      <c r="A16" s="32" t="s">
        <v>31</v>
      </c>
      <c r="B16" s="33"/>
      <c r="C16" s="34"/>
      <c r="D16" s="32" t="s">
        <v>32</v>
      </c>
      <c r="E16" s="33"/>
      <c r="F16" s="34"/>
      <c r="G16" s="39"/>
      <c r="H16" s="59" t="s">
        <v>33</v>
      </c>
      <c r="I16" s="67">
        <v>0</v>
      </c>
      <c r="J16" s="37" t="s">
        <v>34</v>
      </c>
      <c r="K16" s="58"/>
      <c r="L16" s="40"/>
    </row>
    <row r="17" spans="1:13" ht="15" customHeight="1">
      <c r="A17" s="40"/>
      <c r="B17" s="40"/>
      <c r="C17" s="40"/>
      <c r="D17" s="42" t="s">
        <v>23</v>
      </c>
      <c r="E17" s="68"/>
      <c r="F17" s="38"/>
      <c r="G17" s="40"/>
      <c r="H17" s="62" t="s">
        <v>35</v>
      </c>
      <c r="I17" s="69">
        <f>K29</f>
        <v>0</v>
      </c>
      <c r="J17" s="37" t="s">
        <v>36</v>
      </c>
      <c r="K17" s="58"/>
      <c r="L17" s="40"/>
    </row>
    <row r="18" spans="1:13" ht="15" customHeight="1">
      <c r="A18" s="662" t="s">
        <v>240</v>
      </c>
      <c r="B18" s="662"/>
      <c r="C18" s="663"/>
      <c r="D18" s="664" t="s">
        <v>37</v>
      </c>
      <c r="E18" s="665"/>
      <c r="F18" s="666"/>
      <c r="G18" s="46"/>
      <c r="H18" s="62" t="s">
        <v>38</v>
      </c>
      <c r="I18" s="69">
        <f>I17*1.1</f>
        <v>0</v>
      </c>
      <c r="J18" s="37" t="s">
        <v>36</v>
      </c>
      <c r="K18" s="58"/>
    </row>
    <row r="19" spans="1:13" ht="15" customHeight="1">
      <c r="A19" s="32" t="s">
        <v>39</v>
      </c>
      <c r="B19" s="33"/>
      <c r="C19" s="34"/>
      <c r="D19" s="32" t="s">
        <v>40</v>
      </c>
      <c r="E19" s="33"/>
      <c r="F19" s="34"/>
      <c r="G19" s="46"/>
      <c r="H19" s="40"/>
      <c r="I19" s="40"/>
      <c r="J19" s="40"/>
      <c r="K19" s="58"/>
    </row>
    <row r="20" spans="1:13" ht="15" customHeight="1">
      <c r="A20" s="40" t="s">
        <v>23</v>
      </c>
      <c r="B20" s="40"/>
      <c r="C20" s="38"/>
      <c r="D20" s="40" t="s">
        <v>23</v>
      </c>
      <c r="E20" s="40"/>
      <c r="F20" s="38"/>
      <c r="G20" s="36" t="s">
        <v>23</v>
      </c>
      <c r="H20" s="40"/>
      <c r="I20" s="40"/>
      <c r="J20" s="40"/>
      <c r="K20" s="58"/>
    </row>
    <row r="21" spans="1:13" ht="15" customHeight="1">
      <c r="A21" s="667"/>
      <c r="B21" s="667"/>
      <c r="C21" s="668"/>
      <c r="D21" s="669"/>
      <c r="E21" s="670"/>
      <c r="F21" s="671"/>
      <c r="G21" s="54"/>
      <c r="H21" s="54"/>
      <c r="I21" s="54"/>
      <c r="J21" s="54"/>
      <c r="K21" s="70"/>
    </row>
    <row r="22" spans="1:13" s="73" customFormat="1" ht="15" customHeight="1">
      <c r="A22" s="658" t="s">
        <v>41</v>
      </c>
      <c r="B22" s="658"/>
      <c r="C22" s="659"/>
      <c r="D22" s="660" t="s">
        <v>42</v>
      </c>
      <c r="E22" s="658"/>
      <c r="F22" s="659"/>
      <c r="G22" s="660" t="s">
        <v>43</v>
      </c>
      <c r="H22" s="659"/>
      <c r="I22" s="71" t="s">
        <v>44</v>
      </c>
      <c r="J22" s="72" t="s">
        <v>45</v>
      </c>
      <c r="K22" s="72"/>
    </row>
    <row r="23" spans="1:13" ht="15" customHeight="1">
      <c r="A23" s="57" t="s">
        <v>23</v>
      </c>
      <c r="B23" s="40"/>
      <c r="C23" s="38"/>
      <c r="D23" s="40"/>
      <c r="E23" s="40"/>
      <c r="F23" s="38"/>
      <c r="G23" s="40"/>
      <c r="H23" s="38"/>
      <c r="I23" s="74"/>
      <c r="J23" s="40"/>
    </row>
    <row r="24" spans="1:13" ht="15" customHeight="1">
      <c r="A24" s="57" t="s">
        <v>23</v>
      </c>
      <c r="B24" s="40"/>
      <c r="C24" s="40"/>
      <c r="D24" s="40"/>
      <c r="E24" s="40"/>
      <c r="F24" s="40"/>
      <c r="G24" s="75" t="s">
        <v>46</v>
      </c>
      <c r="H24" s="40"/>
      <c r="I24" s="40"/>
      <c r="J24" s="40"/>
    </row>
    <row r="25" spans="1:13" ht="15" customHeight="1">
      <c r="A25" s="76"/>
      <c r="B25" s="57"/>
      <c r="C25" s="39"/>
      <c r="D25" s="57"/>
      <c r="E25" s="57"/>
      <c r="F25" s="39"/>
      <c r="G25" s="39"/>
      <c r="H25" s="39"/>
      <c r="I25" s="39"/>
      <c r="J25" s="39"/>
      <c r="K25" s="77"/>
    </row>
    <row r="26" spans="1:13" ht="15" customHeight="1">
      <c r="A26" s="78"/>
      <c r="B26" s="57"/>
      <c r="C26" s="39"/>
      <c r="D26" s="113" t="s">
        <v>59</v>
      </c>
      <c r="E26" s="113"/>
      <c r="F26" s="114"/>
      <c r="G26" s="114" t="s">
        <v>60</v>
      </c>
      <c r="H26" s="114" t="s">
        <v>61</v>
      </c>
      <c r="I26" s="114" t="s">
        <v>62</v>
      </c>
      <c r="J26" s="114" t="s">
        <v>63</v>
      </c>
      <c r="K26" s="81"/>
      <c r="L26" s="44"/>
    </row>
    <row r="27" spans="1:13" ht="15" customHeight="1">
      <c r="A27" s="82"/>
      <c r="B27" s="57"/>
      <c r="C27" s="40"/>
      <c r="D27" s="83"/>
      <c r="E27" s="39"/>
      <c r="F27" s="84"/>
      <c r="G27" s="84"/>
      <c r="H27" s="85"/>
      <c r="I27" s="86"/>
      <c r="J27" s="87">
        <f>G27*I27</f>
        <v>0</v>
      </c>
      <c r="K27" s="81"/>
      <c r="L27" s="88"/>
    </row>
    <row r="28" spans="1:13" s="40" customFormat="1" ht="15" customHeight="1">
      <c r="A28" s="82"/>
      <c r="B28" s="57"/>
      <c r="C28" s="57"/>
      <c r="D28" s="83"/>
      <c r="E28" s="39"/>
      <c r="F28" s="84"/>
      <c r="G28" s="84"/>
      <c r="H28" s="85"/>
      <c r="I28" s="86"/>
      <c r="J28" s="87">
        <f>G28*I28</f>
        <v>0</v>
      </c>
      <c r="K28" s="81"/>
      <c r="L28" s="88"/>
      <c r="M28" s="89"/>
    </row>
    <row r="29" spans="1:13" s="40" customFormat="1" ht="15" customHeight="1" thickBot="1">
      <c r="A29" s="82"/>
      <c r="B29" s="90"/>
      <c r="C29" s="39"/>
      <c r="D29" s="91" t="s">
        <v>47</v>
      </c>
      <c r="E29" s="91"/>
      <c r="F29" s="92"/>
      <c r="G29" s="93"/>
      <c r="H29" s="94"/>
      <c r="I29" s="95"/>
      <c r="J29" s="96">
        <f>SUM(J27:J28)</f>
        <v>0</v>
      </c>
      <c r="K29" s="88">
        <f>SUM(K27:K28)</f>
        <v>0</v>
      </c>
      <c r="L29" s="88"/>
    </row>
    <row r="30" spans="1:13" s="40" customFormat="1" ht="15" customHeight="1" thickTop="1">
      <c r="A30" s="40" t="s">
        <v>64</v>
      </c>
      <c r="B30" s="90"/>
      <c r="C30" s="57"/>
      <c r="D30" s="57" t="s">
        <v>65</v>
      </c>
      <c r="E30" s="57"/>
      <c r="F30" s="57" t="s">
        <v>66</v>
      </c>
      <c r="G30" s="90"/>
      <c r="H30" s="97"/>
      <c r="I30" s="98"/>
      <c r="J30" s="99"/>
      <c r="K30" s="100"/>
      <c r="L30" s="88"/>
    </row>
    <row r="31" spans="1:13" s="40" customFormat="1" ht="99.95" customHeight="1">
      <c r="A31" s="695"/>
      <c r="B31" s="695"/>
      <c r="C31" s="695"/>
      <c r="D31" s="696"/>
      <c r="E31" s="696"/>
      <c r="F31" s="695"/>
      <c r="G31" s="695"/>
      <c r="H31" s="695"/>
      <c r="I31" s="695"/>
      <c r="J31" s="695"/>
      <c r="K31" s="695"/>
      <c r="L31" s="88"/>
    </row>
    <row r="32" spans="1:13" ht="15" customHeight="1">
      <c r="B32" s="110"/>
      <c r="C32" s="100"/>
      <c r="D32" s="110"/>
      <c r="E32" s="110"/>
      <c r="F32" s="110"/>
      <c r="G32" s="110"/>
      <c r="H32" s="110"/>
      <c r="I32" s="110"/>
      <c r="J32" s="110"/>
      <c r="K32" s="110"/>
    </row>
    <row r="33" spans="1:11" ht="15" customHeight="1">
      <c r="B33" s="110"/>
      <c r="C33" s="100"/>
      <c r="D33" s="110"/>
      <c r="E33" s="110"/>
      <c r="F33" s="110"/>
      <c r="G33" s="110"/>
      <c r="H33" s="110"/>
      <c r="I33" s="110"/>
      <c r="J33" s="110"/>
      <c r="K33" s="110"/>
    </row>
    <row r="34" spans="1:11" ht="15" customHeight="1">
      <c r="B34" s="110"/>
      <c r="C34" s="100"/>
      <c r="D34" s="110"/>
      <c r="E34" s="110"/>
      <c r="F34" s="110"/>
      <c r="G34" s="110"/>
      <c r="H34" s="110"/>
      <c r="I34" s="110"/>
      <c r="J34" s="110"/>
      <c r="K34" s="110"/>
    </row>
    <row r="35" spans="1:11" ht="15" customHeight="1">
      <c r="B35" s="110"/>
      <c r="C35" s="100"/>
      <c r="D35" s="110"/>
      <c r="E35" s="110"/>
      <c r="F35" s="110"/>
      <c r="G35" s="110"/>
      <c r="H35" s="110"/>
      <c r="I35" s="110"/>
      <c r="J35" s="110"/>
      <c r="K35" s="110"/>
    </row>
    <row r="36" spans="1:11" ht="15" customHeight="1">
      <c r="B36" s="110"/>
      <c r="C36" s="100"/>
      <c r="D36" s="110"/>
      <c r="E36" s="110"/>
      <c r="F36" s="110"/>
      <c r="G36" s="110"/>
      <c r="H36" s="110"/>
      <c r="I36" s="110"/>
      <c r="J36" s="110"/>
      <c r="K36" s="110"/>
    </row>
    <row r="37" spans="1:11" ht="15" customHeight="1">
      <c r="A37" s="111" t="s">
        <v>67</v>
      </c>
    </row>
    <row r="38" spans="1:11" ht="15" customHeight="1">
      <c r="A38" s="111" t="s">
        <v>68</v>
      </c>
      <c r="H38" s="112" t="s">
        <v>69</v>
      </c>
      <c r="I38" s="54"/>
      <c r="J38" s="54"/>
      <c r="K38" s="54"/>
    </row>
  </sheetData>
  <mergeCells count="11">
    <mergeCell ref="A22:C22"/>
    <mergeCell ref="D22:F22"/>
    <mergeCell ref="G22:H22"/>
    <mergeCell ref="A31:C31"/>
    <mergeCell ref="D31:E31"/>
    <mergeCell ref="F31:K31"/>
    <mergeCell ref="A1:K1"/>
    <mergeCell ref="A18:C18"/>
    <mergeCell ref="D18:F18"/>
    <mergeCell ref="A21:C21"/>
    <mergeCell ref="D21:F21"/>
  </mergeCells>
  <phoneticPr fontId="3" type="noConversion"/>
  <printOptions horizontalCentered="1"/>
  <pageMargins left="0.15748031496062992" right="0.15748031496062992" top="0.70866141732283472" bottom="0.43307086614173229" header="0.51181102362204722" footer="0.23622047244094491"/>
  <pageSetup paperSize="9" orientation="portrait" r:id="rId1"/>
  <headerFooter>
    <oddFooter>&amp;C&amp;P/&amp;N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50"/>
    <pageSetUpPr fitToPage="1"/>
  </sheetPr>
  <dimension ref="A1:M38"/>
  <sheetViews>
    <sheetView zoomScaleNormal="100" workbookViewId="0">
      <selection activeCell="A8" sqref="A8:F13"/>
    </sheetView>
  </sheetViews>
  <sheetFormatPr defaultRowHeight="15" customHeight="1"/>
  <cols>
    <col min="1" max="4" width="7.77734375" style="36" customWidth="1"/>
    <col min="5" max="5" width="6.5546875" style="36" customWidth="1"/>
    <col min="6" max="6" width="7.77734375" style="36" customWidth="1"/>
    <col min="7" max="7" width="8" style="36" customWidth="1"/>
    <col min="8" max="8" width="7.44140625" style="36" customWidth="1"/>
    <col min="9" max="9" width="12.6640625" style="36" customWidth="1"/>
    <col min="10" max="10" width="14.77734375" style="36" customWidth="1"/>
    <col min="11" max="11" width="8.44140625" style="36" customWidth="1"/>
    <col min="12" max="12" width="12" style="36" customWidth="1"/>
    <col min="13" max="13" width="8.5546875" style="36" bestFit="1" customWidth="1"/>
    <col min="14" max="16384" width="8.88671875" style="36"/>
  </cols>
  <sheetData>
    <row r="1" spans="1:13" s="31" customFormat="1" ht="20.25">
      <c r="A1" s="661" t="s">
        <v>13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30"/>
    </row>
    <row r="2" spans="1:13" ht="15" customHeight="1">
      <c r="A2" s="32" t="s">
        <v>14</v>
      </c>
      <c r="B2" s="33"/>
      <c r="C2" s="33"/>
      <c r="D2" s="33"/>
      <c r="E2" s="33"/>
      <c r="F2" s="34"/>
      <c r="G2" s="35" t="s">
        <v>15</v>
      </c>
      <c r="H2" s="33"/>
      <c r="I2" s="33"/>
      <c r="J2" s="33"/>
      <c r="K2" s="33"/>
    </row>
    <row r="3" spans="1:13" ht="15" customHeight="1">
      <c r="A3" s="37" t="s">
        <v>16</v>
      </c>
      <c r="B3" s="37"/>
      <c r="C3" s="37"/>
      <c r="D3" s="37"/>
      <c r="E3" s="37"/>
      <c r="F3" s="38"/>
      <c r="G3" s="39"/>
      <c r="H3" s="40"/>
      <c r="I3" s="40"/>
      <c r="J3" s="39"/>
      <c r="K3" s="41"/>
    </row>
    <row r="4" spans="1:13" ht="15" customHeight="1">
      <c r="A4" s="40" t="s">
        <v>17</v>
      </c>
      <c r="B4" s="40"/>
      <c r="C4" s="40"/>
      <c r="D4" s="40"/>
      <c r="E4" s="40"/>
      <c r="F4" s="38"/>
      <c r="G4" s="42"/>
      <c r="H4" s="40"/>
      <c r="I4" s="40"/>
      <c r="J4" s="43"/>
      <c r="K4" s="43"/>
    </row>
    <row r="5" spans="1:13" ht="15" customHeight="1">
      <c r="A5" s="40" t="s">
        <v>19</v>
      </c>
      <c r="B5" s="40"/>
      <c r="C5" s="40"/>
      <c r="D5" s="40"/>
      <c r="E5" s="40"/>
      <c r="F5" s="38"/>
      <c r="G5" s="35" t="s">
        <v>20</v>
      </c>
      <c r="H5" s="33"/>
      <c r="I5" s="33"/>
      <c r="J5" s="33"/>
      <c r="K5" s="40"/>
    </row>
    <row r="6" spans="1:13" ht="15" customHeight="1">
      <c r="A6" s="44" t="s">
        <v>21</v>
      </c>
      <c r="B6" s="44"/>
      <c r="C6" s="44"/>
      <c r="D6" s="44"/>
      <c r="E6" s="44"/>
      <c r="F6" s="38"/>
      <c r="G6" s="39"/>
      <c r="H6" s="39"/>
      <c r="I6" s="39"/>
      <c r="J6" s="39"/>
      <c r="K6" s="45"/>
    </row>
    <row r="7" spans="1:13" ht="15" customHeight="1">
      <c r="A7" s="32" t="s">
        <v>22</v>
      </c>
      <c r="B7" s="33"/>
      <c r="C7" s="33"/>
      <c r="D7" s="33"/>
      <c r="E7" s="33"/>
      <c r="F7" s="34"/>
      <c r="G7" s="46"/>
      <c r="H7" s="37"/>
      <c r="I7" s="37"/>
      <c r="J7" s="47" t="s">
        <v>23</v>
      </c>
      <c r="K7" s="48"/>
      <c r="L7" s="40"/>
    </row>
    <row r="8" spans="1:13" ht="15" customHeight="1">
      <c r="A8" s="551" t="s">
        <v>257</v>
      </c>
      <c r="B8" s="551"/>
      <c r="C8" s="551"/>
      <c r="D8" s="547"/>
      <c r="E8" s="547"/>
      <c r="F8" s="550"/>
      <c r="G8" s="35" t="s">
        <v>24</v>
      </c>
      <c r="H8" s="33"/>
      <c r="I8" s="33"/>
      <c r="J8" s="33"/>
      <c r="K8" s="49"/>
      <c r="L8" s="40"/>
    </row>
    <row r="9" spans="1:13" ht="15" customHeight="1">
      <c r="A9" s="552" t="s">
        <v>258</v>
      </c>
      <c r="B9" s="552"/>
      <c r="C9" s="552"/>
      <c r="D9" s="552"/>
      <c r="E9" s="547"/>
      <c r="F9" s="550"/>
      <c r="G9" s="46" t="s">
        <v>23</v>
      </c>
      <c r="H9" s="40"/>
      <c r="I9" s="40"/>
      <c r="J9" s="40"/>
      <c r="K9" s="48"/>
      <c r="L9" s="51"/>
      <c r="M9" s="52"/>
    </row>
    <row r="10" spans="1:13" ht="15" customHeight="1">
      <c r="A10" s="552" t="s">
        <v>259</v>
      </c>
      <c r="B10" s="552"/>
      <c r="C10" s="552"/>
      <c r="D10" s="547"/>
      <c r="E10" s="547"/>
      <c r="F10" s="550"/>
      <c r="G10" s="53" t="s">
        <v>23</v>
      </c>
      <c r="H10" s="54"/>
      <c r="I10" s="54"/>
      <c r="J10" s="54"/>
      <c r="K10" s="48"/>
      <c r="L10" s="51"/>
      <c r="M10" s="55"/>
    </row>
    <row r="11" spans="1:13" ht="15" customHeight="1">
      <c r="A11" s="548" t="s">
        <v>260</v>
      </c>
      <c r="B11" s="555"/>
      <c r="C11" s="555"/>
      <c r="D11" s="555"/>
      <c r="E11" s="555"/>
      <c r="F11" s="550"/>
      <c r="G11" s="35" t="s">
        <v>25</v>
      </c>
      <c r="H11" s="33"/>
      <c r="I11" s="33"/>
      <c r="J11" s="33"/>
      <c r="K11" s="56"/>
      <c r="M11" s="55"/>
    </row>
    <row r="12" spans="1:13" ht="15" customHeight="1">
      <c r="A12" s="557" t="s">
        <v>261</v>
      </c>
      <c r="B12" s="556"/>
      <c r="C12" s="553"/>
      <c r="D12" s="553"/>
      <c r="E12" s="553"/>
      <c r="F12" s="554"/>
      <c r="G12" s="39"/>
      <c r="H12" s="57"/>
      <c r="I12" s="40"/>
      <c r="J12" s="40"/>
      <c r="K12" s="58"/>
      <c r="L12" s="40"/>
    </row>
    <row r="13" spans="1:13" ht="15" customHeight="1">
      <c r="A13" s="549" t="s">
        <v>26</v>
      </c>
      <c r="B13" s="547"/>
      <c r="C13" s="547"/>
      <c r="D13" s="547"/>
      <c r="E13" s="547"/>
      <c r="F13" s="550"/>
      <c r="G13" s="39"/>
      <c r="H13" s="57"/>
      <c r="I13" s="59" t="s">
        <v>27</v>
      </c>
      <c r="J13" s="60">
        <f>1500/324106.53*J29</f>
        <v>0</v>
      </c>
      <c r="K13" s="58"/>
      <c r="L13" s="40"/>
    </row>
    <row r="14" spans="1:13" ht="15" customHeight="1">
      <c r="A14" s="61" t="s">
        <v>28</v>
      </c>
      <c r="B14" s="40"/>
      <c r="C14" s="40"/>
      <c r="D14" s="40"/>
      <c r="E14" s="40"/>
      <c r="F14" s="38"/>
      <c r="G14" s="46"/>
      <c r="H14" s="57"/>
      <c r="I14" s="62" t="s">
        <v>29</v>
      </c>
      <c r="J14" s="63">
        <f>J29*1.1*0.026%</f>
        <v>0</v>
      </c>
      <c r="K14" s="58"/>
      <c r="L14" s="51"/>
    </row>
    <row r="15" spans="1:13" ht="15" customHeight="1">
      <c r="A15" s="40"/>
      <c r="B15" s="40"/>
      <c r="C15" s="40"/>
      <c r="D15" s="40"/>
      <c r="E15" s="40"/>
      <c r="F15" s="38"/>
      <c r="G15" s="64"/>
      <c r="H15" s="65"/>
      <c r="I15" s="66"/>
      <c r="J15" s="40"/>
      <c r="K15" s="58"/>
      <c r="L15" s="51"/>
    </row>
    <row r="16" spans="1:13" ht="15" customHeight="1">
      <c r="A16" s="32" t="s">
        <v>31</v>
      </c>
      <c r="B16" s="33"/>
      <c r="C16" s="34"/>
      <c r="D16" s="32" t="s">
        <v>32</v>
      </c>
      <c r="E16" s="33"/>
      <c r="F16" s="34"/>
      <c r="G16" s="39"/>
      <c r="H16" s="59" t="s">
        <v>33</v>
      </c>
      <c r="I16" s="67">
        <v>0</v>
      </c>
      <c r="J16" s="37" t="s">
        <v>34</v>
      </c>
      <c r="K16" s="58"/>
      <c r="L16" s="40"/>
    </row>
    <row r="17" spans="1:13" ht="15" customHeight="1">
      <c r="A17" s="40"/>
      <c r="B17" s="40"/>
      <c r="C17" s="40"/>
      <c r="D17" s="42" t="s">
        <v>23</v>
      </c>
      <c r="E17" s="68"/>
      <c r="F17" s="38"/>
      <c r="G17" s="40"/>
      <c r="H17" s="62" t="s">
        <v>35</v>
      </c>
      <c r="I17" s="69">
        <f>K29</f>
        <v>0</v>
      </c>
      <c r="J17" s="37" t="s">
        <v>36</v>
      </c>
      <c r="K17" s="58"/>
      <c r="L17" s="40"/>
    </row>
    <row r="18" spans="1:13" ht="15" customHeight="1">
      <c r="A18" s="662" t="s">
        <v>240</v>
      </c>
      <c r="B18" s="662"/>
      <c r="C18" s="663"/>
      <c r="D18" s="664" t="s">
        <v>37</v>
      </c>
      <c r="E18" s="665"/>
      <c r="F18" s="666"/>
      <c r="G18" s="46"/>
      <c r="H18" s="62" t="s">
        <v>38</v>
      </c>
      <c r="I18" s="69">
        <f>I17*1.1</f>
        <v>0</v>
      </c>
      <c r="J18" s="37" t="s">
        <v>36</v>
      </c>
      <c r="K18" s="58"/>
    </row>
    <row r="19" spans="1:13" ht="15" customHeight="1">
      <c r="A19" s="32" t="s">
        <v>39</v>
      </c>
      <c r="B19" s="33"/>
      <c r="C19" s="34"/>
      <c r="D19" s="32" t="s">
        <v>40</v>
      </c>
      <c r="E19" s="33"/>
      <c r="F19" s="34"/>
      <c r="G19" s="46"/>
      <c r="H19" s="40"/>
      <c r="I19" s="40"/>
      <c r="J19" s="40"/>
      <c r="K19" s="58"/>
    </row>
    <row r="20" spans="1:13" ht="15" customHeight="1">
      <c r="A20" s="40" t="s">
        <v>23</v>
      </c>
      <c r="B20" s="40"/>
      <c r="C20" s="38"/>
      <c r="D20" s="40" t="s">
        <v>23</v>
      </c>
      <c r="E20" s="40"/>
      <c r="F20" s="38"/>
      <c r="G20" s="36" t="s">
        <v>23</v>
      </c>
      <c r="H20" s="40"/>
      <c r="I20" s="40"/>
      <c r="J20" s="40"/>
      <c r="K20" s="58"/>
    </row>
    <row r="21" spans="1:13" ht="15" customHeight="1">
      <c r="A21" s="667"/>
      <c r="B21" s="667"/>
      <c r="C21" s="668"/>
      <c r="D21" s="669"/>
      <c r="E21" s="670"/>
      <c r="F21" s="671"/>
      <c r="G21" s="54"/>
      <c r="H21" s="54"/>
      <c r="I21" s="54"/>
      <c r="J21" s="54"/>
      <c r="K21" s="70"/>
    </row>
    <row r="22" spans="1:13" s="73" customFormat="1" ht="15" customHeight="1">
      <c r="A22" s="658" t="s">
        <v>41</v>
      </c>
      <c r="B22" s="658"/>
      <c r="C22" s="659"/>
      <c r="D22" s="660" t="s">
        <v>42</v>
      </c>
      <c r="E22" s="658"/>
      <c r="F22" s="659"/>
      <c r="G22" s="660" t="s">
        <v>43</v>
      </c>
      <c r="H22" s="659"/>
      <c r="I22" s="71" t="s">
        <v>44</v>
      </c>
      <c r="J22" s="72" t="s">
        <v>45</v>
      </c>
      <c r="K22" s="72"/>
    </row>
    <row r="23" spans="1:13" ht="15" customHeight="1">
      <c r="A23" s="57" t="s">
        <v>23</v>
      </c>
      <c r="B23" s="40"/>
      <c r="C23" s="38"/>
      <c r="D23" s="40"/>
      <c r="E23" s="40"/>
      <c r="F23" s="38"/>
      <c r="G23" s="40"/>
      <c r="H23" s="38"/>
      <c r="I23" s="74"/>
      <c r="J23" s="40"/>
    </row>
    <row r="24" spans="1:13" ht="15" customHeight="1">
      <c r="A24" s="57" t="s">
        <v>23</v>
      </c>
      <c r="B24" s="40"/>
      <c r="C24" s="40"/>
      <c r="D24" s="40"/>
      <c r="E24" s="40"/>
      <c r="F24" s="40"/>
      <c r="G24" s="75" t="s">
        <v>46</v>
      </c>
      <c r="H24" s="40"/>
      <c r="I24" s="40"/>
      <c r="J24" s="40"/>
    </row>
    <row r="25" spans="1:13" ht="15" customHeight="1">
      <c r="A25" s="76"/>
      <c r="B25" s="57"/>
      <c r="C25" s="39"/>
      <c r="D25" s="57"/>
      <c r="E25" s="57"/>
      <c r="F25" s="39"/>
      <c r="G25" s="39"/>
      <c r="H25" s="39"/>
      <c r="I25" s="39"/>
      <c r="J25" s="39"/>
      <c r="K25" s="77"/>
    </row>
    <row r="26" spans="1:13" ht="15" customHeight="1">
      <c r="A26" s="78"/>
      <c r="B26" s="57"/>
      <c r="C26" s="39"/>
      <c r="D26" s="113" t="s">
        <v>70</v>
      </c>
      <c r="E26" s="113"/>
      <c r="F26" s="114"/>
      <c r="G26" s="114" t="s">
        <v>71</v>
      </c>
      <c r="H26" s="114" t="s">
        <v>72</v>
      </c>
      <c r="I26" s="114" t="s">
        <v>73</v>
      </c>
      <c r="J26" s="114" t="s">
        <v>74</v>
      </c>
      <c r="K26" s="81"/>
      <c r="L26" s="44"/>
    </row>
    <row r="27" spans="1:13" ht="15" customHeight="1">
      <c r="A27" s="82"/>
      <c r="B27" s="57"/>
      <c r="C27" s="40"/>
      <c r="D27" s="83"/>
      <c r="E27" s="39"/>
      <c r="F27" s="84"/>
      <c r="G27" s="84"/>
      <c r="H27" s="85"/>
      <c r="I27" s="86"/>
      <c r="J27" s="87">
        <f>G27*I27</f>
        <v>0</v>
      </c>
      <c r="K27" s="81"/>
      <c r="L27" s="88"/>
    </row>
    <row r="28" spans="1:13" s="40" customFormat="1" ht="15" customHeight="1">
      <c r="A28" s="82"/>
      <c r="B28" s="57"/>
      <c r="C28" s="57"/>
      <c r="D28" s="83"/>
      <c r="E28" s="39"/>
      <c r="F28" s="84"/>
      <c r="G28" s="84"/>
      <c r="H28" s="85"/>
      <c r="I28" s="86"/>
      <c r="J28" s="87">
        <f>G28*I28</f>
        <v>0</v>
      </c>
      <c r="K28" s="81"/>
      <c r="L28" s="88"/>
      <c r="M28" s="89"/>
    </row>
    <row r="29" spans="1:13" s="40" customFormat="1" ht="15" customHeight="1" thickBot="1">
      <c r="A29" s="82"/>
      <c r="B29" s="90"/>
      <c r="C29" s="39"/>
      <c r="D29" s="91" t="s">
        <v>47</v>
      </c>
      <c r="E29" s="91"/>
      <c r="F29" s="92"/>
      <c r="G29" s="93"/>
      <c r="H29" s="94"/>
      <c r="I29" s="95"/>
      <c r="J29" s="96">
        <f>SUM(J27:J28)</f>
        <v>0</v>
      </c>
      <c r="K29" s="88">
        <f>SUM(K27:K28)</f>
        <v>0</v>
      </c>
      <c r="L29" s="88"/>
    </row>
    <row r="30" spans="1:13" s="40" customFormat="1" ht="15" customHeight="1" thickTop="1">
      <c r="A30" s="40" t="s">
        <v>53</v>
      </c>
      <c r="B30" s="90"/>
      <c r="C30" s="57"/>
      <c r="D30" s="57" t="s">
        <v>54</v>
      </c>
      <c r="E30" s="57"/>
      <c r="F30" s="57" t="s">
        <v>55</v>
      </c>
      <c r="G30" s="90"/>
      <c r="H30" s="97"/>
      <c r="I30" s="98"/>
      <c r="J30" s="99"/>
      <c r="K30" s="100"/>
      <c r="L30" s="88"/>
    </row>
    <row r="31" spans="1:13" s="40" customFormat="1" ht="99.95" customHeight="1">
      <c r="A31" s="695"/>
      <c r="B31" s="695"/>
      <c r="C31" s="695"/>
      <c r="D31" s="696"/>
      <c r="E31" s="696"/>
      <c r="F31" s="695"/>
      <c r="G31" s="695"/>
      <c r="H31" s="695"/>
      <c r="I31" s="695"/>
      <c r="J31" s="695"/>
      <c r="K31" s="695"/>
      <c r="L31" s="88"/>
    </row>
    <row r="32" spans="1:13" ht="15" customHeight="1">
      <c r="B32" s="110"/>
      <c r="C32" s="100"/>
      <c r="D32" s="110"/>
      <c r="E32" s="110"/>
      <c r="F32" s="110"/>
      <c r="G32" s="110"/>
      <c r="H32" s="110"/>
      <c r="I32" s="110"/>
      <c r="J32" s="110"/>
      <c r="K32" s="110"/>
    </row>
    <row r="33" spans="1:11" ht="15" customHeight="1">
      <c r="B33" s="110"/>
      <c r="C33" s="100"/>
      <c r="D33" s="110"/>
      <c r="E33" s="110"/>
      <c r="F33" s="110"/>
      <c r="G33" s="110"/>
      <c r="H33" s="110"/>
      <c r="I33" s="110"/>
      <c r="J33" s="110"/>
      <c r="K33" s="110"/>
    </row>
    <row r="34" spans="1:11" ht="15" customHeight="1">
      <c r="B34" s="110"/>
      <c r="C34" s="100"/>
      <c r="D34" s="110"/>
      <c r="E34" s="110"/>
      <c r="F34" s="110"/>
      <c r="G34" s="110"/>
      <c r="H34" s="110"/>
      <c r="I34" s="110"/>
      <c r="J34" s="110"/>
      <c r="K34" s="110"/>
    </row>
    <row r="35" spans="1:11" ht="15" customHeight="1">
      <c r="B35" s="110"/>
      <c r="C35" s="100"/>
      <c r="D35" s="110"/>
      <c r="E35" s="110"/>
      <c r="F35" s="110"/>
      <c r="G35" s="110"/>
      <c r="H35" s="110"/>
      <c r="I35" s="110"/>
      <c r="J35" s="110"/>
      <c r="K35" s="110"/>
    </row>
    <row r="36" spans="1:11" ht="15" customHeight="1">
      <c r="B36" s="110"/>
      <c r="C36" s="100"/>
      <c r="D36" s="110"/>
      <c r="E36" s="110"/>
      <c r="F36" s="110"/>
      <c r="G36" s="110"/>
      <c r="H36" s="110"/>
      <c r="I36" s="110"/>
      <c r="J36" s="110"/>
      <c r="K36" s="110"/>
    </row>
    <row r="37" spans="1:11" ht="15" customHeight="1">
      <c r="A37" s="111" t="s">
        <v>56</v>
      </c>
    </row>
    <row r="38" spans="1:11" ht="15" customHeight="1">
      <c r="A38" s="111" t="s">
        <v>57</v>
      </c>
      <c r="H38" s="112" t="s">
        <v>58</v>
      </c>
      <c r="I38" s="54"/>
      <c r="J38" s="54"/>
      <c r="K38" s="54"/>
    </row>
  </sheetData>
  <mergeCells count="11">
    <mergeCell ref="A22:C22"/>
    <mergeCell ref="D22:F22"/>
    <mergeCell ref="G22:H22"/>
    <mergeCell ref="A31:C31"/>
    <mergeCell ref="D31:E31"/>
    <mergeCell ref="F31:K31"/>
    <mergeCell ref="A1:K1"/>
    <mergeCell ref="A18:C18"/>
    <mergeCell ref="D18:F18"/>
    <mergeCell ref="A21:C21"/>
    <mergeCell ref="D21:F21"/>
  </mergeCells>
  <phoneticPr fontId="3" type="noConversion"/>
  <printOptions horizontalCentered="1"/>
  <pageMargins left="0.15748031496062992" right="0.15748031496062992" top="0.70866141732283472" bottom="0.43307086614173229" header="0.51181102362204722" footer="0.23622047244094491"/>
  <pageSetup paperSize="9" orientation="portrait" r:id="rId1"/>
  <headerFooter>
    <oddFooter>&amp;C&amp;P/&amp;N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50"/>
    <pageSetUpPr fitToPage="1"/>
  </sheetPr>
  <dimension ref="A1:M38"/>
  <sheetViews>
    <sheetView zoomScaleNormal="100" workbookViewId="0">
      <selection activeCell="A8" sqref="A8:F13"/>
    </sheetView>
  </sheetViews>
  <sheetFormatPr defaultRowHeight="15" customHeight="1"/>
  <cols>
    <col min="1" max="4" width="7.77734375" style="36" customWidth="1"/>
    <col min="5" max="5" width="6.5546875" style="36" customWidth="1"/>
    <col min="6" max="6" width="7.77734375" style="36" customWidth="1"/>
    <col min="7" max="7" width="8" style="36" customWidth="1"/>
    <col min="8" max="8" width="7.44140625" style="36" customWidth="1"/>
    <col min="9" max="9" width="12.6640625" style="36" customWidth="1"/>
    <col min="10" max="10" width="14.77734375" style="36" customWidth="1"/>
    <col min="11" max="11" width="8.44140625" style="36" customWidth="1"/>
    <col min="12" max="12" width="12" style="36" customWidth="1"/>
    <col min="13" max="13" width="8.5546875" style="36" bestFit="1" customWidth="1"/>
    <col min="14" max="16384" width="8.88671875" style="36"/>
  </cols>
  <sheetData>
    <row r="1" spans="1:13" s="31" customFormat="1" ht="20.25">
      <c r="A1" s="661" t="s">
        <v>13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30"/>
    </row>
    <row r="2" spans="1:13" ht="15" customHeight="1">
      <c r="A2" s="32" t="s">
        <v>14</v>
      </c>
      <c r="B2" s="33"/>
      <c r="C2" s="33"/>
      <c r="D2" s="33"/>
      <c r="E2" s="33"/>
      <c r="F2" s="34"/>
      <c r="G2" s="35" t="s">
        <v>15</v>
      </c>
      <c r="H2" s="33"/>
      <c r="I2" s="33"/>
      <c r="J2" s="33"/>
      <c r="K2" s="33"/>
    </row>
    <row r="3" spans="1:13" ht="15" customHeight="1">
      <c r="A3" s="37" t="s">
        <v>16</v>
      </c>
      <c r="B3" s="37"/>
      <c r="C3" s="37"/>
      <c r="D3" s="37"/>
      <c r="E3" s="37"/>
      <c r="F3" s="38"/>
      <c r="G3" s="39"/>
      <c r="H3" s="40"/>
      <c r="I3" s="40"/>
      <c r="J3" s="39"/>
      <c r="K3" s="41"/>
    </row>
    <row r="4" spans="1:13" ht="15" customHeight="1">
      <c r="A4" s="40" t="s">
        <v>17</v>
      </c>
      <c r="B4" s="40"/>
      <c r="C4" s="40"/>
      <c r="D4" s="40"/>
      <c r="E4" s="40"/>
      <c r="F4" s="38"/>
      <c r="G4" s="42"/>
      <c r="H4" s="40"/>
      <c r="I4" s="40"/>
      <c r="J4" s="43"/>
      <c r="K4" s="43"/>
    </row>
    <row r="5" spans="1:13" ht="15" customHeight="1">
      <c r="A5" s="40" t="s">
        <v>19</v>
      </c>
      <c r="B5" s="40"/>
      <c r="C5" s="40"/>
      <c r="D5" s="40"/>
      <c r="E5" s="40"/>
      <c r="F5" s="38"/>
      <c r="G5" s="35" t="s">
        <v>20</v>
      </c>
      <c r="H5" s="33"/>
      <c r="I5" s="33"/>
      <c r="J5" s="33"/>
      <c r="K5" s="40"/>
    </row>
    <row r="6" spans="1:13" ht="15" customHeight="1">
      <c r="A6" s="44" t="s">
        <v>21</v>
      </c>
      <c r="B6" s="44"/>
      <c r="C6" s="44"/>
      <c r="D6" s="44"/>
      <c r="E6" s="44"/>
      <c r="F6" s="38"/>
      <c r="G6" s="39"/>
      <c r="H6" s="39"/>
      <c r="I6" s="39"/>
      <c r="J6" s="39"/>
      <c r="K6" s="45"/>
    </row>
    <row r="7" spans="1:13" ht="15" customHeight="1">
      <c r="A7" s="32" t="s">
        <v>22</v>
      </c>
      <c r="B7" s="33"/>
      <c r="C7" s="33"/>
      <c r="D7" s="33"/>
      <c r="E7" s="33"/>
      <c r="F7" s="34"/>
      <c r="G7" s="46"/>
      <c r="H7" s="37"/>
      <c r="I7" s="37"/>
      <c r="J7" s="47" t="s">
        <v>23</v>
      </c>
      <c r="K7" s="48"/>
      <c r="L7" s="40"/>
    </row>
    <row r="8" spans="1:13" ht="15" customHeight="1">
      <c r="A8" s="562" t="s">
        <v>257</v>
      </c>
      <c r="B8" s="562"/>
      <c r="C8" s="562"/>
      <c r="D8" s="558"/>
      <c r="E8" s="558"/>
      <c r="F8" s="561"/>
      <c r="G8" s="35" t="s">
        <v>24</v>
      </c>
      <c r="H8" s="33"/>
      <c r="I8" s="33"/>
      <c r="J8" s="33"/>
      <c r="K8" s="49"/>
      <c r="L8" s="40"/>
    </row>
    <row r="9" spans="1:13" ht="15" customHeight="1">
      <c r="A9" s="563" t="s">
        <v>258</v>
      </c>
      <c r="B9" s="563"/>
      <c r="C9" s="563"/>
      <c r="D9" s="563"/>
      <c r="E9" s="558"/>
      <c r="F9" s="561"/>
      <c r="G9" s="46" t="s">
        <v>23</v>
      </c>
      <c r="H9" s="40"/>
      <c r="I9" s="40"/>
      <c r="J9" s="40"/>
      <c r="K9" s="48"/>
      <c r="L9" s="51"/>
      <c r="M9" s="52"/>
    </row>
    <row r="10" spans="1:13" ht="15" customHeight="1">
      <c r="A10" s="563" t="s">
        <v>259</v>
      </c>
      <c r="B10" s="563"/>
      <c r="C10" s="563"/>
      <c r="D10" s="558"/>
      <c r="E10" s="558"/>
      <c r="F10" s="561"/>
      <c r="G10" s="53" t="s">
        <v>23</v>
      </c>
      <c r="H10" s="54"/>
      <c r="I10" s="54"/>
      <c r="J10" s="54"/>
      <c r="K10" s="48"/>
      <c r="L10" s="51"/>
      <c r="M10" s="55"/>
    </row>
    <row r="11" spans="1:13" ht="15" customHeight="1">
      <c r="A11" s="559" t="s">
        <v>260</v>
      </c>
      <c r="B11" s="566"/>
      <c r="C11" s="566"/>
      <c r="D11" s="566"/>
      <c r="E11" s="566"/>
      <c r="F11" s="561"/>
      <c r="G11" s="35" t="s">
        <v>25</v>
      </c>
      <c r="H11" s="33"/>
      <c r="I11" s="33"/>
      <c r="J11" s="33"/>
      <c r="K11" s="56"/>
      <c r="M11" s="55"/>
    </row>
    <row r="12" spans="1:13" ht="15" customHeight="1">
      <c r="A12" s="568" t="s">
        <v>261</v>
      </c>
      <c r="B12" s="567"/>
      <c r="C12" s="564"/>
      <c r="D12" s="564"/>
      <c r="E12" s="564"/>
      <c r="F12" s="565"/>
      <c r="G12" s="39"/>
      <c r="H12" s="57"/>
      <c r="I12" s="40"/>
      <c r="J12" s="40"/>
      <c r="K12" s="58"/>
      <c r="L12" s="40"/>
    </row>
    <row r="13" spans="1:13" ht="15" customHeight="1">
      <c r="A13" s="560" t="s">
        <v>26</v>
      </c>
      <c r="B13" s="558"/>
      <c r="C13" s="558"/>
      <c r="D13" s="558"/>
      <c r="E13" s="558"/>
      <c r="F13" s="561"/>
      <c r="G13" s="39"/>
      <c r="H13" s="57"/>
      <c r="I13" s="59" t="s">
        <v>27</v>
      </c>
      <c r="J13" s="60">
        <f>1500/324106.53*J29</f>
        <v>0</v>
      </c>
      <c r="K13" s="58"/>
      <c r="L13" s="40"/>
    </row>
    <row r="14" spans="1:13" ht="15" customHeight="1">
      <c r="A14" s="61" t="s">
        <v>28</v>
      </c>
      <c r="B14" s="40"/>
      <c r="C14" s="40"/>
      <c r="D14" s="40"/>
      <c r="E14" s="40"/>
      <c r="F14" s="38"/>
      <c r="G14" s="46"/>
      <c r="H14" s="57"/>
      <c r="I14" s="62" t="s">
        <v>29</v>
      </c>
      <c r="J14" s="63">
        <f>J29*1.1*0.026%</f>
        <v>0</v>
      </c>
      <c r="K14" s="58"/>
      <c r="L14" s="51"/>
    </row>
    <row r="15" spans="1:13" ht="15" customHeight="1">
      <c r="A15" s="40"/>
      <c r="B15" s="40"/>
      <c r="C15" s="40"/>
      <c r="D15" s="40"/>
      <c r="E15" s="40"/>
      <c r="F15" s="38"/>
      <c r="G15" s="64"/>
      <c r="H15" s="65"/>
      <c r="I15" s="66"/>
      <c r="J15" s="40"/>
      <c r="K15" s="58"/>
      <c r="L15" s="51"/>
    </row>
    <row r="16" spans="1:13" ht="15" customHeight="1">
      <c r="A16" s="32" t="s">
        <v>31</v>
      </c>
      <c r="B16" s="33"/>
      <c r="C16" s="34"/>
      <c r="D16" s="32" t="s">
        <v>32</v>
      </c>
      <c r="E16" s="33"/>
      <c r="F16" s="34"/>
      <c r="G16" s="39"/>
      <c r="H16" s="59" t="s">
        <v>33</v>
      </c>
      <c r="I16" s="67">
        <v>0</v>
      </c>
      <c r="J16" s="37" t="s">
        <v>34</v>
      </c>
      <c r="K16" s="58"/>
      <c r="L16" s="40"/>
    </row>
    <row r="17" spans="1:13" ht="15" customHeight="1">
      <c r="A17" s="40"/>
      <c r="B17" s="40"/>
      <c r="C17" s="40"/>
      <c r="D17" s="42" t="s">
        <v>23</v>
      </c>
      <c r="E17" s="68"/>
      <c r="F17" s="38"/>
      <c r="G17" s="40"/>
      <c r="H17" s="62" t="s">
        <v>35</v>
      </c>
      <c r="I17" s="69">
        <f>K29</f>
        <v>0</v>
      </c>
      <c r="J17" s="37" t="s">
        <v>36</v>
      </c>
      <c r="K17" s="58"/>
      <c r="L17" s="40"/>
    </row>
    <row r="18" spans="1:13" ht="15" customHeight="1">
      <c r="A18" s="662" t="s">
        <v>240</v>
      </c>
      <c r="B18" s="662"/>
      <c r="C18" s="663"/>
      <c r="D18" s="664" t="s">
        <v>37</v>
      </c>
      <c r="E18" s="665"/>
      <c r="F18" s="666"/>
      <c r="G18" s="46"/>
      <c r="H18" s="62" t="s">
        <v>38</v>
      </c>
      <c r="I18" s="69">
        <f>I17*1.1</f>
        <v>0</v>
      </c>
      <c r="J18" s="37" t="s">
        <v>36</v>
      </c>
      <c r="K18" s="58"/>
    </row>
    <row r="19" spans="1:13" ht="15" customHeight="1">
      <c r="A19" s="32" t="s">
        <v>39</v>
      </c>
      <c r="B19" s="33"/>
      <c r="C19" s="34"/>
      <c r="D19" s="32" t="s">
        <v>40</v>
      </c>
      <c r="E19" s="33"/>
      <c r="F19" s="34"/>
      <c r="G19" s="46"/>
      <c r="H19" s="40"/>
      <c r="I19" s="40"/>
      <c r="J19" s="40"/>
      <c r="K19" s="58"/>
    </row>
    <row r="20" spans="1:13" ht="15" customHeight="1">
      <c r="A20" s="40" t="s">
        <v>23</v>
      </c>
      <c r="B20" s="40"/>
      <c r="C20" s="38"/>
      <c r="D20" s="40" t="s">
        <v>23</v>
      </c>
      <c r="E20" s="40"/>
      <c r="F20" s="38"/>
      <c r="G20" s="36" t="s">
        <v>23</v>
      </c>
      <c r="H20" s="40"/>
      <c r="I20" s="40"/>
      <c r="J20" s="40"/>
      <c r="K20" s="58"/>
    </row>
    <row r="21" spans="1:13" ht="15" customHeight="1">
      <c r="A21" s="667"/>
      <c r="B21" s="667"/>
      <c r="C21" s="668"/>
      <c r="D21" s="669"/>
      <c r="E21" s="670"/>
      <c r="F21" s="671"/>
      <c r="G21" s="54"/>
      <c r="H21" s="54"/>
      <c r="I21" s="54"/>
      <c r="J21" s="54"/>
      <c r="K21" s="70"/>
    </row>
    <row r="22" spans="1:13" s="73" customFormat="1" ht="15" customHeight="1">
      <c r="A22" s="658" t="s">
        <v>41</v>
      </c>
      <c r="B22" s="658"/>
      <c r="C22" s="659"/>
      <c r="D22" s="660" t="s">
        <v>42</v>
      </c>
      <c r="E22" s="658"/>
      <c r="F22" s="659"/>
      <c r="G22" s="660" t="s">
        <v>43</v>
      </c>
      <c r="H22" s="659"/>
      <c r="I22" s="71" t="s">
        <v>44</v>
      </c>
      <c r="J22" s="72" t="s">
        <v>45</v>
      </c>
      <c r="K22" s="72"/>
    </row>
    <row r="23" spans="1:13" ht="15" customHeight="1">
      <c r="A23" s="57" t="s">
        <v>23</v>
      </c>
      <c r="B23" s="40"/>
      <c r="C23" s="38"/>
      <c r="D23" s="40"/>
      <c r="E23" s="40"/>
      <c r="F23" s="38"/>
      <c r="G23" s="40"/>
      <c r="H23" s="38"/>
      <c r="I23" s="74"/>
      <c r="J23" s="40"/>
    </row>
    <row r="24" spans="1:13" ht="15" customHeight="1">
      <c r="A24" s="57" t="s">
        <v>23</v>
      </c>
      <c r="B24" s="40"/>
      <c r="C24" s="40"/>
      <c r="D24" s="40"/>
      <c r="E24" s="40"/>
      <c r="F24" s="40"/>
      <c r="G24" s="75" t="s">
        <v>46</v>
      </c>
      <c r="H24" s="40"/>
      <c r="I24" s="40"/>
      <c r="J24" s="40"/>
    </row>
    <row r="25" spans="1:13" ht="15" customHeight="1">
      <c r="A25" s="76"/>
      <c r="B25" s="57"/>
      <c r="C25" s="39"/>
      <c r="D25" s="57"/>
      <c r="E25" s="57"/>
      <c r="F25" s="39"/>
      <c r="G25" s="39"/>
      <c r="H25" s="39"/>
      <c r="I25" s="39"/>
      <c r="J25" s="39"/>
      <c r="K25" s="77"/>
    </row>
    <row r="26" spans="1:13" ht="15" customHeight="1">
      <c r="A26" s="78"/>
      <c r="B26" s="57"/>
      <c r="C26" s="39"/>
      <c r="D26" s="113" t="s">
        <v>70</v>
      </c>
      <c r="E26" s="113"/>
      <c r="F26" s="114"/>
      <c r="G26" s="114" t="s">
        <v>71</v>
      </c>
      <c r="H26" s="114" t="s">
        <v>72</v>
      </c>
      <c r="I26" s="114" t="s">
        <v>73</v>
      </c>
      <c r="J26" s="114" t="s">
        <v>74</v>
      </c>
      <c r="K26" s="81"/>
      <c r="L26" s="44"/>
    </row>
    <row r="27" spans="1:13" ht="15" customHeight="1">
      <c r="A27" s="82"/>
      <c r="B27" s="57"/>
      <c r="C27" s="40"/>
      <c r="D27" s="83"/>
      <c r="E27" s="39"/>
      <c r="F27" s="84"/>
      <c r="G27" s="84"/>
      <c r="H27" s="85"/>
      <c r="I27" s="86"/>
      <c r="J27" s="87">
        <f>G27*I27</f>
        <v>0</v>
      </c>
      <c r="K27" s="81"/>
      <c r="L27" s="88"/>
    </row>
    <row r="28" spans="1:13" s="40" customFormat="1" ht="15" customHeight="1">
      <c r="A28" s="82"/>
      <c r="B28" s="57"/>
      <c r="C28" s="57"/>
      <c r="D28" s="83"/>
      <c r="E28" s="39"/>
      <c r="F28" s="84"/>
      <c r="G28" s="84"/>
      <c r="H28" s="85"/>
      <c r="I28" s="86"/>
      <c r="J28" s="87">
        <f>G28*I28</f>
        <v>0</v>
      </c>
      <c r="K28" s="81"/>
      <c r="L28" s="88"/>
      <c r="M28" s="89"/>
    </row>
    <row r="29" spans="1:13" s="40" customFormat="1" ht="15" customHeight="1" thickBot="1">
      <c r="A29" s="82"/>
      <c r="B29" s="90"/>
      <c r="C29" s="39"/>
      <c r="D29" s="91" t="s">
        <v>47</v>
      </c>
      <c r="E29" s="91"/>
      <c r="F29" s="92"/>
      <c r="G29" s="93"/>
      <c r="H29" s="94"/>
      <c r="I29" s="95"/>
      <c r="J29" s="96">
        <f>SUM(J27:J28)</f>
        <v>0</v>
      </c>
      <c r="K29" s="88">
        <f>SUM(K27:K28)</f>
        <v>0</v>
      </c>
      <c r="L29" s="88"/>
    </row>
    <row r="30" spans="1:13" s="40" customFormat="1" ht="15" customHeight="1" thickTop="1">
      <c r="A30" s="40" t="s">
        <v>53</v>
      </c>
      <c r="B30" s="90"/>
      <c r="C30" s="57"/>
      <c r="D30" s="57" t="s">
        <v>54</v>
      </c>
      <c r="E30" s="57"/>
      <c r="F30" s="57" t="s">
        <v>55</v>
      </c>
      <c r="G30" s="90"/>
      <c r="H30" s="97"/>
      <c r="I30" s="98"/>
      <c r="J30" s="99"/>
      <c r="K30" s="100"/>
      <c r="L30" s="88"/>
    </row>
    <row r="31" spans="1:13" s="40" customFormat="1" ht="99.95" customHeight="1">
      <c r="A31" s="695"/>
      <c r="B31" s="695"/>
      <c r="C31" s="695"/>
      <c r="D31" s="696"/>
      <c r="E31" s="696"/>
      <c r="F31" s="695"/>
      <c r="G31" s="695"/>
      <c r="H31" s="695"/>
      <c r="I31" s="695"/>
      <c r="J31" s="695"/>
      <c r="K31" s="695"/>
      <c r="L31" s="88"/>
    </row>
    <row r="32" spans="1:13" ht="15" customHeight="1">
      <c r="B32" s="110"/>
      <c r="C32" s="100"/>
      <c r="D32" s="110"/>
      <c r="E32" s="110"/>
      <c r="F32" s="110"/>
      <c r="G32" s="110"/>
      <c r="H32" s="110"/>
      <c r="I32" s="110"/>
      <c r="J32" s="110"/>
      <c r="K32" s="110"/>
    </row>
    <row r="33" spans="1:11" ht="15" customHeight="1">
      <c r="B33" s="110"/>
      <c r="C33" s="100"/>
      <c r="D33" s="110"/>
      <c r="E33" s="110"/>
      <c r="F33" s="110"/>
      <c r="G33" s="110"/>
      <c r="H33" s="110"/>
      <c r="I33" s="110"/>
      <c r="J33" s="110"/>
      <c r="K33" s="110"/>
    </row>
    <row r="34" spans="1:11" ht="15" customHeight="1">
      <c r="B34" s="110"/>
      <c r="C34" s="100"/>
      <c r="D34" s="110"/>
      <c r="E34" s="110"/>
      <c r="F34" s="110"/>
      <c r="G34" s="110"/>
      <c r="H34" s="110"/>
      <c r="I34" s="110"/>
      <c r="J34" s="110"/>
      <c r="K34" s="110"/>
    </row>
    <row r="35" spans="1:11" ht="15" customHeight="1">
      <c r="B35" s="110"/>
      <c r="C35" s="100"/>
      <c r="D35" s="110"/>
      <c r="E35" s="110"/>
      <c r="F35" s="110"/>
      <c r="G35" s="110"/>
      <c r="H35" s="110"/>
      <c r="I35" s="110"/>
      <c r="J35" s="110"/>
      <c r="K35" s="110"/>
    </row>
    <row r="36" spans="1:11" ht="15" customHeight="1">
      <c r="B36" s="110"/>
      <c r="C36" s="100"/>
      <c r="D36" s="110"/>
      <c r="E36" s="110"/>
      <c r="F36" s="110"/>
      <c r="G36" s="110"/>
      <c r="H36" s="110"/>
      <c r="I36" s="110"/>
      <c r="J36" s="110"/>
      <c r="K36" s="110"/>
    </row>
    <row r="37" spans="1:11" ht="15" customHeight="1">
      <c r="A37" s="111" t="s">
        <v>56</v>
      </c>
    </row>
    <row r="38" spans="1:11" ht="15" customHeight="1">
      <c r="A38" s="111" t="s">
        <v>57</v>
      </c>
      <c r="H38" s="112" t="s">
        <v>58</v>
      </c>
      <c r="I38" s="54"/>
      <c r="J38" s="54"/>
      <c r="K38" s="54"/>
    </row>
  </sheetData>
  <mergeCells count="11">
    <mergeCell ref="A22:C22"/>
    <mergeCell ref="D22:F22"/>
    <mergeCell ref="G22:H22"/>
    <mergeCell ref="A31:C31"/>
    <mergeCell ref="D31:E31"/>
    <mergeCell ref="F31:K31"/>
    <mergeCell ref="A1:K1"/>
    <mergeCell ref="A18:C18"/>
    <mergeCell ref="D18:F18"/>
    <mergeCell ref="A21:C21"/>
    <mergeCell ref="D21:F21"/>
  </mergeCells>
  <phoneticPr fontId="3" type="noConversion"/>
  <printOptions horizontalCentered="1"/>
  <pageMargins left="0.15748031496062992" right="0.15748031496062992" top="0.70866141732283472" bottom="0.43307086614173229" header="0.51181102362204722" footer="0.23622047244094491"/>
  <pageSetup paperSize="9" orientation="portrait" r:id="rId1"/>
  <headerFooter>
    <oddFooter>&amp;C&amp;P/&amp;N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50"/>
    <pageSetUpPr fitToPage="1"/>
  </sheetPr>
  <dimension ref="A1:M38"/>
  <sheetViews>
    <sheetView zoomScaleNormal="100" workbookViewId="0">
      <selection activeCell="A8" sqref="A8:F13"/>
    </sheetView>
  </sheetViews>
  <sheetFormatPr defaultRowHeight="15" customHeight="1"/>
  <cols>
    <col min="1" max="4" width="7.77734375" style="36" customWidth="1"/>
    <col min="5" max="5" width="6.5546875" style="36" customWidth="1"/>
    <col min="6" max="6" width="7.77734375" style="36" customWidth="1"/>
    <col min="7" max="7" width="8" style="36" customWidth="1"/>
    <col min="8" max="8" width="7.44140625" style="36" customWidth="1"/>
    <col min="9" max="9" width="12.6640625" style="36" customWidth="1"/>
    <col min="10" max="10" width="14.77734375" style="36" customWidth="1"/>
    <col min="11" max="11" width="8.44140625" style="36" customWidth="1"/>
    <col min="12" max="12" width="12" style="36" customWidth="1"/>
    <col min="13" max="13" width="8.5546875" style="36" bestFit="1" customWidth="1"/>
    <col min="14" max="16384" width="8.88671875" style="36"/>
  </cols>
  <sheetData>
    <row r="1" spans="1:13" s="31" customFormat="1" ht="20.25">
      <c r="A1" s="661" t="s">
        <v>75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30"/>
    </row>
    <row r="2" spans="1:13" ht="15" customHeight="1">
      <c r="A2" s="32" t="s">
        <v>14</v>
      </c>
      <c r="B2" s="33"/>
      <c r="C2" s="33"/>
      <c r="D2" s="33"/>
      <c r="E2" s="33"/>
      <c r="F2" s="34"/>
      <c r="G2" s="35" t="s">
        <v>15</v>
      </c>
      <c r="H2" s="33"/>
      <c r="I2" s="33"/>
      <c r="J2" s="33"/>
      <c r="K2" s="33"/>
    </row>
    <row r="3" spans="1:13" ht="15" customHeight="1">
      <c r="A3" s="37" t="s">
        <v>16</v>
      </c>
      <c r="B3" s="37"/>
      <c r="C3" s="37"/>
      <c r="D3" s="37"/>
      <c r="E3" s="37"/>
      <c r="F3" s="38"/>
      <c r="G3" s="39"/>
      <c r="H3" s="40"/>
      <c r="I3" s="40"/>
      <c r="J3" s="39"/>
      <c r="K3" s="41"/>
    </row>
    <row r="4" spans="1:13" ht="15" customHeight="1">
      <c r="A4" s="40" t="s">
        <v>76</v>
      </c>
      <c r="B4" s="40"/>
      <c r="C4" s="40"/>
      <c r="D4" s="40"/>
      <c r="E4" s="40"/>
      <c r="F4" s="38"/>
      <c r="G4" s="42"/>
      <c r="H4" s="40"/>
      <c r="I4" s="40"/>
      <c r="J4" s="43"/>
      <c r="K4" s="43"/>
    </row>
    <row r="5" spans="1:13" ht="15" customHeight="1">
      <c r="A5" s="40" t="s">
        <v>77</v>
      </c>
      <c r="B5" s="40"/>
      <c r="C5" s="40"/>
      <c r="D5" s="40"/>
      <c r="E5" s="40"/>
      <c r="F5" s="38"/>
      <c r="G5" s="35" t="s">
        <v>20</v>
      </c>
      <c r="H5" s="33"/>
      <c r="I5" s="33"/>
      <c r="J5" s="33"/>
      <c r="K5" s="40"/>
    </row>
    <row r="6" spans="1:13" ht="15" customHeight="1">
      <c r="A6" s="44" t="s">
        <v>78</v>
      </c>
      <c r="B6" s="44"/>
      <c r="C6" s="44"/>
      <c r="D6" s="44"/>
      <c r="E6" s="44"/>
      <c r="F6" s="38"/>
      <c r="G6" s="39"/>
      <c r="H6" s="39"/>
      <c r="I6" s="39"/>
      <c r="J6" s="39"/>
      <c r="K6" s="45"/>
    </row>
    <row r="7" spans="1:13" ht="15" customHeight="1">
      <c r="A7" s="32" t="s">
        <v>22</v>
      </c>
      <c r="B7" s="33"/>
      <c r="C7" s="33"/>
      <c r="D7" s="33"/>
      <c r="E7" s="33"/>
      <c r="F7" s="34"/>
      <c r="G7" s="46"/>
      <c r="H7" s="37"/>
      <c r="I7" s="37"/>
      <c r="J7" s="47" t="s">
        <v>23</v>
      </c>
      <c r="K7" s="48"/>
      <c r="L7" s="40"/>
    </row>
    <row r="8" spans="1:13" ht="15" customHeight="1">
      <c r="A8" s="573" t="s">
        <v>257</v>
      </c>
      <c r="B8" s="573"/>
      <c r="C8" s="573"/>
      <c r="D8" s="569"/>
      <c r="E8" s="569"/>
      <c r="F8" s="572"/>
      <c r="G8" s="35" t="s">
        <v>24</v>
      </c>
      <c r="H8" s="33"/>
      <c r="I8" s="33"/>
      <c r="J8" s="33"/>
      <c r="K8" s="49"/>
      <c r="L8" s="40"/>
    </row>
    <row r="9" spans="1:13" ht="15" customHeight="1">
      <c r="A9" s="574" t="s">
        <v>258</v>
      </c>
      <c r="B9" s="574"/>
      <c r="C9" s="574"/>
      <c r="D9" s="574"/>
      <c r="E9" s="569"/>
      <c r="F9" s="572"/>
      <c r="G9" s="46" t="s">
        <v>23</v>
      </c>
      <c r="H9" s="40"/>
      <c r="I9" s="40"/>
      <c r="J9" s="40"/>
      <c r="K9" s="48"/>
      <c r="L9" s="51"/>
      <c r="M9" s="52"/>
    </row>
    <row r="10" spans="1:13" ht="15" customHeight="1">
      <c r="A10" s="574" t="s">
        <v>259</v>
      </c>
      <c r="B10" s="574"/>
      <c r="C10" s="574"/>
      <c r="D10" s="569"/>
      <c r="E10" s="569"/>
      <c r="F10" s="572"/>
      <c r="G10" s="53" t="s">
        <v>23</v>
      </c>
      <c r="H10" s="54"/>
      <c r="I10" s="54"/>
      <c r="J10" s="54"/>
      <c r="K10" s="48"/>
      <c r="L10" s="51"/>
      <c r="M10" s="55"/>
    </row>
    <row r="11" spans="1:13" ht="15" customHeight="1">
      <c r="A11" s="570" t="s">
        <v>260</v>
      </c>
      <c r="B11" s="577"/>
      <c r="C11" s="577"/>
      <c r="D11" s="577"/>
      <c r="E11" s="577"/>
      <c r="F11" s="572"/>
      <c r="G11" s="35" t="s">
        <v>25</v>
      </c>
      <c r="H11" s="33"/>
      <c r="I11" s="33"/>
      <c r="J11" s="33"/>
      <c r="K11" s="56"/>
      <c r="M11" s="55"/>
    </row>
    <row r="12" spans="1:13" ht="15" customHeight="1">
      <c r="A12" s="579" t="s">
        <v>261</v>
      </c>
      <c r="B12" s="578"/>
      <c r="C12" s="575"/>
      <c r="D12" s="575"/>
      <c r="E12" s="575"/>
      <c r="F12" s="576"/>
      <c r="G12" s="39"/>
      <c r="H12" s="57"/>
      <c r="I12" s="40"/>
      <c r="J12" s="40"/>
      <c r="K12" s="58"/>
      <c r="L12" s="40"/>
    </row>
    <row r="13" spans="1:13" ht="15" customHeight="1">
      <c r="A13" s="571" t="s">
        <v>26</v>
      </c>
      <c r="B13" s="569"/>
      <c r="C13" s="569"/>
      <c r="D13" s="569"/>
      <c r="E13" s="569"/>
      <c r="F13" s="572"/>
      <c r="G13" s="39"/>
      <c r="H13" s="57"/>
      <c r="I13" s="59" t="s">
        <v>27</v>
      </c>
      <c r="J13" s="60">
        <f>1500/324106.53*J29</f>
        <v>0</v>
      </c>
      <c r="K13" s="58"/>
      <c r="L13" s="40"/>
    </row>
    <row r="14" spans="1:13" ht="15" customHeight="1">
      <c r="A14" s="61" t="s">
        <v>28</v>
      </c>
      <c r="B14" s="40"/>
      <c r="C14" s="40"/>
      <c r="D14" s="40"/>
      <c r="E14" s="40"/>
      <c r="F14" s="38"/>
      <c r="G14" s="46"/>
      <c r="H14" s="57"/>
      <c r="I14" s="62" t="s">
        <v>29</v>
      </c>
      <c r="J14" s="63">
        <f>J29*1.1*0.026%</f>
        <v>0</v>
      </c>
      <c r="K14" s="58"/>
      <c r="L14" s="51"/>
    </row>
    <row r="15" spans="1:13" ht="15" customHeight="1">
      <c r="A15" s="40"/>
      <c r="B15" s="40"/>
      <c r="C15" s="40"/>
      <c r="D15" s="40"/>
      <c r="E15" s="40"/>
      <c r="F15" s="38"/>
      <c r="G15" s="64"/>
      <c r="H15" s="65"/>
      <c r="I15" s="66"/>
      <c r="J15" s="40"/>
      <c r="K15" s="58"/>
      <c r="L15" s="51"/>
    </row>
    <row r="16" spans="1:13" ht="15" customHeight="1">
      <c r="A16" s="32" t="s">
        <v>31</v>
      </c>
      <c r="B16" s="33"/>
      <c r="C16" s="34"/>
      <c r="D16" s="32" t="s">
        <v>32</v>
      </c>
      <c r="E16" s="33"/>
      <c r="F16" s="34"/>
      <c r="G16" s="39"/>
      <c r="H16" s="59" t="s">
        <v>33</v>
      </c>
      <c r="I16" s="67">
        <v>0</v>
      </c>
      <c r="J16" s="37" t="s">
        <v>34</v>
      </c>
      <c r="K16" s="58"/>
      <c r="L16" s="40"/>
    </row>
    <row r="17" spans="1:13" ht="15" customHeight="1">
      <c r="A17" s="40"/>
      <c r="B17" s="40"/>
      <c r="C17" s="40"/>
      <c r="D17" s="42" t="s">
        <v>23</v>
      </c>
      <c r="E17" s="68"/>
      <c r="F17" s="38"/>
      <c r="G17" s="40"/>
      <c r="H17" s="62" t="s">
        <v>35</v>
      </c>
      <c r="I17" s="69">
        <f>K29</f>
        <v>0</v>
      </c>
      <c r="J17" s="37" t="s">
        <v>36</v>
      </c>
      <c r="K17" s="58"/>
      <c r="L17" s="40"/>
    </row>
    <row r="18" spans="1:13" ht="15" customHeight="1">
      <c r="A18" s="662" t="s">
        <v>240</v>
      </c>
      <c r="B18" s="662"/>
      <c r="C18" s="663"/>
      <c r="D18" s="664" t="s">
        <v>37</v>
      </c>
      <c r="E18" s="665"/>
      <c r="F18" s="666"/>
      <c r="G18" s="46"/>
      <c r="H18" s="62" t="s">
        <v>38</v>
      </c>
      <c r="I18" s="69">
        <f>I17*1.1</f>
        <v>0</v>
      </c>
      <c r="J18" s="37" t="s">
        <v>36</v>
      </c>
      <c r="K18" s="58"/>
    </row>
    <row r="19" spans="1:13" ht="15" customHeight="1">
      <c r="A19" s="32" t="s">
        <v>39</v>
      </c>
      <c r="B19" s="33"/>
      <c r="C19" s="34"/>
      <c r="D19" s="32" t="s">
        <v>40</v>
      </c>
      <c r="E19" s="33"/>
      <c r="F19" s="34"/>
      <c r="G19" s="46"/>
      <c r="H19" s="40"/>
      <c r="I19" s="40"/>
      <c r="J19" s="40"/>
      <c r="K19" s="58"/>
    </row>
    <row r="20" spans="1:13" ht="15" customHeight="1">
      <c r="A20" s="40" t="s">
        <v>23</v>
      </c>
      <c r="B20" s="40"/>
      <c r="C20" s="38"/>
      <c r="D20" s="40" t="s">
        <v>23</v>
      </c>
      <c r="E20" s="40"/>
      <c r="F20" s="38"/>
      <c r="G20" s="36" t="s">
        <v>23</v>
      </c>
      <c r="H20" s="40"/>
      <c r="I20" s="40"/>
      <c r="J20" s="40"/>
      <c r="K20" s="58"/>
    </row>
    <row r="21" spans="1:13" ht="15" customHeight="1">
      <c r="A21" s="667"/>
      <c r="B21" s="667"/>
      <c r="C21" s="668"/>
      <c r="D21" s="669"/>
      <c r="E21" s="670"/>
      <c r="F21" s="671"/>
      <c r="G21" s="54"/>
      <c r="H21" s="54"/>
      <c r="I21" s="54"/>
      <c r="J21" s="54"/>
      <c r="K21" s="70"/>
    </row>
    <row r="22" spans="1:13" s="73" customFormat="1" ht="15" customHeight="1">
      <c r="A22" s="658" t="s">
        <v>41</v>
      </c>
      <c r="B22" s="658"/>
      <c r="C22" s="659"/>
      <c r="D22" s="660" t="s">
        <v>42</v>
      </c>
      <c r="E22" s="658"/>
      <c r="F22" s="659"/>
      <c r="G22" s="660" t="s">
        <v>43</v>
      </c>
      <c r="H22" s="659"/>
      <c r="I22" s="71" t="s">
        <v>44</v>
      </c>
      <c r="J22" s="72" t="s">
        <v>45</v>
      </c>
      <c r="K22" s="72"/>
    </row>
    <row r="23" spans="1:13" ht="15" customHeight="1">
      <c r="A23" s="57" t="s">
        <v>23</v>
      </c>
      <c r="B23" s="40"/>
      <c r="C23" s="38"/>
      <c r="D23" s="40"/>
      <c r="E23" s="40"/>
      <c r="F23" s="38"/>
      <c r="G23" s="40"/>
      <c r="H23" s="38"/>
      <c r="I23" s="74"/>
      <c r="J23" s="40"/>
    </row>
    <row r="24" spans="1:13" ht="15" customHeight="1">
      <c r="A24" s="57" t="s">
        <v>23</v>
      </c>
      <c r="B24" s="40"/>
      <c r="C24" s="40"/>
      <c r="D24" s="40"/>
      <c r="E24" s="40"/>
      <c r="F24" s="40"/>
      <c r="G24" s="75" t="s">
        <v>46</v>
      </c>
      <c r="H24" s="40"/>
      <c r="I24" s="40"/>
      <c r="J24" s="40"/>
    </row>
    <row r="25" spans="1:13" ht="15" customHeight="1">
      <c r="A25" s="76"/>
      <c r="B25" s="57"/>
      <c r="C25" s="39"/>
      <c r="D25" s="57"/>
      <c r="E25" s="57"/>
      <c r="F25" s="39"/>
      <c r="G25" s="39"/>
      <c r="H25" s="39"/>
      <c r="I25" s="39"/>
      <c r="J25" s="39"/>
      <c r="K25" s="77"/>
    </row>
    <row r="26" spans="1:13" ht="15" customHeight="1">
      <c r="A26" s="78"/>
      <c r="B26" s="57"/>
      <c r="C26" s="39"/>
      <c r="D26" s="113" t="s">
        <v>80</v>
      </c>
      <c r="E26" s="113"/>
      <c r="F26" s="114"/>
      <c r="G26" s="114" t="s">
        <v>81</v>
      </c>
      <c r="H26" s="114" t="s">
        <v>82</v>
      </c>
      <c r="I26" s="114" t="s">
        <v>83</v>
      </c>
      <c r="J26" s="114" t="s">
        <v>84</v>
      </c>
      <c r="K26" s="81"/>
      <c r="L26" s="44"/>
    </row>
    <row r="27" spans="1:13" ht="15" customHeight="1">
      <c r="A27" s="82"/>
      <c r="B27" s="57"/>
      <c r="C27" s="40"/>
      <c r="D27" s="83"/>
      <c r="E27" s="39"/>
      <c r="F27" s="84"/>
      <c r="G27" s="84"/>
      <c r="H27" s="85"/>
      <c r="I27" s="86"/>
      <c r="J27" s="87">
        <f>G27*I27</f>
        <v>0</v>
      </c>
      <c r="K27" s="81"/>
      <c r="L27" s="88"/>
    </row>
    <row r="28" spans="1:13" s="40" customFormat="1" ht="15" customHeight="1">
      <c r="A28" s="82"/>
      <c r="B28" s="57"/>
      <c r="C28" s="57"/>
      <c r="D28" s="83"/>
      <c r="E28" s="39"/>
      <c r="F28" s="84"/>
      <c r="G28" s="84"/>
      <c r="H28" s="85"/>
      <c r="I28" s="86"/>
      <c r="J28" s="87">
        <f>G28*I28</f>
        <v>0</v>
      </c>
      <c r="K28" s="81"/>
      <c r="L28" s="88"/>
      <c r="M28" s="89"/>
    </row>
    <row r="29" spans="1:13" s="40" customFormat="1" ht="15" customHeight="1" thickBot="1">
      <c r="A29" s="82"/>
      <c r="B29" s="90"/>
      <c r="C29" s="39"/>
      <c r="D29" s="91" t="s">
        <v>47</v>
      </c>
      <c r="E29" s="91"/>
      <c r="F29" s="92"/>
      <c r="G29" s="93"/>
      <c r="H29" s="94"/>
      <c r="I29" s="95"/>
      <c r="J29" s="96">
        <f>SUM(J27:J28)</f>
        <v>0</v>
      </c>
      <c r="K29" s="88">
        <f>SUM(K27:K28)</f>
        <v>0</v>
      </c>
      <c r="L29" s="88"/>
    </row>
    <row r="30" spans="1:13" s="40" customFormat="1" ht="15" customHeight="1" thickTop="1">
      <c r="A30" s="40" t="s">
        <v>85</v>
      </c>
      <c r="B30" s="90"/>
      <c r="C30" s="57"/>
      <c r="D30" s="57" t="s">
        <v>86</v>
      </c>
      <c r="E30" s="57"/>
      <c r="F30" s="57" t="s">
        <v>87</v>
      </c>
      <c r="G30" s="90"/>
      <c r="H30" s="97"/>
      <c r="I30" s="98"/>
      <c r="J30" s="99"/>
      <c r="K30" s="100"/>
      <c r="L30" s="88"/>
    </row>
    <row r="31" spans="1:13" s="40" customFormat="1" ht="99.95" customHeight="1">
      <c r="A31" s="695"/>
      <c r="B31" s="695"/>
      <c r="C31" s="695"/>
      <c r="D31" s="696"/>
      <c r="E31" s="696"/>
      <c r="F31" s="695"/>
      <c r="G31" s="695"/>
      <c r="H31" s="695"/>
      <c r="I31" s="695"/>
      <c r="J31" s="695"/>
      <c r="K31" s="695"/>
      <c r="L31" s="88"/>
    </row>
    <row r="32" spans="1:13" ht="15" customHeight="1">
      <c r="B32" s="110"/>
      <c r="C32" s="100"/>
      <c r="D32" s="110"/>
      <c r="E32" s="110"/>
      <c r="F32" s="110"/>
      <c r="G32" s="110"/>
      <c r="H32" s="110"/>
      <c r="I32" s="110"/>
      <c r="J32" s="110"/>
      <c r="K32" s="110"/>
    </row>
    <row r="33" spans="1:11" ht="15" customHeight="1">
      <c r="B33" s="110"/>
      <c r="C33" s="100"/>
      <c r="D33" s="110"/>
      <c r="E33" s="110"/>
      <c r="F33" s="110"/>
      <c r="G33" s="110"/>
      <c r="H33" s="110"/>
      <c r="I33" s="110"/>
      <c r="J33" s="110"/>
      <c r="K33" s="110"/>
    </row>
    <row r="34" spans="1:11" ht="15" customHeight="1">
      <c r="B34" s="110"/>
      <c r="C34" s="100"/>
      <c r="D34" s="110"/>
      <c r="E34" s="110"/>
      <c r="F34" s="110"/>
      <c r="G34" s="110"/>
      <c r="H34" s="110"/>
      <c r="I34" s="110"/>
      <c r="J34" s="110"/>
      <c r="K34" s="110"/>
    </row>
    <row r="35" spans="1:11" ht="15" customHeight="1">
      <c r="B35" s="110"/>
      <c r="C35" s="100"/>
      <c r="D35" s="110"/>
      <c r="E35" s="110"/>
      <c r="F35" s="110"/>
      <c r="G35" s="110"/>
      <c r="H35" s="110"/>
      <c r="I35" s="110"/>
      <c r="J35" s="110"/>
      <c r="K35" s="110"/>
    </row>
    <row r="36" spans="1:11" ht="15" customHeight="1">
      <c r="B36" s="110"/>
      <c r="C36" s="100"/>
      <c r="D36" s="110"/>
      <c r="E36" s="110"/>
      <c r="F36" s="110"/>
      <c r="G36" s="110"/>
      <c r="H36" s="110"/>
      <c r="I36" s="110"/>
      <c r="J36" s="110"/>
      <c r="K36" s="110"/>
    </row>
    <row r="37" spans="1:11" ht="15" customHeight="1">
      <c r="A37" s="111" t="s">
        <v>88</v>
      </c>
    </row>
    <row r="38" spans="1:11" ht="15" customHeight="1">
      <c r="A38" s="111" t="s">
        <v>89</v>
      </c>
      <c r="H38" s="112" t="s">
        <v>90</v>
      </c>
      <c r="I38" s="54"/>
      <c r="J38" s="54"/>
      <c r="K38" s="54"/>
    </row>
  </sheetData>
  <mergeCells count="11">
    <mergeCell ref="A22:C22"/>
    <mergeCell ref="D22:F22"/>
    <mergeCell ref="G22:H22"/>
    <mergeCell ref="A31:C31"/>
    <mergeCell ref="D31:E31"/>
    <mergeCell ref="F31:K31"/>
    <mergeCell ref="A1:K1"/>
    <mergeCell ref="A18:C18"/>
    <mergeCell ref="D18:F18"/>
    <mergeCell ref="A21:C21"/>
    <mergeCell ref="D21:F21"/>
  </mergeCells>
  <phoneticPr fontId="3" type="noConversion"/>
  <printOptions horizontalCentered="1"/>
  <pageMargins left="0.15748031496062992" right="0.15748031496062992" top="0.70866141732283472" bottom="0.43307086614173229" header="0.51181102362204722" footer="0.23622047244094491"/>
  <pageSetup paperSize="9" orientation="portrait" r:id="rId1"/>
  <headerFooter>
    <oddFooter>&amp;C&amp;P/&amp;N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50"/>
    <pageSetUpPr fitToPage="1"/>
  </sheetPr>
  <dimension ref="A1:M38"/>
  <sheetViews>
    <sheetView zoomScaleNormal="100" workbookViewId="0">
      <selection activeCell="I18" sqref="I18"/>
    </sheetView>
  </sheetViews>
  <sheetFormatPr defaultRowHeight="15" customHeight="1"/>
  <cols>
    <col min="1" max="4" width="7.77734375" style="36" customWidth="1"/>
    <col min="5" max="5" width="6.5546875" style="36" customWidth="1"/>
    <col min="6" max="6" width="7.77734375" style="36" customWidth="1"/>
    <col min="7" max="7" width="8" style="36" customWidth="1"/>
    <col min="8" max="8" width="7.44140625" style="36" customWidth="1"/>
    <col min="9" max="9" width="12.6640625" style="36" customWidth="1"/>
    <col min="10" max="10" width="14.77734375" style="36" customWidth="1"/>
    <col min="11" max="11" width="8.44140625" style="36" customWidth="1"/>
    <col min="12" max="12" width="12" style="36" customWidth="1"/>
    <col min="13" max="13" width="8.5546875" style="36" bestFit="1" customWidth="1"/>
    <col min="14" max="16384" width="8.88671875" style="36"/>
  </cols>
  <sheetData>
    <row r="1" spans="1:13" s="31" customFormat="1" ht="20.25">
      <c r="A1" s="661" t="s">
        <v>13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30"/>
    </row>
    <row r="2" spans="1:13" ht="15" customHeight="1">
      <c r="A2" s="32" t="s">
        <v>14</v>
      </c>
      <c r="B2" s="33"/>
      <c r="C2" s="33"/>
      <c r="D2" s="33"/>
      <c r="E2" s="33"/>
      <c r="F2" s="34"/>
      <c r="G2" s="35" t="s">
        <v>15</v>
      </c>
      <c r="H2" s="33"/>
      <c r="I2" s="33"/>
      <c r="J2" s="33"/>
      <c r="K2" s="33"/>
    </row>
    <row r="3" spans="1:13" ht="15" customHeight="1">
      <c r="A3" s="37" t="s">
        <v>16</v>
      </c>
      <c r="B3" s="37"/>
      <c r="C3" s="37"/>
      <c r="D3" s="37"/>
      <c r="E3" s="37"/>
      <c r="F3" s="38"/>
      <c r="G3" s="39"/>
      <c r="H3" s="40"/>
      <c r="I3" s="40"/>
      <c r="J3" s="39"/>
      <c r="K3" s="41"/>
    </row>
    <row r="4" spans="1:13" ht="15" customHeight="1">
      <c r="A4" s="40" t="s">
        <v>17</v>
      </c>
      <c r="B4" s="40"/>
      <c r="C4" s="40"/>
      <c r="D4" s="40"/>
      <c r="E4" s="40"/>
      <c r="F4" s="38"/>
      <c r="G4" s="42"/>
      <c r="H4" s="40"/>
      <c r="I4" s="40"/>
      <c r="J4" s="43"/>
      <c r="K4" s="43"/>
    </row>
    <row r="5" spans="1:13" ht="15" customHeight="1">
      <c r="A5" s="40" t="s">
        <v>19</v>
      </c>
      <c r="B5" s="40"/>
      <c r="C5" s="40"/>
      <c r="D5" s="40"/>
      <c r="E5" s="40"/>
      <c r="F5" s="38"/>
      <c r="G5" s="35" t="s">
        <v>20</v>
      </c>
      <c r="H5" s="33"/>
      <c r="I5" s="33"/>
      <c r="J5" s="33"/>
      <c r="K5" s="40"/>
    </row>
    <row r="6" spans="1:13" ht="15" customHeight="1">
      <c r="A6" s="44" t="s">
        <v>21</v>
      </c>
      <c r="B6" s="44"/>
      <c r="C6" s="44"/>
      <c r="D6" s="44"/>
      <c r="E6" s="44"/>
      <c r="F6" s="38"/>
      <c r="G6" s="39"/>
      <c r="H6" s="39"/>
      <c r="I6" s="39"/>
      <c r="J6" s="39"/>
      <c r="K6" s="45"/>
    </row>
    <row r="7" spans="1:13" ht="15" customHeight="1">
      <c r="A7" s="32" t="s">
        <v>22</v>
      </c>
      <c r="B7" s="33"/>
      <c r="C7" s="33"/>
      <c r="D7" s="33"/>
      <c r="E7" s="33"/>
      <c r="F7" s="34"/>
      <c r="G7" s="46"/>
      <c r="H7" s="37"/>
      <c r="I7" s="37"/>
      <c r="J7" s="47" t="s">
        <v>23</v>
      </c>
      <c r="K7" s="48"/>
      <c r="L7" s="40"/>
    </row>
    <row r="8" spans="1:13" ht="15" customHeight="1">
      <c r="A8" s="584" t="s">
        <v>257</v>
      </c>
      <c r="B8" s="584"/>
      <c r="C8" s="584"/>
      <c r="D8" s="580"/>
      <c r="E8" s="580"/>
      <c r="F8" s="583"/>
      <c r="G8" s="35" t="s">
        <v>24</v>
      </c>
      <c r="H8" s="33"/>
      <c r="I8" s="33"/>
      <c r="J8" s="33"/>
      <c r="K8" s="49"/>
      <c r="L8" s="40"/>
    </row>
    <row r="9" spans="1:13" ht="15" customHeight="1">
      <c r="A9" s="585" t="s">
        <v>258</v>
      </c>
      <c r="B9" s="585"/>
      <c r="C9" s="585"/>
      <c r="D9" s="585"/>
      <c r="E9" s="580"/>
      <c r="F9" s="583"/>
      <c r="G9" s="46" t="s">
        <v>23</v>
      </c>
      <c r="H9" s="40"/>
      <c r="I9" s="40"/>
      <c r="J9" s="40"/>
      <c r="K9" s="48"/>
      <c r="L9" s="51"/>
      <c r="M9" s="52"/>
    </row>
    <row r="10" spans="1:13" ht="15" customHeight="1">
      <c r="A10" s="585" t="s">
        <v>259</v>
      </c>
      <c r="B10" s="585"/>
      <c r="C10" s="585"/>
      <c r="D10" s="580"/>
      <c r="E10" s="580"/>
      <c r="F10" s="583"/>
      <c r="G10" s="53" t="s">
        <v>23</v>
      </c>
      <c r="H10" s="54"/>
      <c r="I10" s="54"/>
      <c r="J10" s="54"/>
      <c r="K10" s="48"/>
      <c r="L10" s="51"/>
      <c r="M10" s="55"/>
    </row>
    <row r="11" spans="1:13" ht="15" customHeight="1">
      <c r="A11" s="581" t="s">
        <v>260</v>
      </c>
      <c r="B11" s="588"/>
      <c r="C11" s="588"/>
      <c r="D11" s="588"/>
      <c r="E11" s="588"/>
      <c r="F11" s="583"/>
      <c r="G11" s="35" t="s">
        <v>25</v>
      </c>
      <c r="H11" s="33"/>
      <c r="I11" s="33"/>
      <c r="J11" s="33"/>
      <c r="K11" s="56"/>
      <c r="M11" s="55"/>
    </row>
    <row r="12" spans="1:13" ht="15" customHeight="1">
      <c r="A12" s="590" t="s">
        <v>261</v>
      </c>
      <c r="B12" s="589"/>
      <c r="C12" s="586"/>
      <c r="D12" s="586"/>
      <c r="E12" s="586"/>
      <c r="F12" s="587"/>
      <c r="G12" s="39"/>
      <c r="H12" s="57"/>
      <c r="I12" s="40"/>
      <c r="J12" s="40"/>
      <c r="K12" s="58"/>
      <c r="L12" s="40"/>
    </row>
    <row r="13" spans="1:13" ht="15" customHeight="1">
      <c r="A13" s="582" t="s">
        <v>26</v>
      </c>
      <c r="B13" s="580"/>
      <c r="C13" s="580"/>
      <c r="D13" s="580"/>
      <c r="E13" s="580"/>
      <c r="F13" s="583"/>
      <c r="G13" s="39"/>
      <c r="H13" s="57"/>
      <c r="I13" s="59" t="s">
        <v>27</v>
      </c>
      <c r="J13" s="60">
        <f>1500/324106.53*J29</f>
        <v>0</v>
      </c>
      <c r="K13" s="58"/>
      <c r="L13" s="40"/>
    </row>
    <row r="14" spans="1:13" ht="15" customHeight="1">
      <c r="A14" s="61" t="s">
        <v>28</v>
      </c>
      <c r="B14" s="40"/>
      <c r="C14" s="40"/>
      <c r="D14" s="40"/>
      <c r="E14" s="40"/>
      <c r="F14" s="38"/>
      <c r="G14" s="46"/>
      <c r="H14" s="57"/>
      <c r="I14" s="62" t="s">
        <v>29</v>
      </c>
      <c r="J14" s="63">
        <f>J29*1.1*0.026%</f>
        <v>0</v>
      </c>
      <c r="K14" s="58"/>
      <c r="L14" s="51"/>
    </row>
    <row r="15" spans="1:13" ht="15" customHeight="1">
      <c r="A15" s="40"/>
      <c r="B15" s="40"/>
      <c r="C15" s="40"/>
      <c r="D15" s="40"/>
      <c r="E15" s="40"/>
      <c r="F15" s="38"/>
      <c r="G15" s="64"/>
      <c r="H15" s="65"/>
      <c r="I15" s="66"/>
      <c r="J15" s="40"/>
      <c r="K15" s="58"/>
      <c r="L15" s="51"/>
    </row>
    <row r="16" spans="1:13" ht="15" customHeight="1">
      <c r="A16" s="32" t="s">
        <v>31</v>
      </c>
      <c r="B16" s="33"/>
      <c r="C16" s="34"/>
      <c r="D16" s="32" t="s">
        <v>32</v>
      </c>
      <c r="E16" s="33"/>
      <c r="F16" s="34"/>
      <c r="G16" s="39"/>
      <c r="H16" s="59" t="s">
        <v>33</v>
      </c>
      <c r="I16" s="67">
        <v>0</v>
      </c>
      <c r="J16" s="37" t="s">
        <v>34</v>
      </c>
      <c r="K16" s="58"/>
      <c r="L16" s="40"/>
    </row>
    <row r="17" spans="1:13" ht="15" customHeight="1">
      <c r="A17" s="40"/>
      <c r="B17" s="40"/>
      <c r="C17" s="40"/>
      <c r="D17" s="42" t="s">
        <v>23</v>
      </c>
      <c r="E17" s="68"/>
      <c r="F17" s="38"/>
      <c r="G17" s="40"/>
      <c r="H17" s="62" t="s">
        <v>35</v>
      </c>
      <c r="I17" s="69">
        <f>K29</f>
        <v>0</v>
      </c>
      <c r="J17" s="37" t="s">
        <v>36</v>
      </c>
      <c r="K17" s="58"/>
      <c r="L17" s="40"/>
    </row>
    <row r="18" spans="1:13" ht="15" customHeight="1">
      <c r="A18" s="662" t="s">
        <v>240</v>
      </c>
      <c r="B18" s="662"/>
      <c r="C18" s="663"/>
      <c r="D18" s="664" t="s">
        <v>37</v>
      </c>
      <c r="E18" s="665"/>
      <c r="F18" s="666"/>
      <c r="G18" s="46"/>
      <c r="H18" s="62" t="s">
        <v>38</v>
      </c>
      <c r="I18" s="69">
        <f>I17*1.1</f>
        <v>0</v>
      </c>
      <c r="J18" s="37" t="s">
        <v>36</v>
      </c>
      <c r="K18" s="58"/>
    </row>
    <row r="19" spans="1:13" ht="15" customHeight="1">
      <c r="A19" s="32" t="s">
        <v>39</v>
      </c>
      <c r="B19" s="33"/>
      <c r="C19" s="34"/>
      <c r="D19" s="32" t="s">
        <v>40</v>
      </c>
      <c r="E19" s="33"/>
      <c r="F19" s="34"/>
      <c r="G19" s="46"/>
      <c r="H19" s="40"/>
      <c r="I19" s="40"/>
      <c r="J19" s="40"/>
      <c r="K19" s="58"/>
    </row>
    <row r="20" spans="1:13" ht="15" customHeight="1">
      <c r="A20" s="40" t="s">
        <v>23</v>
      </c>
      <c r="B20" s="40"/>
      <c r="C20" s="38"/>
      <c r="D20" s="40" t="s">
        <v>23</v>
      </c>
      <c r="E20" s="40"/>
      <c r="F20" s="38"/>
      <c r="G20" s="36" t="s">
        <v>23</v>
      </c>
      <c r="H20" s="40"/>
      <c r="I20" s="40"/>
      <c r="J20" s="40"/>
      <c r="K20" s="58"/>
    </row>
    <row r="21" spans="1:13" ht="15" customHeight="1">
      <c r="A21" s="667"/>
      <c r="B21" s="667"/>
      <c r="C21" s="668"/>
      <c r="D21" s="669"/>
      <c r="E21" s="670"/>
      <c r="F21" s="671"/>
      <c r="G21" s="54"/>
      <c r="H21" s="54"/>
      <c r="I21" s="54"/>
      <c r="J21" s="54"/>
      <c r="K21" s="70"/>
    </row>
    <row r="22" spans="1:13" s="73" customFormat="1" ht="15" customHeight="1">
      <c r="A22" s="658" t="s">
        <v>41</v>
      </c>
      <c r="B22" s="658"/>
      <c r="C22" s="659"/>
      <c r="D22" s="660" t="s">
        <v>42</v>
      </c>
      <c r="E22" s="658"/>
      <c r="F22" s="659"/>
      <c r="G22" s="660" t="s">
        <v>43</v>
      </c>
      <c r="H22" s="659"/>
      <c r="I22" s="71" t="s">
        <v>44</v>
      </c>
      <c r="J22" s="72" t="s">
        <v>45</v>
      </c>
      <c r="K22" s="72"/>
    </row>
    <row r="23" spans="1:13" ht="15" customHeight="1">
      <c r="A23" s="57" t="s">
        <v>23</v>
      </c>
      <c r="B23" s="40"/>
      <c r="C23" s="38"/>
      <c r="D23" s="40"/>
      <c r="E23" s="40"/>
      <c r="F23" s="38"/>
      <c r="G23" s="40"/>
      <c r="H23" s="38"/>
      <c r="I23" s="74"/>
      <c r="J23" s="40"/>
    </row>
    <row r="24" spans="1:13" ht="15" customHeight="1">
      <c r="A24" s="57" t="s">
        <v>23</v>
      </c>
      <c r="B24" s="40"/>
      <c r="C24" s="40"/>
      <c r="D24" s="40"/>
      <c r="E24" s="40"/>
      <c r="F24" s="40"/>
      <c r="G24" s="75" t="s">
        <v>46</v>
      </c>
      <c r="H24" s="40"/>
      <c r="I24" s="40"/>
      <c r="J24" s="40"/>
    </row>
    <row r="25" spans="1:13" ht="15" customHeight="1">
      <c r="A25" s="76"/>
      <c r="B25" s="57"/>
      <c r="C25" s="39"/>
      <c r="D25" s="57"/>
      <c r="E25" s="57"/>
      <c r="F25" s="39"/>
      <c r="G25" s="39"/>
      <c r="H25" s="39"/>
      <c r="I25" s="39"/>
      <c r="J25" s="39"/>
      <c r="K25" s="77"/>
    </row>
    <row r="26" spans="1:13" ht="15" customHeight="1">
      <c r="A26" s="78"/>
      <c r="B26" s="57"/>
      <c r="C26" s="39"/>
      <c r="D26" s="113" t="s">
        <v>70</v>
      </c>
      <c r="E26" s="113"/>
      <c r="F26" s="114"/>
      <c r="G26" s="114" t="s">
        <v>71</v>
      </c>
      <c r="H26" s="114" t="s">
        <v>72</v>
      </c>
      <c r="I26" s="114" t="s">
        <v>73</v>
      </c>
      <c r="J26" s="114" t="s">
        <v>74</v>
      </c>
      <c r="K26" s="81"/>
      <c r="L26" s="44"/>
    </row>
    <row r="27" spans="1:13" ht="15" customHeight="1">
      <c r="A27" s="82"/>
      <c r="B27" s="57"/>
      <c r="C27" s="40"/>
      <c r="D27" s="83"/>
      <c r="E27" s="39"/>
      <c r="F27" s="84"/>
      <c r="G27" s="84"/>
      <c r="H27" s="85"/>
      <c r="I27" s="86"/>
      <c r="J27" s="87">
        <f>G27*I27</f>
        <v>0</v>
      </c>
      <c r="K27" s="81"/>
      <c r="L27" s="88"/>
    </row>
    <row r="28" spans="1:13" s="40" customFormat="1" ht="15" customHeight="1">
      <c r="A28" s="82"/>
      <c r="B28" s="57"/>
      <c r="C28" s="57"/>
      <c r="D28" s="83"/>
      <c r="E28" s="39"/>
      <c r="F28" s="84"/>
      <c r="G28" s="84"/>
      <c r="H28" s="85"/>
      <c r="I28" s="86"/>
      <c r="J28" s="87">
        <f>G28*I28</f>
        <v>0</v>
      </c>
      <c r="K28" s="81"/>
      <c r="L28" s="88"/>
      <c r="M28" s="89"/>
    </row>
    <row r="29" spans="1:13" s="40" customFormat="1" ht="15" customHeight="1" thickBot="1">
      <c r="A29" s="82"/>
      <c r="B29" s="90"/>
      <c r="C29" s="39"/>
      <c r="D29" s="91" t="s">
        <v>47</v>
      </c>
      <c r="E29" s="91"/>
      <c r="F29" s="92"/>
      <c r="G29" s="93"/>
      <c r="H29" s="94"/>
      <c r="I29" s="95"/>
      <c r="J29" s="96">
        <f>SUM(J27:J28)</f>
        <v>0</v>
      </c>
      <c r="K29" s="88">
        <f>SUM(K27:K28)</f>
        <v>0</v>
      </c>
      <c r="L29" s="88"/>
    </row>
    <row r="30" spans="1:13" s="40" customFormat="1" ht="15" customHeight="1" thickTop="1">
      <c r="A30" s="40" t="s">
        <v>53</v>
      </c>
      <c r="B30" s="90"/>
      <c r="C30" s="57"/>
      <c r="D30" s="57" t="s">
        <v>54</v>
      </c>
      <c r="E30" s="57"/>
      <c r="F30" s="57" t="s">
        <v>55</v>
      </c>
      <c r="G30" s="90"/>
      <c r="H30" s="97"/>
      <c r="I30" s="98"/>
      <c r="J30" s="99"/>
      <c r="K30" s="100"/>
      <c r="L30" s="88"/>
    </row>
    <row r="31" spans="1:13" s="40" customFormat="1" ht="99.95" customHeight="1">
      <c r="A31" s="695"/>
      <c r="B31" s="695"/>
      <c r="C31" s="695"/>
      <c r="D31" s="696"/>
      <c r="E31" s="696"/>
      <c r="F31" s="695"/>
      <c r="G31" s="695"/>
      <c r="H31" s="695"/>
      <c r="I31" s="695"/>
      <c r="J31" s="695"/>
      <c r="K31" s="695"/>
      <c r="L31" s="88"/>
    </row>
    <row r="32" spans="1:13" ht="15" customHeight="1">
      <c r="B32" s="110"/>
      <c r="C32" s="100"/>
      <c r="D32" s="110"/>
      <c r="E32" s="110"/>
      <c r="F32" s="110"/>
      <c r="G32" s="110"/>
      <c r="H32" s="110"/>
      <c r="I32" s="110"/>
      <c r="J32" s="110"/>
      <c r="K32" s="110"/>
    </row>
    <row r="33" spans="1:11" ht="15" customHeight="1">
      <c r="B33" s="110"/>
      <c r="C33" s="100"/>
      <c r="D33" s="110"/>
      <c r="E33" s="110"/>
      <c r="F33" s="110"/>
      <c r="G33" s="110"/>
      <c r="H33" s="110"/>
      <c r="I33" s="110"/>
      <c r="J33" s="110"/>
      <c r="K33" s="110"/>
    </row>
    <row r="34" spans="1:11" ht="15" customHeight="1">
      <c r="B34" s="110"/>
      <c r="C34" s="100"/>
      <c r="D34" s="110"/>
      <c r="E34" s="110"/>
      <c r="F34" s="110"/>
      <c r="G34" s="110"/>
      <c r="H34" s="110"/>
      <c r="I34" s="110"/>
      <c r="J34" s="110"/>
      <c r="K34" s="110"/>
    </row>
    <row r="35" spans="1:11" ht="15" customHeight="1">
      <c r="B35" s="110"/>
      <c r="C35" s="100"/>
      <c r="D35" s="110"/>
      <c r="E35" s="110"/>
      <c r="F35" s="110"/>
      <c r="G35" s="110"/>
      <c r="H35" s="110"/>
      <c r="I35" s="110"/>
      <c r="J35" s="110"/>
      <c r="K35" s="110"/>
    </row>
    <row r="36" spans="1:11" ht="15" customHeight="1">
      <c r="B36" s="110"/>
      <c r="C36" s="100"/>
      <c r="D36" s="110"/>
      <c r="E36" s="110"/>
      <c r="F36" s="110"/>
      <c r="G36" s="110"/>
      <c r="H36" s="110"/>
      <c r="I36" s="110"/>
      <c r="J36" s="110"/>
      <c r="K36" s="110"/>
    </row>
    <row r="37" spans="1:11" ht="15" customHeight="1">
      <c r="A37" s="111" t="s">
        <v>56</v>
      </c>
    </row>
    <row r="38" spans="1:11" ht="15" customHeight="1">
      <c r="A38" s="111" t="s">
        <v>57</v>
      </c>
      <c r="H38" s="112" t="s">
        <v>58</v>
      </c>
      <c r="I38" s="54"/>
      <c r="J38" s="54"/>
      <c r="K38" s="54"/>
    </row>
  </sheetData>
  <mergeCells count="11">
    <mergeCell ref="A22:C22"/>
    <mergeCell ref="D22:F22"/>
    <mergeCell ref="G22:H22"/>
    <mergeCell ref="A31:C31"/>
    <mergeCell ref="D31:E31"/>
    <mergeCell ref="F31:K31"/>
    <mergeCell ref="A1:K1"/>
    <mergeCell ref="A18:C18"/>
    <mergeCell ref="D18:F18"/>
    <mergeCell ref="A21:C21"/>
    <mergeCell ref="D21:F21"/>
  </mergeCells>
  <phoneticPr fontId="3" type="noConversion"/>
  <printOptions horizontalCentered="1"/>
  <pageMargins left="0.15748031496062992" right="0.15748031496062992" top="0.70866141732283472" bottom="0.43307086614173229" header="0.51181102362204722" footer="0.23622047244094491"/>
  <pageSetup paperSize="9" orientation="portrait" r:id="rId1"/>
  <headerFooter>
    <oddFooter>&amp;C&amp;P/&amp;N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50"/>
    <pageSetUpPr fitToPage="1"/>
  </sheetPr>
  <dimension ref="A1:M38"/>
  <sheetViews>
    <sheetView zoomScaleNormal="100" workbookViewId="0">
      <selection activeCell="A8" sqref="A8:F13"/>
    </sheetView>
  </sheetViews>
  <sheetFormatPr defaultRowHeight="15" customHeight="1"/>
  <cols>
    <col min="1" max="4" width="7.77734375" style="36" customWidth="1"/>
    <col min="5" max="5" width="6.5546875" style="36" customWidth="1"/>
    <col min="6" max="6" width="7.77734375" style="36" customWidth="1"/>
    <col min="7" max="7" width="8" style="36" customWidth="1"/>
    <col min="8" max="8" width="7.44140625" style="36" customWidth="1"/>
    <col min="9" max="9" width="12.6640625" style="36" customWidth="1"/>
    <col min="10" max="10" width="14.77734375" style="36" customWidth="1"/>
    <col min="11" max="11" width="8.44140625" style="36" customWidth="1"/>
    <col min="12" max="12" width="12" style="36" customWidth="1"/>
    <col min="13" max="13" width="8.5546875" style="36" bestFit="1" customWidth="1"/>
    <col min="14" max="16384" width="8.88671875" style="36"/>
  </cols>
  <sheetData>
    <row r="1" spans="1:13" s="31" customFormat="1" ht="20.25">
      <c r="A1" s="661" t="s">
        <v>13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30"/>
    </row>
    <row r="2" spans="1:13" ht="15" customHeight="1">
      <c r="A2" s="32" t="s">
        <v>14</v>
      </c>
      <c r="B2" s="33"/>
      <c r="C2" s="33"/>
      <c r="D2" s="33"/>
      <c r="E2" s="33"/>
      <c r="F2" s="34"/>
      <c r="G2" s="35" t="s">
        <v>15</v>
      </c>
      <c r="H2" s="33"/>
      <c r="I2" s="33"/>
      <c r="J2" s="33"/>
      <c r="K2" s="33"/>
    </row>
    <row r="3" spans="1:13" ht="15" customHeight="1">
      <c r="A3" s="37" t="s">
        <v>16</v>
      </c>
      <c r="B3" s="37"/>
      <c r="C3" s="37"/>
      <c r="D3" s="37"/>
      <c r="E3" s="37"/>
      <c r="F3" s="38"/>
      <c r="G3" s="39"/>
      <c r="H3" s="40"/>
      <c r="I3" s="40"/>
      <c r="J3" s="39"/>
      <c r="K3" s="41"/>
    </row>
    <row r="4" spans="1:13" ht="15" customHeight="1">
      <c r="A4" s="40" t="s">
        <v>17</v>
      </c>
      <c r="B4" s="40"/>
      <c r="C4" s="40"/>
      <c r="D4" s="40"/>
      <c r="E4" s="40"/>
      <c r="F4" s="38"/>
      <c r="G4" s="42"/>
      <c r="H4" s="40"/>
      <c r="I4" s="40"/>
      <c r="J4" s="43"/>
      <c r="K4" s="43"/>
    </row>
    <row r="5" spans="1:13" ht="15" customHeight="1">
      <c r="A5" s="40" t="s">
        <v>19</v>
      </c>
      <c r="B5" s="40"/>
      <c r="C5" s="40"/>
      <c r="D5" s="40"/>
      <c r="E5" s="40"/>
      <c r="F5" s="38"/>
      <c r="G5" s="35" t="s">
        <v>20</v>
      </c>
      <c r="H5" s="33"/>
      <c r="I5" s="33"/>
      <c r="J5" s="33"/>
      <c r="K5" s="40"/>
    </row>
    <row r="6" spans="1:13" ht="15" customHeight="1">
      <c r="A6" s="44" t="s">
        <v>21</v>
      </c>
      <c r="B6" s="44"/>
      <c r="C6" s="44"/>
      <c r="D6" s="44"/>
      <c r="E6" s="44"/>
      <c r="F6" s="38"/>
      <c r="G6" s="39"/>
      <c r="H6" s="39"/>
      <c r="I6" s="39"/>
      <c r="J6" s="39"/>
      <c r="K6" s="45"/>
    </row>
    <row r="7" spans="1:13" ht="15" customHeight="1">
      <c r="A7" s="32" t="s">
        <v>22</v>
      </c>
      <c r="B7" s="33"/>
      <c r="C7" s="33"/>
      <c r="D7" s="33"/>
      <c r="E7" s="33"/>
      <c r="F7" s="34"/>
      <c r="G7" s="46"/>
      <c r="H7" s="37"/>
      <c r="I7" s="37"/>
      <c r="J7" s="47" t="s">
        <v>23</v>
      </c>
      <c r="K7" s="48"/>
      <c r="L7" s="40"/>
    </row>
    <row r="8" spans="1:13" ht="15" customHeight="1">
      <c r="A8" s="595" t="s">
        <v>257</v>
      </c>
      <c r="B8" s="595"/>
      <c r="C8" s="595"/>
      <c r="D8" s="591"/>
      <c r="E8" s="591"/>
      <c r="F8" s="594"/>
      <c r="G8" s="35" t="s">
        <v>24</v>
      </c>
      <c r="H8" s="33"/>
      <c r="I8" s="33"/>
      <c r="J8" s="33"/>
      <c r="K8" s="49"/>
      <c r="L8" s="40"/>
    </row>
    <row r="9" spans="1:13" ht="15" customHeight="1">
      <c r="A9" s="596" t="s">
        <v>258</v>
      </c>
      <c r="B9" s="596"/>
      <c r="C9" s="596"/>
      <c r="D9" s="596"/>
      <c r="E9" s="591"/>
      <c r="F9" s="594"/>
      <c r="G9" s="46" t="s">
        <v>23</v>
      </c>
      <c r="H9" s="40"/>
      <c r="I9" s="40"/>
      <c r="J9" s="40"/>
      <c r="K9" s="48"/>
      <c r="L9" s="51"/>
      <c r="M9" s="52"/>
    </row>
    <row r="10" spans="1:13" ht="15" customHeight="1">
      <c r="A10" s="596" t="s">
        <v>259</v>
      </c>
      <c r="B10" s="596"/>
      <c r="C10" s="596"/>
      <c r="D10" s="591"/>
      <c r="E10" s="591"/>
      <c r="F10" s="594"/>
      <c r="G10" s="53" t="s">
        <v>23</v>
      </c>
      <c r="H10" s="54"/>
      <c r="I10" s="54"/>
      <c r="J10" s="54"/>
      <c r="K10" s="48"/>
      <c r="L10" s="51"/>
      <c r="M10" s="55"/>
    </row>
    <row r="11" spans="1:13" ht="15" customHeight="1">
      <c r="A11" s="592" t="s">
        <v>260</v>
      </c>
      <c r="B11" s="599"/>
      <c r="C11" s="599"/>
      <c r="D11" s="599"/>
      <c r="E11" s="599"/>
      <c r="F11" s="594"/>
      <c r="G11" s="35" t="s">
        <v>25</v>
      </c>
      <c r="H11" s="33"/>
      <c r="I11" s="33"/>
      <c r="J11" s="33"/>
      <c r="K11" s="56"/>
      <c r="M11" s="55"/>
    </row>
    <row r="12" spans="1:13" ht="15" customHeight="1">
      <c r="A12" s="601" t="s">
        <v>261</v>
      </c>
      <c r="B12" s="600"/>
      <c r="C12" s="597"/>
      <c r="D12" s="597"/>
      <c r="E12" s="597"/>
      <c r="F12" s="598"/>
      <c r="G12" s="39"/>
      <c r="H12" s="57"/>
      <c r="I12" s="40"/>
      <c r="J12" s="40"/>
      <c r="K12" s="58"/>
      <c r="L12" s="40"/>
    </row>
    <row r="13" spans="1:13" ht="15" customHeight="1">
      <c r="A13" s="593" t="s">
        <v>26</v>
      </c>
      <c r="B13" s="591"/>
      <c r="C13" s="591"/>
      <c r="D13" s="591"/>
      <c r="E13" s="591"/>
      <c r="F13" s="594"/>
      <c r="G13" s="39"/>
      <c r="H13" s="57"/>
      <c r="I13" s="59" t="s">
        <v>27</v>
      </c>
      <c r="J13" s="60">
        <f>1500/324106.53*J29</f>
        <v>0</v>
      </c>
      <c r="K13" s="58"/>
      <c r="L13" s="40"/>
    </row>
    <row r="14" spans="1:13" ht="15" customHeight="1">
      <c r="A14" s="61" t="s">
        <v>28</v>
      </c>
      <c r="B14" s="40"/>
      <c r="C14" s="40"/>
      <c r="D14" s="40"/>
      <c r="E14" s="40"/>
      <c r="F14" s="38"/>
      <c r="G14" s="46"/>
      <c r="H14" s="57"/>
      <c r="I14" s="62" t="s">
        <v>29</v>
      </c>
      <c r="J14" s="63">
        <f>J29*1.1*0.026%</f>
        <v>0</v>
      </c>
      <c r="K14" s="58"/>
      <c r="L14" s="51"/>
    </row>
    <row r="15" spans="1:13" ht="15" customHeight="1">
      <c r="A15" s="40"/>
      <c r="B15" s="40"/>
      <c r="C15" s="40"/>
      <c r="D15" s="40"/>
      <c r="E15" s="40"/>
      <c r="F15" s="38"/>
      <c r="G15" s="64"/>
      <c r="H15" s="65"/>
      <c r="I15" s="66"/>
      <c r="J15" s="40"/>
      <c r="K15" s="58"/>
      <c r="L15" s="51"/>
    </row>
    <row r="16" spans="1:13" ht="15" customHeight="1">
      <c r="A16" s="32" t="s">
        <v>31</v>
      </c>
      <c r="B16" s="33"/>
      <c r="C16" s="34"/>
      <c r="D16" s="32" t="s">
        <v>32</v>
      </c>
      <c r="E16" s="33"/>
      <c r="F16" s="34"/>
      <c r="G16" s="39"/>
      <c r="H16" s="59" t="s">
        <v>33</v>
      </c>
      <c r="I16" s="67">
        <v>0</v>
      </c>
      <c r="J16" s="37" t="s">
        <v>34</v>
      </c>
      <c r="K16" s="58"/>
      <c r="L16" s="40"/>
    </row>
    <row r="17" spans="1:13" ht="15" customHeight="1">
      <c r="A17" s="40"/>
      <c r="B17" s="40"/>
      <c r="C17" s="40"/>
      <c r="D17" s="42" t="s">
        <v>23</v>
      </c>
      <c r="E17" s="68"/>
      <c r="F17" s="38"/>
      <c r="G17" s="40"/>
      <c r="H17" s="62" t="s">
        <v>35</v>
      </c>
      <c r="I17" s="69">
        <f>K29</f>
        <v>0</v>
      </c>
      <c r="J17" s="37" t="s">
        <v>36</v>
      </c>
      <c r="K17" s="58"/>
      <c r="L17" s="40"/>
    </row>
    <row r="18" spans="1:13" ht="15" customHeight="1">
      <c r="A18" s="662" t="s">
        <v>240</v>
      </c>
      <c r="B18" s="662"/>
      <c r="C18" s="663"/>
      <c r="D18" s="664" t="s">
        <v>37</v>
      </c>
      <c r="E18" s="665"/>
      <c r="F18" s="666"/>
      <c r="G18" s="46"/>
      <c r="H18" s="62" t="s">
        <v>38</v>
      </c>
      <c r="I18" s="69">
        <f>I17*1.1</f>
        <v>0</v>
      </c>
      <c r="J18" s="37" t="s">
        <v>36</v>
      </c>
      <c r="K18" s="58"/>
    </row>
    <row r="19" spans="1:13" ht="15" customHeight="1">
      <c r="A19" s="32" t="s">
        <v>39</v>
      </c>
      <c r="B19" s="33"/>
      <c r="C19" s="34"/>
      <c r="D19" s="32" t="s">
        <v>40</v>
      </c>
      <c r="E19" s="33"/>
      <c r="F19" s="34"/>
      <c r="G19" s="46"/>
      <c r="H19" s="40"/>
      <c r="I19" s="40"/>
      <c r="J19" s="40"/>
      <c r="K19" s="58"/>
    </row>
    <row r="20" spans="1:13" ht="15" customHeight="1">
      <c r="A20" s="40" t="s">
        <v>23</v>
      </c>
      <c r="B20" s="40"/>
      <c r="C20" s="38"/>
      <c r="D20" s="40" t="s">
        <v>23</v>
      </c>
      <c r="E20" s="40"/>
      <c r="F20" s="38"/>
      <c r="G20" s="36" t="s">
        <v>23</v>
      </c>
      <c r="H20" s="40"/>
      <c r="I20" s="40"/>
      <c r="J20" s="40"/>
      <c r="K20" s="58"/>
    </row>
    <row r="21" spans="1:13" ht="15" customHeight="1">
      <c r="A21" s="667"/>
      <c r="B21" s="667"/>
      <c r="C21" s="668"/>
      <c r="D21" s="669"/>
      <c r="E21" s="670"/>
      <c r="F21" s="671"/>
      <c r="G21" s="54"/>
      <c r="H21" s="54"/>
      <c r="I21" s="54"/>
      <c r="J21" s="54"/>
      <c r="K21" s="70"/>
    </row>
    <row r="22" spans="1:13" s="73" customFormat="1" ht="15" customHeight="1">
      <c r="A22" s="658" t="s">
        <v>41</v>
      </c>
      <c r="B22" s="658"/>
      <c r="C22" s="659"/>
      <c r="D22" s="660" t="s">
        <v>42</v>
      </c>
      <c r="E22" s="658"/>
      <c r="F22" s="659"/>
      <c r="G22" s="660" t="s">
        <v>43</v>
      </c>
      <c r="H22" s="659"/>
      <c r="I22" s="71" t="s">
        <v>44</v>
      </c>
      <c r="J22" s="72" t="s">
        <v>45</v>
      </c>
      <c r="K22" s="72"/>
    </row>
    <row r="23" spans="1:13" ht="15" customHeight="1">
      <c r="A23" s="57" t="s">
        <v>23</v>
      </c>
      <c r="B23" s="40"/>
      <c r="C23" s="38"/>
      <c r="D23" s="40"/>
      <c r="E23" s="40"/>
      <c r="F23" s="38"/>
      <c r="G23" s="40"/>
      <c r="H23" s="38"/>
      <c r="I23" s="74"/>
      <c r="J23" s="40"/>
    </row>
    <row r="24" spans="1:13" ht="15" customHeight="1">
      <c r="A24" s="57" t="s">
        <v>23</v>
      </c>
      <c r="B24" s="40"/>
      <c r="C24" s="40"/>
      <c r="D24" s="40"/>
      <c r="E24" s="40"/>
      <c r="F24" s="40"/>
      <c r="G24" s="75" t="s">
        <v>46</v>
      </c>
      <c r="H24" s="40"/>
      <c r="I24" s="40"/>
      <c r="J24" s="40"/>
    </row>
    <row r="25" spans="1:13" ht="15" customHeight="1">
      <c r="A25" s="76"/>
      <c r="B25" s="57"/>
      <c r="C25" s="39"/>
      <c r="D25" s="57"/>
      <c r="E25" s="57"/>
      <c r="F25" s="39"/>
      <c r="G25" s="39"/>
      <c r="H25" s="39"/>
      <c r="I25" s="39"/>
      <c r="J25" s="39"/>
      <c r="K25" s="77"/>
    </row>
    <row r="26" spans="1:13" ht="15" customHeight="1">
      <c r="A26" s="78"/>
      <c r="B26" s="57"/>
      <c r="C26" s="39"/>
      <c r="D26" s="113" t="s">
        <v>70</v>
      </c>
      <c r="E26" s="113"/>
      <c r="F26" s="114"/>
      <c r="G26" s="114" t="s">
        <v>71</v>
      </c>
      <c r="H26" s="114" t="s">
        <v>72</v>
      </c>
      <c r="I26" s="114" t="s">
        <v>73</v>
      </c>
      <c r="J26" s="114" t="s">
        <v>74</v>
      </c>
      <c r="K26" s="81"/>
      <c r="L26" s="44"/>
    </row>
    <row r="27" spans="1:13" ht="15" customHeight="1">
      <c r="A27" s="82"/>
      <c r="B27" s="57"/>
      <c r="C27" s="40"/>
      <c r="D27" s="83"/>
      <c r="E27" s="39"/>
      <c r="F27" s="84"/>
      <c r="G27" s="84"/>
      <c r="H27" s="85"/>
      <c r="I27" s="86"/>
      <c r="J27" s="87">
        <f>G27*I27</f>
        <v>0</v>
      </c>
      <c r="K27" s="81"/>
      <c r="L27" s="88"/>
    </row>
    <row r="28" spans="1:13" s="40" customFormat="1" ht="15" customHeight="1">
      <c r="A28" s="82"/>
      <c r="B28" s="57"/>
      <c r="C28" s="57"/>
      <c r="D28" s="83"/>
      <c r="E28" s="39"/>
      <c r="F28" s="84"/>
      <c r="G28" s="84"/>
      <c r="H28" s="85"/>
      <c r="I28" s="86"/>
      <c r="J28" s="87">
        <f>G28*I28</f>
        <v>0</v>
      </c>
      <c r="K28" s="81"/>
      <c r="L28" s="88"/>
      <c r="M28" s="89"/>
    </row>
    <row r="29" spans="1:13" s="40" customFormat="1" ht="15" customHeight="1" thickBot="1">
      <c r="A29" s="82"/>
      <c r="B29" s="90"/>
      <c r="C29" s="39"/>
      <c r="D29" s="91" t="s">
        <v>47</v>
      </c>
      <c r="E29" s="91"/>
      <c r="F29" s="92"/>
      <c r="G29" s="93"/>
      <c r="H29" s="94"/>
      <c r="I29" s="95"/>
      <c r="J29" s="96">
        <f>SUM(J27:J28)</f>
        <v>0</v>
      </c>
      <c r="K29" s="88">
        <f>SUM(K27:K28)</f>
        <v>0</v>
      </c>
      <c r="L29" s="88"/>
    </row>
    <row r="30" spans="1:13" s="40" customFormat="1" ht="15" customHeight="1" thickTop="1">
      <c r="A30" s="40" t="s">
        <v>53</v>
      </c>
      <c r="B30" s="90"/>
      <c r="C30" s="57"/>
      <c r="D30" s="57" t="s">
        <v>54</v>
      </c>
      <c r="E30" s="57"/>
      <c r="F30" s="57" t="s">
        <v>55</v>
      </c>
      <c r="G30" s="90"/>
      <c r="H30" s="97"/>
      <c r="I30" s="98"/>
      <c r="J30" s="99"/>
      <c r="K30" s="100"/>
      <c r="L30" s="88"/>
    </row>
    <row r="31" spans="1:13" s="40" customFormat="1" ht="99.95" customHeight="1">
      <c r="A31" s="695"/>
      <c r="B31" s="695"/>
      <c r="C31" s="695"/>
      <c r="D31" s="696"/>
      <c r="E31" s="696"/>
      <c r="F31" s="695"/>
      <c r="G31" s="695"/>
      <c r="H31" s="695"/>
      <c r="I31" s="695"/>
      <c r="J31" s="695"/>
      <c r="K31" s="695"/>
      <c r="L31" s="88"/>
    </row>
    <row r="32" spans="1:13" ht="15" customHeight="1">
      <c r="B32" s="110"/>
      <c r="C32" s="100"/>
      <c r="D32" s="110"/>
      <c r="E32" s="110"/>
      <c r="F32" s="110"/>
      <c r="G32" s="110"/>
      <c r="H32" s="110"/>
      <c r="I32" s="110"/>
      <c r="J32" s="110"/>
      <c r="K32" s="110"/>
    </row>
    <row r="33" spans="1:11" ht="15" customHeight="1">
      <c r="B33" s="110"/>
      <c r="C33" s="100"/>
      <c r="D33" s="110"/>
      <c r="E33" s="110"/>
      <c r="F33" s="110"/>
      <c r="G33" s="110"/>
      <c r="H33" s="110"/>
      <c r="I33" s="110"/>
      <c r="J33" s="110"/>
      <c r="K33" s="110"/>
    </row>
    <row r="34" spans="1:11" ht="15" customHeight="1">
      <c r="B34" s="110"/>
      <c r="C34" s="100"/>
      <c r="D34" s="110"/>
      <c r="E34" s="110"/>
      <c r="F34" s="110"/>
      <c r="G34" s="110"/>
      <c r="H34" s="110"/>
      <c r="I34" s="110"/>
      <c r="J34" s="110"/>
      <c r="K34" s="110"/>
    </row>
    <row r="35" spans="1:11" ht="15" customHeight="1">
      <c r="B35" s="110"/>
      <c r="C35" s="100"/>
      <c r="D35" s="110"/>
      <c r="E35" s="110"/>
      <c r="F35" s="110"/>
      <c r="G35" s="110"/>
      <c r="H35" s="110"/>
      <c r="I35" s="110"/>
      <c r="J35" s="110"/>
      <c r="K35" s="110"/>
    </row>
    <row r="36" spans="1:11" ht="15" customHeight="1">
      <c r="B36" s="110"/>
      <c r="C36" s="100"/>
      <c r="D36" s="110"/>
      <c r="E36" s="110"/>
      <c r="F36" s="110"/>
      <c r="G36" s="110"/>
      <c r="H36" s="110"/>
      <c r="I36" s="110"/>
      <c r="J36" s="110"/>
      <c r="K36" s="110"/>
    </row>
    <row r="37" spans="1:11" ht="15" customHeight="1">
      <c r="A37" s="111" t="s">
        <v>56</v>
      </c>
    </row>
    <row r="38" spans="1:11" ht="15" customHeight="1">
      <c r="A38" s="111" t="s">
        <v>57</v>
      </c>
      <c r="H38" s="112" t="s">
        <v>58</v>
      </c>
      <c r="I38" s="54"/>
      <c r="J38" s="54"/>
      <c r="K38" s="54"/>
    </row>
  </sheetData>
  <mergeCells count="11">
    <mergeCell ref="A22:C22"/>
    <mergeCell ref="D22:F22"/>
    <mergeCell ref="G22:H22"/>
    <mergeCell ref="A31:C31"/>
    <mergeCell ref="D31:E31"/>
    <mergeCell ref="F31:K31"/>
    <mergeCell ref="A1:K1"/>
    <mergeCell ref="A18:C18"/>
    <mergeCell ref="D18:F18"/>
    <mergeCell ref="A21:C21"/>
    <mergeCell ref="D21:F21"/>
  </mergeCells>
  <phoneticPr fontId="3" type="noConversion"/>
  <printOptions horizontalCentered="1"/>
  <pageMargins left="0.15748031496062992" right="0.15748031496062992" top="0.70866141732283472" bottom="0.43307086614173229" header="0.51181102362204722" footer="0.23622047244094491"/>
  <pageSetup paperSize="9" orientation="portrait" r:id="rId1"/>
  <headerFooter>
    <oddFooter>&amp;C&amp;P/&amp;N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50"/>
    <pageSetUpPr fitToPage="1"/>
  </sheetPr>
  <dimension ref="A1:M38"/>
  <sheetViews>
    <sheetView zoomScaleNormal="100" workbookViewId="0">
      <selection activeCell="A8" sqref="A8:F13"/>
    </sheetView>
  </sheetViews>
  <sheetFormatPr defaultRowHeight="15" customHeight="1"/>
  <cols>
    <col min="1" max="4" width="7.77734375" style="36" customWidth="1"/>
    <col min="5" max="5" width="6.5546875" style="36" customWidth="1"/>
    <col min="6" max="6" width="7.77734375" style="36" customWidth="1"/>
    <col min="7" max="7" width="8" style="36" customWidth="1"/>
    <col min="8" max="8" width="7.44140625" style="36" customWidth="1"/>
    <col min="9" max="9" width="12.6640625" style="36" customWidth="1"/>
    <col min="10" max="10" width="14.77734375" style="36" customWidth="1"/>
    <col min="11" max="11" width="8.44140625" style="36" customWidth="1"/>
    <col min="12" max="12" width="12" style="36" customWidth="1"/>
    <col min="13" max="13" width="8.5546875" style="36" bestFit="1" customWidth="1"/>
    <col min="14" max="16384" width="8.88671875" style="36"/>
  </cols>
  <sheetData>
    <row r="1" spans="1:13" s="31" customFormat="1" ht="20.25">
      <c r="A1" s="661" t="s">
        <v>13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30"/>
    </row>
    <row r="2" spans="1:13" ht="15" customHeight="1">
      <c r="A2" s="32" t="s">
        <v>14</v>
      </c>
      <c r="B2" s="33"/>
      <c r="C2" s="33"/>
      <c r="D2" s="33"/>
      <c r="E2" s="33"/>
      <c r="F2" s="34"/>
      <c r="G2" s="35" t="s">
        <v>15</v>
      </c>
      <c r="H2" s="33"/>
      <c r="I2" s="33"/>
      <c r="J2" s="33"/>
      <c r="K2" s="33"/>
    </row>
    <row r="3" spans="1:13" ht="15" customHeight="1">
      <c r="A3" s="37" t="s">
        <v>16</v>
      </c>
      <c r="B3" s="37"/>
      <c r="C3" s="37"/>
      <c r="D3" s="37"/>
      <c r="E3" s="37"/>
      <c r="F3" s="38"/>
      <c r="G3" s="39"/>
      <c r="H3" s="40"/>
      <c r="I3" s="40"/>
      <c r="J3" s="39"/>
      <c r="K3" s="41"/>
    </row>
    <row r="4" spans="1:13" ht="15" customHeight="1">
      <c r="A4" s="40" t="s">
        <v>17</v>
      </c>
      <c r="B4" s="40"/>
      <c r="C4" s="40"/>
      <c r="D4" s="40"/>
      <c r="E4" s="40"/>
      <c r="F4" s="38"/>
      <c r="G4" s="42"/>
      <c r="H4" s="40"/>
      <c r="I4" s="40"/>
      <c r="J4" s="43"/>
      <c r="K4" s="43"/>
    </row>
    <row r="5" spans="1:13" ht="15" customHeight="1">
      <c r="A5" s="40" t="s">
        <v>19</v>
      </c>
      <c r="B5" s="40"/>
      <c r="C5" s="40"/>
      <c r="D5" s="40"/>
      <c r="E5" s="40"/>
      <c r="F5" s="38"/>
      <c r="G5" s="35" t="s">
        <v>20</v>
      </c>
      <c r="H5" s="33"/>
      <c r="I5" s="33"/>
      <c r="J5" s="33"/>
      <c r="K5" s="40"/>
    </row>
    <row r="6" spans="1:13" ht="15" customHeight="1">
      <c r="A6" s="44" t="s">
        <v>21</v>
      </c>
      <c r="B6" s="44"/>
      <c r="C6" s="44"/>
      <c r="D6" s="44"/>
      <c r="E6" s="44"/>
      <c r="F6" s="38"/>
      <c r="G6" s="39"/>
      <c r="H6" s="39"/>
      <c r="I6" s="39"/>
      <c r="J6" s="39"/>
      <c r="K6" s="45"/>
    </row>
    <row r="7" spans="1:13" ht="15" customHeight="1">
      <c r="A7" s="32" t="s">
        <v>22</v>
      </c>
      <c r="B7" s="33"/>
      <c r="C7" s="33"/>
      <c r="D7" s="33"/>
      <c r="E7" s="33"/>
      <c r="F7" s="34"/>
      <c r="G7" s="46"/>
      <c r="H7" s="37"/>
      <c r="I7" s="37"/>
      <c r="J7" s="47" t="s">
        <v>23</v>
      </c>
      <c r="K7" s="48"/>
      <c r="L7" s="40"/>
    </row>
    <row r="8" spans="1:13" ht="15" customHeight="1">
      <c r="A8" s="606" t="s">
        <v>257</v>
      </c>
      <c r="B8" s="606"/>
      <c r="C8" s="606"/>
      <c r="D8" s="602"/>
      <c r="E8" s="602"/>
      <c r="F8" s="605"/>
      <c r="G8" s="35" t="s">
        <v>24</v>
      </c>
      <c r="H8" s="33"/>
      <c r="I8" s="33"/>
      <c r="J8" s="33"/>
      <c r="K8" s="49"/>
      <c r="L8" s="40"/>
    </row>
    <row r="9" spans="1:13" ht="15" customHeight="1">
      <c r="A9" s="607" t="s">
        <v>258</v>
      </c>
      <c r="B9" s="607"/>
      <c r="C9" s="607"/>
      <c r="D9" s="607"/>
      <c r="E9" s="602"/>
      <c r="F9" s="605"/>
      <c r="G9" s="46" t="s">
        <v>23</v>
      </c>
      <c r="H9" s="40"/>
      <c r="I9" s="40"/>
      <c r="J9" s="40"/>
      <c r="K9" s="48"/>
      <c r="L9" s="51"/>
      <c r="M9" s="52"/>
    </row>
    <row r="10" spans="1:13" ht="15" customHeight="1">
      <c r="A10" s="607" t="s">
        <v>259</v>
      </c>
      <c r="B10" s="607"/>
      <c r="C10" s="607"/>
      <c r="D10" s="602"/>
      <c r="E10" s="602"/>
      <c r="F10" s="605"/>
      <c r="G10" s="53" t="s">
        <v>23</v>
      </c>
      <c r="H10" s="54"/>
      <c r="I10" s="54"/>
      <c r="J10" s="54"/>
      <c r="K10" s="48"/>
      <c r="L10" s="51"/>
      <c r="M10" s="55"/>
    </row>
    <row r="11" spans="1:13" ht="15" customHeight="1">
      <c r="A11" s="603" t="s">
        <v>260</v>
      </c>
      <c r="B11" s="610"/>
      <c r="C11" s="610"/>
      <c r="D11" s="610"/>
      <c r="E11" s="610"/>
      <c r="F11" s="605"/>
      <c r="G11" s="35" t="s">
        <v>25</v>
      </c>
      <c r="H11" s="33"/>
      <c r="I11" s="33"/>
      <c r="J11" s="33"/>
      <c r="K11" s="56"/>
      <c r="M11" s="55"/>
    </row>
    <row r="12" spans="1:13" ht="15" customHeight="1">
      <c r="A12" s="612" t="s">
        <v>261</v>
      </c>
      <c r="B12" s="611"/>
      <c r="C12" s="608"/>
      <c r="D12" s="608"/>
      <c r="E12" s="608"/>
      <c r="F12" s="609"/>
      <c r="G12" s="39"/>
      <c r="H12" s="57"/>
      <c r="I12" s="40"/>
      <c r="J12" s="40"/>
      <c r="K12" s="58"/>
      <c r="L12" s="40"/>
    </row>
    <row r="13" spans="1:13" ht="15" customHeight="1">
      <c r="A13" s="604" t="s">
        <v>26</v>
      </c>
      <c r="B13" s="602"/>
      <c r="C13" s="602"/>
      <c r="D13" s="602"/>
      <c r="E13" s="602"/>
      <c r="F13" s="605"/>
      <c r="G13" s="39"/>
      <c r="H13" s="57"/>
      <c r="I13" s="59" t="s">
        <v>27</v>
      </c>
      <c r="J13" s="60">
        <f>1500/324106.53*J29</f>
        <v>0</v>
      </c>
      <c r="K13" s="58"/>
      <c r="L13" s="40"/>
    </row>
    <row r="14" spans="1:13" ht="15" customHeight="1">
      <c r="A14" s="61" t="s">
        <v>28</v>
      </c>
      <c r="B14" s="40"/>
      <c r="C14" s="40"/>
      <c r="D14" s="40"/>
      <c r="E14" s="40"/>
      <c r="F14" s="38"/>
      <c r="G14" s="46"/>
      <c r="H14" s="57"/>
      <c r="I14" s="62" t="s">
        <v>29</v>
      </c>
      <c r="J14" s="63">
        <f>J29*1.1*0.026%</f>
        <v>0</v>
      </c>
      <c r="K14" s="58"/>
      <c r="L14" s="51"/>
    </row>
    <row r="15" spans="1:13" ht="15" customHeight="1">
      <c r="A15" s="40"/>
      <c r="B15" s="40"/>
      <c r="C15" s="40"/>
      <c r="D15" s="40"/>
      <c r="E15" s="40"/>
      <c r="F15" s="38"/>
      <c r="G15" s="64"/>
      <c r="H15" s="65"/>
      <c r="I15" s="66"/>
      <c r="J15" s="40"/>
      <c r="K15" s="58"/>
      <c r="L15" s="51"/>
    </row>
    <row r="16" spans="1:13" ht="15" customHeight="1">
      <c r="A16" s="32" t="s">
        <v>31</v>
      </c>
      <c r="B16" s="33"/>
      <c r="C16" s="34"/>
      <c r="D16" s="32" t="s">
        <v>32</v>
      </c>
      <c r="E16" s="33"/>
      <c r="F16" s="34"/>
      <c r="G16" s="39"/>
      <c r="H16" s="59" t="s">
        <v>33</v>
      </c>
      <c r="I16" s="67">
        <v>0</v>
      </c>
      <c r="J16" s="37" t="s">
        <v>34</v>
      </c>
      <c r="K16" s="58"/>
      <c r="L16" s="40"/>
    </row>
    <row r="17" spans="1:13" ht="15" customHeight="1">
      <c r="A17" s="40"/>
      <c r="B17" s="40"/>
      <c r="C17" s="40"/>
      <c r="D17" s="42" t="s">
        <v>23</v>
      </c>
      <c r="E17" s="68"/>
      <c r="F17" s="38"/>
      <c r="G17" s="40"/>
      <c r="H17" s="62" t="s">
        <v>35</v>
      </c>
      <c r="I17" s="69">
        <f>K29</f>
        <v>0</v>
      </c>
      <c r="J17" s="37" t="s">
        <v>36</v>
      </c>
      <c r="K17" s="58"/>
      <c r="L17" s="40"/>
    </row>
    <row r="18" spans="1:13" ht="15" customHeight="1">
      <c r="A18" s="662" t="s">
        <v>240</v>
      </c>
      <c r="B18" s="662"/>
      <c r="C18" s="663"/>
      <c r="D18" s="664" t="s">
        <v>37</v>
      </c>
      <c r="E18" s="665"/>
      <c r="F18" s="666"/>
      <c r="G18" s="46"/>
      <c r="H18" s="62" t="s">
        <v>38</v>
      </c>
      <c r="I18" s="69">
        <f>I17*1.1</f>
        <v>0</v>
      </c>
      <c r="J18" s="37" t="s">
        <v>36</v>
      </c>
      <c r="K18" s="58"/>
    </row>
    <row r="19" spans="1:13" ht="15" customHeight="1">
      <c r="A19" s="32" t="s">
        <v>39</v>
      </c>
      <c r="B19" s="33"/>
      <c r="C19" s="34"/>
      <c r="D19" s="32" t="s">
        <v>40</v>
      </c>
      <c r="E19" s="33"/>
      <c r="F19" s="34"/>
      <c r="G19" s="46"/>
      <c r="H19" s="40"/>
      <c r="I19" s="40"/>
      <c r="J19" s="40"/>
      <c r="K19" s="58"/>
    </row>
    <row r="20" spans="1:13" ht="15" customHeight="1">
      <c r="A20" s="40" t="s">
        <v>23</v>
      </c>
      <c r="B20" s="40"/>
      <c r="C20" s="38"/>
      <c r="D20" s="40" t="s">
        <v>23</v>
      </c>
      <c r="E20" s="40"/>
      <c r="F20" s="38"/>
      <c r="G20" s="36" t="s">
        <v>23</v>
      </c>
      <c r="H20" s="40"/>
      <c r="I20" s="40"/>
      <c r="J20" s="40"/>
      <c r="K20" s="58"/>
    </row>
    <row r="21" spans="1:13" ht="15" customHeight="1">
      <c r="A21" s="667"/>
      <c r="B21" s="667"/>
      <c r="C21" s="668"/>
      <c r="D21" s="669"/>
      <c r="E21" s="670"/>
      <c r="F21" s="671"/>
      <c r="G21" s="54"/>
      <c r="H21" s="54"/>
      <c r="I21" s="54"/>
      <c r="J21" s="54"/>
      <c r="K21" s="70"/>
    </row>
    <row r="22" spans="1:13" s="73" customFormat="1" ht="15" customHeight="1">
      <c r="A22" s="658" t="s">
        <v>41</v>
      </c>
      <c r="B22" s="658"/>
      <c r="C22" s="659"/>
      <c r="D22" s="660" t="s">
        <v>42</v>
      </c>
      <c r="E22" s="658"/>
      <c r="F22" s="659"/>
      <c r="G22" s="660" t="s">
        <v>43</v>
      </c>
      <c r="H22" s="659"/>
      <c r="I22" s="71" t="s">
        <v>44</v>
      </c>
      <c r="J22" s="72" t="s">
        <v>45</v>
      </c>
      <c r="K22" s="72"/>
    </row>
    <row r="23" spans="1:13" ht="15" customHeight="1">
      <c r="A23" s="57" t="s">
        <v>23</v>
      </c>
      <c r="B23" s="40"/>
      <c r="C23" s="38"/>
      <c r="D23" s="40"/>
      <c r="E23" s="40"/>
      <c r="F23" s="38"/>
      <c r="G23" s="40"/>
      <c r="H23" s="38"/>
      <c r="I23" s="74"/>
      <c r="J23" s="40"/>
    </row>
    <row r="24" spans="1:13" ht="15" customHeight="1">
      <c r="A24" s="57" t="s">
        <v>23</v>
      </c>
      <c r="B24" s="40"/>
      <c r="C24" s="40"/>
      <c r="D24" s="40"/>
      <c r="E24" s="40"/>
      <c r="F24" s="40"/>
      <c r="G24" s="75" t="s">
        <v>46</v>
      </c>
      <c r="H24" s="40"/>
      <c r="I24" s="40"/>
      <c r="J24" s="40"/>
    </row>
    <row r="25" spans="1:13" ht="15" customHeight="1">
      <c r="A25" s="76"/>
      <c r="B25" s="57"/>
      <c r="C25" s="39"/>
      <c r="D25" s="57"/>
      <c r="E25" s="57"/>
      <c r="F25" s="39"/>
      <c r="G25" s="39"/>
      <c r="H25" s="39"/>
      <c r="I25" s="39"/>
      <c r="J25" s="39"/>
      <c r="K25" s="77"/>
    </row>
    <row r="26" spans="1:13" ht="15" customHeight="1">
      <c r="A26" s="78"/>
      <c r="B26" s="57"/>
      <c r="C26" s="39"/>
      <c r="D26" s="113" t="s">
        <v>91</v>
      </c>
      <c r="E26" s="113"/>
      <c r="F26" s="114"/>
      <c r="G26" s="114" t="s">
        <v>92</v>
      </c>
      <c r="H26" s="114" t="s">
        <v>93</v>
      </c>
      <c r="I26" s="114" t="s">
        <v>94</v>
      </c>
      <c r="J26" s="114" t="s">
        <v>95</v>
      </c>
      <c r="K26" s="81"/>
      <c r="L26" s="44"/>
    </row>
    <row r="27" spans="1:13" ht="15" customHeight="1">
      <c r="A27" s="82"/>
      <c r="B27" s="57"/>
      <c r="C27" s="40"/>
      <c r="D27" s="83"/>
      <c r="E27" s="39"/>
      <c r="F27" s="84"/>
      <c r="G27" s="84"/>
      <c r="H27" s="85"/>
      <c r="I27" s="86"/>
      <c r="J27" s="87">
        <f>G27*I27</f>
        <v>0</v>
      </c>
      <c r="K27" s="81"/>
      <c r="L27" s="88"/>
    </row>
    <row r="28" spans="1:13" s="40" customFormat="1" ht="15" customHeight="1">
      <c r="A28" s="82"/>
      <c r="B28" s="57"/>
      <c r="C28" s="57"/>
      <c r="D28" s="83"/>
      <c r="E28" s="39"/>
      <c r="F28" s="84"/>
      <c r="G28" s="84"/>
      <c r="H28" s="85"/>
      <c r="I28" s="86"/>
      <c r="J28" s="87">
        <f>G28*I28</f>
        <v>0</v>
      </c>
      <c r="K28" s="81"/>
      <c r="L28" s="88"/>
      <c r="M28" s="89"/>
    </row>
    <row r="29" spans="1:13" s="40" customFormat="1" ht="15" customHeight="1" thickBot="1">
      <c r="A29" s="82"/>
      <c r="B29" s="90"/>
      <c r="C29" s="39"/>
      <c r="D29" s="91" t="s">
        <v>47</v>
      </c>
      <c r="E29" s="91"/>
      <c r="F29" s="92"/>
      <c r="G29" s="93"/>
      <c r="H29" s="94"/>
      <c r="I29" s="95"/>
      <c r="J29" s="96">
        <f>SUM(J27:J28)</f>
        <v>0</v>
      </c>
      <c r="K29" s="88">
        <f>SUM(K27:K28)</f>
        <v>0</v>
      </c>
      <c r="L29" s="88"/>
    </row>
    <row r="30" spans="1:13" s="40" customFormat="1" ht="15" customHeight="1" thickTop="1">
      <c r="A30" s="40" t="s">
        <v>85</v>
      </c>
      <c r="B30" s="90"/>
      <c r="C30" s="57"/>
      <c r="D30" s="57" t="s">
        <v>86</v>
      </c>
      <c r="E30" s="57"/>
      <c r="F30" s="57" t="s">
        <v>87</v>
      </c>
      <c r="G30" s="90"/>
      <c r="H30" s="97"/>
      <c r="I30" s="98"/>
      <c r="J30" s="99"/>
      <c r="K30" s="100"/>
      <c r="L30" s="88"/>
    </row>
    <row r="31" spans="1:13" s="40" customFormat="1" ht="99.95" customHeight="1">
      <c r="A31" s="695"/>
      <c r="B31" s="695"/>
      <c r="C31" s="695"/>
      <c r="D31" s="696"/>
      <c r="E31" s="696"/>
      <c r="F31" s="695"/>
      <c r="G31" s="695"/>
      <c r="H31" s="695"/>
      <c r="I31" s="695"/>
      <c r="J31" s="695"/>
      <c r="K31" s="695"/>
      <c r="L31" s="88"/>
    </row>
    <row r="32" spans="1:13" ht="15" customHeight="1">
      <c r="B32" s="110"/>
      <c r="C32" s="100"/>
      <c r="D32" s="110"/>
      <c r="E32" s="110"/>
      <c r="F32" s="110"/>
      <c r="G32" s="110"/>
      <c r="H32" s="110"/>
      <c r="I32" s="110"/>
      <c r="J32" s="110"/>
      <c r="K32" s="110"/>
    </row>
    <row r="33" spans="1:11" ht="15" customHeight="1">
      <c r="B33" s="110"/>
      <c r="C33" s="100"/>
      <c r="D33" s="110"/>
      <c r="E33" s="110"/>
      <c r="F33" s="110"/>
      <c r="G33" s="110"/>
      <c r="H33" s="110"/>
      <c r="I33" s="110"/>
      <c r="J33" s="110"/>
      <c r="K33" s="110"/>
    </row>
    <row r="34" spans="1:11" ht="15" customHeight="1">
      <c r="B34" s="110"/>
      <c r="C34" s="100"/>
      <c r="D34" s="110"/>
      <c r="E34" s="110"/>
      <c r="F34" s="110"/>
      <c r="G34" s="110"/>
      <c r="H34" s="110"/>
      <c r="I34" s="110"/>
      <c r="J34" s="110"/>
      <c r="K34" s="110"/>
    </row>
    <row r="35" spans="1:11" ht="15" customHeight="1">
      <c r="B35" s="110"/>
      <c r="C35" s="100"/>
      <c r="D35" s="110"/>
      <c r="E35" s="110"/>
      <c r="F35" s="110"/>
      <c r="G35" s="110"/>
      <c r="H35" s="110"/>
      <c r="I35" s="110"/>
      <c r="J35" s="110"/>
      <c r="K35" s="110"/>
    </row>
    <row r="36" spans="1:11" ht="15" customHeight="1">
      <c r="B36" s="110"/>
      <c r="C36" s="100"/>
      <c r="D36" s="110"/>
      <c r="E36" s="110"/>
      <c r="F36" s="110"/>
      <c r="G36" s="110"/>
      <c r="H36" s="110"/>
      <c r="I36" s="110"/>
      <c r="J36" s="110"/>
      <c r="K36" s="110"/>
    </row>
    <row r="37" spans="1:11" ht="15" customHeight="1">
      <c r="A37" s="111" t="s">
        <v>88</v>
      </c>
    </row>
    <row r="38" spans="1:11" ht="15" customHeight="1">
      <c r="A38" s="111" t="s">
        <v>89</v>
      </c>
      <c r="H38" s="112" t="s">
        <v>90</v>
      </c>
      <c r="I38" s="54"/>
      <c r="J38" s="54"/>
      <c r="K38" s="54"/>
    </row>
  </sheetData>
  <mergeCells count="11">
    <mergeCell ref="A22:C22"/>
    <mergeCell ref="D22:F22"/>
    <mergeCell ref="G22:H22"/>
    <mergeCell ref="A31:C31"/>
    <mergeCell ref="D31:E31"/>
    <mergeCell ref="F31:K31"/>
    <mergeCell ref="A1:K1"/>
    <mergeCell ref="A18:C18"/>
    <mergeCell ref="D18:F18"/>
    <mergeCell ref="A21:C21"/>
    <mergeCell ref="D21:F21"/>
  </mergeCells>
  <phoneticPr fontId="3" type="noConversion"/>
  <printOptions horizontalCentered="1"/>
  <pageMargins left="0.15748031496062992" right="0.15748031496062992" top="0.70866141732283472" bottom="0.43307086614173229" header="0.51181102362204722" footer="0.23622047244094491"/>
  <pageSetup paperSize="9" orientation="portrait" r:id="rId1"/>
  <headerFooter>
    <oddFooter>&amp;C&amp;P/&amp;N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indexed="50"/>
    <pageSetUpPr fitToPage="1"/>
  </sheetPr>
  <dimension ref="A1:M38"/>
  <sheetViews>
    <sheetView zoomScaleNormal="100" workbookViewId="0">
      <selection activeCell="A8" sqref="A8:F13"/>
    </sheetView>
  </sheetViews>
  <sheetFormatPr defaultRowHeight="15" customHeight="1"/>
  <cols>
    <col min="1" max="4" width="7.77734375" style="36" customWidth="1"/>
    <col min="5" max="5" width="6.5546875" style="36" customWidth="1"/>
    <col min="6" max="6" width="7.77734375" style="36" customWidth="1"/>
    <col min="7" max="7" width="8" style="36" customWidth="1"/>
    <col min="8" max="8" width="7.44140625" style="36" customWidth="1"/>
    <col min="9" max="9" width="12.6640625" style="36" customWidth="1"/>
    <col min="10" max="10" width="14.77734375" style="36" customWidth="1"/>
    <col min="11" max="11" width="8.44140625" style="36" customWidth="1"/>
    <col min="12" max="12" width="12" style="36" customWidth="1"/>
    <col min="13" max="13" width="8.5546875" style="36" bestFit="1" customWidth="1"/>
    <col min="14" max="16384" width="8.88671875" style="36"/>
  </cols>
  <sheetData>
    <row r="1" spans="1:13" s="31" customFormat="1" ht="20.25">
      <c r="A1" s="661" t="s">
        <v>96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30"/>
    </row>
    <row r="2" spans="1:13" ht="15" customHeight="1">
      <c r="A2" s="32" t="s">
        <v>14</v>
      </c>
      <c r="B2" s="33"/>
      <c r="C2" s="33"/>
      <c r="D2" s="33"/>
      <c r="E2" s="33"/>
      <c r="F2" s="34"/>
      <c r="G2" s="35" t="s">
        <v>15</v>
      </c>
      <c r="H2" s="33"/>
      <c r="I2" s="33"/>
      <c r="J2" s="33"/>
      <c r="K2" s="33"/>
    </row>
    <row r="3" spans="1:13" ht="15" customHeight="1">
      <c r="A3" s="37" t="s">
        <v>16</v>
      </c>
      <c r="B3" s="37"/>
      <c r="C3" s="37"/>
      <c r="D3" s="37"/>
      <c r="E3" s="37"/>
      <c r="F3" s="38"/>
      <c r="G3" s="39"/>
      <c r="H3" s="40"/>
      <c r="I3" s="40"/>
      <c r="J3" s="39"/>
      <c r="K3" s="41"/>
    </row>
    <row r="4" spans="1:13" ht="15" customHeight="1">
      <c r="A4" s="40" t="s">
        <v>97</v>
      </c>
      <c r="B4" s="40"/>
      <c r="C4" s="40"/>
      <c r="D4" s="40"/>
      <c r="E4" s="40"/>
      <c r="F4" s="38"/>
      <c r="G4" s="42"/>
      <c r="H4" s="40"/>
      <c r="I4" s="40"/>
      <c r="J4" s="43"/>
      <c r="K4" s="43"/>
    </row>
    <row r="5" spans="1:13" ht="15" customHeight="1">
      <c r="A5" s="40" t="s">
        <v>98</v>
      </c>
      <c r="B5" s="40"/>
      <c r="C5" s="40"/>
      <c r="D5" s="40"/>
      <c r="E5" s="40"/>
      <c r="F5" s="38"/>
      <c r="G5" s="35" t="s">
        <v>20</v>
      </c>
      <c r="H5" s="33"/>
      <c r="I5" s="33"/>
      <c r="J5" s="33"/>
      <c r="K5" s="40"/>
    </row>
    <row r="6" spans="1:13" ht="15" customHeight="1">
      <c r="A6" s="44" t="s">
        <v>99</v>
      </c>
      <c r="B6" s="44"/>
      <c r="C6" s="44"/>
      <c r="D6" s="44"/>
      <c r="E6" s="44"/>
      <c r="F6" s="38"/>
      <c r="G6" s="39"/>
      <c r="H6" s="39"/>
      <c r="I6" s="39"/>
      <c r="J6" s="39"/>
      <c r="K6" s="45"/>
    </row>
    <row r="7" spans="1:13" ht="15" customHeight="1">
      <c r="A7" s="32" t="s">
        <v>22</v>
      </c>
      <c r="B7" s="33"/>
      <c r="C7" s="33"/>
      <c r="D7" s="33"/>
      <c r="E7" s="33"/>
      <c r="F7" s="34"/>
      <c r="G7" s="46"/>
      <c r="H7" s="37"/>
      <c r="I7" s="37"/>
      <c r="J7" s="47" t="s">
        <v>23</v>
      </c>
      <c r="K7" s="48"/>
      <c r="L7" s="40"/>
    </row>
    <row r="8" spans="1:13" ht="15" customHeight="1">
      <c r="A8" s="617" t="s">
        <v>257</v>
      </c>
      <c r="B8" s="617"/>
      <c r="C8" s="617"/>
      <c r="D8" s="613"/>
      <c r="E8" s="613"/>
      <c r="F8" s="616"/>
      <c r="G8" s="35" t="s">
        <v>24</v>
      </c>
      <c r="H8" s="33"/>
      <c r="I8" s="33"/>
      <c r="J8" s="33"/>
      <c r="K8" s="49"/>
      <c r="L8" s="40"/>
    </row>
    <row r="9" spans="1:13" ht="15" customHeight="1">
      <c r="A9" s="618" t="s">
        <v>258</v>
      </c>
      <c r="B9" s="618"/>
      <c r="C9" s="618"/>
      <c r="D9" s="618"/>
      <c r="E9" s="613"/>
      <c r="F9" s="616"/>
      <c r="G9" s="46" t="s">
        <v>23</v>
      </c>
      <c r="H9" s="40"/>
      <c r="I9" s="40"/>
      <c r="J9" s="40"/>
      <c r="K9" s="48"/>
      <c r="L9" s="51"/>
      <c r="M9" s="52"/>
    </row>
    <row r="10" spans="1:13" ht="15" customHeight="1">
      <c r="A10" s="618" t="s">
        <v>259</v>
      </c>
      <c r="B10" s="618"/>
      <c r="C10" s="618"/>
      <c r="D10" s="613"/>
      <c r="E10" s="613"/>
      <c r="F10" s="616"/>
      <c r="G10" s="53" t="s">
        <v>23</v>
      </c>
      <c r="H10" s="54"/>
      <c r="I10" s="54"/>
      <c r="J10" s="54"/>
      <c r="K10" s="48"/>
      <c r="L10" s="51"/>
      <c r="M10" s="55"/>
    </row>
    <row r="11" spans="1:13" ht="15" customHeight="1">
      <c r="A11" s="614" t="s">
        <v>260</v>
      </c>
      <c r="B11" s="621"/>
      <c r="C11" s="621"/>
      <c r="D11" s="621"/>
      <c r="E11" s="621"/>
      <c r="F11" s="616"/>
      <c r="G11" s="35" t="s">
        <v>25</v>
      </c>
      <c r="H11" s="33"/>
      <c r="I11" s="33"/>
      <c r="J11" s="33"/>
      <c r="K11" s="56"/>
      <c r="M11" s="55"/>
    </row>
    <row r="12" spans="1:13" ht="15" customHeight="1">
      <c r="A12" s="623" t="s">
        <v>261</v>
      </c>
      <c r="B12" s="622"/>
      <c r="C12" s="619"/>
      <c r="D12" s="619"/>
      <c r="E12" s="619"/>
      <c r="F12" s="620"/>
      <c r="G12" s="39"/>
      <c r="H12" s="57"/>
      <c r="I12" s="40"/>
      <c r="J12" s="40"/>
      <c r="K12" s="58"/>
      <c r="L12" s="40"/>
    </row>
    <row r="13" spans="1:13" ht="15" customHeight="1">
      <c r="A13" s="615" t="s">
        <v>26</v>
      </c>
      <c r="B13" s="613"/>
      <c r="C13" s="613"/>
      <c r="D13" s="613"/>
      <c r="E13" s="613"/>
      <c r="F13" s="616"/>
      <c r="G13" s="39"/>
      <c r="H13" s="57"/>
      <c r="I13" s="59" t="s">
        <v>27</v>
      </c>
      <c r="J13" s="60">
        <f>1500/324106.53*J29</f>
        <v>0</v>
      </c>
      <c r="K13" s="58"/>
      <c r="L13" s="40"/>
    </row>
    <row r="14" spans="1:13" ht="15" customHeight="1">
      <c r="A14" s="61" t="s">
        <v>28</v>
      </c>
      <c r="B14" s="40"/>
      <c r="C14" s="40"/>
      <c r="D14" s="40"/>
      <c r="E14" s="40"/>
      <c r="F14" s="38"/>
      <c r="G14" s="46"/>
      <c r="H14" s="57"/>
      <c r="I14" s="62" t="s">
        <v>29</v>
      </c>
      <c r="J14" s="63">
        <f>J29*1.1*0.026%</f>
        <v>0</v>
      </c>
      <c r="K14" s="58"/>
      <c r="L14" s="51"/>
    </row>
    <row r="15" spans="1:13" ht="15" customHeight="1">
      <c r="A15" s="40"/>
      <c r="B15" s="40"/>
      <c r="C15" s="40"/>
      <c r="D15" s="40"/>
      <c r="E15" s="40"/>
      <c r="F15" s="38"/>
      <c r="G15" s="64"/>
      <c r="H15" s="65"/>
      <c r="I15" s="66"/>
      <c r="J15" s="40"/>
      <c r="K15" s="58"/>
      <c r="L15" s="51"/>
    </row>
    <row r="16" spans="1:13" ht="15" customHeight="1">
      <c r="A16" s="32" t="s">
        <v>31</v>
      </c>
      <c r="B16" s="33"/>
      <c r="C16" s="34"/>
      <c r="D16" s="32" t="s">
        <v>32</v>
      </c>
      <c r="E16" s="33"/>
      <c r="F16" s="34"/>
      <c r="G16" s="39"/>
      <c r="H16" s="59" t="s">
        <v>33</v>
      </c>
      <c r="I16" s="67">
        <v>0</v>
      </c>
      <c r="J16" s="37" t="s">
        <v>34</v>
      </c>
      <c r="K16" s="58"/>
      <c r="L16" s="40"/>
    </row>
    <row r="17" spans="1:13" ht="15" customHeight="1">
      <c r="A17" s="40"/>
      <c r="B17" s="40"/>
      <c r="C17" s="40"/>
      <c r="D17" s="42" t="s">
        <v>23</v>
      </c>
      <c r="E17" s="68"/>
      <c r="F17" s="38"/>
      <c r="G17" s="40"/>
      <c r="H17" s="62" t="s">
        <v>35</v>
      </c>
      <c r="I17" s="69">
        <f>K29</f>
        <v>0</v>
      </c>
      <c r="J17" s="37" t="s">
        <v>36</v>
      </c>
      <c r="K17" s="58"/>
      <c r="L17" s="40"/>
    </row>
    <row r="18" spans="1:13" ht="15" customHeight="1">
      <c r="A18" s="662" t="s">
        <v>240</v>
      </c>
      <c r="B18" s="662"/>
      <c r="C18" s="663"/>
      <c r="D18" s="664" t="s">
        <v>37</v>
      </c>
      <c r="E18" s="665"/>
      <c r="F18" s="666"/>
      <c r="G18" s="46"/>
      <c r="H18" s="62" t="s">
        <v>38</v>
      </c>
      <c r="I18" s="69">
        <f>I17*1.1</f>
        <v>0</v>
      </c>
      <c r="J18" s="37" t="s">
        <v>36</v>
      </c>
      <c r="K18" s="58"/>
    </row>
    <row r="19" spans="1:13" ht="15" customHeight="1">
      <c r="A19" s="32" t="s">
        <v>39</v>
      </c>
      <c r="B19" s="33"/>
      <c r="C19" s="34"/>
      <c r="D19" s="32" t="s">
        <v>40</v>
      </c>
      <c r="E19" s="33"/>
      <c r="F19" s="34"/>
      <c r="G19" s="46"/>
      <c r="H19" s="40"/>
      <c r="I19" s="40"/>
      <c r="J19" s="40"/>
      <c r="K19" s="58"/>
    </row>
    <row r="20" spans="1:13" ht="15" customHeight="1">
      <c r="A20" s="40" t="s">
        <v>23</v>
      </c>
      <c r="B20" s="40"/>
      <c r="C20" s="38"/>
      <c r="D20" s="40" t="s">
        <v>23</v>
      </c>
      <c r="E20" s="40"/>
      <c r="F20" s="38"/>
      <c r="G20" s="36" t="s">
        <v>23</v>
      </c>
      <c r="H20" s="40"/>
      <c r="I20" s="40"/>
      <c r="J20" s="40"/>
      <c r="K20" s="58"/>
    </row>
    <row r="21" spans="1:13" ht="15" customHeight="1">
      <c r="A21" s="667"/>
      <c r="B21" s="667"/>
      <c r="C21" s="668"/>
      <c r="D21" s="669"/>
      <c r="E21" s="670"/>
      <c r="F21" s="671"/>
      <c r="G21" s="54"/>
      <c r="H21" s="54"/>
      <c r="I21" s="54"/>
      <c r="J21" s="54"/>
      <c r="K21" s="70"/>
    </row>
    <row r="22" spans="1:13" s="73" customFormat="1" ht="15" customHeight="1">
      <c r="A22" s="658" t="s">
        <v>41</v>
      </c>
      <c r="B22" s="658"/>
      <c r="C22" s="659"/>
      <c r="D22" s="660" t="s">
        <v>42</v>
      </c>
      <c r="E22" s="658"/>
      <c r="F22" s="659"/>
      <c r="G22" s="660" t="s">
        <v>43</v>
      </c>
      <c r="H22" s="659"/>
      <c r="I22" s="71" t="s">
        <v>44</v>
      </c>
      <c r="J22" s="72" t="s">
        <v>45</v>
      </c>
      <c r="K22" s="72"/>
    </row>
    <row r="23" spans="1:13" ht="15" customHeight="1">
      <c r="A23" s="57" t="s">
        <v>23</v>
      </c>
      <c r="B23" s="40"/>
      <c r="C23" s="38"/>
      <c r="D23" s="40"/>
      <c r="E23" s="40"/>
      <c r="F23" s="38"/>
      <c r="G23" s="40"/>
      <c r="H23" s="38"/>
      <c r="I23" s="74"/>
      <c r="J23" s="40"/>
    </row>
    <row r="24" spans="1:13" ht="15" customHeight="1">
      <c r="A24" s="57" t="s">
        <v>23</v>
      </c>
      <c r="B24" s="40"/>
      <c r="C24" s="40"/>
      <c r="D24" s="40"/>
      <c r="E24" s="40"/>
      <c r="F24" s="40"/>
      <c r="G24" s="75" t="s">
        <v>46</v>
      </c>
      <c r="H24" s="40"/>
      <c r="I24" s="40"/>
      <c r="J24" s="40"/>
    </row>
    <row r="25" spans="1:13" ht="15" customHeight="1">
      <c r="A25" s="76"/>
      <c r="B25" s="57"/>
      <c r="C25" s="39"/>
      <c r="D25" s="57"/>
      <c r="E25" s="57"/>
      <c r="F25" s="39"/>
      <c r="G25" s="39"/>
      <c r="H25" s="39"/>
      <c r="I25" s="39"/>
      <c r="J25" s="39"/>
      <c r="K25" s="77"/>
    </row>
    <row r="26" spans="1:13" ht="15" customHeight="1">
      <c r="A26" s="78"/>
      <c r="B26" s="57"/>
      <c r="C26" s="39"/>
      <c r="D26" s="113" t="s">
        <v>100</v>
      </c>
      <c r="E26" s="113"/>
      <c r="F26" s="114"/>
      <c r="G26" s="114" t="s">
        <v>101</v>
      </c>
      <c r="H26" s="114" t="s">
        <v>102</v>
      </c>
      <c r="I26" s="114" t="s">
        <v>103</v>
      </c>
      <c r="J26" s="114" t="s">
        <v>104</v>
      </c>
      <c r="K26" s="81"/>
      <c r="L26" s="44"/>
    </row>
    <row r="27" spans="1:13" ht="15" customHeight="1">
      <c r="A27" s="82"/>
      <c r="B27" s="57"/>
      <c r="C27" s="40"/>
      <c r="D27" s="83"/>
      <c r="E27" s="39"/>
      <c r="F27" s="84"/>
      <c r="G27" s="84"/>
      <c r="H27" s="85"/>
      <c r="I27" s="86"/>
      <c r="J27" s="87">
        <f>G27*I27</f>
        <v>0</v>
      </c>
      <c r="K27" s="81"/>
      <c r="L27" s="88"/>
    </row>
    <row r="28" spans="1:13" s="40" customFormat="1" ht="15" customHeight="1">
      <c r="A28" s="82"/>
      <c r="B28" s="57"/>
      <c r="C28" s="57"/>
      <c r="D28" s="83"/>
      <c r="E28" s="39"/>
      <c r="F28" s="84"/>
      <c r="G28" s="84"/>
      <c r="H28" s="85"/>
      <c r="I28" s="86"/>
      <c r="J28" s="87">
        <f>G28*I28</f>
        <v>0</v>
      </c>
      <c r="K28" s="81"/>
      <c r="L28" s="88"/>
      <c r="M28" s="89"/>
    </row>
    <row r="29" spans="1:13" s="40" customFormat="1" ht="15" customHeight="1" thickBot="1">
      <c r="A29" s="82"/>
      <c r="B29" s="90"/>
      <c r="C29" s="39"/>
      <c r="D29" s="91" t="s">
        <v>47</v>
      </c>
      <c r="E29" s="91"/>
      <c r="F29" s="92"/>
      <c r="G29" s="93"/>
      <c r="H29" s="94"/>
      <c r="I29" s="95"/>
      <c r="J29" s="96">
        <f>SUM(J27:J28)</f>
        <v>0</v>
      </c>
      <c r="K29" s="88">
        <f>SUM(K27:K28)</f>
        <v>0</v>
      </c>
      <c r="L29" s="88"/>
    </row>
    <row r="30" spans="1:13" s="40" customFormat="1" ht="15" customHeight="1" thickTop="1">
      <c r="A30" s="40" t="s">
        <v>105</v>
      </c>
      <c r="B30" s="90"/>
      <c r="C30" s="57"/>
      <c r="D30" s="57" t="s">
        <v>106</v>
      </c>
      <c r="E30" s="57"/>
      <c r="F30" s="57" t="s">
        <v>107</v>
      </c>
      <c r="G30" s="90"/>
      <c r="H30" s="97"/>
      <c r="I30" s="98"/>
      <c r="J30" s="99"/>
      <c r="K30" s="100"/>
      <c r="L30" s="88"/>
    </row>
    <row r="31" spans="1:13" s="40" customFormat="1" ht="99.95" customHeight="1">
      <c r="A31" s="695"/>
      <c r="B31" s="695"/>
      <c r="C31" s="695"/>
      <c r="D31" s="696"/>
      <c r="E31" s="696"/>
      <c r="F31" s="695"/>
      <c r="G31" s="695"/>
      <c r="H31" s="695"/>
      <c r="I31" s="695"/>
      <c r="J31" s="695"/>
      <c r="K31" s="695"/>
      <c r="L31" s="88"/>
    </row>
    <row r="32" spans="1:13" ht="15" customHeight="1">
      <c r="B32" s="110"/>
      <c r="C32" s="100"/>
      <c r="D32" s="110"/>
      <c r="E32" s="110"/>
      <c r="F32" s="110"/>
      <c r="G32" s="110"/>
      <c r="H32" s="110"/>
      <c r="I32" s="110"/>
      <c r="J32" s="110"/>
      <c r="K32" s="110"/>
    </row>
    <row r="33" spans="1:11" ht="15" customHeight="1">
      <c r="B33" s="110"/>
      <c r="C33" s="100"/>
      <c r="D33" s="110"/>
      <c r="E33" s="110"/>
      <c r="F33" s="110"/>
      <c r="G33" s="110"/>
      <c r="H33" s="110"/>
      <c r="I33" s="110"/>
      <c r="J33" s="110"/>
      <c r="K33" s="110"/>
    </row>
    <row r="34" spans="1:11" ht="15" customHeight="1">
      <c r="B34" s="110"/>
      <c r="C34" s="100"/>
      <c r="D34" s="110"/>
      <c r="E34" s="110"/>
      <c r="F34" s="110"/>
      <c r="G34" s="110"/>
      <c r="H34" s="110"/>
      <c r="I34" s="110"/>
      <c r="J34" s="110"/>
      <c r="K34" s="110"/>
    </row>
    <row r="35" spans="1:11" ht="15" customHeight="1">
      <c r="B35" s="110"/>
      <c r="C35" s="100"/>
      <c r="D35" s="110"/>
      <c r="E35" s="110"/>
      <c r="F35" s="110"/>
      <c r="G35" s="110"/>
      <c r="H35" s="110"/>
      <c r="I35" s="110"/>
      <c r="J35" s="110"/>
      <c r="K35" s="110"/>
    </row>
    <row r="36" spans="1:11" ht="15" customHeight="1">
      <c r="B36" s="110"/>
      <c r="C36" s="100"/>
      <c r="D36" s="110"/>
      <c r="E36" s="110"/>
      <c r="F36" s="110"/>
      <c r="G36" s="110"/>
      <c r="H36" s="110"/>
      <c r="I36" s="110"/>
      <c r="J36" s="110"/>
      <c r="K36" s="110"/>
    </row>
    <row r="37" spans="1:11" ht="15" customHeight="1">
      <c r="A37" s="111" t="s">
        <v>108</v>
      </c>
    </row>
    <row r="38" spans="1:11" ht="15" customHeight="1">
      <c r="A38" s="111" t="s">
        <v>109</v>
      </c>
      <c r="H38" s="112" t="s">
        <v>110</v>
      </c>
      <c r="I38" s="54"/>
      <c r="J38" s="54"/>
      <c r="K38" s="54"/>
    </row>
  </sheetData>
  <mergeCells count="11">
    <mergeCell ref="A22:C22"/>
    <mergeCell ref="D22:F22"/>
    <mergeCell ref="G22:H22"/>
    <mergeCell ref="A31:C31"/>
    <mergeCell ref="D31:E31"/>
    <mergeCell ref="F31:K31"/>
    <mergeCell ref="A1:K1"/>
    <mergeCell ref="A18:C18"/>
    <mergeCell ref="D18:F18"/>
    <mergeCell ref="A21:C21"/>
    <mergeCell ref="D21:F21"/>
  </mergeCells>
  <phoneticPr fontId="3" type="noConversion"/>
  <printOptions horizontalCentered="1"/>
  <pageMargins left="0.15748031496062992" right="0.15748031496062992" top="0.70866141732283472" bottom="0.43307086614173229" header="0.51181102362204722" footer="0.23622047244094491"/>
  <pageSetup paperSize="9" orientation="portrait" r:id="rId1"/>
  <headerFooter>
    <oddFooter>&amp;C&amp;P/&amp;N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J7"/>
  <sheetViews>
    <sheetView showGridLines="0" zoomScale="85" zoomScaleNormal="85" workbookViewId="0">
      <selection activeCell="G7" sqref="G7"/>
    </sheetView>
  </sheetViews>
  <sheetFormatPr defaultRowHeight="12"/>
  <cols>
    <col min="1" max="1" width="19.88671875" style="115" bestFit="1" customWidth="1"/>
    <col min="2" max="2" width="30.44140625" style="115" bestFit="1" customWidth="1"/>
    <col min="3" max="3" width="23.21875" style="115" bestFit="1" customWidth="1"/>
    <col min="4" max="4" width="28.44140625" style="115" bestFit="1" customWidth="1"/>
    <col min="5" max="5" width="6.88671875" style="115" bestFit="1" customWidth="1"/>
    <col min="6" max="6" width="8.5546875" style="115" bestFit="1" customWidth="1"/>
    <col min="7" max="7" width="9.109375" style="115" bestFit="1" customWidth="1"/>
    <col min="8" max="8" width="11.109375" style="115" bestFit="1" customWidth="1"/>
    <col min="9" max="9" width="12.33203125" style="115" bestFit="1" customWidth="1"/>
    <col min="10" max="16384" width="8.88671875" style="115"/>
  </cols>
  <sheetData>
    <row r="1" spans="1:10" ht="20.25">
      <c r="A1" s="697" t="s">
        <v>111</v>
      </c>
      <c r="B1" s="697"/>
      <c r="C1" s="697"/>
      <c r="D1" s="697"/>
      <c r="E1" s="697"/>
      <c r="F1" s="697"/>
      <c r="G1" s="697"/>
      <c r="H1" s="697"/>
      <c r="I1" s="697"/>
    </row>
    <row r="3" spans="1:10" s="118" customFormat="1">
      <c r="A3" s="116" t="s">
        <v>112</v>
      </c>
      <c r="B3" s="116" t="s">
        <v>113</v>
      </c>
      <c r="C3" s="117" t="s">
        <v>114</v>
      </c>
      <c r="D3" s="116" t="s">
        <v>115</v>
      </c>
      <c r="E3" s="117" t="s">
        <v>116</v>
      </c>
      <c r="F3" s="117" t="s">
        <v>117</v>
      </c>
      <c r="G3" s="117" t="s">
        <v>118</v>
      </c>
      <c r="H3" s="117" t="s">
        <v>119</v>
      </c>
      <c r="I3" s="117" t="s">
        <v>120</v>
      </c>
    </row>
    <row r="4" spans="1:10">
      <c r="A4" s="119"/>
      <c r="B4" s="119"/>
      <c r="C4" s="120"/>
      <c r="D4" s="119"/>
      <c r="E4" s="121"/>
      <c r="F4" s="122"/>
      <c r="G4" s="123"/>
      <c r="H4" s="124"/>
      <c r="I4" s="124"/>
    </row>
    <row r="5" spans="1:10">
      <c r="A5" s="125"/>
      <c r="B5" s="125"/>
      <c r="C5" s="126"/>
      <c r="D5" s="125"/>
      <c r="E5" s="127"/>
      <c r="F5" s="128"/>
      <c r="G5" s="129"/>
      <c r="H5" s="130"/>
      <c r="I5" s="131"/>
    </row>
    <row r="6" spans="1:10" ht="12.75" thickBot="1">
      <c r="A6" s="125"/>
      <c r="B6" s="125"/>
      <c r="C6" s="126"/>
      <c r="D6" s="125"/>
      <c r="E6" s="127"/>
      <c r="F6" s="128"/>
      <c r="G6" s="129"/>
      <c r="H6" s="130"/>
      <c r="I6" s="131"/>
    </row>
    <row r="7" spans="1:10" ht="12.75" thickBot="1">
      <c r="A7" s="132" t="s">
        <v>121</v>
      </c>
      <c r="B7" s="132" t="s">
        <v>122</v>
      </c>
      <c r="C7" s="133"/>
      <c r="D7" s="133"/>
      <c r="E7" s="133"/>
      <c r="F7" s="134">
        <f>SUM(F4:F6)</f>
        <v>0</v>
      </c>
      <c r="G7" s="135">
        <f>SUM(G4:G6)</f>
        <v>0</v>
      </c>
      <c r="H7" s="133"/>
      <c r="I7" s="133"/>
      <c r="J7" s="136"/>
    </row>
  </sheetData>
  <mergeCells count="1">
    <mergeCell ref="A1:I1"/>
  </mergeCells>
  <phoneticPr fontId="3" type="noConversion"/>
  <printOptions horizontalCentered="1"/>
  <pageMargins left="0.15748031496062992" right="0.15748031496062992" top="0.35433070866141736" bottom="0.15748031496062992" header="0.39370078740157483" footer="0.19685039370078741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indexed="50"/>
    <pageSetUpPr fitToPage="1"/>
  </sheetPr>
  <dimension ref="A1:M41"/>
  <sheetViews>
    <sheetView zoomScaleNormal="100" workbookViewId="0">
      <selection activeCell="H17" sqref="H17"/>
    </sheetView>
  </sheetViews>
  <sheetFormatPr defaultRowHeight="15" customHeight="1"/>
  <cols>
    <col min="1" max="4" width="7.77734375" style="36" customWidth="1"/>
    <col min="5" max="5" width="6.5546875" style="36" customWidth="1"/>
    <col min="6" max="6" width="7.77734375" style="36" customWidth="1"/>
    <col min="7" max="7" width="8" style="36" customWidth="1"/>
    <col min="8" max="8" width="7.44140625" style="36" customWidth="1"/>
    <col min="9" max="9" width="12.6640625" style="36" customWidth="1"/>
    <col min="10" max="10" width="14.77734375" style="36" customWidth="1"/>
    <col min="11" max="11" width="8.44140625" style="36" customWidth="1"/>
    <col min="12" max="12" width="12" style="36" customWidth="1"/>
    <col min="13" max="13" width="8.5546875" style="36" bestFit="1" customWidth="1"/>
    <col min="14" max="16384" width="8.88671875" style="36"/>
  </cols>
  <sheetData>
    <row r="1" spans="1:13" s="31" customFormat="1" ht="20.25">
      <c r="A1" s="694" t="s">
        <v>123</v>
      </c>
      <c r="B1" s="694"/>
      <c r="C1" s="694"/>
      <c r="D1" s="694"/>
      <c r="E1" s="694"/>
      <c r="F1" s="694"/>
      <c r="G1" s="694"/>
      <c r="H1" s="694"/>
      <c r="I1" s="694"/>
      <c r="J1" s="694"/>
      <c r="K1" s="698"/>
      <c r="L1" s="30"/>
    </row>
    <row r="2" spans="1:13" ht="15" customHeight="1">
      <c r="A2" s="32" t="s">
        <v>14</v>
      </c>
      <c r="B2" s="33"/>
      <c r="C2" s="33"/>
      <c r="D2" s="33"/>
      <c r="E2" s="33"/>
      <c r="F2" s="34"/>
      <c r="G2" s="35" t="s">
        <v>15</v>
      </c>
      <c r="H2" s="33"/>
      <c r="I2" s="33"/>
      <c r="J2" s="33"/>
      <c r="K2" s="33"/>
    </row>
    <row r="3" spans="1:13" ht="15" customHeight="1">
      <c r="A3" s="37" t="s">
        <v>16</v>
      </c>
      <c r="B3" s="37"/>
      <c r="C3" s="37"/>
      <c r="D3" s="37"/>
      <c r="E3" s="37"/>
      <c r="F3" s="38"/>
      <c r="G3" s="137"/>
      <c r="H3" s="40"/>
      <c r="I3" s="40"/>
      <c r="J3" s="137"/>
      <c r="K3" s="41"/>
    </row>
    <row r="4" spans="1:13" ht="15" customHeight="1">
      <c r="A4" s="40" t="s">
        <v>17</v>
      </c>
      <c r="B4" s="40"/>
      <c r="C4" s="40"/>
      <c r="D4" s="40"/>
      <c r="E4" s="40"/>
      <c r="F4" s="38"/>
      <c r="G4" s="138"/>
      <c r="H4" s="40"/>
      <c r="I4" s="40"/>
      <c r="J4" s="43"/>
      <c r="K4" s="43"/>
    </row>
    <row r="5" spans="1:13" ht="15" customHeight="1">
      <c r="A5" s="40" t="s">
        <v>19</v>
      </c>
      <c r="B5" s="40"/>
      <c r="C5" s="40"/>
      <c r="D5" s="40"/>
      <c r="E5" s="40"/>
      <c r="F5" s="38"/>
      <c r="G5" s="35" t="s">
        <v>20</v>
      </c>
      <c r="H5" s="33"/>
      <c r="I5" s="33"/>
      <c r="J5" s="33"/>
      <c r="K5" s="40"/>
    </row>
    <row r="6" spans="1:13" ht="15" customHeight="1">
      <c r="A6" s="44" t="s">
        <v>21</v>
      </c>
      <c r="B6" s="44"/>
      <c r="C6" s="44"/>
      <c r="D6" s="44"/>
      <c r="E6" s="44"/>
      <c r="F6" s="38"/>
      <c r="G6" s="137"/>
      <c r="H6" s="137"/>
      <c r="I6" s="137"/>
      <c r="J6" s="137"/>
      <c r="K6" s="45"/>
    </row>
    <row r="7" spans="1:13" ht="15" customHeight="1">
      <c r="A7" s="32" t="s">
        <v>22</v>
      </c>
      <c r="B7" s="33"/>
      <c r="C7" s="33"/>
      <c r="D7" s="33"/>
      <c r="E7" s="33"/>
      <c r="F7" s="34"/>
      <c r="G7" s="46"/>
      <c r="H7" s="37"/>
      <c r="I7" s="37"/>
      <c r="J7" s="47" t="s">
        <v>23</v>
      </c>
      <c r="K7" s="48"/>
      <c r="L7" s="40"/>
    </row>
    <row r="8" spans="1:13" ht="15" customHeight="1">
      <c r="A8" s="628" t="s">
        <v>257</v>
      </c>
      <c r="B8" s="628"/>
      <c r="C8" s="628"/>
      <c r="D8" s="624"/>
      <c r="E8" s="624"/>
      <c r="F8" s="627"/>
      <c r="G8" s="35" t="s">
        <v>24</v>
      </c>
      <c r="H8" s="33"/>
      <c r="I8" s="33"/>
      <c r="J8" s="33"/>
      <c r="K8" s="49"/>
      <c r="L8" s="40"/>
    </row>
    <row r="9" spans="1:13" ht="15" customHeight="1">
      <c r="A9" s="629" t="s">
        <v>258</v>
      </c>
      <c r="B9" s="629"/>
      <c r="C9" s="629"/>
      <c r="D9" s="629"/>
      <c r="E9" s="624"/>
      <c r="F9" s="627"/>
      <c r="G9" s="46" t="s">
        <v>23</v>
      </c>
      <c r="H9" s="40"/>
      <c r="I9" s="40"/>
      <c r="J9" s="40"/>
      <c r="K9" s="48"/>
      <c r="L9" s="51"/>
      <c r="M9" s="52"/>
    </row>
    <row r="10" spans="1:13" ht="15" customHeight="1">
      <c r="A10" s="629" t="s">
        <v>259</v>
      </c>
      <c r="B10" s="629"/>
      <c r="C10" s="629"/>
      <c r="D10" s="624"/>
      <c r="E10" s="624"/>
      <c r="F10" s="627"/>
      <c r="G10" s="53" t="s">
        <v>23</v>
      </c>
      <c r="H10" s="54"/>
      <c r="I10" s="54"/>
      <c r="J10" s="54"/>
      <c r="K10" s="48"/>
      <c r="L10" s="51"/>
      <c r="M10" s="55"/>
    </row>
    <row r="11" spans="1:13" ht="15" customHeight="1">
      <c r="A11" s="625" t="s">
        <v>260</v>
      </c>
      <c r="B11" s="632"/>
      <c r="C11" s="632"/>
      <c r="D11" s="632"/>
      <c r="E11" s="632"/>
      <c r="F11" s="627"/>
      <c r="G11" s="35" t="s">
        <v>25</v>
      </c>
      <c r="H11" s="33"/>
      <c r="I11" s="33"/>
      <c r="J11" s="33"/>
      <c r="K11" s="56"/>
      <c r="M11" s="55"/>
    </row>
    <row r="12" spans="1:13" ht="15" customHeight="1">
      <c r="A12" s="634" t="s">
        <v>261</v>
      </c>
      <c r="B12" s="633"/>
      <c r="C12" s="630"/>
      <c r="D12" s="630"/>
      <c r="E12" s="630"/>
      <c r="F12" s="631"/>
      <c r="G12" s="137"/>
      <c r="H12" s="140"/>
      <c r="I12" s="40"/>
      <c r="J12" s="40"/>
      <c r="K12" s="58"/>
      <c r="L12" s="40"/>
    </row>
    <row r="13" spans="1:13" ht="15" customHeight="1">
      <c r="A13" s="626" t="s">
        <v>26</v>
      </c>
      <c r="B13" s="624"/>
      <c r="C13" s="624"/>
      <c r="D13" s="624"/>
      <c r="E13" s="624"/>
      <c r="F13" s="627"/>
      <c r="G13" s="137"/>
      <c r="H13" s="140"/>
      <c r="I13" s="141"/>
      <c r="J13" s="142"/>
      <c r="K13" s="58"/>
      <c r="L13" s="40"/>
    </row>
    <row r="14" spans="1:13" ht="15" customHeight="1">
      <c r="A14" s="143" t="s">
        <v>28</v>
      </c>
      <c r="B14" s="40"/>
      <c r="C14" s="40"/>
      <c r="D14" s="40"/>
      <c r="E14" s="40"/>
      <c r="F14" s="38"/>
      <c r="G14" s="46"/>
      <c r="H14" s="140"/>
      <c r="I14" s="62"/>
      <c r="J14" s="142"/>
      <c r="K14" s="58"/>
      <c r="L14" s="51"/>
    </row>
    <row r="15" spans="1:13" ht="15" customHeight="1">
      <c r="A15" s="40"/>
      <c r="B15" s="40"/>
      <c r="C15" s="40"/>
      <c r="D15" s="40"/>
      <c r="E15" s="40"/>
      <c r="F15" s="38"/>
      <c r="G15" s="64"/>
      <c r="H15" s="144"/>
      <c r="I15" s="40"/>
      <c r="J15" s="40"/>
      <c r="K15" s="58"/>
      <c r="L15" s="51"/>
    </row>
    <row r="16" spans="1:13" ht="15" customHeight="1">
      <c r="A16" s="32" t="s">
        <v>31</v>
      </c>
      <c r="B16" s="33"/>
      <c r="C16" s="34"/>
      <c r="D16" s="32" t="s">
        <v>32</v>
      </c>
      <c r="E16" s="33"/>
      <c r="F16" s="34"/>
      <c r="G16" s="137"/>
      <c r="H16" s="141"/>
      <c r="I16" s="67"/>
      <c r="J16" s="37"/>
      <c r="K16" s="58"/>
      <c r="L16" s="40"/>
    </row>
    <row r="17" spans="1:13" ht="15" customHeight="1">
      <c r="A17" s="40"/>
      <c r="B17" s="40"/>
      <c r="C17" s="40"/>
      <c r="D17" s="138" t="s">
        <v>23</v>
      </c>
      <c r="E17" s="145"/>
      <c r="F17" s="38"/>
      <c r="G17" s="40"/>
      <c r="H17" s="62"/>
      <c r="I17" s="67"/>
      <c r="J17" s="37"/>
      <c r="K17" s="58"/>
      <c r="L17" s="40"/>
    </row>
    <row r="18" spans="1:13" ht="15" customHeight="1">
      <c r="A18" s="662" t="s">
        <v>240</v>
      </c>
      <c r="B18" s="662"/>
      <c r="C18" s="663"/>
      <c r="D18" s="699" t="s">
        <v>37</v>
      </c>
      <c r="E18" s="700"/>
      <c r="F18" s="701"/>
      <c r="G18" s="46"/>
      <c r="H18" s="62"/>
      <c r="I18" s="67"/>
      <c r="J18" s="37"/>
      <c r="K18" s="58"/>
    </row>
    <row r="19" spans="1:13" ht="15" customHeight="1">
      <c r="A19" s="32" t="s">
        <v>39</v>
      </c>
      <c r="B19" s="33"/>
      <c r="C19" s="34"/>
      <c r="D19" s="32" t="s">
        <v>40</v>
      </c>
      <c r="E19" s="33"/>
      <c r="F19" s="34"/>
      <c r="G19" s="46"/>
      <c r="H19" s="40"/>
      <c r="I19" s="40"/>
      <c r="J19" s="40"/>
      <c r="K19" s="58"/>
    </row>
    <row r="20" spans="1:13" ht="15" customHeight="1">
      <c r="A20" s="40" t="s">
        <v>23</v>
      </c>
      <c r="B20" s="40"/>
      <c r="C20" s="38"/>
      <c r="D20" s="40" t="s">
        <v>23</v>
      </c>
      <c r="E20" s="40"/>
      <c r="F20" s="38"/>
      <c r="G20" s="36" t="s">
        <v>23</v>
      </c>
      <c r="H20" s="40"/>
      <c r="I20" s="40"/>
      <c r="J20" s="40"/>
      <c r="K20" s="58"/>
    </row>
    <row r="21" spans="1:13" ht="15" customHeight="1">
      <c r="A21" s="667"/>
      <c r="B21" s="667"/>
      <c r="C21" s="668"/>
      <c r="D21" s="669"/>
      <c r="E21" s="670"/>
      <c r="F21" s="671"/>
      <c r="G21" s="54"/>
      <c r="H21" s="54"/>
      <c r="I21" s="54"/>
      <c r="J21" s="54"/>
      <c r="K21" s="70"/>
    </row>
    <row r="22" spans="1:13" s="73" customFormat="1" ht="15" customHeight="1">
      <c r="A22" s="658" t="s">
        <v>41</v>
      </c>
      <c r="B22" s="658"/>
      <c r="C22" s="659"/>
      <c r="D22" s="660" t="s">
        <v>42</v>
      </c>
      <c r="E22" s="658"/>
      <c r="F22" s="659"/>
      <c r="G22" s="660" t="s">
        <v>43</v>
      </c>
      <c r="H22" s="659"/>
      <c r="I22" s="71" t="s">
        <v>44</v>
      </c>
      <c r="J22" s="72" t="s">
        <v>45</v>
      </c>
      <c r="K22" s="72"/>
    </row>
    <row r="23" spans="1:13" ht="15" customHeight="1">
      <c r="A23" s="140" t="s">
        <v>23</v>
      </c>
      <c r="B23" s="40"/>
      <c r="C23" s="38"/>
      <c r="D23" s="40"/>
      <c r="E23" s="40"/>
      <c r="F23" s="38"/>
      <c r="G23" s="40"/>
      <c r="H23" s="38"/>
      <c r="I23" s="74"/>
      <c r="J23" s="40"/>
    </row>
    <row r="24" spans="1:13" ht="15" customHeight="1">
      <c r="A24" s="140" t="s">
        <v>23</v>
      </c>
      <c r="B24" s="40"/>
      <c r="C24" s="40"/>
      <c r="D24" s="40"/>
      <c r="E24" s="40"/>
      <c r="F24" s="40"/>
      <c r="G24" s="75" t="s">
        <v>46</v>
      </c>
      <c r="H24" s="40"/>
      <c r="I24" s="40"/>
      <c r="J24" s="40"/>
    </row>
    <row r="25" spans="1:13" ht="15" customHeight="1">
      <c r="A25" s="146" t="s">
        <v>124</v>
      </c>
      <c r="B25" s="140"/>
      <c r="C25" s="137"/>
      <c r="D25" s="140"/>
      <c r="E25" s="140"/>
      <c r="F25" s="137"/>
      <c r="G25" s="137"/>
      <c r="H25" s="137"/>
      <c r="I25" s="137"/>
      <c r="J25" s="137"/>
      <c r="K25" s="77"/>
    </row>
    <row r="26" spans="1:13" ht="15" customHeight="1">
      <c r="A26" s="147" t="s">
        <v>125</v>
      </c>
      <c r="B26" s="140"/>
      <c r="C26" s="137"/>
      <c r="D26" s="140"/>
      <c r="E26" s="140"/>
      <c r="F26" s="137"/>
      <c r="G26" s="137"/>
      <c r="H26" s="137"/>
      <c r="I26" s="137"/>
      <c r="J26" s="137"/>
      <c r="K26" s="81"/>
      <c r="L26" s="44"/>
    </row>
    <row r="27" spans="1:13" ht="15" customHeight="1">
      <c r="A27" s="148"/>
      <c r="B27" s="140"/>
      <c r="C27" s="40"/>
      <c r="D27" s="149" t="s">
        <v>126</v>
      </c>
      <c r="E27" s="149"/>
      <c r="F27" s="40"/>
      <c r="G27" s="40"/>
      <c r="H27" s="40"/>
      <c r="I27" s="40"/>
      <c r="J27" s="40"/>
      <c r="K27" s="81"/>
      <c r="L27" s="88"/>
    </row>
    <row r="28" spans="1:13" s="40" customFormat="1" ht="15" customHeight="1">
      <c r="A28" s="148" t="s">
        <v>127</v>
      </c>
      <c r="B28" s="140"/>
      <c r="C28" s="140"/>
      <c r="D28" s="140"/>
      <c r="E28" s="140"/>
      <c r="K28" s="81"/>
      <c r="L28" s="88"/>
      <c r="M28" s="89"/>
    </row>
    <row r="29" spans="1:13" s="40" customFormat="1" ht="15" customHeight="1">
      <c r="A29" s="148" t="s">
        <v>128</v>
      </c>
      <c r="B29" s="140"/>
      <c r="C29" s="140"/>
      <c r="D29" s="140"/>
      <c r="E29" s="140"/>
      <c r="F29" s="137"/>
      <c r="G29" s="150"/>
      <c r="H29" s="151"/>
      <c r="I29" s="152"/>
      <c r="J29" s="153"/>
      <c r="K29" s="88"/>
      <c r="L29" s="88"/>
    </row>
    <row r="30" spans="1:13" s="40" customFormat="1" ht="15" customHeight="1">
      <c r="A30" s="148" t="s">
        <v>129</v>
      </c>
      <c r="B30" s="150"/>
      <c r="C30" s="140"/>
      <c r="D30" s="140"/>
      <c r="E30" s="140"/>
      <c r="F30" s="137"/>
      <c r="G30" s="150"/>
      <c r="H30" s="151"/>
      <c r="I30" s="152"/>
      <c r="J30" s="153"/>
      <c r="K30" s="100"/>
      <c r="L30" s="88"/>
    </row>
    <row r="31" spans="1:13" s="40" customFormat="1" ht="15" customHeight="1" thickBot="1">
      <c r="A31" s="148" t="s">
        <v>130</v>
      </c>
      <c r="B31" s="150"/>
      <c r="C31" s="137"/>
      <c r="D31" s="154" t="s">
        <v>47</v>
      </c>
      <c r="E31" s="154"/>
      <c r="F31" s="155"/>
      <c r="G31" s="156"/>
      <c r="H31" s="157"/>
      <c r="I31" s="157"/>
      <c r="J31" s="158">
        <f>+D.INV!G12</f>
        <v>0</v>
      </c>
      <c r="L31" s="88"/>
    </row>
    <row r="32" spans="1:13" ht="15" customHeight="1" thickTop="1">
      <c r="A32" s="40"/>
      <c r="B32" s="159"/>
      <c r="C32" s="139"/>
      <c r="D32" s="139"/>
      <c r="E32" s="139"/>
      <c r="F32" s="160"/>
      <c r="G32" s="159"/>
      <c r="H32" s="161"/>
      <c r="I32" s="162"/>
      <c r="J32" s="163" t="e">
        <f>SUM(#REF!,#REF!,#REF!,#REF!,#REF!,#REF!,#REF!,#REF!,#REF!,#REF!,#REF!)</f>
        <v>#REF!</v>
      </c>
      <c r="K32" s="100"/>
    </row>
    <row r="33" spans="1:11" ht="15" customHeight="1">
      <c r="A33" s="40"/>
      <c r="B33" s="159"/>
      <c r="C33" s="139"/>
      <c r="D33" s="139"/>
      <c r="E33" s="139"/>
      <c r="F33" s="160"/>
      <c r="G33" s="159"/>
      <c r="H33" s="161"/>
      <c r="I33" s="162"/>
      <c r="J33" s="163"/>
      <c r="K33" s="100"/>
    </row>
    <row r="34" spans="1:11" ht="15" customHeight="1">
      <c r="A34" s="40"/>
      <c r="B34" s="159"/>
      <c r="C34" s="139"/>
      <c r="D34" s="139"/>
      <c r="E34" s="139"/>
      <c r="F34" s="160"/>
      <c r="G34" s="159"/>
      <c r="H34" s="161"/>
      <c r="I34" s="162"/>
      <c r="J34" s="163"/>
      <c r="K34" s="100"/>
    </row>
    <row r="35" spans="1:11" ht="15" customHeight="1">
      <c r="A35" s="40"/>
      <c r="B35" s="159"/>
      <c r="C35" s="139"/>
      <c r="D35" s="139"/>
      <c r="E35" s="139"/>
      <c r="F35" s="160"/>
      <c r="G35" s="159"/>
      <c r="H35" s="161"/>
      <c r="I35" s="162"/>
      <c r="J35" s="163"/>
      <c r="K35" s="100"/>
    </row>
    <row r="36" spans="1:11" ht="15" customHeight="1">
      <c r="B36" s="110"/>
      <c r="C36" s="100"/>
      <c r="D36" s="110"/>
      <c r="E36" s="110"/>
      <c r="F36" s="110"/>
      <c r="G36" s="110"/>
      <c r="H36" s="110"/>
      <c r="I36" s="110"/>
      <c r="J36" s="110"/>
      <c r="K36" s="110"/>
    </row>
    <row r="37" spans="1:11" ht="15" customHeight="1">
      <c r="B37" s="110"/>
      <c r="C37" s="100"/>
      <c r="D37" s="110"/>
      <c r="E37" s="110"/>
      <c r="F37" s="110"/>
      <c r="G37" s="110"/>
      <c r="H37" s="110"/>
      <c r="I37" s="110"/>
      <c r="J37" s="110"/>
      <c r="K37" s="110"/>
    </row>
    <row r="38" spans="1:11" ht="15" customHeight="1">
      <c r="B38" s="110"/>
      <c r="C38" s="100"/>
      <c r="D38" s="110"/>
      <c r="E38" s="110"/>
      <c r="F38" s="110"/>
      <c r="G38" s="110"/>
      <c r="H38" s="110"/>
      <c r="I38" s="110"/>
      <c r="J38" s="110"/>
      <c r="K38" s="110"/>
    </row>
    <row r="39" spans="1:11" ht="15" customHeight="1">
      <c r="B39" s="110"/>
      <c r="C39" s="100"/>
      <c r="D39" s="110"/>
      <c r="E39" s="110"/>
      <c r="F39" s="110"/>
      <c r="G39" s="110"/>
      <c r="H39" s="110"/>
      <c r="I39" s="110"/>
      <c r="J39" s="110"/>
      <c r="K39" s="110"/>
    </row>
    <row r="40" spans="1:11" ht="15" customHeight="1">
      <c r="A40" s="111" t="s">
        <v>88</v>
      </c>
    </row>
    <row r="41" spans="1:11" ht="15" customHeight="1">
      <c r="A41" s="111" t="s">
        <v>89</v>
      </c>
      <c r="H41" s="112" t="s">
        <v>90</v>
      </c>
      <c r="I41" s="54"/>
      <c r="J41" s="54"/>
      <c r="K41" s="54"/>
    </row>
  </sheetData>
  <mergeCells count="8">
    <mergeCell ref="A22:C22"/>
    <mergeCell ref="D22:F22"/>
    <mergeCell ref="G22:H22"/>
    <mergeCell ref="A1:K1"/>
    <mergeCell ref="A18:C18"/>
    <mergeCell ref="D18:F18"/>
    <mergeCell ref="A21:C21"/>
    <mergeCell ref="D21:F21"/>
  </mergeCells>
  <phoneticPr fontId="3" type="noConversion"/>
  <printOptions horizontalCentered="1"/>
  <pageMargins left="0.15748031496062992" right="0.15748031496062992" top="0.70866141732283472" bottom="0.43307086614173229" header="0.51181102362204722" footer="0.23622047244094491"/>
  <pageSetup paperSize="9" orientation="portrait" r:id="rId1"/>
  <headerFooter>
    <oddFooter>&amp;C&amp;P/&amp;N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indexed="50"/>
    <pageSetUpPr fitToPage="1"/>
  </sheetPr>
  <dimension ref="A1:L7"/>
  <sheetViews>
    <sheetView zoomScaleNormal="100" workbookViewId="0">
      <selection sqref="A1:I1"/>
    </sheetView>
  </sheetViews>
  <sheetFormatPr defaultRowHeight="12"/>
  <cols>
    <col min="1" max="1" width="4.5546875" style="7" customWidth="1"/>
    <col min="2" max="2" width="15.109375" style="7" customWidth="1"/>
    <col min="3" max="3" width="26.44140625" style="7" customWidth="1"/>
    <col min="4" max="4" width="7.77734375" style="7" customWidth="1"/>
    <col min="5" max="5" width="9.6640625" style="7" customWidth="1"/>
    <col min="6" max="6" width="4.109375" style="7" customWidth="1"/>
    <col min="7" max="7" width="11.33203125" style="7" customWidth="1"/>
    <col min="8" max="9" width="9" style="7" customWidth="1"/>
    <col min="10" max="10" width="2.44140625" style="7" customWidth="1"/>
    <col min="11" max="11" width="7.88671875" style="7" customWidth="1"/>
    <col min="12" max="12" width="11.21875" style="7" bestFit="1" customWidth="1"/>
    <col min="13" max="16384" width="8.88671875" style="7"/>
  </cols>
  <sheetData>
    <row r="1" spans="1:12" s="3" customFormat="1" ht="23.25" customHeight="1">
      <c r="A1" s="656" t="s">
        <v>131</v>
      </c>
      <c r="B1" s="656"/>
      <c r="C1" s="656"/>
      <c r="D1" s="656"/>
      <c r="E1" s="656"/>
      <c r="F1" s="656"/>
      <c r="G1" s="656"/>
      <c r="H1" s="657"/>
      <c r="I1" s="657"/>
      <c r="J1" s="1"/>
      <c r="K1" s="2"/>
    </row>
    <row r="2" spans="1:12" ht="12" customHeight="1">
      <c r="A2" s="4"/>
      <c r="B2" s="4"/>
      <c r="C2" s="4"/>
      <c r="D2" s="4"/>
      <c r="E2" s="4"/>
      <c r="F2" s="4"/>
      <c r="G2" s="4"/>
      <c r="H2" s="5"/>
      <c r="I2" s="1"/>
      <c r="J2" s="1"/>
      <c r="K2" s="6"/>
    </row>
    <row r="3" spans="1:12" ht="12" customHeight="1">
      <c r="A3" s="8" t="s">
        <v>0</v>
      </c>
      <c r="B3" s="8" t="s">
        <v>1</v>
      </c>
      <c r="C3" s="8" t="s">
        <v>132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9"/>
      <c r="K3" s="10" t="s">
        <v>133</v>
      </c>
      <c r="L3" s="11" t="s">
        <v>134</v>
      </c>
    </row>
    <row r="4" spans="1:12" ht="12" customHeight="1">
      <c r="A4" s="12"/>
      <c r="B4" s="13"/>
      <c r="C4" s="13"/>
      <c r="D4" s="14"/>
      <c r="E4" s="15"/>
      <c r="F4" s="16"/>
      <c r="G4" s="17"/>
      <c r="H4" s="18"/>
      <c r="I4" s="19"/>
      <c r="J4" s="20" t="s">
        <v>135</v>
      </c>
      <c r="K4" s="6"/>
    </row>
    <row r="5" spans="1:12" ht="12" customHeight="1">
      <c r="A5" s="12"/>
      <c r="B5" s="13"/>
      <c r="C5" s="13"/>
      <c r="D5" s="14"/>
      <c r="E5" s="15"/>
      <c r="F5" s="16"/>
      <c r="G5" s="17"/>
      <c r="H5" s="18"/>
      <c r="I5" s="19"/>
      <c r="J5" s="20" t="s">
        <v>136</v>
      </c>
      <c r="K5" s="6"/>
    </row>
    <row r="6" spans="1:12" ht="12" customHeight="1" thickBot="1">
      <c r="A6" s="21"/>
      <c r="B6" s="22" t="s">
        <v>12</v>
      </c>
      <c r="C6" s="22"/>
      <c r="D6" s="23"/>
      <c r="E6" s="24">
        <f>SUM(E4:E5)</f>
        <v>0</v>
      </c>
      <c r="F6" s="25"/>
      <c r="G6" s="26">
        <f>SUM(G4:G5)</f>
        <v>0</v>
      </c>
      <c r="H6" s="27"/>
      <c r="I6" s="28">
        <f>SUM(I4:I5)</f>
        <v>0</v>
      </c>
      <c r="J6" s="20" t="s">
        <v>137</v>
      </c>
      <c r="K6" s="29"/>
    </row>
    <row r="7" spans="1:12" ht="12" customHeight="1" thickTop="1"/>
  </sheetData>
  <mergeCells count="1">
    <mergeCell ref="A1:I1"/>
  </mergeCells>
  <phoneticPr fontId="3" type="noConversion"/>
  <printOptions horizontalCentered="1"/>
  <pageMargins left="0.15748031496062992" right="0.15748031496062992" top="0.70866141732283472" bottom="0.43307086614173229" header="0.51181102362204722" footer="0.23622047244094491"/>
  <pageSetup paperSize="9" orientation="portrait" r:id="rId1"/>
  <headerFooter>
    <oddFooter>&amp;C&amp;P/&amp;N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4"/>
  <sheetViews>
    <sheetView showGridLines="0" zoomScaleNormal="100" workbookViewId="0">
      <selection activeCell="D8" sqref="D8"/>
    </sheetView>
  </sheetViews>
  <sheetFormatPr defaultRowHeight="12"/>
  <cols>
    <col min="1" max="1" width="4.6640625" style="176" customWidth="1"/>
    <col min="2" max="2" width="14.44140625" style="164" customWidth="1"/>
    <col min="3" max="3" width="25.6640625" style="164" customWidth="1"/>
    <col min="4" max="4" width="8.6640625" style="183" bestFit="1" customWidth="1"/>
    <col min="5" max="5" width="8.77734375" style="184" customWidth="1"/>
    <col min="6" max="6" width="4.33203125" style="185" customWidth="1"/>
    <col min="7" max="7" width="11.44140625" style="164" customWidth="1"/>
    <col min="8" max="16384" width="8.88671875" style="164"/>
  </cols>
  <sheetData>
    <row r="1" spans="1:10" ht="23.25" customHeight="1">
      <c r="A1" s="702" t="s">
        <v>234</v>
      </c>
      <c r="B1" s="702"/>
      <c r="C1" s="702"/>
      <c r="D1" s="702"/>
      <c r="E1" s="702"/>
      <c r="F1" s="702"/>
      <c r="G1" s="702"/>
    </row>
    <row r="2" spans="1:10">
      <c r="A2" s="164"/>
      <c r="D2" s="165"/>
      <c r="E2" s="164"/>
      <c r="F2" s="164"/>
      <c r="G2" s="166"/>
    </row>
    <row r="3" spans="1:10" s="168" customFormat="1">
      <c r="A3" s="167" t="s">
        <v>138</v>
      </c>
      <c r="B3" s="167" t="s">
        <v>139</v>
      </c>
      <c r="C3" s="167" t="s">
        <v>140</v>
      </c>
      <c r="D3" s="167" t="s">
        <v>141</v>
      </c>
      <c r="E3" s="167" t="s">
        <v>142</v>
      </c>
      <c r="F3" s="703" t="s">
        <v>143</v>
      </c>
      <c r="G3" s="703"/>
    </row>
    <row r="4" spans="1:10" s="173" customFormat="1">
      <c r="A4" s="169"/>
      <c r="B4" s="169"/>
      <c r="C4" s="170"/>
      <c r="D4" s="171"/>
      <c r="E4" s="172"/>
      <c r="F4" s="704"/>
      <c r="G4" s="704"/>
    </row>
    <row r="5" spans="1:10" s="173" customFormat="1">
      <c r="A5" s="169"/>
      <c r="B5" s="169"/>
      <c r="C5" s="170"/>
      <c r="D5" s="171"/>
      <c r="E5" s="172"/>
      <c r="F5" s="502"/>
      <c r="G5" s="502"/>
    </row>
    <row r="6" spans="1:10" s="173" customFormat="1">
      <c r="A6" s="172"/>
      <c r="B6" s="169"/>
      <c r="C6" s="170"/>
      <c r="D6" s="171"/>
      <c r="E6" s="171"/>
      <c r="F6" s="705"/>
      <c r="G6" s="705"/>
    </row>
    <row r="7" spans="1:10">
      <c r="A7" s="174"/>
      <c r="B7" s="174"/>
      <c r="C7" s="174"/>
      <c r="D7" s="174"/>
      <c r="E7" s="174"/>
      <c r="F7" s="174"/>
      <c r="G7" s="174"/>
      <c r="H7" s="165"/>
    </row>
    <row r="8" spans="1:10" s="176" customFormat="1">
      <c r="A8" s="175" t="s">
        <v>144</v>
      </c>
      <c r="B8" s="175" t="s">
        <v>145</v>
      </c>
      <c r="C8" s="175" t="s">
        <v>146</v>
      </c>
      <c r="D8" s="175" t="s">
        <v>147</v>
      </c>
      <c r="E8" s="175" t="s">
        <v>101</v>
      </c>
      <c r="F8" s="175" t="s">
        <v>102</v>
      </c>
      <c r="G8" s="175" t="s">
        <v>148</v>
      </c>
      <c r="H8" s="175" t="s">
        <v>149</v>
      </c>
      <c r="I8" s="175" t="s">
        <v>150</v>
      </c>
    </row>
    <row r="9" spans="1:10">
      <c r="A9" s="177"/>
      <c r="B9" s="173"/>
      <c r="C9" s="173"/>
      <c r="D9" s="178"/>
      <c r="E9" s="179"/>
      <c r="F9" s="180"/>
      <c r="G9" s="181">
        <v>0</v>
      </c>
      <c r="H9" s="182"/>
      <c r="I9" s="173"/>
      <c r="J9" s="165" t="s">
        <v>151</v>
      </c>
    </row>
    <row r="10" spans="1:10">
      <c r="G10" s="186">
        <v>0</v>
      </c>
      <c r="H10" s="182"/>
      <c r="I10" s="173"/>
      <c r="J10" s="164" t="s">
        <v>151</v>
      </c>
    </row>
    <row r="11" spans="1:10">
      <c r="G11" s="186">
        <v>0</v>
      </c>
      <c r="H11" s="182"/>
      <c r="I11" s="173"/>
      <c r="J11" s="164" t="s">
        <v>151</v>
      </c>
    </row>
    <row r="12" spans="1:10" ht="12.75" thickBot="1">
      <c r="A12" s="187"/>
      <c r="B12" s="188" t="s">
        <v>12</v>
      </c>
      <c r="C12" s="188"/>
      <c r="D12" s="189"/>
      <c r="E12" s="190">
        <f>SUM(E9:E11)</f>
        <v>0</v>
      </c>
      <c r="F12" s="191"/>
      <c r="G12" s="192">
        <f>SUM(G9:G11)</f>
        <v>0</v>
      </c>
      <c r="H12" s="193"/>
      <c r="I12" s="188"/>
    </row>
    <row r="13" spans="1:10" ht="12.75" thickTop="1">
      <c r="G13" s="186"/>
    </row>
    <row r="14" spans="1:10">
      <c r="E14" s="344" t="s">
        <v>235</v>
      </c>
      <c r="F14" s="345"/>
      <c r="G14" s="346">
        <f>SC!J29</f>
        <v>0</v>
      </c>
    </row>
  </sheetData>
  <mergeCells count="4">
    <mergeCell ref="A1:G1"/>
    <mergeCell ref="F3:G3"/>
    <mergeCell ref="F4:G4"/>
    <mergeCell ref="F6:G6"/>
  </mergeCells>
  <phoneticPr fontId="3" type="noConversion"/>
  <printOptions horizontalCentered="1"/>
  <pageMargins left="0.15748031496062992" right="0.15748031496062992" top="0.5" bottom="0.15748031496062992" header="0.51181102362204722" footer="0.15748031496062992"/>
  <pageSetup paperSize="9" scale="8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indexed="50"/>
    <pageSetUpPr fitToPage="1"/>
  </sheetPr>
  <dimension ref="A1:M52"/>
  <sheetViews>
    <sheetView tabSelected="1" zoomScaleNormal="100" workbookViewId="0">
      <selection activeCell="L25" sqref="L25"/>
    </sheetView>
  </sheetViews>
  <sheetFormatPr defaultRowHeight="15" customHeight="1"/>
  <cols>
    <col min="1" max="6" width="7.77734375" style="36" customWidth="1"/>
    <col min="7" max="8" width="6.77734375" style="36" customWidth="1"/>
    <col min="9" max="11" width="10.77734375" style="36" customWidth="1"/>
    <col min="12" max="12" width="12" style="36" customWidth="1"/>
    <col min="13" max="13" width="8.5546875" style="36" bestFit="1" customWidth="1"/>
    <col min="14" max="16384" width="8.88671875" style="36"/>
  </cols>
  <sheetData>
    <row r="1" spans="1:13" s="31" customFormat="1" ht="20.25">
      <c r="A1" s="661" t="s">
        <v>152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30"/>
    </row>
    <row r="2" spans="1:13" ht="15" customHeight="1">
      <c r="A2" s="32" t="s">
        <v>153</v>
      </c>
      <c r="B2" s="33"/>
      <c r="C2" s="33"/>
      <c r="D2" s="33"/>
      <c r="E2" s="33"/>
      <c r="F2" s="34"/>
      <c r="G2" s="35" t="s">
        <v>154</v>
      </c>
      <c r="H2" s="33"/>
      <c r="I2" s="33"/>
      <c r="J2" s="33"/>
      <c r="K2" s="33"/>
    </row>
    <row r="3" spans="1:13" ht="15" customHeight="1">
      <c r="A3" s="37" t="s">
        <v>155</v>
      </c>
      <c r="B3" s="37"/>
      <c r="C3" s="37"/>
      <c r="D3" s="37"/>
      <c r="E3" s="37"/>
      <c r="F3" s="38"/>
      <c r="G3" s="194"/>
      <c r="H3" s="40"/>
      <c r="I3" s="40"/>
      <c r="J3" s="195"/>
      <c r="K3" s="41"/>
    </row>
    <row r="4" spans="1:13" ht="15" customHeight="1">
      <c r="A4" s="40" t="s">
        <v>17</v>
      </c>
      <c r="B4" s="40"/>
      <c r="C4" s="40"/>
      <c r="D4" s="40"/>
      <c r="E4" s="40"/>
      <c r="F4" s="38"/>
      <c r="G4" s="196"/>
      <c r="H4" s="54"/>
      <c r="I4" s="54"/>
      <c r="J4" s="195"/>
      <c r="K4" s="43"/>
    </row>
    <row r="5" spans="1:13" ht="15" customHeight="1">
      <c r="A5" s="40" t="s">
        <v>19</v>
      </c>
      <c r="B5" s="40"/>
      <c r="C5" s="40"/>
      <c r="D5" s="40"/>
      <c r="E5" s="40"/>
      <c r="F5" s="38"/>
      <c r="G5" s="197" t="s">
        <v>156</v>
      </c>
      <c r="I5" s="40"/>
      <c r="J5" s="33"/>
      <c r="K5" s="40"/>
    </row>
    <row r="6" spans="1:13" ht="15" customHeight="1">
      <c r="A6" s="44" t="s">
        <v>21</v>
      </c>
      <c r="B6" s="44"/>
      <c r="C6" s="44"/>
      <c r="D6" s="40"/>
      <c r="E6" s="40"/>
      <c r="F6" s="40"/>
      <c r="G6" s="198"/>
      <c r="H6" s="199"/>
      <c r="I6" s="200"/>
      <c r="J6" s="45"/>
      <c r="K6" s="45"/>
    </row>
    <row r="7" spans="1:13" ht="15" customHeight="1">
      <c r="A7" s="32" t="s">
        <v>157</v>
      </c>
      <c r="B7" s="33"/>
      <c r="C7" s="33"/>
      <c r="D7" s="33"/>
      <c r="E7" s="33"/>
      <c r="F7" s="33"/>
      <c r="G7" s="198"/>
      <c r="H7" s="199"/>
      <c r="I7" s="201"/>
      <c r="J7" s="48"/>
      <c r="K7" s="48"/>
      <c r="L7" s="40"/>
    </row>
    <row r="8" spans="1:13" ht="15" customHeight="1">
      <c r="A8" s="639" t="s">
        <v>257</v>
      </c>
      <c r="B8" s="639"/>
      <c r="C8" s="639"/>
      <c r="D8" s="635"/>
      <c r="E8" s="635"/>
      <c r="F8" s="638"/>
      <c r="G8" s="198"/>
      <c r="H8" s="199"/>
      <c r="I8" s="201"/>
      <c r="J8" s="48"/>
      <c r="K8" s="48"/>
      <c r="L8" s="40"/>
    </row>
    <row r="9" spans="1:13" ht="15" customHeight="1">
      <c r="A9" s="640" t="s">
        <v>258</v>
      </c>
      <c r="B9" s="640"/>
      <c r="C9" s="640"/>
      <c r="D9" s="640"/>
      <c r="E9" s="635"/>
      <c r="F9" s="638"/>
      <c r="G9" s="198"/>
      <c r="H9" s="199"/>
      <c r="I9" s="201"/>
      <c r="J9" s="48"/>
      <c r="K9" s="48"/>
      <c r="L9" s="51"/>
      <c r="M9" s="52"/>
    </row>
    <row r="10" spans="1:13" ht="15" customHeight="1">
      <c r="A10" s="640" t="s">
        <v>259</v>
      </c>
      <c r="B10" s="640"/>
      <c r="C10" s="640"/>
      <c r="D10" s="635"/>
      <c r="E10" s="635"/>
      <c r="F10" s="638"/>
      <c r="G10" s="198"/>
      <c r="H10" s="199"/>
      <c r="I10" s="201"/>
      <c r="J10" s="48"/>
      <c r="K10" s="48"/>
      <c r="L10" s="51"/>
      <c r="M10" s="55"/>
    </row>
    <row r="11" spans="1:13" ht="15" customHeight="1">
      <c r="A11" s="636" t="s">
        <v>260</v>
      </c>
      <c r="B11" s="643"/>
      <c r="C11" s="643"/>
      <c r="D11" s="643"/>
      <c r="E11" s="643"/>
      <c r="F11" s="638"/>
      <c r="G11" s="198"/>
      <c r="H11" s="199"/>
      <c r="I11" s="201"/>
      <c r="J11" s="58"/>
      <c r="K11" s="58"/>
      <c r="M11" s="55"/>
    </row>
    <row r="12" spans="1:13" ht="15" customHeight="1">
      <c r="A12" s="645" t="s">
        <v>261</v>
      </c>
      <c r="B12" s="644"/>
      <c r="C12" s="641"/>
      <c r="D12" s="641"/>
      <c r="E12" s="641"/>
      <c r="F12" s="642"/>
      <c r="G12" s="198"/>
      <c r="H12" s="199"/>
      <c r="I12" s="201"/>
      <c r="J12" s="58"/>
      <c r="K12" s="58"/>
      <c r="L12" s="40"/>
    </row>
    <row r="13" spans="1:13" ht="15" customHeight="1">
      <c r="A13" s="637" t="s">
        <v>26</v>
      </c>
      <c r="B13" s="635"/>
      <c r="C13" s="635"/>
      <c r="D13" s="635"/>
      <c r="E13" s="635"/>
      <c r="F13" s="638"/>
      <c r="G13" s="198"/>
      <c r="H13" s="199"/>
      <c r="I13" s="201"/>
      <c r="J13" s="58"/>
      <c r="K13" s="58"/>
      <c r="L13" s="40"/>
    </row>
    <row r="14" spans="1:13" ht="15" customHeight="1">
      <c r="A14" s="202" t="s">
        <v>158</v>
      </c>
      <c r="B14" s="40"/>
      <c r="C14" s="40"/>
      <c r="D14" s="40"/>
      <c r="E14" s="40"/>
      <c r="F14" s="40"/>
      <c r="G14" s="198"/>
      <c r="H14" s="199"/>
      <c r="I14" s="201"/>
      <c r="J14" s="58"/>
      <c r="K14" s="58"/>
      <c r="L14" s="51"/>
    </row>
    <row r="15" spans="1:13" ht="15" customHeight="1">
      <c r="A15" s="54"/>
      <c r="B15" s="54"/>
      <c r="C15" s="54"/>
      <c r="D15" s="54"/>
      <c r="E15" s="54"/>
      <c r="F15" s="54"/>
      <c r="G15" s="198"/>
      <c r="H15" s="199"/>
      <c r="I15" s="201"/>
      <c r="J15" s="58"/>
      <c r="K15" s="58"/>
      <c r="L15" s="51"/>
    </row>
    <row r="16" spans="1:13" ht="15" customHeight="1">
      <c r="A16" s="32" t="s">
        <v>159</v>
      </c>
      <c r="B16" s="33"/>
      <c r="C16" s="34"/>
      <c r="D16" s="32" t="s">
        <v>160</v>
      </c>
      <c r="E16" s="33"/>
      <c r="F16" s="33"/>
      <c r="G16" s="198"/>
      <c r="H16" s="199"/>
      <c r="I16" s="201"/>
      <c r="J16" s="58"/>
      <c r="K16" s="58"/>
      <c r="L16" s="40"/>
    </row>
    <row r="17" spans="1:13" ht="15" customHeight="1">
      <c r="A17" s="203"/>
      <c r="B17" s="40"/>
      <c r="C17" s="38"/>
      <c r="D17" s="194"/>
      <c r="E17" s="203"/>
      <c r="F17" s="40"/>
      <c r="G17" s="198"/>
      <c r="H17" s="199"/>
      <c r="I17" s="201"/>
      <c r="J17" s="58"/>
      <c r="K17" s="58"/>
      <c r="L17" s="40"/>
    </row>
    <row r="18" spans="1:13" ht="15" customHeight="1">
      <c r="A18" s="662" t="s">
        <v>240</v>
      </c>
      <c r="B18" s="662"/>
      <c r="C18" s="663"/>
      <c r="D18" s="708" t="s">
        <v>161</v>
      </c>
      <c r="E18" s="709"/>
      <c r="F18" s="709"/>
      <c r="G18" s="198"/>
      <c r="H18" s="199"/>
      <c r="I18" s="201"/>
      <c r="J18" s="58"/>
      <c r="K18" s="58"/>
    </row>
    <row r="19" spans="1:13" ht="15" customHeight="1">
      <c r="A19" s="32" t="s">
        <v>162</v>
      </c>
      <c r="B19" s="33"/>
      <c r="C19" s="34"/>
      <c r="D19" s="32" t="s">
        <v>163</v>
      </c>
      <c r="E19" s="33"/>
      <c r="F19" s="33"/>
      <c r="G19" s="198"/>
      <c r="H19" s="199"/>
      <c r="I19" s="201"/>
      <c r="J19" s="58"/>
      <c r="K19" s="58"/>
    </row>
    <row r="20" spans="1:13" ht="15" customHeight="1">
      <c r="A20" s="40"/>
      <c r="B20" s="40"/>
      <c r="C20" s="38"/>
      <c r="D20" s="204" t="s">
        <v>164</v>
      </c>
      <c r="E20" s="204"/>
      <c r="F20" s="40"/>
      <c r="G20" s="198"/>
      <c r="H20" s="199"/>
      <c r="I20" s="201"/>
      <c r="J20" s="58"/>
      <c r="K20" s="58"/>
    </row>
    <row r="21" spans="1:13" ht="15" customHeight="1">
      <c r="A21" s="662"/>
      <c r="B21" s="662"/>
      <c r="C21" s="663"/>
      <c r="D21" s="669"/>
      <c r="E21" s="670"/>
      <c r="F21" s="671"/>
      <c r="G21" s="205"/>
      <c r="H21" s="206"/>
      <c r="I21" s="207"/>
      <c r="J21" s="70"/>
      <c r="K21" s="70"/>
    </row>
    <row r="22" spans="1:13" s="73" customFormat="1" ht="15" customHeight="1">
      <c r="A22" s="658" t="s">
        <v>165</v>
      </c>
      <c r="B22" s="658"/>
      <c r="C22" s="659"/>
      <c r="D22" s="660" t="s">
        <v>166</v>
      </c>
      <c r="E22" s="658"/>
      <c r="F22" s="659"/>
      <c r="G22" s="706" t="s">
        <v>167</v>
      </c>
      <c r="H22" s="707"/>
      <c r="I22" s="208" t="s">
        <v>168</v>
      </c>
      <c r="J22" s="209" t="s">
        <v>169</v>
      </c>
      <c r="K22" s="72" t="s">
        <v>170</v>
      </c>
    </row>
    <row r="23" spans="1:13" ht="15" customHeight="1">
      <c r="A23" s="88" t="s">
        <v>164</v>
      </c>
      <c r="B23" s="40"/>
      <c r="C23" s="38"/>
      <c r="D23" s="40"/>
      <c r="E23" s="40"/>
      <c r="F23" s="40"/>
      <c r="G23" s="46"/>
      <c r="H23" s="38"/>
      <c r="I23" s="210" t="s">
        <v>171</v>
      </c>
      <c r="J23" s="211" t="s">
        <v>171</v>
      </c>
    </row>
    <row r="24" spans="1:13" ht="15" customHeight="1">
      <c r="A24" s="88" t="s">
        <v>164</v>
      </c>
      <c r="B24" s="40"/>
      <c r="C24" s="40"/>
      <c r="G24" s="40"/>
      <c r="H24" s="40"/>
    </row>
    <row r="25" spans="1:13" ht="15" customHeight="1">
      <c r="B25" s="40"/>
      <c r="D25" s="37" t="s">
        <v>172</v>
      </c>
      <c r="E25" s="37"/>
      <c r="G25" s="730">
        <f>VLOOKUP("TOTAL",P!A:I,7,0)</f>
        <v>0</v>
      </c>
      <c r="H25" s="730"/>
      <c r="I25" s="212">
        <f>BVT.INV!I6</f>
        <v>0</v>
      </c>
      <c r="J25" s="213">
        <f>I25*1.1</f>
        <v>0</v>
      </c>
      <c r="K25" s="77">
        <f>J25/166</f>
        <v>0</v>
      </c>
    </row>
    <row r="26" spans="1:13" ht="15" customHeight="1">
      <c r="B26" s="44"/>
      <c r="D26" s="214"/>
      <c r="E26" s="214"/>
      <c r="F26" s="44"/>
      <c r="G26" s="44"/>
      <c r="H26" s="44"/>
      <c r="I26" s="215"/>
      <c r="J26" s="81"/>
      <c r="K26" s="81"/>
      <c r="L26" s="44"/>
    </row>
    <row r="27" spans="1:13" ht="15" customHeight="1">
      <c r="A27" s="216" t="s">
        <v>173</v>
      </c>
      <c r="B27" s="37"/>
      <c r="D27" s="217"/>
      <c r="E27" s="217"/>
      <c r="F27" s="218"/>
      <c r="G27" s="217"/>
      <c r="I27" s="215"/>
      <c r="J27" s="81"/>
      <c r="K27" s="81"/>
      <c r="L27" s="88"/>
    </row>
    <row r="28" spans="1:13" s="40" customFormat="1" ht="15" customHeight="1">
      <c r="A28" s="219" t="s">
        <v>174</v>
      </c>
      <c r="D28" s="149"/>
      <c r="E28" s="217"/>
      <c r="F28" s="218"/>
      <c r="G28" s="217"/>
      <c r="I28" s="215"/>
      <c r="J28" s="81"/>
      <c r="K28" s="81"/>
      <c r="L28" s="88"/>
      <c r="M28" s="89"/>
    </row>
    <row r="29" spans="1:13" s="40" customFormat="1" ht="15" customHeight="1">
      <c r="A29" s="220"/>
      <c r="B29" s="88"/>
      <c r="C29" s="88"/>
      <c r="D29" s="149" t="s">
        <v>175</v>
      </c>
      <c r="E29" s="217"/>
      <c r="G29" s="217"/>
      <c r="I29" s="81"/>
      <c r="J29" s="81"/>
      <c r="K29" s="81"/>
      <c r="L29" s="88"/>
    </row>
    <row r="30" spans="1:13" s="40" customFormat="1" ht="15" customHeight="1">
      <c r="A30" s="220" t="s">
        <v>176</v>
      </c>
      <c r="B30" s="88"/>
      <c r="C30" s="88"/>
      <c r="D30" s="88"/>
      <c r="E30" s="88"/>
      <c r="F30" s="44"/>
      <c r="G30" s="217"/>
      <c r="H30" s="221"/>
      <c r="I30" s="81"/>
      <c r="J30" s="213"/>
      <c r="K30" s="77"/>
      <c r="L30" s="88"/>
    </row>
    <row r="31" spans="1:13" s="40" customFormat="1" ht="15" customHeight="1">
      <c r="A31" s="220" t="s">
        <v>177</v>
      </c>
      <c r="B31" s="222"/>
      <c r="C31" s="88"/>
      <c r="D31" s="88"/>
      <c r="E31" s="88"/>
      <c r="L31" s="88"/>
    </row>
    <row r="32" spans="1:13" s="40" customFormat="1" ht="15" customHeight="1">
      <c r="A32" s="220" t="s">
        <v>178</v>
      </c>
      <c r="B32" s="222"/>
      <c r="C32" s="88"/>
      <c r="D32" s="88"/>
      <c r="E32" s="88"/>
      <c r="F32" s="220"/>
      <c r="G32" s="223"/>
      <c r="H32" s="221"/>
      <c r="I32" s="100"/>
      <c r="J32" s="107"/>
      <c r="K32" s="100"/>
      <c r="L32" s="88"/>
    </row>
    <row r="33" spans="1:12" s="40" customFormat="1" ht="15" customHeight="1" thickBot="1">
      <c r="A33" s="220" t="s">
        <v>179</v>
      </c>
      <c r="B33" s="222"/>
      <c r="C33" s="88"/>
      <c r="D33" s="224" t="s">
        <v>180</v>
      </c>
      <c r="E33" s="225"/>
      <c r="F33" s="226"/>
      <c r="G33" s="227"/>
      <c r="H33" s="228"/>
      <c r="I33" s="226"/>
      <c r="J33" s="226"/>
      <c r="K33" s="226"/>
      <c r="L33" s="88"/>
    </row>
    <row r="34" spans="1:12" ht="15" customHeight="1" thickTop="1">
      <c r="B34" s="110"/>
      <c r="D34" s="88"/>
      <c r="E34" s="88"/>
      <c r="F34" s="229"/>
      <c r="I34" s="100"/>
      <c r="J34" s="107"/>
      <c r="K34" s="100"/>
    </row>
    <row r="35" spans="1:12" ht="15" customHeight="1">
      <c r="B35" s="110"/>
      <c r="C35" s="100"/>
      <c r="F35" s="44"/>
      <c r="G35" s="223"/>
      <c r="H35" s="221"/>
      <c r="I35" s="44"/>
      <c r="J35" s="44"/>
      <c r="K35" s="44"/>
    </row>
    <row r="36" spans="1:12" ht="15" customHeight="1">
      <c r="B36" s="110"/>
      <c r="C36" s="100"/>
      <c r="D36" s="88"/>
      <c r="E36" s="88"/>
      <c r="F36" s="229"/>
      <c r="G36" s="223"/>
      <c r="H36" s="221"/>
      <c r="I36" s="100"/>
      <c r="J36" s="107"/>
      <c r="K36" s="100"/>
    </row>
    <row r="37" spans="1:12" ht="15" customHeight="1">
      <c r="B37" s="110"/>
      <c r="C37" s="100"/>
    </row>
    <row r="38" spans="1:12" ht="15" customHeight="1">
      <c r="B38" s="110"/>
      <c r="C38" s="100"/>
      <c r="D38" s="108"/>
      <c r="E38" s="108"/>
      <c r="F38" s="44"/>
      <c r="G38" s="109"/>
      <c r="H38" s="44"/>
      <c r="I38" s="44"/>
      <c r="J38" s="44"/>
      <c r="K38" s="44"/>
    </row>
    <row r="39" spans="1:12" ht="15" customHeight="1">
      <c r="B39" s="110"/>
      <c r="C39" s="100"/>
      <c r="D39" s="108"/>
      <c r="E39" s="108"/>
      <c r="F39" s="44"/>
      <c r="G39" s="109"/>
      <c r="H39" s="44"/>
      <c r="I39" s="44"/>
      <c r="J39" s="44"/>
      <c r="K39" s="44"/>
    </row>
    <row r="40" spans="1:12" ht="15" customHeight="1">
      <c r="B40" s="110"/>
      <c r="C40" s="100"/>
      <c r="D40" s="108"/>
      <c r="E40" s="108"/>
      <c r="F40" s="44"/>
      <c r="G40" s="109"/>
      <c r="H40" s="44"/>
      <c r="I40" s="44"/>
      <c r="J40" s="44"/>
      <c r="K40" s="44"/>
    </row>
    <row r="41" spans="1:12" ht="15" customHeight="1">
      <c r="B41" s="110"/>
      <c r="C41" s="100"/>
      <c r="D41" s="108"/>
      <c r="E41" s="108"/>
      <c r="F41" s="44"/>
      <c r="G41" s="109"/>
      <c r="H41" s="44"/>
      <c r="I41" s="44"/>
      <c r="J41" s="44"/>
      <c r="K41" s="44"/>
    </row>
    <row r="42" spans="1:12" ht="15" customHeight="1">
      <c r="B42" s="110"/>
      <c r="C42" s="100"/>
      <c r="D42" s="108"/>
      <c r="E42" s="108"/>
      <c r="F42" s="44"/>
      <c r="G42" s="109"/>
      <c r="H42" s="44"/>
      <c r="I42" s="44"/>
      <c r="J42" s="44"/>
      <c r="K42" s="44"/>
    </row>
    <row r="43" spans="1:12" ht="15" customHeight="1">
      <c r="B43" s="110"/>
      <c r="C43" s="100"/>
      <c r="D43" s="108"/>
      <c r="E43" s="108"/>
      <c r="F43" s="44"/>
      <c r="G43" s="109"/>
      <c r="H43" s="44"/>
      <c r="I43" s="44"/>
      <c r="J43" s="44"/>
      <c r="K43" s="44"/>
    </row>
    <row r="44" spans="1:12" ht="15" customHeight="1">
      <c r="B44" s="110"/>
      <c r="C44" s="100"/>
      <c r="D44" s="108"/>
      <c r="E44" s="108"/>
      <c r="F44" s="44"/>
      <c r="G44" s="109"/>
      <c r="H44" s="44"/>
      <c r="I44" s="44"/>
      <c r="J44" s="44"/>
      <c r="K44" s="44"/>
    </row>
    <row r="45" spans="1:12" ht="15" customHeight="1">
      <c r="B45" s="110"/>
      <c r="C45" s="100"/>
      <c r="D45" s="108"/>
      <c r="E45" s="108"/>
      <c r="F45" s="44"/>
      <c r="G45" s="109"/>
      <c r="H45" s="44"/>
      <c r="I45" s="44"/>
      <c r="J45" s="44"/>
      <c r="K45" s="44"/>
    </row>
    <row r="46" spans="1:12" ht="15" customHeight="1">
      <c r="B46" s="110"/>
      <c r="C46" s="100"/>
      <c r="D46" s="110"/>
      <c r="E46" s="110"/>
      <c r="F46" s="110"/>
      <c r="G46" s="110"/>
      <c r="H46" s="110"/>
      <c r="I46" s="110"/>
      <c r="J46" s="110"/>
      <c r="K46" s="110"/>
    </row>
    <row r="47" spans="1:12" ht="15" customHeight="1">
      <c r="B47" s="110"/>
      <c r="C47" s="100"/>
      <c r="D47" s="110"/>
      <c r="E47" s="110"/>
      <c r="F47" s="110"/>
      <c r="G47" s="110"/>
      <c r="H47" s="110"/>
      <c r="I47" s="110"/>
      <c r="J47" s="110"/>
      <c r="K47" s="110"/>
    </row>
    <row r="48" spans="1:12" ht="15" customHeight="1">
      <c r="B48" s="110"/>
      <c r="C48" s="100"/>
      <c r="D48" s="110"/>
      <c r="E48" s="110"/>
      <c r="F48" s="110"/>
      <c r="G48" s="110"/>
      <c r="H48" s="110"/>
      <c r="I48" s="110"/>
      <c r="J48" s="110"/>
      <c r="K48" s="110"/>
    </row>
    <row r="49" spans="1:11" ht="15" customHeight="1">
      <c r="B49" s="110"/>
      <c r="C49" s="100"/>
      <c r="D49" s="110"/>
      <c r="E49" s="110"/>
      <c r="F49" s="110"/>
      <c r="G49" s="110"/>
      <c r="H49" s="110"/>
      <c r="I49" s="110"/>
      <c r="J49" s="110"/>
      <c r="K49" s="110"/>
    </row>
    <row r="50" spans="1:11" ht="15" customHeight="1">
      <c r="B50" s="110"/>
      <c r="C50" s="100"/>
      <c r="D50" s="110"/>
      <c r="E50" s="110"/>
      <c r="F50" s="110"/>
      <c r="G50" s="110"/>
      <c r="H50" s="110"/>
      <c r="I50" s="110"/>
      <c r="J50" s="110"/>
      <c r="K50" s="110"/>
    </row>
    <row r="51" spans="1:11" ht="15" customHeight="1">
      <c r="A51" s="111" t="s">
        <v>181</v>
      </c>
    </row>
    <row r="52" spans="1:11" ht="15" customHeight="1">
      <c r="A52" s="111" t="s">
        <v>49</v>
      </c>
      <c r="H52" s="112" t="s">
        <v>182</v>
      </c>
      <c r="I52" s="54"/>
      <c r="J52" s="54"/>
      <c r="K52" s="54"/>
    </row>
  </sheetData>
  <mergeCells count="9">
    <mergeCell ref="G25:H25"/>
    <mergeCell ref="A22:C22"/>
    <mergeCell ref="D22:F22"/>
    <mergeCell ref="G22:H22"/>
    <mergeCell ref="A1:K1"/>
    <mergeCell ref="A18:C18"/>
    <mergeCell ref="D18:F18"/>
    <mergeCell ref="A21:C21"/>
    <mergeCell ref="D21:F21"/>
  </mergeCells>
  <phoneticPr fontId="3" type="noConversion"/>
  <printOptions horizontalCentered="1"/>
  <pageMargins left="0.15748031496062992" right="0.15748031496062992" top="0.70866141732283472" bottom="0.43307086614173229" header="0.51181102362204722" footer="0.23622047244094491"/>
  <pageSetup paperSize="9" orientation="portrait" r:id="rId1"/>
  <headerFooter>
    <oddFooter>&amp;C&amp;P/&amp;N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K7"/>
  <sheetViews>
    <sheetView showGridLines="0" zoomScale="85" zoomScaleNormal="85" workbookViewId="0">
      <selection sqref="A1:J1"/>
    </sheetView>
  </sheetViews>
  <sheetFormatPr defaultRowHeight="12"/>
  <cols>
    <col min="1" max="1" width="19.88671875" style="115" bestFit="1" customWidth="1"/>
    <col min="2" max="2" width="11.77734375" style="115" bestFit="1" customWidth="1"/>
    <col min="3" max="3" width="30.44140625" style="115" bestFit="1" customWidth="1"/>
    <col min="4" max="4" width="23.21875" style="115" bestFit="1" customWidth="1"/>
    <col min="5" max="5" width="28.44140625" style="115" bestFit="1" customWidth="1"/>
    <col min="6" max="6" width="6.88671875" style="115" bestFit="1" customWidth="1"/>
    <col min="7" max="7" width="8.5546875" style="115" bestFit="1" customWidth="1"/>
    <col min="8" max="8" width="9.109375" style="115" bestFit="1" customWidth="1"/>
    <col min="9" max="9" width="11.109375" style="115" bestFit="1" customWidth="1"/>
    <col min="10" max="10" width="12.33203125" style="115" bestFit="1" customWidth="1"/>
    <col min="11" max="16384" width="8.88671875" style="115"/>
  </cols>
  <sheetData>
    <row r="1" spans="1:11" ht="20.25">
      <c r="A1" s="697" t="s">
        <v>111</v>
      </c>
      <c r="B1" s="697"/>
      <c r="C1" s="697"/>
      <c r="D1" s="697"/>
      <c r="E1" s="697"/>
      <c r="F1" s="697"/>
      <c r="G1" s="697"/>
      <c r="H1" s="697"/>
      <c r="I1" s="697"/>
      <c r="J1" s="697"/>
    </row>
    <row r="3" spans="1:11" s="118" customFormat="1">
      <c r="A3" s="116" t="s">
        <v>112</v>
      </c>
      <c r="B3" s="116" t="s">
        <v>262</v>
      </c>
      <c r="C3" s="116" t="s">
        <v>113</v>
      </c>
      <c r="D3" s="117" t="s">
        <v>114</v>
      </c>
      <c r="E3" s="116" t="s">
        <v>115</v>
      </c>
      <c r="F3" s="117" t="s">
        <v>116</v>
      </c>
      <c r="G3" s="117" t="s">
        <v>117</v>
      </c>
      <c r="H3" s="117" t="s">
        <v>118</v>
      </c>
      <c r="I3" s="117" t="s">
        <v>119</v>
      </c>
      <c r="J3" s="117" t="s">
        <v>120</v>
      </c>
    </row>
    <row r="4" spans="1:11">
      <c r="A4" s="119"/>
      <c r="B4" s="119"/>
      <c r="C4" s="119"/>
      <c r="D4" s="120"/>
      <c r="E4" s="119"/>
      <c r="F4" s="121"/>
      <c r="G4" s="230"/>
      <c r="H4" s="231"/>
      <c r="I4" s="232"/>
      <c r="J4" s="233"/>
    </row>
    <row r="5" spans="1:11">
      <c r="A5" s="125"/>
      <c r="B5" s="125"/>
      <c r="C5" s="125"/>
      <c r="D5" s="126"/>
      <c r="E5" s="125"/>
      <c r="F5" s="127"/>
      <c r="G5" s="234"/>
      <c r="H5" s="235"/>
      <c r="I5" s="236"/>
      <c r="J5" s="237"/>
    </row>
    <row r="6" spans="1:11" ht="12.75" thickBot="1">
      <c r="A6" s="125"/>
      <c r="B6" s="125"/>
      <c r="C6" s="125"/>
      <c r="D6" s="126"/>
      <c r="E6" s="125"/>
      <c r="F6" s="127"/>
      <c r="G6" s="234"/>
      <c r="H6" s="235"/>
      <c r="I6" s="236"/>
      <c r="J6" s="237"/>
    </row>
    <row r="7" spans="1:11" ht="12.75" thickBot="1">
      <c r="A7" s="132" t="s">
        <v>121</v>
      </c>
      <c r="B7" s="132"/>
      <c r="C7" s="132" t="s">
        <v>122</v>
      </c>
      <c r="D7" s="133"/>
      <c r="E7" s="133"/>
      <c r="F7" s="133"/>
      <c r="G7" s="134">
        <f>SUM(G4:G6)</f>
        <v>0</v>
      </c>
      <c r="H7" s="135">
        <f>SUM(H4:H6)</f>
        <v>0</v>
      </c>
      <c r="I7" s="133"/>
      <c r="J7" s="133"/>
      <c r="K7" s="136"/>
    </row>
  </sheetData>
  <mergeCells count="1">
    <mergeCell ref="A1:J1"/>
  </mergeCells>
  <phoneticPr fontId="3" type="noConversion"/>
  <printOptions horizontalCentered="1"/>
  <pageMargins left="0.15748031496062992" right="0.15748031496062992" top="0.35433070866141736" bottom="0.15748031496062992" header="0.39370078740157483" footer="0.19685039370078741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indexed="50"/>
    <pageSetUpPr fitToPage="1"/>
  </sheetPr>
  <dimension ref="A1:P59"/>
  <sheetViews>
    <sheetView topLeftCell="A13" zoomScaleNormal="100" workbookViewId="0">
      <selection activeCell="J47" sqref="J47"/>
    </sheetView>
  </sheetViews>
  <sheetFormatPr defaultRowHeight="15" customHeight="1"/>
  <cols>
    <col min="1" max="4" width="7.77734375" style="243" customWidth="1"/>
    <col min="5" max="5" width="6.5546875" style="243" customWidth="1"/>
    <col min="6" max="6" width="9.33203125" style="243" customWidth="1"/>
    <col min="7" max="7" width="8" style="243" customWidth="1"/>
    <col min="8" max="8" width="7.44140625" style="243" customWidth="1"/>
    <col min="9" max="9" width="12.6640625" style="243" customWidth="1"/>
    <col min="10" max="10" width="14.77734375" style="243" customWidth="1"/>
    <col min="11" max="11" width="8.44140625" style="243" customWidth="1"/>
    <col min="12" max="12" width="12" style="243" customWidth="1"/>
    <col min="13" max="13" width="8.5546875" style="243" bestFit="1" customWidth="1"/>
    <col min="14" max="16384" width="8.88671875" style="243"/>
  </cols>
  <sheetData>
    <row r="1" spans="1:16" s="239" customFormat="1" ht="26.25">
      <c r="A1" s="713" t="s">
        <v>183</v>
      </c>
      <c r="B1" s="713"/>
      <c r="C1" s="713"/>
      <c r="D1" s="713"/>
      <c r="E1" s="713"/>
      <c r="F1" s="713"/>
      <c r="G1" s="713"/>
      <c r="H1" s="713"/>
      <c r="I1" s="713"/>
      <c r="J1" s="713"/>
      <c r="K1" s="714"/>
      <c r="L1" s="238"/>
    </row>
    <row r="2" spans="1:16" ht="15" customHeight="1">
      <c r="A2" s="240" t="s">
        <v>217</v>
      </c>
      <c r="B2" s="241"/>
      <c r="C2" s="241"/>
      <c r="D2" s="241"/>
      <c r="E2" s="241"/>
      <c r="F2" s="241"/>
      <c r="G2" s="242" t="s">
        <v>15</v>
      </c>
      <c r="H2" s="241"/>
      <c r="I2" s="241"/>
      <c r="J2" s="241"/>
      <c r="K2" s="241"/>
    </row>
    <row r="3" spans="1:16" ht="15" customHeight="1">
      <c r="A3" s="244" t="s">
        <v>184</v>
      </c>
      <c r="B3" s="244"/>
      <c r="C3" s="244"/>
      <c r="D3" s="244"/>
      <c r="E3" s="244"/>
      <c r="F3" s="245"/>
      <c r="G3" s="246"/>
      <c r="H3" s="245"/>
      <c r="I3" s="245"/>
      <c r="J3" s="247"/>
      <c r="K3" s="248"/>
    </row>
    <row r="4" spans="1:16" ht="15" customHeight="1">
      <c r="A4" s="245" t="s">
        <v>185</v>
      </c>
      <c r="B4" s="245"/>
      <c r="C4" s="245"/>
      <c r="D4" s="245"/>
      <c r="E4" s="245"/>
      <c r="F4" s="245"/>
      <c r="G4" s="249" t="s">
        <v>186</v>
      </c>
      <c r="H4" s="245"/>
      <c r="I4" s="245"/>
      <c r="J4" s="250"/>
      <c r="K4" s="250">
        <v>42872</v>
      </c>
    </row>
    <row r="5" spans="1:16" ht="15" customHeight="1">
      <c r="A5" s="245" t="s">
        <v>187</v>
      </c>
      <c r="B5" s="245"/>
      <c r="C5" s="245"/>
      <c r="D5" s="245"/>
      <c r="E5" s="245"/>
      <c r="F5" s="245"/>
      <c r="G5" s="251"/>
      <c r="H5" s="245"/>
      <c r="I5" s="245"/>
      <c r="J5" s="245"/>
      <c r="K5" s="245"/>
    </row>
    <row r="6" spans="1:16" ht="15" customHeight="1">
      <c r="A6" s="252" t="s">
        <v>188</v>
      </c>
      <c r="B6" s="252"/>
      <c r="C6" s="252"/>
      <c r="D6" s="252"/>
      <c r="E6" s="252"/>
      <c r="F6" s="245"/>
      <c r="G6" s="253"/>
      <c r="H6" s="254"/>
      <c r="I6" s="254"/>
      <c r="J6" s="254"/>
      <c r="K6" s="255"/>
    </row>
    <row r="7" spans="1:16" ht="15" customHeight="1">
      <c r="A7" s="240" t="s">
        <v>218</v>
      </c>
      <c r="B7" s="241"/>
      <c r="C7" s="241"/>
      <c r="D7" s="241"/>
      <c r="E7" s="241"/>
      <c r="F7" s="241"/>
      <c r="G7" s="242" t="s">
        <v>189</v>
      </c>
      <c r="H7" s="244"/>
      <c r="I7" s="244"/>
      <c r="J7" s="256"/>
      <c r="K7" s="257"/>
      <c r="L7" s="245"/>
    </row>
    <row r="8" spans="1:16" ht="15" customHeight="1">
      <c r="A8" s="649" t="s">
        <v>257</v>
      </c>
      <c r="B8" s="649"/>
      <c r="C8" s="649"/>
      <c r="D8" s="646"/>
      <c r="E8" s="646"/>
      <c r="F8" s="648"/>
      <c r="G8" s="251"/>
      <c r="H8" s="245"/>
      <c r="I8" s="245"/>
      <c r="J8" s="245"/>
      <c r="K8" s="257"/>
      <c r="L8" s="245"/>
    </row>
    <row r="9" spans="1:16" ht="15" customHeight="1">
      <c r="A9" s="650" t="s">
        <v>258</v>
      </c>
      <c r="B9" s="650"/>
      <c r="C9" s="650"/>
      <c r="D9" s="650"/>
      <c r="E9" s="646"/>
      <c r="F9" s="648"/>
      <c r="G9" s="260"/>
      <c r="H9" s="245"/>
      <c r="I9" s="245"/>
      <c r="J9" s="245"/>
      <c r="K9" s="257"/>
      <c r="L9" s="261"/>
      <c r="M9" s="262"/>
    </row>
    <row r="10" spans="1:16" ht="15" customHeight="1">
      <c r="A10" s="650" t="s">
        <v>259</v>
      </c>
      <c r="B10" s="650"/>
      <c r="C10" s="650"/>
      <c r="D10" s="646"/>
      <c r="E10" s="646"/>
      <c r="F10" s="648"/>
      <c r="G10" s="260"/>
      <c r="H10" s="245"/>
      <c r="I10" s="245"/>
      <c r="J10" s="245"/>
      <c r="K10" s="257"/>
      <c r="L10" s="261"/>
      <c r="M10" s="263"/>
    </row>
    <row r="11" spans="1:16" ht="15" customHeight="1">
      <c r="A11" s="647" t="s">
        <v>260</v>
      </c>
      <c r="B11" s="653"/>
      <c r="C11" s="653"/>
      <c r="D11" s="653"/>
      <c r="E11" s="653"/>
      <c r="F11" s="648"/>
      <c r="G11" s="251"/>
      <c r="H11" s="245"/>
      <c r="I11" s="245"/>
      <c r="J11" s="245"/>
      <c r="K11" s="265"/>
      <c r="L11" s="266"/>
      <c r="M11" s="267"/>
      <c r="N11" s="267"/>
      <c r="O11" s="267"/>
      <c r="P11" s="267"/>
    </row>
    <row r="12" spans="1:16" ht="15" customHeight="1">
      <c r="A12" s="655" t="s">
        <v>261</v>
      </c>
      <c r="B12" s="654"/>
      <c r="C12" s="651"/>
      <c r="D12" s="651"/>
      <c r="E12" s="651"/>
      <c r="F12" s="652"/>
      <c r="G12" s="246"/>
      <c r="H12" s="268"/>
      <c r="I12" s="245"/>
      <c r="J12" s="245"/>
      <c r="K12" s="265"/>
      <c r="L12" s="266"/>
      <c r="M12" s="267"/>
      <c r="N12" s="267"/>
      <c r="O12" s="267"/>
      <c r="P12" s="269"/>
    </row>
    <row r="13" spans="1:16" ht="15" customHeight="1">
      <c r="A13" s="270" t="s">
        <v>219</v>
      </c>
      <c r="B13" s="646"/>
      <c r="C13" s="646"/>
      <c r="D13" s="646"/>
      <c r="E13" s="646"/>
      <c r="F13" s="648"/>
      <c r="G13" s="246"/>
      <c r="H13" s="268"/>
      <c r="I13" s="271"/>
      <c r="J13" s="272"/>
      <c r="K13" s="265"/>
      <c r="L13" s="266"/>
      <c r="M13" s="267"/>
      <c r="N13" s="267"/>
      <c r="O13" s="267"/>
      <c r="P13" s="269"/>
    </row>
    <row r="14" spans="1:16" ht="15" customHeight="1">
      <c r="A14" s="273" t="s">
        <v>220</v>
      </c>
      <c r="B14" s="270"/>
      <c r="C14" s="245"/>
      <c r="D14" s="245"/>
      <c r="E14" s="245"/>
      <c r="F14" s="245"/>
      <c r="G14" s="260"/>
      <c r="H14" s="268"/>
      <c r="I14" s="274"/>
      <c r="J14" s="272"/>
      <c r="K14" s="265"/>
      <c r="L14" s="266"/>
      <c r="M14" s="267"/>
      <c r="N14" s="267"/>
      <c r="O14" s="267"/>
      <c r="P14" s="269"/>
    </row>
    <row r="15" spans="1:16" ht="15" customHeight="1">
      <c r="A15" s="245"/>
      <c r="B15" s="245"/>
      <c r="C15" s="245"/>
      <c r="D15" s="245"/>
      <c r="E15" s="245"/>
      <c r="F15" s="245"/>
      <c r="G15" s="275"/>
      <c r="H15" s="276"/>
      <c r="I15" s="245"/>
      <c r="J15" s="245"/>
      <c r="K15" s="265"/>
      <c r="L15" s="266"/>
      <c r="M15" s="267"/>
      <c r="N15" s="267"/>
      <c r="O15" s="267"/>
      <c r="P15" s="269"/>
    </row>
    <row r="16" spans="1:16" ht="15" customHeight="1">
      <c r="A16" s="240" t="s">
        <v>225</v>
      </c>
      <c r="B16" s="241"/>
      <c r="C16" s="277"/>
      <c r="D16" s="240" t="s">
        <v>224</v>
      </c>
      <c r="E16" s="241"/>
      <c r="F16" s="241"/>
      <c r="G16" s="246"/>
      <c r="H16" s="271"/>
      <c r="I16" s="278"/>
      <c r="J16" s="244"/>
      <c r="K16" s="265"/>
      <c r="L16" s="266"/>
      <c r="M16" s="267"/>
      <c r="N16" s="267"/>
      <c r="O16" s="267"/>
      <c r="P16" s="269"/>
    </row>
    <row r="17" spans="1:16" ht="15" customHeight="1">
      <c r="A17" s="245"/>
      <c r="B17" s="245"/>
      <c r="C17" s="245"/>
      <c r="D17" s="249" t="s">
        <v>23</v>
      </c>
      <c r="E17" s="279"/>
      <c r="F17" s="245"/>
      <c r="G17" s="260"/>
      <c r="H17" s="274"/>
      <c r="I17" s="278"/>
      <c r="J17" s="244"/>
      <c r="K17" s="265"/>
      <c r="L17" s="266"/>
      <c r="M17" s="267"/>
      <c r="N17" s="267"/>
      <c r="O17" s="267"/>
      <c r="P17" s="269"/>
    </row>
    <row r="18" spans="1:16" ht="15" customHeight="1">
      <c r="A18" s="715" t="s">
        <v>240</v>
      </c>
      <c r="B18" s="715"/>
      <c r="C18" s="716"/>
      <c r="D18" s="717" t="s">
        <v>221</v>
      </c>
      <c r="E18" s="718"/>
      <c r="F18" s="719"/>
      <c r="G18" s="260"/>
      <c r="H18" s="274"/>
      <c r="I18" s="278"/>
      <c r="J18" s="244"/>
      <c r="K18" s="265"/>
      <c r="L18" s="266"/>
      <c r="M18" s="267"/>
      <c r="N18" s="267"/>
      <c r="O18" s="267"/>
      <c r="P18" s="269"/>
    </row>
    <row r="19" spans="1:16" ht="15" customHeight="1">
      <c r="A19" s="240" t="s">
        <v>222</v>
      </c>
      <c r="B19" s="241"/>
      <c r="C19" s="277"/>
      <c r="D19" s="240" t="s">
        <v>223</v>
      </c>
      <c r="E19" s="241"/>
      <c r="F19" s="277"/>
      <c r="G19" s="260"/>
      <c r="H19" s="245"/>
      <c r="I19" s="245"/>
      <c r="J19" s="245"/>
      <c r="K19" s="265"/>
      <c r="L19" s="266"/>
      <c r="M19" s="280"/>
      <c r="N19" s="281"/>
      <c r="O19" s="280"/>
      <c r="P19" s="282"/>
    </row>
    <row r="20" spans="1:16" ht="15" customHeight="1">
      <c r="A20" s="245" t="s">
        <v>23</v>
      </c>
      <c r="B20" s="245"/>
      <c r="C20" s="283"/>
      <c r="D20" s="245" t="s">
        <v>23</v>
      </c>
      <c r="E20" s="245"/>
      <c r="F20" s="283"/>
      <c r="G20" s="243" t="s">
        <v>23</v>
      </c>
      <c r="H20" s="245"/>
      <c r="I20" s="245"/>
      <c r="J20" s="245"/>
      <c r="K20" s="265"/>
      <c r="L20" s="266"/>
      <c r="M20" s="284"/>
      <c r="N20" s="285"/>
      <c r="O20" s="286"/>
      <c r="P20" s="287"/>
    </row>
    <row r="21" spans="1:16" ht="15" customHeight="1">
      <c r="A21" s="720" t="s">
        <v>190</v>
      </c>
      <c r="B21" s="720"/>
      <c r="C21" s="721"/>
      <c r="D21" s="722"/>
      <c r="E21" s="723"/>
      <c r="F21" s="724"/>
      <c r="G21" s="264"/>
      <c r="H21" s="264"/>
      <c r="I21" s="264"/>
      <c r="J21" s="264"/>
      <c r="K21" s="255"/>
      <c r="L21" s="280"/>
      <c r="M21" s="284"/>
      <c r="N21" s="285"/>
      <c r="O21" s="287"/>
      <c r="P21" s="287"/>
    </row>
    <row r="22" spans="1:16" s="290" customFormat="1" ht="15" customHeight="1">
      <c r="A22" s="710"/>
      <c r="B22" s="710"/>
      <c r="C22" s="711"/>
      <c r="D22" s="712" t="s">
        <v>226</v>
      </c>
      <c r="E22" s="710"/>
      <c r="F22" s="711"/>
      <c r="G22" s="712" t="s">
        <v>227</v>
      </c>
      <c r="H22" s="711"/>
      <c r="I22" s="288" t="s">
        <v>228</v>
      </c>
      <c r="J22" s="289" t="s">
        <v>229</v>
      </c>
      <c r="K22" s="289"/>
      <c r="L22" s="280"/>
      <c r="M22" s="284"/>
      <c r="N22" s="285"/>
      <c r="O22" s="287"/>
      <c r="P22" s="287"/>
    </row>
    <row r="23" spans="1:16" ht="15" customHeight="1">
      <c r="A23" s="268" t="s">
        <v>23</v>
      </c>
      <c r="B23" s="245"/>
      <c r="C23" s="283"/>
      <c r="D23" s="245"/>
      <c r="E23" s="245"/>
      <c r="F23" s="283"/>
      <c r="G23" s="245"/>
      <c r="H23" s="283"/>
      <c r="I23" s="291"/>
      <c r="J23" s="245"/>
      <c r="L23" s="280"/>
      <c r="M23" s="284"/>
      <c r="N23" s="285"/>
      <c r="O23" s="286"/>
      <c r="P23" s="286"/>
    </row>
    <row r="24" spans="1:16" ht="15" customHeight="1">
      <c r="A24" s="268" t="s">
        <v>23</v>
      </c>
      <c r="B24" s="245"/>
      <c r="C24" s="245"/>
      <c r="D24" s="245"/>
      <c r="E24" s="245"/>
      <c r="F24" s="245"/>
      <c r="G24" s="292"/>
      <c r="H24" s="245"/>
      <c r="I24" s="245"/>
      <c r="J24" s="245"/>
      <c r="L24" s="280"/>
      <c r="M24" s="284"/>
      <c r="N24" s="285"/>
      <c r="O24" s="286"/>
      <c r="P24" s="286"/>
    </row>
    <row r="25" spans="1:16" ht="15" customHeight="1">
      <c r="A25" s="293"/>
      <c r="B25" s="268"/>
      <c r="C25" s="294"/>
      <c r="D25" s="268"/>
      <c r="E25" s="268"/>
      <c r="F25" s="294"/>
      <c r="G25" s="294"/>
      <c r="H25" s="294"/>
      <c r="I25" s="294"/>
      <c r="J25" s="294"/>
      <c r="K25" s="295"/>
      <c r="L25" s="280"/>
      <c r="M25" s="284"/>
      <c r="N25" s="285"/>
      <c r="O25" s="286"/>
      <c r="P25" s="286"/>
    </row>
    <row r="26" spans="1:16" ht="15" customHeight="1">
      <c r="A26" s="296"/>
      <c r="B26" s="268"/>
      <c r="C26" s="294"/>
      <c r="D26" s="259"/>
      <c r="E26" s="259"/>
      <c r="F26" s="247"/>
      <c r="G26" s="247"/>
      <c r="H26" s="247"/>
      <c r="I26" s="247"/>
      <c r="J26" s="247"/>
      <c r="K26" s="297"/>
      <c r="L26" s="252"/>
    </row>
    <row r="27" spans="1:16" ht="15" customHeight="1">
      <c r="A27" s="298"/>
      <c r="B27" s="268"/>
      <c r="C27" s="299"/>
      <c r="D27" s="300" t="s">
        <v>126</v>
      </c>
      <c r="E27" s="300"/>
      <c r="F27" s="299"/>
      <c r="G27" s="299"/>
      <c r="H27" s="299"/>
      <c r="I27" s="299"/>
      <c r="J27" s="299"/>
      <c r="K27" s="301"/>
      <c r="L27" s="302"/>
    </row>
    <row r="28" spans="1:16" s="245" customFormat="1" ht="15" customHeight="1">
      <c r="A28" s="298"/>
      <c r="B28" s="268"/>
      <c r="C28" s="303"/>
      <c r="D28" s="304" t="s">
        <v>191</v>
      </c>
      <c r="E28" s="304"/>
      <c r="F28" s="305"/>
      <c r="G28" s="305"/>
      <c r="H28" s="305"/>
      <c r="I28" s="305"/>
      <c r="J28" s="305"/>
      <c r="K28" s="301"/>
      <c r="L28" s="302"/>
      <c r="M28" s="306"/>
    </row>
    <row r="29" spans="1:16" s="245" customFormat="1" ht="15" customHeight="1" thickBot="1">
      <c r="A29" s="298"/>
      <c r="B29" s="268"/>
      <c r="C29" s="303"/>
      <c r="D29" s="307" t="s">
        <v>47</v>
      </c>
      <c r="E29" s="307"/>
      <c r="F29" s="308"/>
      <c r="G29" s="309"/>
      <c r="H29" s="310"/>
      <c r="I29" s="310"/>
      <c r="J29" s="311"/>
      <c r="K29" s="302"/>
      <c r="L29" s="302"/>
    </row>
    <row r="30" spans="1:16" s="245" customFormat="1" ht="15" customHeight="1" thickTop="1">
      <c r="A30" s="298"/>
      <c r="B30" s="312"/>
      <c r="C30" s="303"/>
      <c r="D30" s="303"/>
      <c r="E30" s="303"/>
      <c r="F30" s="294"/>
      <c r="G30" s="313"/>
      <c r="H30" s="314"/>
      <c r="I30" s="315"/>
      <c r="J30" s="316"/>
      <c r="K30" s="317"/>
      <c r="L30" s="302"/>
    </row>
    <row r="31" spans="1:16" s="245" customFormat="1" ht="15" customHeight="1">
      <c r="A31" s="298"/>
      <c r="B31" s="312"/>
      <c r="C31" s="294"/>
      <c r="D31" s="299"/>
      <c r="E31" s="299"/>
      <c r="F31" s="299"/>
      <c r="G31" s="299"/>
      <c r="H31" s="299"/>
      <c r="I31" s="299"/>
      <c r="J31" s="299"/>
      <c r="K31" s="299"/>
      <c r="L31" s="302"/>
    </row>
    <row r="32" spans="1:16" ht="15" customHeight="1">
      <c r="A32" s="245"/>
      <c r="B32" s="318"/>
      <c r="C32" s="319"/>
      <c r="D32" s="320" t="s">
        <v>192</v>
      </c>
      <c r="E32" s="285"/>
      <c r="F32" s="285"/>
      <c r="G32" s="285" t="s">
        <v>193</v>
      </c>
      <c r="H32" s="321"/>
      <c r="I32" s="322"/>
      <c r="J32" s="323"/>
      <c r="K32" s="317"/>
      <c r="L32" s="324"/>
    </row>
    <row r="33" spans="1:12" ht="15" customHeight="1">
      <c r="A33" s="245"/>
      <c r="B33" s="318"/>
      <c r="C33" s="319"/>
      <c r="D33" s="320" t="s">
        <v>194</v>
      </c>
      <c r="E33" s="285"/>
      <c r="F33" s="285"/>
      <c r="G33" s="285" t="s">
        <v>195</v>
      </c>
      <c r="H33" s="321"/>
      <c r="I33" s="322"/>
      <c r="J33" s="323"/>
      <c r="K33" s="317"/>
      <c r="L33" s="324"/>
    </row>
    <row r="34" spans="1:12" ht="15" customHeight="1">
      <c r="A34" s="245"/>
      <c r="B34" s="318"/>
      <c r="C34" s="319"/>
      <c r="D34" s="320" t="s">
        <v>196</v>
      </c>
      <c r="E34" s="285"/>
      <c r="F34" s="285"/>
      <c r="G34" s="325" t="s">
        <v>197</v>
      </c>
      <c r="H34" s="321"/>
      <c r="I34" s="322"/>
      <c r="J34" s="323"/>
      <c r="K34" s="317"/>
      <c r="L34" s="324"/>
    </row>
    <row r="35" spans="1:12" ht="15" customHeight="1">
      <c r="A35" s="245"/>
      <c r="B35" s="318"/>
      <c r="C35" s="319"/>
      <c r="D35" s="320" t="s">
        <v>198</v>
      </c>
      <c r="E35" s="285"/>
      <c r="F35" s="285"/>
      <c r="G35" s="319" t="s">
        <v>79</v>
      </c>
      <c r="H35" s="321"/>
      <c r="I35" s="322"/>
      <c r="J35" s="323"/>
      <c r="K35" s="317"/>
      <c r="L35" s="324"/>
    </row>
    <row r="36" spans="1:12" ht="15" customHeight="1">
      <c r="A36" s="245"/>
      <c r="B36" s="318"/>
      <c r="C36" s="319"/>
      <c r="D36" s="320"/>
      <c r="E36" s="285"/>
      <c r="F36" s="285"/>
      <c r="G36" s="319" t="s">
        <v>199</v>
      </c>
      <c r="H36" s="321"/>
      <c r="I36" s="322"/>
      <c r="J36" s="323"/>
      <c r="K36" s="317"/>
      <c r="L36" s="324"/>
    </row>
    <row r="37" spans="1:12" ht="15" customHeight="1">
      <c r="A37" s="245"/>
      <c r="B37" s="318"/>
      <c r="C37" s="319"/>
      <c r="D37" s="320" t="s">
        <v>200</v>
      </c>
      <c r="E37" s="285"/>
      <c r="F37" s="285"/>
      <c r="G37" s="285" t="s">
        <v>201</v>
      </c>
      <c r="H37" s="321"/>
      <c r="I37" s="322"/>
      <c r="J37" s="323"/>
      <c r="K37" s="317"/>
      <c r="L37" s="324"/>
    </row>
    <row r="38" spans="1:12" ht="15" customHeight="1">
      <c r="A38" s="245"/>
      <c r="B38" s="318"/>
      <c r="C38" s="319"/>
      <c r="D38" s="320" t="s">
        <v>202</v>
      </c>
      <c r="E38" s="285"/>
      <c r="F38" s="285"/>
      <c r="G38" s="285"/>
      <c r="H38" s="321"/>
      <c r="I38" s="322"/>
      <c r="J38" s="323"/>
      <c r="K38" s="317"/>
      <c r="L38" s="324"/>
    </row>
    <row r="39" spans="1:12" ht="15" customHeight="1">
      <c r="A39" s="245"/>
      <c r="B39" s="318"/>
      <c r="C39" s="319"/>
      <c r="D39" s="320" t="s">
        <v>203</v>
      </c>
      <c r="E39" s="285"/>
      <c r="F39" s="285"/>
      <c r="G39" s="285" t="s">
        <v>204</v>
      </c>
      <c r="H39" s="321"/>
      <c r="I39" s="322"/>
      <c r="J39" s="323"/>
      <c r="K39" s="317"/>
      <c r="L39" s="324"/>
    </row>
    <row r="40" spans="1:12" ht="15" customHeight="1">
      <c r="A40" s="245"/>
      <c r="B40" s="318"/>
      <c r="C40" s="319"/>
      <c r="D40" s="320" t="s">
        <v>205</v>
      </c>
      <c r="E40" s="285"/>
      <c r="F40" s="326"/>
      <c r="G40" s="285" t="s">
        <v>263</v>
      </c>
      <c r="H40" s="321"/>
      <c r="I40" s="322"/>
      <c r="J40" s="323"/>
      <c r="K40" s="317"/>
      <c r="L40" s="324"/>
    </row>
    <row r="41" spans="1:12" ht="15" customHeight="1">
      <c r="A41" s="245"/>
      <c r="B41" s="318"/>
      <c r="C41" s="319"/>
      <c r="D41" s="320" t="s">
        <v>206</v>
      </c>
      <c r="E41" s="327"/>
      <c r="F41" s="285"/>
      <c r="G41" s="328"/>
      <c r="H41" s="321"/>
      <c r="I41" s="322"/>
      <c r="J41" s="323"/>
      <c r="K41" s="317"/>
      <c r="L41" s="324"/>
    </row>
    <row r="42" spans="1:12" ht="15" customHeight="1">
      <c r="A42" s="245"/>
      <c r="B42" s="318"/>
      <c r="C42" s="319"/>
      <c r="D42" s="285"/>
      <c r="E42" s="327"/>
      <c r="F42" s="285"/>
      <c r="G42" s="285"/>
      <c r="H42" s="321"/>
      <c r="I42" s="322"/>
      <c r="J42" s="323"/>
      <c r="K42" s="317"/>
      <c r="L42" s="324"/>
    </row>
    <row r="43" spans="1:12" ht="15" customHeight="1">
      <c r="A43" s="245"/>
      <c r="B43" s="318"/>
      <c r="C43" s="319"/>
      <c r="D43" s="329" t="s">
        <v>207</v>
      </c>
      <c r="E43" s="245"/>
      <c r="F43" s="329" t="s">
        <v>208</v>
      </c>
      <c r="G43" s="330"/>
      <c r="H43" s="321"/>
      <c r="I43" s="322"/>
      <c r="J43" s="323"/>
      <c r="K43" s="331"/>
      <c r="L43" s="324"/>
    </row>
    <row r="44" spans="1:12" ht="15" customHeight="1">
      <c r="A44" s="245"/>
      <c r="B44" s="318"/>
      <c r="C44" s="319"/>
      <c r="D44" s="329" t="s">
        <v>209</v>
      </c>
      <c r="E44" s="245"/>
      <c r="F44" s="329" t="s">
        <v>210</v>
      </c>
      <c r="G44" s="332"/>
      <c r="H44" s="321"/>
      <c r="I44" s="322"/>
      <c r="J44" s="323"/>
      <c r="L44" s="324"/>
    </row>
    <row r="45" spans="1:12" ht="15" customHeight="1">
      <c r="A45" s="245"/>
      <c r="B45" s="318"/>
      <c r="C45" s="319"/>
      <c r="D45" s="329" t="s">
        <v>211</v>
      </c>
      <c r="E45" s="245"/>
      <c r="F45" s="329" t="s">
        <v>212</v>
      </c>
      <c r="G45" s="332"/>
      <c r="H45" s="321"/>
      <c r="I45" s="322"/>
      <c r="J45" s="323"/>
      <c r="K45" s="331"/>
      <c r="L45" s="324"/>
    </row>
    <row r="46" spans="1:12" ht="15" customHeight="1">
      <c r="A46" s="245"/>
      <c r="B46" s="318"/>
      <c r="C46" s="319"/>
      <c r="D46" s="329" t="s">
        <v>213</v>
      </c>
      <c r="E46" s="245"/>
      <c r="F46" s="333" t="s">
        <v>214</v>
      </c>
      <c r="G46" s="334"/>
      <c r="H46" s="321"/>
      <c r="I46" s="322"/>
      <c r="J46" s="323"/>
      <c r="K46" s="317"/>
      <c r="L46" s="324"/>
    </row>
    <row r="47" spans="1:12" ht="15" customHeight="1">
      <c r="A47" s="245"/>
      <c r="B47" s="318"/>
      <c r="C47" s="259"/>
      <c r="D47" s="329" t="s">
        <v>215</v>
      </c>
      <c r="E47" s="245"/>
      <c r="F47" s="329" t="s">
        <v>216</v>
      </c>
      <c r="G47" s="318"/>
      <c r="H47" s="335"/>
      <c r="I47" s="336"/>
      <c r="J47" s="337"/>
      <c r="K47" s="338"/>
    </row>
    <row r="48" spans="1:12" ht="15" customHeight="1">
      <c r="A48" s="245"/>
      <c r="B48" s="318"/>
      <c r="C48" s="259"/>
      <c r="D48" s="259"/>
      <c r="E48" s="259"/>
      <c r="F48" s="247"/>
      <c r="G48" s="318"/>
      <c r="H48" s="335"/>
      <c r="I48" s="336"/>
      <c r="J48" s="337"/>
      <c r="K48" s="338"/>
    </row>
    <row r="49" spans="1:11" ht="15" customHeight="1">
      <c r="A49" s="245"/>
      <c r="B49" s="318"/>
      <c r="C49" s="259"/>
      <c r="D49" s="259"/>
      <c r="E49" s="259"/>
      <c r="F49" s="247"/>
      <c r="G49" s="318"/>
      <c r="H49" s="335"/>
      <c r="I49" s="336"/>
      <c r="J49" s="337"/>
      <c r="K49" s="338"/>
    </row>
    <row r="50" spans="1:11" ht="15" customHeight="1">
      <c r="A50" s="245"/>
      <c r="B50" s="318"/>
      <c r="C50" s="259"/>
      <c r="D50" s="259"/>
      <c r="E50" s="259"/>
      <c r="F50" s="247"/>
      <c r="G50" s="318"/>
      <c r="H50" s="335"/>
      <c r="I50" s="336"/>
      <c r="J50" s="337"/>
      <c r="K50" s="338"/>
    </row>
    <row r="51" spans="1:11" ht="15" customHeight="1">
      <c r="B51" s="339"/>
      <c r="C51" s="338"/>
      <c r="D51" s="339"/>
      <c r="E51" s="339"/>
      <c r="F51" s="339"/>
      <c r="G51" s="339"/>
      <c r="H51" s="339"/>
      <c r="I51" s="339"/>
      <c r="J51" s="339"/>
      <c r="K51" s="339"/>
    </row>
    <row r="52" spans="1:11" ht="15" customHeight="1">
      <c r="B52" s="339"/>
      <c r="C52" s="338"/>
      <c r="D52" s="339"/>
      <c r="E52" s="339"/>
      <c r="F52" s="339"/>
      <c r="G52" s="339"/>
      <c r="H52" s="339"/>
      <c r="I52" s="339"/>
      <c r="J52" s="339"/>
      <c r="K52" s="339"/>
    </row>
    <row r="53" spans="1:11" ht="15" customHeight="1">
      <c r="B53" s="339"/>
      <c r="C53" s="338"/>
      <c r="D53" s="339"/>
      <c r="E53" s="339"/>
      <c r="F53" s="339"/>
      <c r="G53" s="339"/>
      <c r="H53" s="339"/>
      <c r="I53" s="339"/>
      <c r="J53" s="339"/>
      <c r="K53" s="339"/>
    </row>
    <row r="54" spans="1:11" ht="15" customHeight="1">
      <c r="A54" s="245"/>
      <c r="B54" s="252"/>
      <c r="C54" s="338"/>
      <c r="D54" s="252"/>
      <c r="E54" s="252"/>
      <c r="F54" s="339"/>
      <c r="G54" s="339"/>
      <c r="H54" s="339"/>
      <c r="I54" s="339"/>
      <c r="J54" s="339"/>
      <c r="K54" s="339"/>
    </row>
    <row r="56" spans="1:11" ht="15" customHeight="1">
      <c r="A56" s="340" t="s">
        <v>230</v>
      </c>
      <c r="B56" s="264"/>
      <c r="C56" s="264"/>
      <c r="D56" s="264"/>
      <c r="E56" s="264"/>
      <c r="H56" s="341" t="s">
        <v>231</v>
      </c>
      <c r="I56" s="264"/>
      <c r="J56" s="264"/>
      <c r="K56" s="264"/>
    </row>
    <row r="57" spans="1:11" ht="15" customHeight="1">
      <c r="A57" s="258"/>
      <c r="B57" s="258" t="s">
        <v>239</v>
      </c>
      <c r="H57" s="244"/>
      <c r="I57" s="244" t="s">
        <v>238</v>
      </c>
    </row>
    <row r="58" spans="1:11" ht="15" customHeight="1">
      <c r="B58" s="258" t="s">
        <v>232</v>
      </c>
      <c r="F58" s="343"/>
      <c r="G58" s="343"/>
      <c r="H58" s="343"/>
      <c r="I58" s="244" t="s">
        <v>233</v>
      </c>
      <c r="J58" s="343"/>
      <c r="K58" s="343"/>
    </row>
    <row r="59" spans="1:11" ht="15" customHeight="1">
      <c r="H59" s="342"/>
    </row>
  </sheetData>
  <mergeCells count="8">
    <mergeCell ref="A22:C22"/>
    <mergeCell ref="D22:F22"/>
    <mergeCell ref="G22:H22"/>
    <mergeCell ref="A1:K1"/>
    <mergeCell ref="A18:C18"/>
    <mergeCell ref="D18:F18"/>
    <mergeCell ref="A21:C21"/>
    <mergeCell ref="D21:F21"/>
  </mergeCells>
  <phoneticPr fontId="3" type="noConversion"/>
  <printOptions horizontalCentered="1"/>
  <pageMargins left="0.15748031496062992" right="0.15748031496062992" top="0.70866141732283472" bottom="0.43307086614173229" header="0.51181102362204722" footer="0.23622047244094491"/>
  <pageSetup paperSize="9" orientation="portrait" r:id="rId1"/>
  <headerFooter>
    <oddFooter>&amp;C&amp;P/&amp;N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4"/>
  <sheetViews>
    <sheetView showGridLines="0" workbookViewId="0">
      <selection sqref="A1:G1"/>
    </sheetView>
  </sheetViews>
  <sheetFormatPr defaultRowHeight="12"/>
  <cols>
    <col min="1" max="1" width="4.6640625" style="358" customWidth="1"/>
    <col min="2" max="2" width="14.44140625" style="347" customWidth="1"/>
    <col min="3" max="3" width="25.6640625" style="347" customWidth="1"/>
    <col min="4" max="4" width="8.6640625" style="365" bestFit="1" customWidth="1"/>
    <col min="5" max="5" width="8.77734375" style="366" customWidth="1"/>
    <col min="6" max="6" width="4.33203125" style="367" customWidth="1"/>
    <col min="7" max="7" width="11.44140625" style="347" customWidth="1"/>
    <col min="8" max="8" width="8.88671875" style="347" hidden="1" customWidth="1"/>
    <col min="9" max="10" width="0" style="347" hidden="1" customWidth="1"/>
    <col min="11" max="16384" width="8.88671875" style="347"/>
  </cols>
  <sheetData>
    <row r="1" spans="1:10" ht="23.25" customHeight="1" thickTop="1">
      <c r="A1" s="725" t="s">
        <v>236</v>
      </c>
      <c r="B1" s="725"/>
      <c r="C1" s="725"/>
      <c r="D1" s="725"/>
      <c r="E1" s="725"/>
      <c r="F1" s="725"/>
      <c r="G1" s="725"/>
    </row>
    <row r="2" spans="1:10">
      <c r="A2" s="347"/>
      <c r="D2" s="348"/>
      <c r="E2" s="347"/>
      <c r="F2" s="347"/>
      <c r="G2" s="349"/>
    </row>
    <row r="3" spans="1:10" s="350" customFormat="1">
      <c r="A3" s="379" t="s">
        <v>138</v>
      </c>
      <c r="B3" s="379" t="s">
        <v>139</v>
      </c>
      <c r="C3" s="379" t="s">
        <v>140</v>
      </c>
      <c r="D3" s="379" t="s">
        <v>141</v>
      </c>
      <c r="E3" s="379" t="s">
        <v>142</v>
      </c>
      <c r="F3" s="726" t="s">
        <v>143</v>
      </c>
      <c r="G3" s="726"/>
    </row>
    <row r="4" spans="1:10" s="355" customFormat="1">
      <c r="A4" s="351"/>
      <c r="B4" s="351"/>
      <c r="C4" s="352"/>
      <c r="D4" s="353"/>
      <c r="E4" s="354"/>
      <c r="F4" s="727"/>
      <c r="G4" s="727"/>
    </row>
    <row r="5" spans="1:10" s="355" customFormat="1">
      <c r="A5" s="354"/>
      <c r="B5" s="351"/>
      <c r="C5" s="352"/>
      <c r="D5" s="353"/>
      <c r="E5" s="353"/>
      <c r="F5" s="729"/>
      <c r="G5" s="729"/>
    </row>
    <row r="6" spans="1:10" s="355" customFormat="1">
      <c r="A6" s="354"/>
      <c r="B6" s="351"/>
      <c r="C6" s="352"/>
      <c r="D6" s="353"/>
      <c r="E6" s="353"/>
      <c r="F6" s="728"/>
      <c r="G6" s="728"/>
    </row>
    <row r="7" spans="1:10">
      <c r="A7" s="356"/>
      <c r="B7" s="356"/>
      <c r="C7" s="356"/>
      <c r="D7" s="356"/>
      <c r="E7" s="356"/>
      <c r="F7" s="356"/>
      <c r="G7" s="356"/>
      <c r="H7" s="348"/>
    </row>
    <row r="8" spans="1:10" s="358" customFormat="1">
      <c r="A8" s="357" t="s">
        <v>144</v>
      </c>
      <c r="B8" s="357" t="s">
        <v>145</v>
      </c>
      <c r="C8" s="357" t="s">
        <v>146</v>
      </c>
      <c r="D8" s="357" t="s">
        <v>147</v>
      </c>
      <c r="E8" s="357" t="s">
        <v>51</v>
      </c>
      <c r="F8" s="357" t="s">
        <v>52</v>
      </c>
      <c r="G8" s="357" t="s">
        <v>148</v>
      </c>
      <c r="H8" s="357" t="s">
        <v>149</v>
      </c>
      <c r="I8" s="357" t="s">
        <v>150</v>
      </c>
    </row>
    <row r="9" spans="1:10">
      <c r="A9" s="359"/>
      <c r="B9" s="355"/>
      <c r="C9" s="355"/>
      <c r="D9" s="360"/>
      <c r="E9" s="361"/>
      <c r="F9" s="362"/>
      <c r="G9" s="363">
        <v>0</v>
      </c>
      <c r="H9" s="364"/>
      <c r="I9" s="355"/>
      <c r="J9" s="348" t="s">
        <v>151</v>
      </c>
    </row>
    <row r="10" spans="1:10">
      <c r="G10" s="368">
        <v>0</v>
      </c>
      <c r="H10" s="364"/>
      <c r="I10" s="355"/>
      <c r="J10" s="347" t="s">
        <v>151</v>
      </c>
    </row>
    <row r="11" spans="1:10">
      <c r="G11" s="368">
        <v>0</v>
      </c>
      <c r="H11" s="364"/>
      <c r="I11" s="355"/>
      <c r="J11" s="347" t="s">
        <v>151</v>
      </c>
    </row>
    <row r="12" spans="1:10" ht="12.75" thickBot="1">
      <c r="A12" s="369"/>
      <c r="B12" s="370" t="s">
        <v>12</v>
      </c>
      <c r="C12" s="370"/>
      <c r="D12" s="371"/>
      <c r="E12" s="372">
        <f>SUM(E9:E11)</f>
        <v>0</v>
      </c>
      <c r="F12" s="373"/>
      <c r="G12" s="374">
        <f>SUM(G9:G11)</f>
        <v>0</v>
      </c>
      <c r="H12" s="375"/>
      <c r="I12" s="370"/>
    </row>
    <row r="13" spans="1:10" ht="12.75" thickTop="1">
      <c r="G13" s="368"/>
    </row>
    <row r="14" spans="1:10">
      <c r="E14" s="376" t="s">
        <v>237</v>
      </c>
      <c r="F14" s="377"/>
      <c r="G14" s="378">
        <f>SC!J29</f>
        <v>0</v>
      </c>
    </row>
  </sheetData>
  <mergeCells count="5">
    <mergeCell ref="A1:G1"/>
    <mergeCell ref="F3:G3"/>
    <mergeCell ref="F4:G4"/>
    <mergeCell ref="F6:G6"/>
    <mergeCell ref="F5:G5"/>
  </mergeCells>
  <phoneticPr fontId="3" type="noConversion"/>
  <printOptions horizontalCentered="1"/>
  <pageMargins left="0.15748031496062992" right="0.15748031496062992" top="0.5" bottom="0.15748031496062992" header="0.51181102362204722" footer="0.15748031496062992"/>
  <pageSetup paperSize="9" scale="85" orientation="portrait" horizontalDpi="4294967293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21</vt:i4>
      </vt:variant>
      <vt:variant>
        <vt:lpstr>이름 지정된 범위</vt:lpstr>
      </vt:variant>
      <vt:variant>
        <vt:i4>23</vt:i4>
      </vt:variant>
    </vt:vector>
  </HeadingPairs>
  <TitlesOfParts>
    <vt:vector size="44" baseType="lpstr">
      <vt:lpstr>I</vt:lpstr>
      <vt:lpstr>SHINTS</vt:lpstr>
      <vt:lpstr>V1</vt:lpstr>
      <vt:lpstr>V2</vt:lpstr>
      <vt:lpstr>V3</vt:lpstr>
      <vt:lpstr>V4</vt:lpstr>
      <vt:lpstr>V5</vt:lpstr>
      <vt:lpstr>V6</vt:lpstr>
      <vt:lpstr>V7</vt:lpstr>
      <vt:lpstr>V8</vt:lpstr>
      <vt:lpstr>V9</vt:lpstr>
      <vt:lpstr>V10</vt:lpstr>
      <vt:lpstr>P</vt:lpstr>
      <vt:lpstr>C.INV</vt:lpstr>
      <vt:lpstr>BVT.INV</vt:lpstr>
      <vt:lpstr>D.INV</vt:lpstr>
      <vt:lpstr>PAC</vt:lpstr>
      <vt:lpstr>D.PAC</vt:lpstr>
      <vt:lpstr>SC</vt:lpstr>
      <vt:lpstr>PIM</vt:lpstr>
      <vt:lpstr>Sheet1</vt:lpstr>
      <vt:lpstr>BVT.INV!Print_Area</vt:lpstr>
      <vt:lpstr>C.INV!Print_Area</vt:lpstr>
      <vt:lpstr>D.INV!Print_Area</vt:lpstr>
      <vt:lpstr>D.PAC!Print_Area</vt:lpstr>
      <vt:lpstr>I!Print_Area</vt:lpstr>
      <vt:lpstr>P!Print_Area</vt:lpstr>
      <vt:lpstr>PAC!Print_Area</vt:lpstr>
      <vt:lpstr>PIM!Print_Area</vt:lpstr>
      <vt:lpstr>SC!Print_Area</vt:lpstr>
      <vt:lpstr>SHINTS!Print_Area</vt:lpstr>
      <vt:lpstr>'V1'!Print_Area</vt:lpstr>
      <vt:lpstr>'V10'!Print_Area</vt:lpstr>
      <vt:lpstr>'V2'!Print_Area</vt:lpstr>
      <vt:lpstr>'V3'!Print_Area</vt:lpstr>
      <vt:lpstr>'V4'!Print_Area</vt:lpstr>
      <vt:lpstr>'V5'!Print_Area</vt:lpstr>
      <vt:lpstr>'V6'!Print_Area</vt:lpstr>
      <vt:lpstr>'V7'!Print_Area</vt:lpstr>
      <vt:lpstr>'V8'!Print_Area</vt:lpstr>
      <vt:lpstr>'V9'!Print_Area</vt:lpstr>
      <vt:lpstr>D.INV!Print_Titles</vt:lpstr>
      <vt:lpstr>D.PAC!Print_Titles</vt:lpstr>
      <vt:lpstr>P!Print_Titles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cp:lastModifiedBy>Windows 사용자</cp:lastModifiedBy>
  <dcterms:created xsi:type="dcterms:W3CDTF">2017-05-30T02:21:33Z</dcterms:created>
  <dcterms:modified xsi:type="dcterms:W3CDTF">2022-04-12T09:09:41Z</dcterms:modified>
</cp:coreProperties>
</file>