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10" name="IMPORT-K(SAMTEX)" state="visible" r:id="rId12"/>
    <sheet sheetId="9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<sst xmlns="http://schemas.openxmlformats.org/spreadsheetml/2006/main" count="9837" uniqueCount="889">
  <si>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</si>
  <si>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</si>
  <si>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</si>
  <si>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</si>
  <si>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</si>
  <si>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</si>
  <si>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</si>
  <si>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</si>
  <si>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</si>
  <si>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</si>
  <si>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</si>
  <si>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</si>
  <si>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</si>
  <si>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</si>
  <si>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</si>
  <si>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</si>
  <si>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</si>
  <si>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</si>
  <si>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</si>
  <si>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</si>
  <si>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</si>
  <si>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</si>
  <si>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</si>
  <si>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</si>
  <si>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</si>
  <si>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</si>
  <si>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</si>
  <si>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</si>
  <si>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</si>
  <si>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</si>
  <si>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</si>
  <si>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</si>
  <si>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</si>
  <si>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</si>
  <si>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</si>
  <si>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</si>
  <si>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</si>
  <si>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</si>
  <si>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</si>
  <si>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</si>
  <si>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</si>
  <si>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</si>
  <si>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</si>
  <si>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</si>
  <si>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</si>
  <si>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</si>
  <si>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</si>
  <si>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</si>
  <si>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</si>
  <si>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</si>
  <si>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</si>
  <si>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</si>
  <si>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</si>
  <si>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</si>
  <si>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</si>
  <si>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</si>
  <si>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</si>
  <si>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</si>
  <si>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</si>
  <si>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</si>
  <si>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</si>
  <si>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</si>
  <si>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</si>
  <si>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</si>
  <si>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</si>
  <si>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</si>
  <si>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</si>
  <si>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</si>
  <si>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</si>
  <si>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</si>
  <si>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</si>
  <si>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</si>
  <si>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</si>
  <si>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</si>
  <si>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</si>
  <si>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</si>
  <si>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</si>
  <si>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</si>
  <si>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</si>
  <si>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</si>
  <si>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</si>
  <si>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</si>
  <si>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</si>
  <si>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</si>
  <si>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</si>
  <si>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</si>
  <si>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</si>
  <si>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</si>
  <si>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</si>
  <si>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</si>
  <si>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</si>
  <si>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</si>
  <si>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</si>
  <si>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</si>
  <si>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</si>
  <si>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</si>
  <si>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</si>
  <si>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</si>
  <si>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</si>
  <si>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</si>
  <si>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</si>
  <si>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</si>
  <si>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</si>
  <si>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</si>
  <si>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</si>
  <si>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</si>
  <si>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</si>
  <si>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</si>
  <si>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</si>
  <si>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</si>
  <si>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</si>
  <si>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</si>
  <si>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</si>
  <si>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</si>
  <si>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</si>
  <si>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</si>
  <si>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</si>
  <si>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</si>
  <si>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</si>
  <si>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</si>
  <si>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</si>
  <si>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</si>
  <si>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</si>
  <si>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</si>
  <si>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</si>
  <si>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</si>
  <si>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</si>
  <si>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</si>
  <si>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</si>
  <si>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</si>
  <si>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</si>
  <si>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</si>
  <si>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</si>
  <si>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</si>
  <si>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</si>
  <si>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</si>
  <si>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</si>
  <si>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</si>
  <si>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</si>
  <si>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</si>
  <si>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</si>
  <si>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</si>
  <si>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</si>
  <si>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</si>
  <si>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</si>
  <si>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</si>
  <si>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</si>
  <si>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</si>
  <si>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</si>
  <si>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</si>
  <si>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</si>
  <si>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</si>
  <si>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</si>
  <si>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</si>
  <si>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</si>
  <si>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</si>
  <si>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</si>
  <si>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</si>
  <si>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</si>
  <si>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</si>
  <si>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</si>
  <si>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</si>
  <si>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</si>
  <si>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</si>
  <si>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</si>
  <si>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</si>
  <si>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</si>
  <si>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</si>
  <si>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</si>
  <si>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</si>
  <si>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</si>
  <si>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</si>
  <si>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</si>
  <si>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</si>
  <si>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</si>
  <si>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</si>
  <si>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</si>
  <si>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</si>
  <si>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</si>
  <si>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</si>
  <si>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</si>
  <si>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</si>
  <si>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</si>
  <si>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</si>
  <si>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</si>
  <si>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</si>
  <si>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</si>
  <si>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</si>
  <si>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</si>
  <si>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</si>
  <si>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</si>
  <si>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</si>
  <si>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</si>
  <si>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</si>
  <si>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</si>
  <si>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</si>
  <si>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</si>
  <si>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</si>
  <si>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</si>
  <si>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</si>
  <si>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</si>
  <si>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</si>
  <si>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</si>
  <si>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</si>
  <si>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</si>
  <si>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</si>
  <si>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</si>
  <si>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</si>
  <si>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</si>
  <si>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</si>
  <si>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</si>
  <si>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</si>
  <si>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</si>
  <si>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</si>
  <si>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</si>
  <si>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</si>
  <si>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</si>
  <si>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</si>
  <si>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</si>
  <si>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</si>
  <si>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</si>
  <si>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</si>
  <si>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</si>
  <si>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</si>
  <si>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</si>
  <si>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</si>
  <si>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</si>
  <si>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</si>
  <si>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</si>
  <si>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</si>
  <si>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</si>
  <si>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</si>
  <si>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</si>
  <si>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</si>
  <si>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</si>
  <si>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</si>
  <si>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</si>
  <si>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</si>
  <si>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</si>
  <si>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</si>
  <si>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</si>
  <si>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</si>
  <si>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</si>
  <si>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</si>
  <si>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</si>
  <si>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</si>
  <si>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</si>
  <si>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</si>
  <si>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</si>
  <si>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</si>
  <si>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</si>
  <si>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</si>
  <si>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</si>
  <si>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</si>
  <si>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</si>
  <si>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</si>
  <si>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</si>
  <si>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</si>
  <si>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</si>
  <si>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</si>
  <si>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</si>
  <si>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</si>
  <si>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</si>
  <si>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</si>
  <si>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</si>
  <si>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</si>
  <si>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</si>
  <si>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</si>
  <si>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</si>
  <si>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</si>
  <si>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</si>
  <si>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</si>
  <si>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</si>
  <si>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</si>
  <si>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</si>
  <si>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</si>
  <si>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</si>
  <si>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</si>
  <si>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</si>
  <si>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</si>
  <si>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</si>
  <si>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</si>
  <si>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</si>
  <si>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</si>
  <si>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</si>
  <si>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</si>
  <si>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</si>
  <si>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</si>
  <si>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</si>
  <si>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</si>
  <si>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</si>
  <si>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</si>
  <si>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</si>
  <si>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</si>
  <si>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</si>
  <si>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</si>
  <si>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</si>
  <si>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</si>
  <si>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</si>
  <si>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</si>
  <si>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</si>
  <si>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</si>
  <si>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</si>
  <si>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</si>
  <si>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</si>
  <si>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</si>
  <si>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</si>
  <si>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</si>
  <si>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</si>
  <si>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</si>
  <si>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</si>
  <si>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</si>
  <si>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</si>
  <si>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</si>
  <si>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</si>
  <si>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</si>
  <si>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</si>
  <si>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</si>
  <si>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</si>
  <si>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</si>
  <si>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</si>
  <si>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</si>
  <si>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</si>
  <si>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</si>
  <si>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</si>
  <si>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</si>
  <si>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</si>
  <si>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</si>
  <si>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</si>
  <si>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</si>
  <si>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</si>
  <si>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</si>
  <si>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</si>
  <si>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</si>
  <si>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</si>
  <si>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</si>
  <si>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</si>
  <si>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</si>
  <si>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</si>
  <si>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</si>
  <si>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</si>
  <si>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</si>
  <si>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</si>
  <si>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</si>
  <si>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</si>
  <si>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</si>
  <si>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</si>
  <si>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</si>
  <si>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</si>
  <si>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</si>
  <si>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</si>
  <si>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</si>
  <si>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</si>
  <si>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</si>
  <si>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</si>
  <si>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</si>
  <si>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</si>
  <si>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</si>
  <si>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</si>
  <si>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</si>
  <si>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</si>
  <si>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</si>
  <si>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</si>
  <si>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</si>
  <si>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</si>
  <si>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</si>
  <si>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</si>
  <si>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</si>
  <si>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</si>
  <si>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</si>
  <si>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</si>
  <si>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</si>
  <si>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</si>
  <si>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</si>
  <si>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</si>
  <si>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</si>
  <si>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</si>
  <si>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</si>
  <si>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</si>
  <si>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</si>
  <si>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</si>
  <si>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</si>
  <si>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</si>
  <si>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</si>
  <si>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</si>
  <si>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</si>
  <si>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</si>
  <si>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</si>
  <si>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</si>
  <si>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</si>
  <si>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</si>
  <si>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</si>
  <si>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</si>
  <si>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</si>
  <si>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</si>
  <si>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</si>
  <si>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</si>
  <si>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</si>
  <si>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</si>
  <si>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</si>
  <si>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</si>
  <si>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</si>
  <si>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</si>
  <si>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</si>
  <si>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</si>
  <si>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</si>
  <si>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</si>
  <si>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</si>
  <si>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</si>
  <si>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</si>
  <si>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</si>
  <si>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</si>
  <si>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</si>
  <si>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</si>
  <si>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</si>
  <si>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</si>
  <si>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</si>
  <si>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</si>
  <si>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</si>
  <si>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</si>
  <si>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</si>
  <si>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</si>
  <si>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</si>
  <si>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</si>
  <si>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</si>
  <si>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</si>
  <si>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</si>
  <si>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</si>
  <si>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</si>
  <si>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</si>
  <si>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</si>
  <si>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</si>
  <si>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</si>
  <si>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</si>
  <si>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</si>
  <si>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</si>
  <si>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</si>
  <si>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</si>
  <si>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</si>
  <si>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</si>
  <si>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</si>
  <si>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</si>
  <si>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</si>
  <si>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</si>
  <si>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</si>
  <si>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</si>
  <si>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</si>
  <si>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</si>
  <si>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</si>
  <si>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</si>
  <si>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</si>
  <si>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</si>
  <si>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</si>
  <si>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</si>
  <si>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</si>
  <si>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</si>
  <si>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</si>
  <si>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</si>
  <si>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</si>
  <si>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</si>
  <si>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</si>
  <si>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</si>
  <si>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</si>
  <si>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</si>
  <si>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</si>
  <si>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</si>
  <si>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</si>
  <si>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</si>
  <si>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</si>
  <si>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</si>
  <si>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</si>
  <si>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</si>
  <si>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</si>
  <si>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</si>
  <si>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</si>
  <si>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</si>
  <si>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</si>
  <si>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</si>
  <si>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</si>
  <si>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</si>
  <si>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</si>
  <si>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</si>
  <si>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</si>
  <si>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</si>
  <si>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</si>
  <si>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</si>
  <si>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</si>
  <si>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</si>
  <si>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</si>
  <si>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</si>
  <si>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</si>
  <si>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</si>
  <si>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</si>
  <si>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</si>
  <si>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</si>
  <si>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</si>
  <si>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</si>
  <si>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</si>
  <si>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</si>
  <si>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</si>
  <si>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</si>
  <si>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</si>
  <si>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</si>
  <si>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</si>
  <si>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</si>
  <si>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</si>
  <si>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</si>
  <si>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</si>
  <si>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</si>
  <si>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</si>
  <si>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</si>
  <si>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</si>
  <si>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</si>
  <si>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</si>
  <si>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</si>
  <si>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</si>
  <si>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</si>
  <si>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</si>
  <si>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</si>
  <si>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</si>
  <si>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</si>
  <si>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</si>
  <si>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</si>
  <si>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</si>
  <si>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</si>
  <si>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</si>
  <si>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</si>
  <si>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</si>
  <si>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</si>
  <si>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</si>
  <si>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</si>
  <si>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</si>
  <si>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</si>
  <si>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</si>
  <si>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</si>
  <si>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</si>
  <si>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</si>
  <si>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</si>
  <si>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</si>
  <si>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</si>
  <si>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</si>
  <si>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</si>
  <si>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</si>
  <si>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</si>
  <si>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</si>
  <si>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</si>
  <si>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</si>
  <si>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</si>
  <si>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</si>
  <si>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</si>
  <si>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</si>
  <si>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</si>
  <si>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</si>
  <si>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</si>
  <si>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</si>
  <si>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</si>
  <si>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</si>
  <si>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</si>
  <si>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</si>
  <si>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</si>
  <si>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</si>
  <si>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</si>
  <si>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</si>
  <si>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</si>
  <si>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</si>
  <si>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</si>
  <si>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</si>
  <si>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</si>
  <si>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</si>
  <si>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</si>
  <si>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</si>
  <si>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</si>
  <si>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</si>
  <si>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</si>
  <si>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</si>
  <si>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</si>
  <si>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</si>
  <si>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</si>
  <si>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</si>
  <si>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</si>
  <si>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</si>
  <si>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</si>
  <si>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</si>
  <si>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</si>
  <si>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</si>
  <si>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</si>
  <si>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</si>
  <si>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</si>
  <si>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</si>
  <si>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</si>
  <si>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</si>
  <si>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</si>
  <si>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</si>
  <si>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</si>
  <si>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</si>
  <si>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</si>
  <si>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</si>
  <si>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</si>
  <si>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</si>
  <si>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</si>
  <si>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</si>
  <si>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</si>
  <si>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</si>
  <si>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</si>
  <si>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</si>
  <si>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</si>
  <si>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</si>
  <si>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</si>
  <si>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</si>
  <si>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</si>
  <si>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</si>
  <si>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</si>
  <si>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</si>
  <si>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</si>
  <si>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</si>
  <si>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</si>
  <si>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</si>
  <si>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</si>
  <si>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</si>
  <si>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</si>
  <si>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</si>
  <si>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</si>
  <si>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</si>
  <si>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</si>
  <si>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</si>
  <si>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</si>
  <si>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</si>
  <si>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</si>
  <si>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</si>
  <si>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</si>
  <si>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</si>
  <si>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</si>
  <si>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</si>
  <si>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</si>
  <si>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</si>
  <si>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</si>
  <si>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</si>
  <si>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</si>
  <si>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</si>
  <si>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</si>
  <si>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</si>
  <si>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</si>
  <si>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</si>
  <si>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</si>
  <si>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</si>
  <si>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</si>
  <si>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</si>
  <si>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</si>
  <si>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</si>
  <si>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</si>
  <si>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</si>
  <si>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</si>
  <si>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</si>
  <si>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</si>
  <si>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</si>
  <si>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</si>
  <si>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</si>
  <si>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</si>
  <si>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</si>
  <si>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</si>
  <si>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</si>
  <si>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</si>
  <si>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</si>
  <si>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</si>
  <si>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</si>
  <si>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</si>
  <si>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</si>
  <si>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</si>
  <si>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</si>
  <si>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</si>
  <si>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</si>
  <si>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</si>
  <si>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</si>
  <si>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</si>
  <si>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</si>
  <si>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</si>
  <si>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</si>
  <si>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</si>
  <si>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</si>
  <si>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</si>
  <si>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</si>
  <si>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</si>
  <si>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</si>
  <si>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</si>
  <si>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</si>
  <si>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</si>
  <si>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</si>
  <si>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</si>
  <si>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</si>
  <si>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</si>
  <si>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</si>
  <si>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</si>
  <si>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</si>
  <si>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</si>
  <si>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</si>
  <si>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</si>
  <si>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</si>
  <si>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</si>
  <si>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</si>
  <si>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</si>
  <si>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</si>
  <si>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</si>
  <si>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</si>
  <si>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</si>
  <si>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</si>
  <si>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</si>
  <si>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</si>
  <si>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</si>
  <si>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</si>
  <si>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</si>
  <si>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</si>
  <si>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</si>
  <si>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</si>
  <si>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</si>
  <si>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</si>
  <si>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</si>
  <si>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</si>
  <si>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</si>
  <si>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</si>
  <si>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</si>
  <si>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</si>
  <si>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</si>
  <si>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</si>
  <si>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</si>
  <si>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</si>
  <si>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</si>
  <si>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</si>
  <si>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</si>
  <si>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</si>
  <si>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</si>
  <si>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</si>
  <si>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</si>
  <si>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</si>
  <si>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</si>
  <si>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</si>
  <si>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</si>
  <si>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</si>
  <si>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</si>
  <si>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</si>
  <si>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</si>
  <si>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</si>
  <si>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</si>
  <si>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</si>
  <si>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</si>
  <si>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</si>
  <si>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</si>
  <si>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</si>
  <si>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</si>
  <si>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</si>
  <si>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</si>
  <si>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</si>
  <si>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</si>
  <si>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</si>
  <si>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</si>
  <si>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</si>
  <si>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</si>
  <si>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</si>
  <si>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</si>
  <si>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</si>
  <si>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</si>
  <si>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</si>
  <si>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</si>
  <si>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</si>
  <si>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</si>
  <si>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</si>
  <si>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</si>
  <si>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</si>
  <si>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</si>
  <si>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</si>
  <si>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</si>
  <si>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</si>
  <si>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</si>
  <si>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</si>
  <si>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</si>
  <si>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</si>
  <si>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</si>
  <si>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</si>
  <si>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</si>
  <si>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</si>
  <si>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</si>
  <si>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</si>
  <si>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</si>
  <si>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</si>
  <si>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</si>
  <si>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</si>
  <si>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</si>
  <si>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</si>
  <si>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</si>
  <si>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</si>
  <si>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</si>
  <si>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</si>
  <si>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</si>
  <si>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</si>
  <si>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</si>
  <si>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</si>
  <si>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</si>
  <si>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</si>
  <si>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</si>
  <si>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</si>
  <si>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</si>
  <si>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</si>
  <si>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</si>
  <si>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</si>
  <si>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</si>
  <si>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</si>
  <si>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</si>
  <si>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</si>
  <si>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</si>
  <si>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</si>
  <si>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</si>
  <si>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</si>
  <si>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</si>
  <si>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</si>
  <si>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</si>
  <si>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</si>
  <si>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</si>
  <si>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</si>
  <si>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</si>
  <si>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</si>
  <si>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</si>
  <si>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</si>
  <si>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</si>
  <si>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</si>
  <si>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</si>
  <si>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</si>
  <si>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</si>
  <si>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</si>
  <si>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</si>
  <si>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</si>
  <si>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</si>
  <si>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</si>
  <si>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</si>
  <si>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</si>
  <si>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</si>
  <si>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</si>
  <si>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</si>
  <si>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</si>
  <si>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</si>
  <si>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</si>
  <si>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</si>
  <si>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</si>
  <si>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</si>
  <si>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</si>
  <si>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</si>
  <si>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</si>
  <si>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</si>
  <si>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</si>
  <si>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</si>
  <si>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</si>
  <si>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</si>
  <si>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</si>
  <si>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</si>
  <si>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</si>
  <si>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</si>
  <si>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</si>
  <si>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</si>
  <si>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</si>
  <si>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</si>
  <si>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</si>
  <si>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</si>
  <si>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</si>
  <si>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</si>
  <si>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</si>
  <si>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</si>
  <si>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</si>
  <si>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</si>
  <si>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</si>
  <si>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</si>
  <si>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</si>
  <si>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</si>
  <si>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</si>
  <si>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</si>
  <si>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</si>
  <si>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</si>
  <si>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</si>
  <si>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</si>
  <si>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</si>
  <si>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</si>
  <si>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</si>
  <si>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</si>
  <si>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</si>
  <si>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</si>
  <si>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</si>
  <si>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</si>
  <si>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>ITEM : CH-32046-C0ADWRCIRE PD/C0 DWR/CIRE YARN : POLY F.YARN 20D SD+POLY F.YARN 20D SD WIDTH : 55" TOTAL WEIGHT: 49GR/YD</t>
  </si>
  <si>
    <t xml:space="preserve">100% POLYESTER
P/D
YARN : P75D+P30D
WIDTH : 52/54"
TOTAL WEIGHT: 325GR/YD
</t>
  </si>
  <si>
    <t xml:space="preserve">61% NYLON 31% POLYESTER 8% SPANDEX 
WEAVE: RIPSTOP
WEIGHT: 245GSM,CUTTABLE WIDTH 44"
FINISHING: PFC FREE DWR, BLACK PU LAMINATION</t>
  </si>
  <si>
    <t xml:space="preserve">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</si>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</sst>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38</xdr:row>
      <xdr:rowOff>0</xdr:rowOff>
    </xdr:from>
    <xdr:ext cx="1905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34</xdr:row>
      <xdr:rowOff>0</xdr:rowOff>
    </xdr:from>
    <xdr:ext cx="1905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38</xdr:row>
      <xdr:rowOff>0</xdr:rowOff>
    </xdr:from>
    <xdr:ext cx="1905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2.4491</v>
      </c>
      <c r="E6" s="14">
        <v>200</v>
      </c>
      <c r="F6" s="15" t="s">
        <v>14</v>
      </c>
      <c r="G6" s="13">
        <v>489.82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2.4524</v>
      </c>
      <c r="E7" s="14">
        <v>330</v>
      </c>
      <c r="F7" s="15" t="s">
        <v>14</v>
      </c>
      <c r="G7" s="13">
        <v>809.29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2.84</v>
      </c>
      <c r="E8" s="14">
        <v>363</v>
      </c>
      <c r="F8" s="15" t="s">
        <v>14</v>
      </c>
      <c r="G8" s="13">
        <v>1030.92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0.7314</v>
      </c>
      <c r="E10" s="14">
        <v>11078</v>
      </c>
      <c r="F10" s="15" t="s">
        <v>32</v>
      </c>
      <c r="G10" s="13">
        <v>8102.45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0.7328</v>
      </c>
      <c r="E11" s="14">
        <v>4468</v>
      </c>
      <c r="F11" s="15" t="s">
        <v>32</v>
      </c>
      <c r="G11" s="13">
        <v>3274.15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0.06</v>
      </c>
      <c r="E22" s="14">
        <v>8000</v>
      </c>
      <c r="F22" s="15" t="s">
        <v>14</v>
      </c>
      <c r="G22" s="13">
        <v>480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19.6</v>
      </c>
      <c r="E27" s="14">
        <v>36</v>
      </c>
      <c r="F27" s="15" t="s">
        <v>32</v>
      </c>
      <c r="G27" s="13">
        <v>705.6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30.41</v>
      </c>
      <c r="E28" s="14">
        <v>24</v>
      </c>
      <c r="F28" s="15" t="s">
        <v>32</v>
      </c>
      <c r="G28" s="13">
        <v>729.84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1.15</v>
      </c>
      <c r="E29" s="14">
        <v>500</v>
      </c>
      <c r="F29" s="15" t="s">
        <v>32</v>
      </c>
      <c r="G29" s="13">
        <v>575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11.76</v>
      </c>
      <c r="E30" s="14">
        <v>20</v>
      </c>
      <c r="F30" s="15" t="s">
        <v>46</v>
      </c>
      <c r="G30" s="13">
        <v>235.2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3.83</v>
      </c>
      <c r="E44" s="14">
        <v>30</v>
      </c>
      <c r="F44" s="15" t="s">
        <v>82</v>
      </c>
      <c r="G44" s="13">
        <v>114.9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5.41</v>
      </c>
      <c r="E45" s="14">
        <v>30</v>
      </c>
      <c r="F45" s="15" t="s">
        <v>82</v>
      </c>
      <c r="G45" s="13">
        <v>162.3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114.88</v>
      </c>
      <c r="E52" s="14">
        <v>25</v>
      </c>
      <c r="F52" s="15" t="s">
        <v>95</v>
      </c>
      <c r="G52" s="13">
        <v>2872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2.4491</v>
      </c>
      <c r="E10" s="111">
        <v>200</v>
      </c>
      <c r="F10" s="112" t="s">
        <v>14</v>
      </c>
      <c r="G10" s="110">
        <v>489.82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2.4524</v>
      </c>
      <c r="E11" s="111">
        <v>330</v>
      </c>
      <c r="F11" s="112" t="s">
        <v>14</v>
      </c>
      <c r="G11" s="110">
        <v>809.29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2.84</v>
      </c>
      <c r="E12" s="111">
        <v>363</v>
      </c>
      <c r="F12" s="112" t="s">
        <v>14</v>
      </c>
      <c r="G12" s="110">
        <v>1030.92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0.7314</v>
      </c>
      <c r="E17" s="111">
        <v>11078</v>
      </c>
      <c r="F17" s="112" t="s">
        <v>32</v>
      </c>
      <c r="G17" s="110">
        <v>8102.45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0.7328</v>
      </c>
      <c r="E18" s="111">
        <v>4468</v>
      </c>
      <c r="F18" s="112" t="s">
        <v>32</v>
      </c>
      <c r="G18" s="110">
        <v>3274.15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0.06</v>
      </c>
      <c r="E29" s="111">
        <v>8000</v>
      </c>
      <c r="F29" s="112" t="s">
        <v>14</v>
      </c>
      <c r="G29" s="110">
        <v>480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19.6</v>
      </c>
      <c r="E34" s="111">
        <v>36</v>
      </c>
      <c r="F34" s="112" t="s">
        <v>32</v>
      </c>
      <c r="G34" s="110">
        <v>705.6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30.41</v>
      </c>
      <c r="E35" s="111">
        <v>24</v>
      </c>
      <c r="F35" s="112" t="s">
        <v>32</v>
      </c>
      <c r="G35" s="110">
        <v>729.84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1.15</v>
      </c>
      <c r="E36" s="111">
        <v>500</v>
      </c>
      <c r="F36" s="112" t="s">
        <v>32</v>
      </c>
      <c r="G36" s="110">
        <v>575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11.76</v>
      </c>
      <c r="E37" s="111">
        <v>20</v>
      </c>
      <c r="F37" s="112" t="s">
        <v>46</v>
      </c>
      <c r="G37" s="110">
        <v>235.2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3.83</v>
      </c>
      <c r="E51" s="111">
        <v>30</v>
      </c>
      <c r="F51" s="112" t="s">
        <v>82</v>
      </c>
      <c r="G51" s="110">
        <v>114.9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5.41</v>
      </c>
      <c r="E52" s="111">
        <v>30</v>
      </c>
      <c r="F52" s="112" t="s">
        <v>82</v>
      </c>
      <c r="G52" s="110">
        <v>162.3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114.88</v>
      </c>
      <c r="E59" s="111">
        <v>25</v>
      </c>
      <c r="F59" s="112" t="s">
        <v>95</v>
      </c>
      <c r="G59" s="110">
        <v>2872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3.83</v>
      </c>
      <c r="E7" s="135">
        <v>30</v>
      </c>
      <c r="F7" s="29" t="s">
        <v>82</v>
      </c>
      <c r="G7" s="135">
        <v>114.9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5.41</v>
      </c>
      <c r="E8" s="135">
        <v>30</v>
      </c>
      <c r="F8" s="29" t="s">
        <v>82</v>
      </c>
      <c r="G8" s="135">
        <v>162.3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19.6</v>
      </c>
      <c r="E17" s="135">
        <v>36</v>
      </c>
      <c r="F17" s="29" t="s">
        <v>32</v>
      </c>
      <c r="G17" s="135">
        <v>705.6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30.41</v>
      </c>
      <c r="E18" s="135">
        <v>24</v>
      </c>
      <c r="F18" s="29" t="s">
        <v>32</v>
      </c>
      <c r="G18" s="135">
        <v>729.84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114.88</v>
      </c>
      <c r="E19" s="135">
        <v>25</v>
      </c>
      <c r="F19" s="29" t="s">
        <v>95</v>
      </c>
      <c r="G19" s="135">
        <v>2872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1.15</v>
      </c>
      <c r="E28" s="135">
        <v>500</v>
      </c>
      <c r="F28" s="29" t="s">
        <v>32</v>
      </c>
      <c r="G28" s="135">
        <v>575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508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408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508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808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3.04</v>
      </c>
      <c r="E299" s="135">
        <v>161</v>
      </c>
      <c r="F299" s="29" t="s">
        <v>14</v>
      </c>
      <c r="G299" s="135">
        <v>489.44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2.84</v>
      </c>
      <c r="E308" s="135">
        <v>363</v>
      </c>
      <c r="F308" s="29" t="s">
        <v>14</v>
      </c>
      <c r="G308" s="135">
        <v>1030.9199999999998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0.72</v>
      </c>
      <c r="E331" s="135">
        <v>412</v>
      </c>
      <c r="F331" s="29" t="s">
        <v>32</v>
      </c>
      <c r="G331" s="135">
        <v>296.64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0.73</v>
      </c>
      <c r="E333" s="135">
        <v>1142</v>
      </c>
      <c r="F333" s="29" t="s">
        <v>32</v>
      </c>
      <c r="G333" s="135">
        <v>833.66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0.75</v>
      </c>
      <c r="E335" s="135">
        <v>331</v>
      </c>
      <c r="F335" s="29" t="s">
        <v>32</v>
      </c>
      <c r="G335" s="135">
        <v>248.25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0.75</v>
      </c>
      <c r="E344" s="135">
        <v>103</v>
      </c>
      <c r="F344" s="29" t="s">
        <v>32</v>
      </c>
      <c r="G344" s="135">
        <v>77.25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0.73</v>
      </c>
      <c r="E346" s="135">
        <v>155</v>
      </c>
      <c r="F346" s="29" t="s">
        <v>32</v>
      </c>
      <c r="G346" s="135">
        <v>113.14999999999999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0.72</v>
      </c>
      <c r="E348" s="135">
        <v>72</v>
      </c>
      <c r="F348" s="29" t="s">
        <v>32</v>
      </c>
      <c r="G348" s="135">
        <v>51.839999999999996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0.72</v>
      </c>
      <c r="E358" s="135">
        <v>2517</v>
      </c>
      <c r="F358" s="29" t="s">
        <v>32</v>
      </c>
      <c r="G358" s="135">
        <v>1812.24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0.74</v>
      </c>
      <c r="E361" s="135">
        <v>1524</v>
      </c>
      <c r="F361" s="29" t="s">
        <v>32</v>
      </c>
      <c r="G361" s="135">
        <v>1127.76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0.74</v>
      </c>
      <c r="E370" s="135">
        <v>464</v>
      </c>
      <c r="F370" s="29" t="s">
        <v>32</v>
      </c>
      <c r="G370" s="135">
        <v>343.36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0.72</v>
      </c>
      <c r="E373" s="135">
        <v>686</v>
      </c>
      <c r="F373" s="29" t="s">
        <v>32</v>
      </c>
      <c r="G373" s="135">
        <v>493.91999999999996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3.04</v>
      </c>
      <c r="E384" s="135">
        <v>52</v>
      </c>
      <c r="F384" s="29" t="s">
        <v>14</v>
      </c>
      <c r="G384" s="135">
        <v>158.08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3.04</v>
      </c>
      <c r="E393" s="135">
        <v>214</v>
      </c>
      <c r="F393" s="29" t="s">
        <v>14</v>
      </c>
      <c r="G393" s="135">
        <v>650.5600000000001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11.76</v>
      </c>
      <c r="E459" s="135">
        <v>20</v>
      </c>
      <c r="F459" s="29" t="s">
        <v>46</v>
      </c>
      <c r="G459" s="135">
        <v>235.2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0.06</v>
      </c>
      <c r="E483" s="135">
        <v>8000</v>
      </c>
      <c r="F483" s="29" t="s">
        <v>14</v>
      </c>
      <c r="G483" s="135">
        <v>480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=1500/65142.43*J29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=1500/65142.43*10156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=10156*1.1*0.026%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5.68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6.248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790</v>
      </c>
      <c r="H27" s="181" t="s">
        <v>14</v>
      </c>
      <c r="I27" s="182">
        <v>8.75</v>
      </c>
      <c r="J27" s="183">
        <f>=G27*I27</f>
      </c>
      <c r="K27" s="86">
        <v>2.51</v>
      </c>
    </row>
    <row r="28" ht="15" customHeight="1" spans="1:11" x14ac:dyDescent="0.25">
      <c r="A28" s="1"/>
      <c r="D28" s="189" t="s">
        <v>201</v>
      </c>
      <c r="G28" s="180">
        <v>499</v>
      </c>
      <c r="H28" s="181" t="s">
        <v>14</v>
      </c>
      <c r="I28" s="182">
        <v>6.5</v>
      </c>
      <c r="J28" s="183">
        <f>=G28*I28</f>
      </c>
      <c r="K28" s="86">
        <v>3.17</v>
      </c>
    </row>
    <row r="29" ht="15" customHeight="1" spans="1:11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=SUM(J27:J28)</f>
      </c>
      <c r="K29" s="86">
        <f>=SUM(K27:K28)</f>
      </c>
    </row>
    <row r="30" ht="15" customHeight="1" spans="1:11" x14ac:dyDescent="0.25">
      <c r="A30" s="87"/>
      <c r="B30" s="88"/>
      <c r="C30" s="3"/>
      <c r="D30" s="51"/>
      <c r="E30" s="51"/>
      <c r="F30" s="51"/>
      <c r="G30" s="67"/>
      <c r="H30" s="190"/>
      <c r="I30" s="191"/>
      <c r="J30" s="192"/>
      <c r="K30" s="86"/>
    </row>
    <row r="31" ht="15" customHeight="1" spans="1:10" x14ac:dyDescent="0.25">
      <c r="A31" s="1" t="s">
        <v>879</v>
      </c>
      <c r="B31" s="88"/>
      <c r="C31" s="1"/>
      <c r="D31" s="1" t="s">
        <v>880</v>
      </c>
      <c r="E31" s="1"/>
      <c r="F31" s="1" t="s">
        <v>881</v>
      </c>
      <c r="G31" s="1"/>
      <c r="H31" s="89"/>
      <c r="I31" s="90"/>
      <c r="J31" s="96"/>
    </row>
    <row r="32" ht="18" customHeight="1" spans="1:12" x14ac:dyDescent="0.25">
      <c r="A32" s="193" t="s">
        <v>199</v>
      </c>
      <c r="B32" s="193"/>
      <c r="C32" s="193"/>
      <c r="D32" s="193" t="s">
        <v>330</v>
      </c>
      <c r="E32" s="193"/>
      <c r="F32" s="194" t="s">
        <v>886</v>
      </c>
      <c r="G32" s="194"/>
      <c r="H32" s="194"/>
      <c r="I32" s="194"/>
      <c r="J32" s="194"/>
      <c r="K32" s="194"/>
      <c r="L32" t="s">
        <v>198</v>
      </c>
    </row>
    <row r="33" ht="18" customHeight="1" spans="1:12" x14ac:dyDescent="0.25">
      <c r="A33" s="193" t="s">
        <v>202</v>
      </c>
      <c r="B33" s="193"/>
      <c r="C33" s="193"/>
      <c r="D33" s="193" t="s">
        <v>334</v>
      </c>
      <c r="E33" s="193"/>
      <c r="F33" s="194" t="s">
        <v>887</v>
      </c>
      <c r="G33" s="194"/>
      <c r="H33" s="194"/>
      <c r="I33" s="194"/>
      <c r="J33" s="194"/>
      <c r="K33" s="194"/>
      <c r="L33" t="s">
        <v>201</v>
      </c>
    </row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spans="1:6" x14ac:dyDescent="0.25">
      <c r="A39" s="66" t="s">
        <v>315</v>
      </c>
      <c r="B39" s="66"/>
      <c r="C39" s="66"/>
      <c r="D39" s="66"/>
      <c r="E39" s="66"/>
      <c r="F39" s="66"/>
    </row>
    <row r="40" ht="15" customHeight="1" spans="1:11" x14ac:dyDescent="0.25">
      <c r="A40" s="66" t="s">
        <v>316</v>
      </c>
      <c r="B40" s="66"/>
      <c r="C40" s="66"/>
      <c r="D40" s="1"/>
      <c r="E40" s="1"/>
      <c r="F40" s="1"/>
      <c r="G40" s="1"/>
      <c r="H40" s="97" t="s">
        <v>317</v>
      </c>
      <c r="I40" s="61"/>
      <c r="J40" s="61"/>
      <c r="K40" s="61"/>
    </row>
  </sheetData>
  <mergeCells count="14">
    <mergeCell ref="A1:K1"/>
    <mergeCell ref="A18:C18"/>
    <mergeCell ref="D18:F18"/>
    <mergeCell ref="A21:C21"/>
    <mergeCell ref="D21:F21"/>
    <mergeCell ref="A22:C22"/>
    <mergeCell ref="D22:F22"/>
    <mergeCell ref="G22:H22"/>
    <mergeCell ref="A32:C32"/>
    <mergeCell ref="D32:E32"/>
    <mergeCell ref="F32:K32"/>
    <mergeCell ref="A33:C33"/>
    <mergeCell ref="D33:E33"/>
    <mergeCell ref="F33:K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=1500/65142.43*4022.7300000000005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=4022.7300000000005*1.1*0.026%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5.26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5.7860000000000005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238</v>
      </c>
      <c r="E27" s="3"/>
      <c r="F27" s="180"/>
      <c r="G27" s="180">
        <v>267</v>
      </c>
      <c r="H27" s="181" t="s">
        <v>14</v>
      </c>
      <c r="I27" s="182">
        <v>6.29</v>
      </c>
      <c r="J27" s="183">
        <f>=G27*I27</f>
      </c>
      <c r="K27" s="86">
        <v>1.7</v>
      </c>
    </row>
    <row r="28" ht="15" customHeight="1" spans="1:11" x14ac:dyDescent="0.25">
      <c r="A28" s="1"/>
      <c r="D28" s="189" t="s">
        <v>242</v>
      </c>
      <c r="G28" s="180">
        <v>8</v>
      </c>
      <c r="H28" s="181" t="s">
        <v>14</v>
      </c>
      <c r="I28" s="182">
        <v>5.15</v>
      </c>
      <c r="J28" s="183">
        <f>=G28*I28</f>
      </c>
      <c r="K28" s="86">
        <v>0.05</v>
      </c>
    </row>
    <row r="29" ht="15" customHeight="1" spans="1:11" x14ac:dyDescent="0.25">
      <c r="A29" s="1"/>
      <c r="D29" s="189" t="s">
        <v>245</v>
      </c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D30" s="189" t="s">
        <v>248</v>
      </c>
      <c r="G30" s="180">
        <v>524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87"/>
      <c r="B31" s="88"/>
      <c r="C31" s="3"/>
      <c r="D31" s="164" t="s">
        <v>274</v>
      </c>
      <c r="E31" s="164"/>
      <c r="F31" s="164"/>
      <c r="G31" s="184"/>
      <c r="H31" s="185"/>
      <c r="I31" s="186"/>
      <c r="J31" s="187">
        <f>=SUM(J27:J30)</f>
      </c>
      <c r="K31" s="86">
        <f>=SUM(K27:K30)</f>
      </c>
    </row>
    <row r="32" ht="15" customHeight="1" spans="1:11" x14ac:dyDescent="0.25">
      <c r="A32" s="87"/>
      <c r="B32" s="88"/>
      <c r="C32" s="3"/>
      <c r="D32" s="51"/>
      <c r="E32" s="51"/>
      <c r="F32" s="51"/>
      <c r="G32" s="67"/>
      <c r="H32" s="190"/>
      <c r="I32" s="191"/>
      <c r="J32" s="192"/>
      <c r="K32" s="86"/>
    </row>
    <row r="33" ht="15" customHeight="1" spans="1:10" x14ac:dyDescent="0.25">
      <c r="A33" s="1" t="s">
        <v>879</v>
      </c>
      <c r="B33" s="88"/>
      <c r="C33" s="1"/>
      <c r="D33" s="1" t="s">
        <v>880</v>
      </c>
      <c r="E33" s="1"/>
      <c r="F33" s="1" t="s">
        <v>881</v>
      </c>
      <c r="G33" s="1"/>
      <c r="H33" s="89"/>
      <c r="I33" s="90"/>
      <c r="J33" s="96"/>
    </row>
    <row r="34" ht="18" customHeight="1" spans="1:12" x14ac:dyDescent="0.25">
      <c r="A34" s="193" t="s">
        <v>240</v>
      </c>
      <c r="B34" s="193"/>
      <c r="C34" s="193"/>
      <c r="D34" s="193" t="s">
        <v>12</v>
      </c>
      <c r="E34" s="193"/>
      <c r="F34" s="194" t="s">
        <v>882</v>
      </c>
      <c r="G34" s="194"/>
      <c r="H34" s="194"/>
      <c r="I34" s="194"/>
      <c r="J34" s="194"/>
      <c r="K34" s="194"/>
      <c r="L34" t="s">
        <v>238</v>
      </c>
    </row>
    <row r="35" ht="18" customHeight="1" spans="1:12" x14ac:dyDescent="0.25">
      <c r="A35" s="193" t="s">
        <v>244</v>
      </c>
      <c r="B35" s="193"/>
      <c r="C35" s="193"/>
      <c r="D35" s="193" t="s">
        <v>12</v>
      </c>
      <c r="E35" s="193"/>
      <c r="F35" s="194" t="s">
        <v>883</v>
      </c>
      <c r="G35" s="194"/>
      <c r="H35" s="194"/>
      <c r="I35" s="194"/>
      <c r="J35" s="194"/>
      <c r="K35" s="194"/>
      <c r="L35" t="s">
        <v>242</v>
      </c>
    </row>
    <row r="36" ht="18" customHeight="1" spans="1:12" x14ac:dyDescent="0.25">
      <c r="A36" s="193" t="s">
        <v>247</v>
      </c>
      <c r="B36" s="193"/>
      <c r="C36" s="193"/>
      <c r="D36" s="193" t="s">
        <v>323</v>
      </c>
      <c r="E36" s="193"/>
      <c r="F36" s="194" t="s">
        <v>884</v>
      </c>
      <c r="G36" s="194"/>
      <c r="H36" s="194"/>
      <c r="I36" s="194"/>
      <c r="J36" s="194"/>
      <c r="K36" s="194"/>
      <c r="L36" t="s">
        <v>245</v>
      </c>
    </row>
    <row r="37" ht="18" customHeight="1" spans="1:12" x14ac:dyDescent="0.25">
      <c r="A37" s="193" t="s">
        <v>249</v>
      </c>
      <c r="B37" s="193"/>
      <c r="C37" s="193"/>
      <c r="D37" s="193" t="s">
        <v>327</v>
      </c>
      <c r="E37" s="193"/>
      <c r="F37" s="194" t="s">
        <v>885</v>
      </c>
      <c r="G37" s="194"/>
      <c r="H37" s="194"/>
      <c r="I37" s="194"/>
      <c r="J37" s="194"/>
      <c r="K37" s="194"/>
      <c r="L37" t="s">
        <v>248</v>
      </c>
    </row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spans="1:6" x14ac:dyDescent="0.25">
      <c r="A43" s="66" t="s">
        <v>315</v>
      </c>
      <c r="B43" s="66"/>
      <c r="C43" s="66"/>
      <c r="D43" s="66"/>
      <c r="E43" s="66"/>
      <c r="F43" s="66"/>
    </row>
    <row r="44" ht="15" customHeight="1" spans="1:11" x14ac:dyDescent="0.25">
      <c r="A44" s="66" t="s">
        <v>316</v>
      </c>
      <c r="B44" s="66"/>
      <c r="C44" s="66"/>
      <c r="D44" s="1"/>
      <c r="E44" s="1"/>
      <c r="F44" s="1"/>
      <c r="G44" s="1"/>
      <c r="H44" s="97" t="s">
        <v>317</v>
      </c>
      <c r="I44" s="61"/>
      <c r="J44" s="61"/>
      <c r="K44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=1500/65142.43*42.32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=42.32*1.1*0.026%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1.08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1.1880000000000002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4232</v>
      </c>
      <c r="H27" s="181" t="s">
        <v>32</v>
      </c>
      <c r="I27" s="182">
        <v>0.01</v>
      </c>
      <c r="J27" s="183">
        <f>=G27*I27</f>
      </c>
      <c r="K27" s="86">
        <v>1.08</v>
      </c>
    </row>
    <row r="28" ht="15" customHeight="1" spans="1:11" x14ac:dyDescent="0.25">
      <c r="A28" s="87"/>
      <c r="B28" s="88"/>
      <c r="C28" s="3"/>
      <c r="D28" s="164" t="s">
        <v>274</v>
      </c>
      <c r="E28" s="164"/>
      <c r="F28" s="164"/>
      <c r="G28" s="184"/>
      <c r="H28" s="185"/>
      <c r="I28" s="186"/>
      <c r="J28" s="187">
        <f>=SUM(J27:J27)</f>
      </c>
      <c r="K28" s="86">
        <f>=SUM(K27:K27)</f>
      </c>
    </row>
    <row r="29" ht="15" customHeight="1" spans="1:11" x14ac:dyDescent="0.25">
      <c r="A29" s="87"/>
      <c r="B29" s="88"/>
      <c r="C29" s="3"/>
      <c r="D29" s="51"/>
      <c r="E29" s="51"/>
      <c r="F29" s="51"/>
      <c r="G29" s="67"/>
      <c r="H29" s="190"/>
      <c r="I29" s="191"/>
      <c r="J29" s="192"/>
      <c r="K29" s="86"/>
    </row>
    <row r="30" ht="15" customHeight="1" spans="1:10" x14ac:dyDescent="0.25">
      <c r="A30" s="1" t="s">
        <v>879</v>
      </c>
      <c r="B30" s="88"/>
      <c r="C30" s="1"/>
      <c r="D30" s="1" t="s">
        <v>880</v>
      </c>
      <c r="E30" s="1"/>
      <c r="F30" s="1" t="s">
        <v>881</v>
      </c>
      <c r="G30" s="1"/>
      <c r="H30" s="89"/>
      <c r="I30" s="90"/>
      <c r="J30" s="96"/>
    </row>
    <row r="31" ht="18" customHeight="1" spans="1:12" x14ac:dyDescent="0.25">
      <c r="A31" s="193" t="s">
        <v>265</v>
      </c>
      <c r="B31" s="193"/>
      <c r="C31" s="193"/>
      <c r="D31" s="193" t="s">
        <v>337</v>
      </c>
      <c r="E31" s="193"/>
      <c r="F31" s="194" t="s">
        <v>888</v>
      </c>
      <c r="G31" s="194"/>
      <c r="H31" s="194"/>
      <c r="I31" s="194"/>
      <c r="J31" s="194"/>
      <c r="K31" s="194"/>
      <c r="L31" t="s">
        <v>263</v>
      </c>
    </row>
    <row r="32" ht="18" customHeight="1" spans="1:12" x14ac:dyDescent="0.25">
      <c r="A32" s="193" t="s">
        <v>267</v>
      </c>
      <c r="B32" s="193"/>
      <c r="C32" s="193"/>
      <c r="D32" s="193" t="s">
        <v>337</v>
      </c>
      <c r="E32" s="193"/>
      <c r="F32" s="194" t="s">
        <v>888</v>
      </c>
      <c r="G32" s="194"/>
      <c r="H32" s="194"/>
      <c r="I32" s="194"/>
      <c r="J32" s="194"/>
      <c r="K32" s="194"/>
      <c r="L32" t="s">
        <v>263</v>
      </c>
    </row>
    <row r="33" ht="18" customHeight="1" spans="1:12" x14ac:dyDescent="0.25">
      <c r="A33" s="193" t="s">
        <v>268</v>
      </c>
      <c r="B33" s="193"/>
      <c r="C33" s="193"/>
      <c r="D33" s="193" t="s">
        <v>337</v>
      </c>
      <c r="E33" s="193"/>
      <c r="F33" s="194" t="s">
        <v>888</v>
      </c>
      <c r="G33" s="194"/>
      <c r="H33" s="194"/>
      <c r="I33" s="194"/>
      <c r="J33" s="194"/>
      <c r="K33" s="194"/>
      <c r="L33" t="s">
        <v>263</v>
      </c>
    </row>
    <row r="34" ht="18" customHeight="1" spans="1:12" x14ac:dyDescent="0.25">
      <c r="A34" s="193" t="s">
        <v>269</v>
      </c>
      <c r="B34" s="193"/>
      <c r="C34" s="193"/>
      <c r="D34" s="193" t="s">
        <v>337</v>
      </c>
      <c r="E34" s="193"/>
      <c r="F34" s="194" t="s">
        <v>888</v>
      </c>
      <c r="G34" s="194"/>
      <c r="H34" s="194"/>
      <c r="I34" s="194"/>
      <c r="J34" s="194"/>
      <c r="K34" s="194"/>
      <c r="L34" t="s">
        <v>263</v>
      </c>
    </row>
    <row r="35" ht="18" customHeight="1" spans="1:12" x14ac:dyDescent="0.25">
      <c r="A35" s="193" t="s">
        <v>270</v>
      </c>
      <c r="B35" s="193"/>
      <c r="C35" s="193"/>
      <c r="D35" s="193" t="s">
        <v>337</v>
      </c>
      <c r="E35" s="193"/>
      <c r="F35" s="194" t="s">
        <v>888</v>
      </c>
      <c r="G35" s="194"/>
      <c r="H35" s="194"/>
      <c r="I35" s="194"/>
      <c r="J35" s="194"/>
      <c r="K35" s="194"/>
      <c r="L35" t="s">
        <v>263</v>
      </c>
    </row>
    <row r="36" ht="18" customHeight="1" spans="1:12" x14ac:dyDescent="0.25">
      <c r="A36" s="193" t="s">
        <v>271</v>
      </c>
      <c r="B36" s="193"/>
      <c r="C36" s="193"/>
      <c r="D36" s="193" t="s">
        <v>337</v>
      </c>
      <c r="E36" s="193"/>
      <c r="F36" s="194" t="s">
        <v>888</v>
      </c>
      <c r="G36" s="194"/>
      <c r="H36" s="194"/>
      <c r="I36" s="194"/>
      <c r="J36" s="194"/>
      <c r="K36" s="194"/>
      <c r="L36" t="s">
        <v>263</v>
      </c>
    </row>
    <row r="37" ht="18" customHeight="1" spans="1:12" x14ac:dyDescent="0.25">
      <c r="A37" s="193" t="s">
        <v>273</v>
      </c>
      <c r="B37" s="193"/>
      <c r="C37" s="193"/>
      <c r="D37" s="193" t="s">
        <v>337</v>
      </c>
      <c r="E37" s="193"/>
      <c r="F37" s="194" t="s">
        <v>888</v>
      </c>
      <c r="G37" s="194"/>
      <c r="H37" s="194"/>
      <c r="I37" s="194"/>
      <c r="J37" s="194"/>
      <c r="K37" s="194"/>
      <c r="L37" t="s">
        <v>263</v>
      </c>
    </row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spans="1:6" x14ac:dyDescent="0.25">
      <c r="A43" s="66" t="s">
        <v>315</v>
      </c>
      <c r="B43" s="66"/>
      <c r="C43" s="66"/>
      <c r="D43" s="66"/>
      <c r="E43" s="66"/>
      <c r="F43" s="66"/>
    </row>
    <row r="44" ht="15" customHeight="1" spans="1:11" x14ac:dyDescent="0.25">
      <c r="A44" s="66" t="s">
        <v>316</v>
      </c>
      <c r="B44" s="66"/>
      <c r="C44" s="66"/>
      <c r="D44" s="1"/>
      <c r="E44" s="1"/>
      <c r="F44" s="1"/>
      <c r="G44" s="1"/>
      <c r="H44" s="97" t="s">
        <v>317</v>
      </c>
      <c r="I44" s="61"/>
      <c r="J44" s="61"/>
      <c r="K44" s="61"/>
    </row>
  </sheetData>
  <mergeCells count="29">
    <mergeCell ref="A1:K1"/>
    <mergeCell ref="A18:C18"/>
    <mergeCell ref="D18:F18"/>
    <mergeCell ref="A21:C21"/>
    <mergeCell ref="D21:F21"/>
    <mergeCell ref="A22:C22"/>
    <mergeCell ref="D22:F22"/>
    <mergeCell ref="G22:H22"/>
    <mergeCell ref="A31:C31"/>
    <mergeCell ref="D31:E31"/>
    <mergeCell ref="F31:K31"/>
    <mergeCell ref="A32:C32"/>
    <mergeCell ref="D32:E32"/>
    <mergeCell ref="F32:K32"/>
    <mergeCell ref="A33:C33"/>
    <mergeCell ref="D33:E33"/>
    <mergeCell ref="F33:K33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