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97" i="1" l="1"/>
  <c r="F94" i="1"/>
  <c r="F89" i="1"/>
  <c r="F88" i="1"/>
  <c r="F72" i="1"/>
  <c r="F53" i="1"/>
  <c r="F49" i="1"/>
  <c r="F32" i="1"/>
  <c r="F26" i="1"/>
  <c r="F12" i="1"/>
  <c r="F10" i="1"/>
  <c r="F7" i="1"/>
  <c r="F2" i="1"/>
  <c r="F1" i="1"/>
</calcChain>
</file>

<file path=xl/sharedStrings.xml><?xml version="1.0" encoding="utf-8"?>
<sst xmlns="http://schemas.openxmlformats.org/spreadsheetml/2006/main" count="107" uniqueCount="53">
  <si>
    <t>AF18ED0017</t>
    <phoneticPr fontId="2" type="noConversion"/>
  </si>
  <si>
    <t>AF18ED0018</t>
  </si>
  <si>
    <t>AF18ED0020</t>
  </si>
  <si>
    <t>AF18ED0021</t>
  </si>
  <si>
    <t>AF18ED0022</t>
  </si>
  <si>
    <t>AF18ED0023</t>
  </si>
  <si>
    <t>AF18ED0024</t>
  </si>
  <si>
    <t>AF18ED0025</t>
  </si>
  <si>
    <t>AF18ED0026</t>
  </si>
  <si>
    <t>AF18ED0027</t>
  </si>
  <si>
    <t>AF18ED0028</t>
  </si>
  <si>
    <t>AF18ED0041</t>
  </si>
  <si>
    <t>AF18ED0042</t>
  </si>
  <si>
    <t>AF18ED0043</t>
  </si>
  <si>
    <t>AF18ED0045</t>
  </si>
  <si>
    <t>AF18ED0046</t>
  </si>
  <si>
    <t>AF18ED0047</t>
  </si>
  <si>
    <t>AF18ED0048</t>
  </si>
  <si>
    <t>AF18ED0049</t>
  </si>
  <si>
    <t>AF18ED0050</t>
  </si>
  <si>
    <t>AF18ED0054</t>
  </si>
  <si>
    <t>AF18ED0055</t>
  </si>
  <si>
    <t>AF18ED0056</t>
  </si>
  <si>
    <t>AF18ED0057</t>
  </si>
  <si>
    <t>AF18ED0058</t>
  </si>
  <si>
    <t>AF18ED0059</t>
  </si>
  <si>
    <t>AF18ED0060</t>
  </si>
  <si>
    <t>AF18ED0061</t>
  </si>
  <si>
    <t>AF18ED0068</t>
  </si>
  <si>
    <t>AF18ED0069</t>
  </si>
  <si>
    <t>AF18ED0071</t>
  </si>
  <si>
    <t>AF18ED0072</t>
  </si>
  <si>
    <t>AF18ED0073</t>
  </si>
  <si>
    <t>AF18ED0075</t>
  </si>
  <si>
    <t>AF18ED0076</t>
  </si>
  <si>
    <t>AF18ED0077</t>
  </si>
  <si>
    <t>AF18ED0083</t>
  </si>
  <si>
    <t>AF18ED0092</t>
  </si>
  <si>
    <t>AF18ED0093</t>
  </si>
  <si>
    <t>AF18ED0094</t>
  </si>
  <si>
    <t>AF18ED0095</t>
  </si>
  <si>
    <t>AF18ED0096</t>
  </si>
  <si>
    <t>AF18ED0097</t>
  </si>
  <si>
    <t>AF18ED0098</t>
  </si>
  <si>
    <t>AF18ED0099</t>
  </si>
  <si>
    <t>AF18ED0100</t>
  </si>
  <si>
    <t>AF18ED0104</t>
  </si>
  <si>
    <t>AF18ED0105</t>
  </si>
  <si>
    <t>AF18ED0106</t>
  </si>
  <si>
    <t>AF17ED0016</t>
  </si>
  <si>
    <t>AF17ED0017</t>
  </si>
  <si>
    <t>AF17ED0018</t>
  </si>
  <si>
    <t>AF17ED0019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</si>
</sst>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1" fontId="1" fillId="0" borderId="0"/>
  </cellStyleXfs>
  <cellXfs count="15">
    <xf numFmtId="0" fontId="0" fillId="0" borderId="0" xfId="0"/>
    <xf numFmtId="0" fontId="0" fillId="0" borderId="1" xfId="1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38" fontId="0" fillId="0" borderId="3" xfId="0" applyNumberFormat="1" applyFont="1" applyFill="1" applyBorder="1" applyAlignment="1">
      <alignment horizontal="right" vertical="center"/>
    </xf>
    <xf numFmtId="38" fontId="0" fillId="0" borderId="5" xfId="0" applyNumberFormat="1" applyFont="1" applyFill="1" applyBorder="1" applyAlignment="1">
      <alignment horizontal="right" vertical="center"/>
    </xf>
    <xf numFmtId="38" fontId="0" fillId="0" borderId="5" xfId="0" applyNumberFormat="1" applyFont="1" applyFill="1" applyBorder="1" applyAlignment="1">
      <alignment vertical="center"/>
    </xf>
    <xf numFmtId="38" fontId="0" fillId="0" borderId="3" xfId="0" applyNumberFormat="1" applyFont="1" applyFill="1" applyBorder="1" applyAlignment="1">
      <alignment vertical="center"/>
    </xf>
    <xf numFmtId="38" fontId="0" fillId="0" borderId="4" xfId="0" applyNumberFormat="1" applyFont="1" applyFill="1" applyBorder="1" applyAlignment="1">
      <alignment vertical="center"/>
    </xf>
    <xf numFmtId="0" fontId="0" fillId="0" borderId="5" xfId="0" applyFont="1" applyBorder="1" applyAlignment="1">
      <alignment horizontal="center" vertical="center"/>
    </xf>
    <xf numFmtId="38" fontId="0" fillId="0" borderId="2" xfId="0" applyNumberFormat="1" applyFont="1" applyFill="1" applyBorder="1" applyAlignment="1">
      <alignment horizontal="right" vertical="center"/>
    </xf>
    <xf numFmtId="0" fontId="0" fillId="0" borderId="6" xfId="1" applyNumberFormat="1" applyFont="1" applyFill="1" applyBorder="1" applyAlignment="1">
      <alignment horizontal="center" vertical="center" wrapText="1"/>
    </xf>
    <xf numFmtId="38" fontId="0" fillId="0" borderId="2" xfId="0" applyNumberFormat="1" applyFont="1" applyFill="1" applyBorder="1" applyAlignment="1">
      <alignment vertical="center"/>
    </xf>
    <xf numFmtId="0" fontId="0" fillId="0" borderId="7" xfId="1" applyNumberFormat="1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38" fontId="0" fillId="0" borderId="8" xfId="0" applyNumberFormat="1" applyFont="1" applyFill="1" applyBorder="1" applyAlignment="1">
      <alignment horizontal="right" vertical="center"/>
    </xf>
  </cellXfs>
  <cellStyles count="2">
    <cellStyle name="표준" xfId="0" builtinId="0"/>
    <cellStyle name="표준 2 67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Views>
    <sheetView tabSelected="1" workbookViewId="0">
      <selection activeCell="G1" sqref="G1"/>
    </sheetView>
  </sheetViews>
  <sheetFormatPr defaultRowHeight="16.5" x14ac:dyDescent="0.3"/>
  <cols>
    <col min="2" max="2" width="25.875" customWidth="1"/>
  </cols>
  <sheetData>
    <row r="1" spans="1:6" x14ac:dyDescent="0.3">
      <c r="A1" s="1">
        <v>63</v>
      </c>
      <c r="B1" s="2" t="s">
        <v>0</v>
      </c>
      <c r="C1">
        <v>2822</v>
      </c>
      <c r="D1">
        <v>2822</v>
      </c>
      <c r="E1">
        <v>1160</v>
      </c>
      <c r="F1" s="3">
        <f>449+886+300</f>
        <v>1635</v>
      </c>
    </row>
    <row r="2" spans="1:6" x14ac:dyDescent="0.3">
      <c r="A2" s="1">
        <v>50</v>
      </c>
      <c r="B2" s="2" t="s">
        <v>1</v>
      </c>
      <c r="C2">
        <v>3733</v>
      </c>
      <c r="D2">
        <v>3733</v>
      </c>
      <c r="E2">
        <v>1152</v>
      </c>
      <c r="F2" s="3">
        <f>668+1080</f>
        <v>1748</v>
      </c>
    </row>
    <row r="3" spans="1:6" x14ac:dyDescent="0.3">
      <c r="A3" s="1">
        <v>52</v>
      </c>
      <c r="B3" s="2" t="s">
        <v>2</v>
      </c>
      <c r="C3">
        <v>2657</v>
      </c>
      <c r="D3">
        <v>2657</v>
      </c>
      <c r="E3">
        <v>62</v>
      </c>
      <c r="F3" s="3">
        <v>2595</v>
      </c>
    </row>
    <row r="4" spans="1:6" x14ac:dyDescent="0.3">
      <c r="A4" s="1">
        <v>51</v>
      </c>
      <c r="B4" s="2" t="s">
        <v>3</v>
      </c>
      <c r="C4">
        <v>2990</v>
      </c>
      <c r="D4">
        <v>2990</v>
      </c>
      <c r="E4">
        <v>190</v>
      </c>
      <c r="F4" s="4">
        <v>2671</v>
      </c>
    </row>
    <row r="5" spans="1:6" x14ac:dyDescent="0.3">
      <c r="A5" s="1">
        <v>45</v>
      </c>
      <c r="B5" s="2" t="s">
        <v>4</v>
      </c>
      <c r="C5">
        <v>261</v>
      </c>
      <c r="D5">
        <v>261</v>
      </c>
      <c r="E5">
        <v>5</v>
      </c>
      <c r="F5" s="5">
        <v>691</v>
      </c>
    </row>
    <row r="6" spans="1:6" x14ac:dyDescent="0.3">
      <c r="A6" s="1">
        <v>44</v>
      </c>
      <c r="B6" s="2" t="s">
        <v>4</v>
      </c>
      <c r="C6">
        <v>435</v>
      </c>
      <c r="D6">
        <v>435</v>
      </c>
      <c r="F6" s="6"/>
    </row>
    <row r="7" spans="1:6" x14ac:dyDescent="0.3">
      <c r="A7" s="1">
        <v>48</v>
      </c>
      <c r="B7" s="2" t="s">
        <v>5</v>
      </c>
      <c r="C7">
        <v>2144</v>
      </c>
      <c r="D7">
        <v>2144</v>
      </c>
      <c r="E7">
        <v>2358</v>
      </c>
      <c r="F7" s="5">
        <f>279+1000</f>
        <v>1279</v>
      </c>
    </row>
    <row r="8" spans="1:6" x14ac:dyDescent="0.3">
      <c r="A8" s="1">
        <v>55</v>
      </c>
      <c r="B8" s="2" t="s">
        <v>5</v>
      </c>
      <c r="C8">
        <v>985</v>
      </c>
      <c r="D8">
        <v>985</v>
      </c>
      <c r="F8" s="7"/>
    </row>
    <row r="9" spans="1:6" x14ac:dyDescent="0.3">
      <c r="A9" s="1">
        <v>56</v>
      </c>
      <c r="B9" s="2" t="s">
        <v>5</v>
      </c>
      <c r="C9">
        <v>1248</v>
      </c>
      <c r="D9">
        <v>1248</v>
      </c>
      <c r="F9" s="6"/>
    </row>
    <row r="10" spans="1:6" x14ac:dyDescent="0.3">
      <c r="A10" s="1">
        <v>13</v>
      </c>
      <c r="B10" s="2" t="s">
        <v>6</v>
      </c>
      <c r="C10">
        <v>2489</v>
      </c>
      <c r="D10">
        <v>2489</v>
      </c>
      <c r="E10">
        <v>0</v>
      </c>
      <c r="F10" s="5">
        <f>214+1420</f>
        <v>1634</v>
      </c>
    </row>
    <row r="11" spans="1:6" x14ac:dyDescent="0.3">
      <c r="A11" s="1">
        <v>14</v>
      </c>
      <c r="B11" s="2" t="s">
        <v>6</v>
      </c>
      <c r="C11">
        <v>2491</v>
      </c>
      <c r="D11">
        <v>2491</v>
      </c>
      <c r="F11" s="6"/>
    </row>
    <row r="12" spans="1:6" x14ac:dyDescent="0.3">
      <c r="A12" s="1">
        <v>49</v>
      </c>
      <c r="B12" s="2" t="s">
        <v>7</v>
      </c>
      <c r="C12">
        <v>250</v>
      </c>
      <c r="D12">
        <v>250</v>
      </c>
      <c r="E12">
        <v>154</v>
      </c>
      <c r="F12" s="5">
        <f>127+965</f>
        <v>1092</v>
      </c>
    </row>
    <row r="13" spans="1:6" x14ac:dyDescent="0.3">
      <c r="A13" s="1">
        <v>46</v>
      </c>
      <c r="B13" s="2" t="s">
        <v>7</v>
      </c>
      <c r="C13">
        <v>997</v>
      </c>
      <c r="D13">
        <v>997</v>
      </c>
      <c r="F13" s="6"/>
    </row>
    <row r="14" spans="1:6" x14ac:dyDescent="0.3">
      <c r="A14" s="1">
        <v>9</v>
      </c>
      <c r="B14" s="2" t="s">
        <v>8</v>
      </c>
      <c r="C14">
        <v>1125</v>
      </c>
      <c r="D14">
        <v>1123</v>
      </c>
      <c r="E14">
        <v>1341</v>
      </c>
      <c r="F14" s="5">
        <v>2209</v>
      </c>
    </row>
    <row r="15" spans="1:6" x14ac:dyDescent="0.3">
      <c r="A15" s="1">
        <v>10</v>
      </c>
      <c r="B15" s="2" t="s">
        <v>8</v>
      </c>
      <c r="C15">
        <v>752</v>
      </c>
      <c r="D15">
        <v>752</v>
      </c>
      <c r="F15" s="7"/>
    </row>
    <row r="16" spans="1:6" x14ac:dyDescent="0.3">
      <c r="A16" s="1">
        <v>17</v>
      </c>
      <c r="B16" s="2" t="s">
        <v>8</v>
      </c>
      <c r="C16">
        <v>1876</v>
      </c>
      <c r="D16">
        <v>1876</v>
      </c>
      <c r="F16" s="6"/>
    </row>
    <row r="17" spans="1:6" x14ac:dyDescent="0.3">
      <c r="A17" s="1">
        <v>6</v>
      </c>
      <c r="B17" s="2" t="s">
        <v>9</v>
      </c>
      <c r="C17">
        <v>1997</v>
      </c>
      <c r="D17">
        <v>1993</v>
      </c>
      <c r="E17">
        <v>2868</v>
      </c>
      <c r="F17" s="5">
        <v>2048</v>
      </c>
    </row>
    <row r="18" spans="1:6" x14ac:dyDescent="0.3">
      <c r="A18" s="1">
        <v>52</v>
      </c>
      <c r="B18" s="2" t="s">
        <v>9</v>
      </c>
      <c r="C18">
        <v>1000</v>
      </c>
      <c r="D18">
        <v>1000</v>
      </c>
      <c r="F18" s="7"/>
    </row>
    <row r="19" spans="1:6" x14ac:dyDescent="0.3">
      <c r="A19" s="1">
        <v>64</v>
      </c>
      <c r="B19" s="2" t="s">
        <v>9</v>
      </c>
      <c r="C19">
        <v>1994</v>
      </c>
      <c r="D19">
        <v>1994</v>
      </c>
      <c r="F19" s="6"/>
    </row>
    <row r="20" spans="1:6" x14ac:dyDescent="0.3">
      <c r="A20" s="1">
        <v>49</v>
      </c>
      <c r="B20" s="2" t="s">
        <v>10</v>
      </c>
      <c r="C20">
        <v>744</v>
      </c>
      <c r="D20">
        <v>744</v>
      </c>
      <c r="E20">
        <v>52</v>
      </c>
      <c r="F20" s="5">
        <v>1170</v>
      </c>
    </row>
    <row r="21" spans="1:6" x14ac:dyDescent="0.3">
      <c r="A21" s="1">
        <v>47</v>
      </c>
      <c r="B21" s="2" t="s">
        <v>10</v>
      </c>
      <c r="C21">
        <v>500</v>
      </c>
      <c r="D21">
        <v>500</v>
      </c>
      <c r="F21" s="6"/>
    </row>
    <row r="22" spans="1:6" x14ac:dyDescent="0.3">
      <c r="A22" s="1">
        <v>42</v>
      </c>
      <c r="B22" s="2" t="s">
        <v>11</v>
      </c>
      <c r="C22">
        <v>889</v>
      </c>
      <c r="D22">
        <v>889</v>
      </c>
      <c r="E22">
        <v>0</v>
      </c>
      <c r="F22" s="3">
        <v>793</v>
      </c>
    </row>
    <row r="23" spans="1:6" x14ac:dyDescent="0.3">
      <c r="A23" s="1">
        <v>42</v>
      </c>
      <c r="B23" s="2" t="s">
        <v>12</v>
      </c>
      <c r="C23">
        <v>2266</v>
      </c>
      <c r="D23">
        <v>2266</v>
      </c>
      <c r="E23">
        <v>0</v>
      </c>
      <c r="F23" s="3">
        <v>2266</v>
      </c>
    </row>
    <row r="24" spans="1:6" x14ac:dyDescent="0.3">
      <c r="A24" s="1">
        <v>9</v>
      </c>
      <c r="B24" s="2" t="s">
        <v>13</v>
      </c>
      <c r="C24">
        <v>2000</v>
      </c>
      <c r="D24">
        <v>2000</v>
      </c>
      <c r="E24">
        <v>1935</v>
      </c>
      <c r="F24" s="5">
        <v>1000</v>
      </c>
    </row>
    <row r="25" spans="1:6" x14ac:dyDescent="0.3">
      <c r="A25" s="1">
        <v>40</v>
      </c>
      <c r="B25" s="2" t="s">
        <v>13</v>
      </c>
      <c r="C25">
        <v>969</v>
      </c>
      <c r="D25">
        <v>969</v>
      </c>
      <c r="F25" s="6"/>
    </row>
    <row r="26" spans="1:6" x14ac:dyDescent="0.3">
      <c r="A26" s="1">
        <v>39</v>
      </c>
      <c r="B26" s="2" t="s">
        <v>14</v>
      </c>
      <c r="C26">
        <v>1721</v>
      </c>
      <c r="D26">
        <v>1721</v>
      </c>
      <c r="E26">
        <v>169</v>
      </c>
      <c r="F26" s="3">
        <f>1083+469</f>
        <v>1552</v>
      </c>
    </row>
    <row r="27" spans="1:6" x14ac:dyDescent="0.3">
      <c r="A27" s="1">
        <v>40</v>
      </c>
      <c r="B27" s="8" t="s">
        <v>15</v>
      </c>
      <c r="C27">
        <v>5000</v>
      </c>
      <c r="D27">
        <v>5000</v>
      </c>
      <c r="E27">
        <v>1161</v>
      </c>
      <c r="F27" s="9">
        <v>3610</v>
      </c>
    </row>
    <row r="28" spans="1:6" x14ac:dyDescent="0.3">
      <c r="A28" s="10">
        <v>52</v>
      </c>
      <c r="B28" s="8" t="s">
        <v>16</v>
      </c>
      <c r="C28">
        <v>1705</v>
      </c>
      <c r="D28">
        <v>1705</v>
      </c>
      <c r="E28">
        <v>1690</v>
      </c>
      <c r="F28" s="9">
        <v>0</v>
      </c>
    </row>
    <row r="29" spans="1:6" x14ac:dyDescent="0.3">
      <c r="A29" s="10">
        <v>51</v>
      </c>
      <c r="B29" s="8" t="s">
        <v>17</v>
      </c>
      <c r="C29">
        <v>2299</v>
      </c>
      <c r="D29">
        <v>2299</v>
      </c>
      <c r="E29">
        <v>964</v>
      </c>
      <c r="F29" s="9">
        <v>0</v>
      </c>
    </row>
    <row r="30" spans="1:6" x14ac:dyDescent="0.3">
      <c r="A30" s="10">
        <v>51</v>
      </c>
      <c r="B30" s="2" t="s">
        <v>18</v>
      </c>
      <c r="C30">
        <v>603</v>
      </c>
      <c r="D30">
        <v>603</v>
      </c>
      <c r="E30">
        <v>442</v>
      </c>
      <c r="F30" s="5">
        <v>531</v>
      </c>
    </row>
    <row r="31" spans="1:6" x14ac:dyDescent="0.3">
      <c r="A31" s="1">
        <v>60</v>
      </c>
      <c r="B31" s="2" t="s">
        <v>18</v>
      </c>
      <c r="C31">
        <v>408</v>
      </c>
      <c r="D31">
        <v>408</v>
      </c>
      <c r="F31" s="6"/>
    </row>
    <row r="32" spans="1:6" x14ac:dyDescent="0.3">
      <c r="A32" s="10">
        <v>60</v>
      </c>
      <c r="B32" s="2" t="s">
        <v>19</v>
      </c>
      <c r="C32">
        <v>4032</v>
      </c>
      <c r="D32">
        <v>4023</v>
      </c>
      <c r="E32">
        <v>1969</v>
      </c>
      <c r="F32" s="5">
        <f>1440+520</f>
        <v>1960</v>
      </c>
    </row>
    <row r="33" spans="1:6" x14ac:dyDescent="0.3">
      <c r="A33" s="1">
        <v>47</v>
      </c>
      <c r="B33" s="2" t="s">
        <v>20</v>
      </c>
      <c r="C33">
        <v>123</v>
      </c>
      <c r="D33">
        <v>113</v>
      </c>
      <c r="E33">
        <v>852</v>
      </c>
      <c r="F33" s="5">
        <v>0</v>
      </c>
    </row>
    <row r="34" spans="1:6" x14ac:dyDescent="0.3">
      <c r="A34" s="1">
        <v>50</v>
      </c>
      <c r="B34" s="2" t="s">
        <v>20</v>
      </c>
      <c r="C34">
        <v>113</v>
      </c>
      <c r="D34">
        <v>113</v>
      </c>
      <c r="F34" s="7"/>
    </row>
    <row r="35" spans="1:6" x14ac:dyDescent="0.3">
      <c r="A35" s="1">
        <v>48</v>
      </c>
      <c r="B35" s="2" t="s">
        <v>20</v>
      </c>
      <c r="C35">
        <v>659</v>
      </c>
      <c r="D35">
        <v>659</v>
      </c>
      <c r="F35" s="6"/>
    </row>
    <row r="36" spans="1:6" x14ac:dyDescent="0.3">
      <c r="A36" s="1">
        <v>47</v>
      </c>
      <c r="B36" s="2" t="s">
        <v>21</v>
      </c>
      <c r="C36">
        <v>200</v>
      </c>
      <c r="D36">
        <v>200</v>
      </c>
      <c r="E36">
        <v>1817</v>
      </c>
      <c r="F36" s="5">
        <v>0</v>
      </c>
    </row>
    <row r="37" spans="1:6" x14ac:dyDescent="0.3">
      <c r="A37" s="1">
        <v>50</v>
      </c>
      <c r="B37" s="2" t="s">
        <v>21</v>
      </c>
      <c r="C37">
        <v>787</v>
      </c>
      <c r="D37">
        <v>787</v>
      </c>
      <c r="F37" s="7"/>
    </row>
    <row r="38" spans="1:6" x14ac:dyDescent="0.3">
      <c r="A38" s="1">
        <v>59</v>
      </c>
      <c r="B38" s="2" t="s">
        <v>21</v>
      </c>
      <c r="C38">
        <v>830</v>
      </c>
      <c r="D38">
        <v>830</v>
      </c>
      <c r="F38" s="6"/>
    </row>
    <row r="39" spans="1:6" x14ac:dyDescent="0.3">
      <c r="A39" s="10">
        <v>52</v>
      </c>
      <c r="B39" s="8" t="s">
        <v>22</v>
      </c>
      <c r="C39">
        <v>1465</v>
      </c>
      <c r="D39">
        <v>1464</v>
      </c>
      <c r="E39">
        <v>1464</v>
      </c>
      <c r="F39" s="9">
        <v>0</v>
      </c>
    </row>
    <row r="40" spans="1:6" x14ac:dyDescent="0.3">
      <c r="A40" s="1">
        <v>57</v>
      </c>
      <c r="B40" s="2" t="s">
        <v>23</v>
      </c>
      <c r="C40">
        <v>1079</v>
      </c>
      <c r="D40">
        <v>1079</v>
      </c>
      <c r="E40">
        <v>1734</v>
      </c>
      <c r="F40" s="5">
        <v>0</v>
      </c>
    </row>
    <row r="41" spans="1:6" x14ac:dyDescent="0.3">
      <c r="A41" s="1">
        <v>58</v>
      </c>
      <c r="B41" s="2" t="s">
        <v>23</v>
      </c>
      <c r="C41">
        <v>980</v>
      </c>
      <c r="D41">
        <v>980</v>
      </c>
      <c r="F41" s="6"/>
    </row>
    <row r="42" spans="1:6" x14ac:dyDescent="0.3">
      <c r="A42" s="1">
        <v>45</v>
      </c>
      <c r="B42" s="2" t="s">
        <v>24</v>
      </c>
      <c r="C42">
        <v>824</v>
      </c>
      <c r="D42">
        <v>824</v>
      </c>
      <c r="E42">
        <v>1512</v>
      </c>
      <c r="F42" s="5">
        <v>0</v>
      </c>
    </row>
    <row r="43" spans="1:6" x14ac:dyDescent="0.3">
      <c r="A43" s="1">
        <v>46</v>
      </c>
      <c r="B43" s="2" t="s">
        <v>24</v>
      </c>
      <c r="C43">
        <v>708</v>
      </c>
      <c r="D43">
        <v>708</v>
      </c>
      <c r="F43" s="6"/>
    </row>
    <row r="44" spans="1:6" x14ac:dyDescent="0.3">
      <c r="A44" s="1">
        <v>9</v>
      </c>
      <c r="B44" s="2" t="s">
        <v>25</v>
      </c>
      <c r="C44">
        <v>475</v>
      </c>
      <c r="D44">
        <v>475</v>
      </c>
      <c r="E44">
        <v>935</v>
      </c>
      <c r="F44" s="5">
        <v>0</v>
      </c>
    </row>
    <row r="45" spans="1:6" x14ac:dyDescent="0.3">
      <c r="A45" s="1">
        <v>10</v>
      </c>
      <c r="B45" s="2" t="s">
        <v>25</v>
      </c>
      <c r="C45">
        <v>485</v>
      </c>
      <c r="D45">
        <v>485</v>
      </c>
      <c r="F45" s="6"/>
    </row>
    <row r="46" spans="1:6" x14ac:dyDescent="0.3">
      <c r="A46" s="1">
        <v>48</v>
      </c>
      <c r="B46" s="2" t="s">
        <v>26</v>
      </c>
      <c r="C46">
        <v>1312</v>
      </c>
      <c r="D46">
        <v>1312</v>
      </c>
      <c r="E46">
        <v>1279</v>
      </c>
      <c r="F46" s="9">
        <v>0</v>
      </c>
    </row>
    <row r="47" spans="1:6" x14ac:dyDescent="0.3">
      <c r="A47" s="1">
        <v>17</v>
      </c>
      <c r="B47" s="2" t="s">
        <v>27</v>
      </c>
      <c r="C47">
        <v>343</v>
      </c>
      <c r="D47">
        <v>343</v>
      </c>
      <c r="E47">
        <v>336</v>
      </c>
      <c r="F47" s="5">
        <v>220</v>
      </c>
    </row>
    <row r="48" spans="1:6" x14ac:dyDescent="0.3">
      <c r="A48" s="10">
        <v>46</v>
      </c>
      <c r="B48" s="8" t="s">
        <v>27</v>
      </c>
      <c r="C48">
        <v>220</v>
      </c>
      <c r="D48">
        <v>220</v>
      </c>
      <c r="F48" s="6"/>
    </row>
    <row r="49" spans="1:6" x14ac:dyDescent="0.3">
      <c r="A49" s="1">
        <v>48</v>
      </c>
      <c r="B49" s="2" t="s">
        <v>28</v>
      </c>
      <c r="C49">
        <v>1509</v>
      </c>
      <c r="D49">
        <v>1509</v>
      </c>
      <c r="E49">
        <v>2100</v>
      </c>
      <c r="F49" s="5">
        <f>79+1098</f>
        <v>1177</v>
      </c>
    </row>
    <row r="50" spans="1:6" x14ac:dyDescent="0.3">
      <c r="A50" s="1">
        <v>49</v>
      </c>
      <c r="B50" s="2" t="s">
        <v>28</v>
      </c>
      <c r="C50">
        <v>2256</v>
      </c>
      <c r="D50">
        <v>2256</v>
      </c>
      <c r="F50" s="7"/>
    </row>
    <row r="51" spans="1:6" x14ac:dyDescent="0.3">
      <c r="A51" s="1">
        <v>58</v>
      </c>
      <c r="B51" s="2" t="s">
        <v>28</v>
      </c>
      <c r="C51">
        <v>2256</v>
      </c>
      <c r="D51">
        <v>2256</v>
      </c>
      <c r="F51" s="7"/>
    </row>
    <row r="52" spans="1:6" x14ac:dyDescent="0.3">
      <c r="A52" s="1">
        <v>62</v>
      </c>
      <c r="B52" s="8" t="s">
        <v>28</v>
      </c>
      <c r="C52">
        <v>1128</v>
      </c>
      <c r="D52">
        <v>1128</v>
      </c>
      <c r="F52" s="6"/>
    </row>
    <row r="53" spans="1:6" x14ac:dyDescent="0.3">
      <c r="A53" s="1">
        <v>49</v>
      </c>
      <c r="B53" s="2" t="s">
        <v>29</v>
      </c>
      <c r="C53">
        <v>1402</v>
      </c>
      <c r="D53">
        <v>1402</v>
      </c>
      <c r="E53">
        <v>743</v>
      </c>
      <c r="F53" s="5">
        <f>80+2285</f>
        <v>2365</v>
      </c>
    </row>
    <row r="54" spans="1:6" x14ac:dyDescent="0.3">
      <c r="A54" s="1">
        <v>57</v>
      </c>
      <c r="B54" s="2" t="s">
        <v>29</v>
      </c>
      <c r="C54">
        <v>1121</v>
      </c>
      <c r="D54">
        <v>1104</v>
      </c>
      <c r="F54" s="7"/>
    </row>
    <row r="55" spans="1:6" x14ac:dyDescent="0.3">
      <c r="A55" s="1">
        <v>58</v>
      </c>
      <c r="B55" s="2" t="s">
        <v>29</v>
      </c>
      <c r="C55">
        <v>1117</v>
      </c>
      <c r="D55">
        <v>1117</v>
      </c>
      <c r="F55" s="7"/>
    </row>
    <row r="56" spans="1:6" x14ac:dyDescent="0.3">
      <c r="A56" s="1">
        <v>59</v>
      </c>
      <c r="B56" s="2" t="s">
        <v>29</v>
      </c>
      <c r="C56">
        <v>3530</v>
      </c>
      <c r="D56">
        <v>3530</v>
      </c>
      <c r="F56" s="7"/>
    </row>
    <row r="57" spans="1:6" x14ac:dyDescent="0.3">
      <c r="A57" s="1">
        <v>60</v>
      </c>
      <c r="B57" s="2" t="s">
        <v>29</v>
      </c>
      <c r="C57">
        <v>743</v>
      </c>
      <c r="D57">
        <v>743</v>
      </c>
      <c r="F57" s="7"/>
    </row>
    <row r="58" spans="1:6" x14ac:dyDescent="0.3">
      <c r="A58" s="1">
        <v>61</v>
      </c>
      <c r="B58" s="2" t="s">
        <v>29</v>
      </c>
      <c r="C58">
        <v>745</v>
      </c>
      <c r="D58">
        <v>745</v>
      </c>
      <c r="F58" s="7"/>
    </row>
    <row r="59" spans="1:6" x14ac:dyDescent="0.3">
      <c r="A59" s="1">
        <v>62</v>
      </c>
      <c r="B59" s="8" t="s">
        <v>29</v>
      </c>
      <c r="C59">
        <v>743</v>
      </c>
      <c r="D59">
        <v>743</v>
      </c>
      <c r="F59" s="6"/>
    </row>
    <row r="60" spans="1:6" x14ac:dyDescent="0.3">
      <c r="A60" s="1">
        <v>62</v>
      </c>
      <c r="B60" s="2" t="s">
        <v>30</v>
      </c>
      <c r="C60">
        <v>4508</v>
      </c>
      <c r="D60">
        <v>4508</v>
      </c>
      <c r="E60">
        <v>4482</v>
      </c>
      <c r="F60" s="9">
        <v>0</v>
      </c>
    </row>
    <row r="61" spans="1:6" x14ac:dyDescent="0.3">
      <c r="A61" s="1">
        <v>60</v>
      </c>
      <c r="B61" s="2" t="s">
        <v>31</v>
      </c>
      <c r="C61">
        <v>3007</v>
      </c>
      <c r="D61">
        <v>3007</v>
      </c>
      <c r="E61">
        <v>3011</v>
      </c>
      <c r="F61" s="5">
        <v>0</v>
      </c>
    </row>
    <row r="62" spans="1:6" x14ac:dyDescent="0.3">
      <c r="A62" s="1">
        <v>61</v>
      </c>
      <c r="B62" s="8" t="s">
        <v>31</v>
      </c>
      <c r="C62">
        <v>2995</v>
      </c>
      <c r="D62">
        <v>2994</v>
      </c>
      <c r="F62" s="6"/>
    </row>
    <row r="63" spans="1:6" x14ac:dyDescent="0.3">
      <c r="A63" s="1">
        <v>49</v>
      </c>
      <c r="B63" s="2" t="s">
        <v>32</v>
      </c>
      <c r="C63">
        <v>493</v>
      </c>
      <c r="D63">
        <v>489</v>
      </c>
      <c r="E63">
        <v>1493</v>
      </c>
      <c r="F63" s="5">
        <v>0</v>
      </c>
    </row>
    <row r="64" spans="1:6" x14ac:dyDescent="0.3">
      <c r="A64" s="1">
        <v>62</v>
      </c>
      <c r="B64" s="8" t="s">
        <v>32</v>
      </c>
      <c r="C64">
        <v>1004</v>
      </c>
      <c r="D64">
        <v>1004</v>
      </c>
      <c r="F64" s="6"/>
    </row>
    <row r="65" spans="1:6" x14ac:dyDescent="0.3">
      <c r="A65" s="1">
        <v>48</v>
      </c>
      <c r="B65" s="2" t="s">
        <v>33</v>
      </c>
      <c r="C65">
        <v>760</v>
      </c>
      <c r="D65">
        <v>760</v>
      </c>
      <c r="E65">
        <v>1811</v>
      </c>
      <c r="F65" s="5">
        <v>0</v>
      </c>
    </row>
    <row r="66" spans="1:6" x14ac:dyDescent="0.3">
      <c r="A66" s="1">
        <v>49</v>
      </c>
      <c r="B66" s="2" t="s">
        <v>33</v>
      </c>
      <c r="C66">
        <v>352</v>
      </c>
      <c r="D66">
        <v>352</v>
      </c>
      <c r="F66" s="7"/>
    </row>
    <row r="67" spans="1:6" x14ac:dyDescent="0.3">
      <c r="A67" s="1">
        <v>60</v>
      </c>
      <c r="B67" s="8" t="s">
        <v>33</v>
      </c>
      <c r="C67">
        <v>736</v>
      </c>
      <c r="D67">
        <v>736</v>
      </c>
      <c r="F67" s="6"/>
    </row>
    <row r="68" spans="1:6" x14ac:dyDescent="0.3">
      <c r="A68" s="1">
        <v>51</v>
      </c>
      <c r="B68" s="2" t="s">
        <v>34</v>
      </c>
      <c r="C68">
        <v>741</v>
      </c>
      <c r="D68">
        <v>741</v>
      </c>
      <c r="E68">
        <v>1478</v>
      </c>
      <c r="F68" s="5">
        <v>0</v>
      </c>
    </row>
    <row r="69" spans="1:6" x14ac:dyDescent="0.3">
      <c r="A69" s="1">
        <v>49</v>
      </c>
      <c r="B69" s="2" t="s">
        <v>34</v>
      </c>
      <c r="C69">
        <v>48</v>
      </c>
      <c r="D69">
        <v>48</v>
      </c>
      <c r="F69" s="7"/>
    </row>
    <row r="70" spans="1:6" x14ac:dyDescent="0.3">
      <c r="A70" s="1">
        <v>61</v>
      </c>
      <c r="B70" s="8" t="s">
        <v>34</v>
      </c>
      <c r="C70">
        <v>859</v>
      </c>
      <c r="D70">
        <v>859</v>
      </c>
      <c r="F70" s="6"/>
    </row>
    <row r="71" spans="1:6" x14ac:dyDescent="0.3">
      <c r="A71" s="1">
        <v>51</v>
      </c>
      <c r="B71" s="2" t="s">
        <v>35</v>
      </c>
      <c r="C71">
        <v>617</v>
      </c>
      <c r="D71">
        <v>617</v>
      </c>
      <c r="E71">
        <v>450</v>
      </c>
      <c r="F71" s="9">
        <v>0</v>
      </c>
    </row>
    <row r="72" spans="1:6" x14ac:dyDescent="0.3">
      <c r="A72" s="1">
        <v>60</v>
      </c>
      <c r="B72" s="8" t="s">
        <v>36</v>
      </c>
      <c r="C72">
        <v>3018</v>
      </c>
      <c r="D72">
        <v>3017</v>
      </c>
      <c r="E72">
        <v>0</v>
      </c>
      <c r="F72" s="11">
        <f>11+200</f>
        <v>211</v>
      </c>
    </row>
    <row r="73" spans="1:6" x14ac:dyDescent="0.3">
      <c r="A73" s="1">
        <v>59</v>
      </c>
      <c r="B73" s="2" t="s">
        <v>37</v>
      </c>
      <c r="C73">
        <v>978</v>
      </c>
      <c r="D73">
        <v>978</v>
      </c>
      <c r="E73">
        <v>1947</v>
      </c>
      <c r="F73" s="5">
        <v>0</v>
      </c>
    </row>
    <row r="74" spans="1:6" x14ac:dyDescent="0.3">
      <c r="A74" s="1">
        <v>62</v>
      </c>
      <c r="B74" s="8" t="s">
        <v>37</v>
      </c>
      <c r="C74">
        <v>980</v>
      </c>
      <c r="D74">
        <v>980</v>
      </c>
      <c r="F74" s="6"/>
    </row>
    <row r="75" spans="1:6" x14ac:dyDescent="0.3">
      <c r="A75" s="1">
        <v>58</v>
      </c>
      <c r="B75" s="2" t="s">
        <v>38</v>
      </c>
      <c r="C75">
        <v>1547</v>
      </c>
      <c r="D75">
        <v>1547</v>
      </c>
      <c r="E75">
        <v>2496</v>
      </c>
      <c r="F75" s="5">
        <v>0</v>
      </c>
    </row>
    <row r="76" spans="1:6" x14ac:dyDescent="0.3">
      <c r="A76" s="1">
        <v>59</v>
      </c>
      <c r="B76" s="8" t="s">
        <v>38</v>
      </c>
      <c r="C76">
        <v>1027</v>
      </c>
      <c r="D76">
        <v>1027</v>
      </c>
      <c r="F76" s="6"/>
    </row>
    <row r="77" spans="1:6" x14ac:dyDescent="0.3">
      <c r="A77" s="1">
        <v>58</v>
      </c>
      <c r="B77" s="2" t="s">
        <v>39</v>
      </c>
      <c r="C77">
        <v>1952</v>
      </c>
      <c r="D77">
        <v>1952</v>
      </c>
      <c r="E77">
        <v>0</v>
      </c>
      <c r="F77" s="9">
        <v>1943</v>
      </c>
    </row>
    <row r="78" spans="1:6" x14ac:dyDescent="0.3">
      <c r="A78" s="1">
        <v>61</v>
      </c>
      <c r="B78" s="2" t="s">
        <v>40</v>
      </c>
      <c r="C78">
        <v>2010</v>
      </c>
      <c r="D78">
        <v>2000</v>
      </c>
      <c r="E78">
        <v>3721</v>
      </c>
      <c r="F78" s="5">
        <v>0</v>
      </c>
    </row>
    <row r="79" spans="1:6" x14ac:dyDescent="0.3">
      <c r="A79" s="1">
        <v>62</v>
      </c>
      <c r="B79" s="8" t="s">
        <v>40</v>
      </c>
      <c r="C79">
        <v>1740</v>
      </c>
      <c r="D79">
        <v>1740</v>
      </c>
      <c r="F79" s="6"/>
    </row>
    <row r="80" spans="1:6" x14ac:dyDescent="0.3">
      <c r="A80" s="1">
        <v>58</v>
      </c>
      <c r="B80" s="2" t="s">
        <v>41</v>
      </c>
      <c r="C80">
        <v>1571</v>
      </c>
      <c r="D80">
        <v>1565</v>
      </c>
      <c r="E80">
        <v>5000</v>
      </c>
      <c r="F80" s="5">
        <v>0</v>
      </c>
    </row>
    <row r="81" spans="1:6" x14ac:dyDescent="0.3">
      <c r="A81" s="1">
        <v>61</v>
      </c>
      <c r="B81" s="2" t="s">
        <v>41</v>
      </c>
      <c r="C81">
        <v>1567</v>
      </c>
      <c r="D81">
        <v>1567</v>
      </c>
      <c r="F81" s="7"/>
    </row>
    <row r="82" spans="1:6" x14ac:dyDescent="0.3">
      <c r="A82" s="1">
        <v>62</v>
      </c>
      <c r="B82" s="2" t="s">
        <v>41</v>
      </c>
      <c r="C82">
        <v>1895</v>
      </c>
      <c r="D82">
        <v>1895</v>
      </c>
      <c r="F82" s="7"/>
    </row>
    <row r="83" spans="1:6" x14ac:dyDescent="0.3">
      <c r="A83" s="1">
        <v>58</v>
      </c>
      <c r="B83" s="2" t="s">
        <v>42</v>
      </c>
      <c r="C83">
        <v>1741</v>
      </c>
      <c r="D83">
        <v>1740</v>
      </c>
      <c r="E83">
        <v>3684</v>
      </c>
      <c r="F83" s="5">
        <v>0</v>
      </c>
    </row>
    <row r="84" spans="1:6" x14ac:dyDescent="0.3">
      <c r="A84" s="1">
        <v>62</v>
      </c>
      <c r="B84" s="8" t="s">
        <v>42</v>
      </c>
      <c r="C84">
        <v>2014</v>
      </c>
      <c r="D84">
        <v>2014</v>
      </c>
      <c r="F84" s="6"/>
    </row>
    <row r="85" spans="1:6" x14ac:dyDescent="0.3">
      <c r="A85" s="1">
        <v>62</v>
      </c>
      <c r="B85" s="2" t="s">
        <v>43</v>
      </c>
      <c r="C85">
        <v>2402</v>
      </c>
      <c r="D85">
        <v>2402</v>
      </c>
      <c r="E85">
        <v>2397</v>
      </c>
      <c r="F85" s="9">
        <v>0</v>
      </c>
    </row>
    <row r="86" spans="1:6" x14ac:dyDescent="0.3">
      <c r="A86" s="1">
        <v>58</v>
      </c>
      <c r="B86" s="2" t="s">
        <v>44</v>
      </c>
      <c r="C86">
        <v>3400</v>
      </c>
      <c r="D86">
        <v>3400</v>
      </c>
      <c r="E86">
        <v>3292</v>
      </c>
      <c r="F86" s="9">
        <v>0</v>
      </c>
    </row>
    <row r="87" spans="1:6" x14ac:dyDescent="0.3">
      <c r="A87" s="1">
        <v>61</v>
      </c>
      <c r="B87" s="2" t="s">
        <v>45</v>
      </c>
      <c r="C87">
        <v>2558</v>
      </c>
      <c r="D87">
        <v>2558</v>
      </c>
      <c r="E87">
        <v>2525</v>
      </c>
      <c r="F87" s="9">
        <v>0</v>
      </c>
    </row>
    <row r="88" spans="1:6" x14ac:dyDescent="0.3">
      <c r="A88" s="1">
        <v>59</v>
      </c>
      <c r="B88" s="2" t="s">
        <v>46</v>
      </c>
      <c r="C88">
        <v>2320</v>
      </c>
      <c r="D88">
        <v>2320</v>
      </c>
      <c r="E88">
        <v>1626</v>
      </c>
      <c r="F88" s="9">
        <f>21+620</f>
        <v>641</v>
      </c>
    </row>
    <row r="89" spans="1:6" x14ac:dyDescent="0.3">
      <c r="A89" s="1">
        <v>57</v>
      </c>
      <c r="B89" s="2" t="s">
        <v>47</v>
      </c>
      <c r="C89">
        <v>1000</v>
      </c>
      <c r="D89">
        <v>1000</v>
      </c>
      <c r="E89">
        <v>7933</v>
      </c>
      <c r="F89" s="5">
        <f>20+1980</f>
        <v>2000</v>
      </c>
    </row>
    <row r="90" spans="1:6" x14ac:dyDescent="0.3">
      <c r="A90" s="1">
        <v>59</v>
      </c>
      <c r="B90" s="2" t="s">
        <v>47</v>
      </c>
      <c r="C90">
        <v>2478</v>
      </c>
      <c r="D90">
        <v>2478</v>
      </c>
      <c r="F90" s="7"/>
    </row>
    <row r="91" spans="1:6" x14ac:dyDescent="0.3">
      <c r="A91" s="1">
        <v>60</v>
      </c>
      <c r="B91" s="2" t="s">
        <v>47</v>
      </c>
      <c r="C91">
        <v>500</v>
      </c>
      <c r="D91">
        <v>500</v>
      </c>
      <c r="F91" s="7"/>
    </row>
    <row r="92" spans="1:6" x14ac:dyDescent="0.3">
      <c r="A92" s="1">
        <v>61</v>
      </c>
      <c r="B92" s="8" t="s">
        <v>47</v>
      </c>
      <c r="C92">
        <v>4986</v>
      </c>
      <c r="D92">
        <v>4986</v>
      </c>
      <c r="F92" s="7"/>
    </row>
    <row r="93" spans="1:6" x14ac:dyDescent="0.3">
      <c r="A93" s="1">
        <v>62</v>
      </c>
      <c r="B93" s="2" t="s">
        <v>47</v>
      </c>
      <c r="C93">
        <v>1000</v>
      </c>
      <c r="D93">
        <v>1000</v>
      </c>
      <c r="F93" s="6"/>
    </row>
    <row r="94" spans="1:6" x14ac:dyDescent="0.3">
      <c r="A94" s="1">
        <v>58</v>
      </c>
      <c r="B94" s="2" t="s">
        <v>48</v>
      </c>
      <c r="C94">
        <v>3430</v>
      </c>
      <c r="D94">
        <v>3430</v>
      </c>
      <c r="E94">
        <v>5920</v>
      </c>
      <c r="F94" s="5">
        <f>20+1420</f>
        <v>1440</v>
      </c>
    </row>
    <row r="95" spans="1:6" x14ac:dyDescent="0.3">
      <c r="A95" s="1">
        <v>60</v>
      </c>
      <c r="B95" s="2" t="s">
        <v>48</v>
      </c>
      <c r="C95">
        <v>3931</v>
      </c>
      <c r="D95">
        <v>3931</v>
      </c>
      <c r="F95" s="7"/>
    </row>
    <row r="96" spans="1:6" ht="17.25" thickBot="1" x14ac:dyDescent="0.35">
      <c r="A96" s="1">
        <v>61</v>
      </c>
      <c r="B96" s="2" t="s">
        <v>48</v>
      </c>
      <c r="C96">
        <v>500</v>
      </c>
      <c r="D96">
        <v>500</v>
      </c>
      <c r="F96" s="7"/>
    </row>
    <row r="97" spans="1:6" x14ac:dyDescent="0.3">
      <c r="A97" s="12">
        <v>50</v>
      </c>
      <c r="B97" s="13" t="s">
        <v>49</v>
      </c>
      <c r="C97">
        <v>2502</v>
      </c>
      <c r="D97">
        <v>2502</v>
      </c>
      <c r="E97">
        <v>524</v>
      </c>
      <c r="F97" s="14">
        <f>223+1000+504</f>
        <v>1727</v>
      </c>
    </row>
    <row r="98" spans="1:6" x14ac:dyDescent="0.3">
      <c r="A98" s="1">
        <v>57</v>
      </c>
      <c r="B98" s="2" t="s">
        <v>49</v>
      </c>
      <c r="C98">
        <v>1478</v>
      </c>
      <c r="D98">
        <v>1478</v>
      </c>
      <c r="E98">
        <v>0</v>
      </c>
      <c r="F98" s="5"/>
    </row>
    <row r="99" spans="1:6" x14ac:dyDescent="0.3">
      <c r="A99" s="1">
        <v>58</v>
      </c>
      <c r="B99" s="2" t="s">
        <v>49</v>
      </c>
      <c r="C99">
        <v>1000</v>
      </c>
      <c r="D99">
        <v>1000</v>
      </c>
      <c r="F99" s="6"/>
    </row>
    <row r="100" spans="1:6" x14ac:dyDescent="0.3">
      <c r="A100" s="1">
        <v>50</v>
      </c>
      <c r="B100" s="2" t="s">
        <v>50</v>
      </c>
      <c r="C100">
        <v>2506</v>
      </c>
      <c r="D100">
        <v>2506</v>
      </c>
      <c r="E100">
        <v>0</v>
      </c>
      <c r="F100" s="3">
        <v>0</v>
      </c>
    </row>
    <row r="101" spans="1:6" x14ac:dyDescent="0.3">
      <c r="A101" s="1">
        <v>59</v>
      </c>
      <c r="B101" s="2" t="s">
        <v>50</v>
      </c>
      <c r="C101">
        <v>1500</v>
      </c>
      <c r="D101">
        <v>1500</v>
      </c>
      <c r="E101">
        <v>0</v>
      </c>
      <c r="F101" s="5">
        <v>505</v>
      </c>
    </row>
    <row r="102" spans="1:6" x14ac:dyDescent="0.3">
      <c r="A102" s="1">
        <v>60</v>
      </c>
      <c r="B102" s="2" t="s">
        <v>50</v>
      </c>
      <c r="C102">
        <v>1000</v>
      </c>
      <c r="D102">
        <v>1000</v>
      </c>
      <c r="F102" s="6"/>
    </row>
    <row r="103" spans="1:6" x14ac:dyDescent="0.3">
      <c r="A103" s="1">
        <v>21</v>
      </c>
      <c r="B103" s="2" t="s">
        <v>51</v>
      </c>
      <c r="C103">
        <v>500</v>
      </c>
      <c r="D103">
        <v>500</v>
      </c>
      <c r="E103">
        <v>987</v>
      </c>
      <c r="F103" s="5">
        <v>0</v>
      </c>
    </row>
    <row r="104" spans="1:6" x14ac:dyDescent="0.3">
      <c r="A104" s="1">
        <v>27</v>
      </c>
      <c r="B104" s="2" t="s">
        <v>51</v>
      </c>
      <c r="C104">
        <v>500</v>
      </c>
      <c r="D104">
        <v>500</v>
      </c>
      <c r="F104" s="6"/>
    </row>
    <row r="105" spans="1:6" x14ac:dyDescent="0.3">
      <c r="A105" s="1">
        <v>61</v>
      </c>
      <c r="B105" s="2" t="s">
        <v>51</v>
      </c>
      <c r="C105">
        <v>1001</v>
      </c>
      <c r="D105">
        <v>1001</v>
      </c>
      <c r="E105">
        <v>0</v>
      </c>
      <c r="F105" s="3">
        <v>0</v>
      </c>
    </row>
    <row r="106" spans="1:6" x14ac:dyDescent="0.3">
      <c r="A106" s="1">
        <v>23</v>
      </c>
      <c r="B106" s="2" t="s">
        <v>52</v>
      </c>
      <c r="C106">
        <v>988</v>
      </c>
      <c r="D106">
        <v>988</v>
      </c>
      <c r="E106">
        <v>984</v>
      </c>
      <c r="F106" s="5">
        <v>0</v>
      </c>
    </row>
    <row r="107" spans="1:6" x14ac:dyDescent="0.3">
      <c r="A107" s="1">
        <v>62</v>
      </c>
      <c r="B107" s="2" t="s">
        <v>52</v>
      </c>
      <c r="C107">
        <v>1000</v>
      </c>
      <c r="D107">
        <v>1000</v>
      </c>
      <c r="F107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2019-08-14T09:57:53Z</dcterms:modified>
</cp:coreProperties>
</file>