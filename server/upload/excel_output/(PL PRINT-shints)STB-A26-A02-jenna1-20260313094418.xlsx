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<sst xmlns="http://schemas.openxmlformats.org/spreadsheetml/2006/main" count="267" uniqueCount="114">
  <si>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</si>
  <si>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</si>
  <si>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</si>
  <si>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</si>
  <si>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</si>
  <si>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</si>
  <si>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</si>
  <si>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</si>
  <si>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</si>
  <si>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</si>
  <si>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</si>
  <si>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</si>
  <si>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/>
  </si>
  <si>
    <t>SHINS ADC to AIR</t>
  </si>
  <si>
    <t>PC</t>
  </si>
  <si>
    <t>Korea</t>
  </si>
  <si>
    <t>kg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</si>
  <si>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</si>
  <si>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</si>
  <si>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</si>
  <si>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</si>
  <si>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</si>
  <si>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</si>
  <si>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</si>
  <si>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</si>
  <si>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</si>
  <si>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</si>
  <si>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</si>
  <si>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SHINTS</t>
  </si>
  <si>
    <t>nomal</t>
  </si>
  <si>
    <t>ADC</t>
  </si>
  <si>
    <t>box-20260313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</si>
  <si>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</si>
  <si>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</si>
  <si>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</si>
  <si>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</si>
  <si>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</si>
  <si>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</si>
  <si>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</si>
  <si>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STB-A26-A02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</si>
  <si>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</si>
  <si>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</si>
  <si>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</si>
  <si>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</si>
  <si>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</si>
  <si>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</si>
  <si>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</si>
  <si>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</si>
  <si>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</si>
  <si>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</si>
  <si>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</si>
  <si>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</si>
  <si>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</si>
  <si>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</si>
  <si>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</si>
  <si>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</si>
  <si>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</si>
  <si>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HANOI,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</si>
  <si>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</si>
  <si>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</si>
  <si>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</si>
  <si>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</si>
  <si>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</si>
  <si>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</si>
  <si>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</si>
  <si>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</si>
  <si>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</si>
  <si>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</si>
  <si>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</si>
  <si>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</si>
  <si>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</si>
  <si>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</si>
  <si>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</si>
  <si>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</si>
  <si>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</si>
  <si>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</si>
  <si>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</si>
  <si>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</si>
  <si>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PROFORMA INVOICE FOR PF26S008800</t>
  </si>
  <si>
    <t>No.</t>
  </si>
  <si>
    <t>ORDER No.</t>
  </si>
  <si>
    <t>STYLE</t>
  </si>
  <si>
    <t>QUANTITY</t>
  </si>
  <si>
    <t>DELIVERY</t>
  </si>
  <si>
    <t>0026-S0001</t>
  </si>
  <si>
    <t>SAMPLE</t>
  </si>
  <si>
    <t>HS No</t>
  </si>
  <si>
    <t>Hs Name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</si>
  <si>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</si>
  <si>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</si>
  <si>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</si>
  <si>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</si>
  <si>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</si>
  <si>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</si>
  <si>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</si>
  <si>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</si>
  <si>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</si>
  <si>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</si>
  <si>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</si>
  <si>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</si>
  <si>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</si>
  <si>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</si>
  <si>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PF26S008800</t>
  </si>
  <si>
    <t>MATL CODE</t>
  </si>
  <si>
    <t>X26-00001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</si>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</sst>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0.01</v>
      </c>
      <c r="E4" s="14">
        <v>1</v>
      </c>
      <c r="F4" s="15" t="s">
        <v>14</v>
      </c>
      <c r="G4" s="13">
        <v>0.01</v>
      </c>
      <c r="H4" s="16" t="s">
        <v>15</v>
      </c>
      <c r="I4" s="17">
        <v>2.8</v>
      </c>
      <c r="J4" s="18" t="s">
        <v>16</v>
      </c>
      <c r="K4" s="1" t="s">
        <v>12</v>
      </c>
      <c r="L4" s="1" t="s">
        <v>12</v>
      </c>
    </row>
    <row r="5" ht="12.75" customHeight="1" spans="1:11" x14ac:dyDescent="0.25">
      <c r="A5" s="19"/>
      <c r="B5" s="20" t="s">
        <v>17</v>
      </c>
      <c r="C5" s="20"/>
      <c r="D5" s="21"/>
      <c r="E5" s="22">
        <f>=SUM(E4:E4)</f>
      </c>
      <c r="F5" s="23"/>
      <c r="G5" s="24">
        <f>=SUM(G4:G4)</f>
      </c>
      <c r="H5" s="25"/>
      <c r="I5" s="26">
        <f>=SUM(I4:I4)</f>
      </c>
      <c r="J5" s="18" t="s">
        <v>16</v>
      </c>
      <c r="K5" s="27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8" customWidth="1"/>
    <col min="2" max="2" width="30.44" style="28" customWidth="1"/>
    <col min="3" max="3" width="23.22" style="28" customWidth="1"/>
    <col min="4" max="4" width="28.44" style="28" customWidth="1"/>
    <col min="5" max="5" width="6.89" style="28" customWidth="1"/>
    <col min="6" max="6" width="8.56" style="28" customWidth="1"/>
    <col min="7" max="7" width="9.11" style="28" customWidth="1"/>
    <col min="8" max="8" width="11.11" style="28" customWidth="1"/>
    <col min="9" max="9" width="12.34" style="28" customWidth="1"/>
  </cols>
  <sheetData>
    <row r="1" ht="19.7" customHeight="1" spans="1:9" x14ac:dyDescent="0.25">
      <c r="A1" s="29" t="s">
        <v>18</v>
      </c>
      <c r="B1" s="29"/>
      <c r="C1" s="29"/>
      <c r="D1" s="29"/>
      <c r="E1" s="29"/>
      <c r="F1" s="29"/>
      <c r="G1" s="29"/>
      <c r="H1" s="29"/>
      <c r="I1" s="29"/>
    </row>
    <row r="3" ht="15.65" customHeight="1" spans="1:9" x14ac:dyDescent="0.25">
      <c r="A3" s="30" t="s">
        <v>19</v>
      </c>
      <c r="B3" s="30" t="s">
        <v>20</v>
      </c>
      <c r="C3" s="31" t="s">
        <v>21</v>
      </c>
      <c r="D3" s="32" t="s">
        <v>22</v>
      </c>
      <c r="E3" s="31" t="s">
        <v>23</v>
      </c>
      <c r="F3" s="33" t="s">
        <v>24</v>
      </c>
      <c r="G3" s="33" t="s">
        <v>25</v>
      </c>
      <c r="H3" s="33" t="s">
        <v>26</v>
      </c>
      <c r="I3" s="33" t="s">
        <v>27</v>
      </c>
    </row>
    <row r="4" ht="12.75" customHeight="1" spans="1:9" x14ac:dyDescent="0.25">
      <c r="A4" s="34" t="s">
        <v>28</v>
      </c>
      <c r="B4" s="34" t="s">
        <v>13</v>
      </c>
      <c r="C4" s="35" t="s">
        <v>29</v>
      </c>
      <c r="D4" s="36" t="s">
        <v>30</v>
      </c>
      <c r="E4" s="37" t="s">
        <v>14</v>
      </c>
      <c r="F4" s="38">
        <v>1</v>
      </c>
      <c r="G4" s="39">
        <v>1</v>
      </c>
      <c r="H4" s="40" t="s">
        <v>31</v>
      </c>
      <c r="I4" s="40" t="s">
        <v>12</v>
      </c>
    </row>
    <row r="5" ht="12.75" customHeight="1" spans="1:9" x14ac:dyDescent="0.25">
      <c r="A5" s="41" t="s">
        <v>32</v>
      </c>
      <c r="B5" s="42" t="s">
        <v>33</v>
      </c>
      <c r="C5" s="43"/>
      <c r="D5" s="43"/>
      <c r="E5" s="43"/>
      <c r="F5" s="44">
        <f>=SUM(F4:F4)</f>
      </c>
      <c r="G5" s="45">
        <f>=SUM(G4:G4)</f>
      </c>
      <c r="H5" s="43"/>
      <c r="I5" s="43"/>
    </row>
  </sheetData>
  <mergeCells count="1">
    <mergeCell ref="A1:I1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6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ht="15" customHeight="1" spans="1:9" x14ac:dyDescent="0.25">
      <c r="A2" s="47" t="s">
        <v>35</v>
      </c>
      <c r="B2" s="47"/>
      <c r="C2" s="47"/>
      <c r="F2" s="48"/>
      <c r="G2" s="49" t="s">
        <v>36</v>
      </c>
      <c r="H2" s="47"/>
      <c r="I2" s="47"/>
    </row>
    <row r="3" ht="15" customHeight="1" spans="1:11" x14ac:dyDescent="0.25">
      <c r="A3" s="50" t="s">
        <v>37</v>
      </c>
      <c r="B3" s="50"/>
      <c r="C3" s="50"/>
      <c r="D3" s="50"/>
      <c r="E3" s="50"/>
      <c r="F3" s="48"/>
      <c r="G3" s="3"/>
      <c r="J3" s="3"/>
      <c r="K3" s="51"/>
    </row>
    <row r="4" ht="15" customHeight="1" spans="1:11" x14ac:dyDescent="0.25">
      <c r="A4" s="1" t="s">
        <v>38</v>
      </c>
      <c r="F4" s="48"/>
      <c r="G4" s="52" t="s">
        <v>39</v>
      </c>
      <c r="J4" s="53"/>
      <c r="K4" s="53">
        <v>46094.625</v>
      </c>
    </row>
    <row r="5" ht="15" customHeight="1" spans="1:9" x14ac:dyDescent="0.25">
      <c r="A5" s="1" t="s">
        <v>40</v>
      </c>
      <c r="F5" s="48"/>
      <c r="G5" s="49" t="s">
        <v>41</v>
      </c>
      <c r="H5" s="47"/>
      <c r="I5" s="54"/>
    </row>
    <row r="6" ht="15" customHeight="1" spans="1:11" x14ac:dyDescent="0.25">
      <c r="A6" s="1" t="s">
        <v>42</v>
      </c>
      <c r="F6" s="48"/>
      <c r="G6" s="3"/>
      <c r="H6" s="3"/>
      <c r="I6" s="3"/>
      <c r="J6" s="3"/>
      <c r="K6" s="55"/>
    </row>
    <row r="7" ht="15" customHeight="1" spans="1:11" x14ac:dyDescent="0.25">
      <c r="A7" s="47" t="s">
        <v>43</v>
      </c>
      <c r="B7" s="47"/>
      <c r="C7" s="54"/>
      <c r="D7" s="54"/>
      <c r="E7" s="54"/>
      <c r="F7" s="56"/>
      <c r="H7" s="50"/>
      <c r="I7" s="50"/>
      <c r="J7" s="57" t="s">
        <v>44</v>
      </c>
      <c r="K7" s="58"/>
    </row>
    <row r="8" ht="15" customHeight="1" spans="1:11" x14ac:dyDescent="0.25">
      <c r="A8" s="50" t="s">
        <v>45</v>
      </c>
      <c r="B8" s="50"/>
      <c r="C8" s="50"/>
      <c r="F8" s="48"/>
      <c r="G8" s="49" t="s">
        <v>46</v>
      </c>
      <c r="H8" s="47"/>
      <c r="I8" s="47"/>
      <c r="J8" s="54"/>
      <c r="K8" s="59"/>
    </row>
    <row r="9" ht="15" customHeight="1" spans="1:11" x14ac:dyDescent="0.25">
      <c r="A9" s="1" t="s">
        <v>47</v>
      </c>
      <c r="F9" s="48"/>
      <c r="G9" s="1" t="s">
        <v>44</v>
      </c>
      <c r="K9" s="58"/>
    </row>
    <row r="10" ht="15" customHeight="1" spans="1:11" x14ac:dyDescent="0.25">
      <c r="A10" s="1" t="s">
        <v>48</v>
      </c>
      <c r="F10" s="48"/>
      <c r="G10" s="60" t="s">
        <v>44</v>
      </c>
      <c r="H10" s="60"/>
      <c r="I10" s="60"/>
      <c r="J10" s="60"/>
      <c r="K10" s="58"/>
    </row>
    <row r="11" ht="15" customHeight="1" spans="1:11" x14ac:dyDescent="0.25">
      <c r="A11" s="1" t="s">
        <v>49</v>
      </c>
      <c r="F11" s="48"/>
      <c r="G11" s="49" t="s">
        <v>50</v>
      </c>
      <c r="H11" s="47"/>
      <c r="K11" s="61"/>
    </row>
    <row r="12" ht="15" customHeight="1" spans="1:11" x14ac:dyDescent="0.25">
      <c r="A12" s="60" t="s">
        <v>51</v>
      </c>
      <c r="B12" s="62"/>
      <c r="C12" s="60"/>
      <c r="D12" s="60"/>
      <c r="E12" s="60"/>
      <c r="F12" s="63"/>
      <c r="G12" s="3"/>
      <c r="K12" s="64"/>
    </row>
    <row r="13" ht="15" customHeight="1" spans="1:11" x14ac:dyDescent="0.25">
      <c r="A13" s="65" t="s">
        <v>52</v>
      </c>
      <c r="F13" s="48"/>
      <c r="G13" s="3"/>
      <c r="I13" s="66"/>
      <c r="J13" s="67"/>
      <c r="K13" s="64"/>
    </row>
    <row r="14" ht="15" customHeight="1" spans="1:11" x14ac:dyDescent="0.25">
      <c r="A14" s="68" t="s">
        <v>53</v>
      </c>
      <c r="B14" s="68"/>
      <c r="F14" s="48"/>
      <c r="I14" s="66"/>
      <c r="J14" s="67"/>
      <c r="K14" s="64"/>
    </row>
    <row r="15" ht="15" customHeight="1" spans="6:11" x14ac:dyDescent="0.25">
      <c r="F15" s="48"/>
      <c r="H15" s="50"/>
      <c r="K15" s="64"/>
    </row>
    <row r="16" ht="15" customHeight="1" spans="1:11" x14ac:dyDescent="0.25">
      <c r="A16" s="47" t="s">
        <v>54</v>
      </c>
      <c r="B16" s="47"/>
      <c r="C16" s="56"/>
      <c r="D16" s="47" t="s">
        <v>55</v>
      </c>
      <c r="E16" s="47"/>
      <c r="F16" s="69"/>
      <c r="G16" s="3"/>
      <c r="H16" s="66"/>
      <c r="I16" s="70"/>
      <c r="J16" s="50"/>
      <c r="K16" s="64"/>
    </row>
    <row r="17" ht="15" customHeight="1" spans="4:11" x14ac:dyDescent="0.25">
      <c r="D17" s="71" t="s">
        <v>44</v>
      </c>
      <c r="E17" s="52"/>
      <c r="F17" s="48"/>
      <c r="H17" s="66"/>
      <c r="I17" s="70"/>
      <c r="J17" s="50"/>
      <c r="K17" s="64"/>
    </row>
    <row r="18" ht="15" customHeight="1" spans="1:11" x14ac:dyDescent="0.25">
      <c r="A18" s="72" t="s">
        <v>56</v>
      </c>
      <c r="B18" s="72"/>
      <c r="C18" s="72"/>
      <c r="D18" s="73" t="s">
        <v>57</v>
      </c>
      <c r="E18" s="73"/>
      <c r="F18" s="73"/>
      <c r="H18" s="66"/>
      <c r="I18" s="70"/>
      <c r="J18" s="50"/>
      <c r="K18" s="64"/>
    </row>
    <row r="19" ht="15" customHeight="1" spans="1:11" x14ac:dyDescent="0.25">
      <c r="A19" s="47" t="s">
        <v>58</v>
      </c>
      <c r="B19" s="47"/>
      <c r="C19" s="48"/>
      <c r="D19" s="47" t="s">
        <v>59</v>
      </c>
      <c r="E19" s="47"/>
      <c r="F19" s="69"/>
      <c r="K19" s="64"/>
    </row>
    <row r="20" ht="15" customHeight="1" spans="1:11" x14ac:dyDescent="0.25">
      <c r="A20" s="1" t="s">
        <v>44</v>
      </c>
      <c r="C20" s="48"/>
      <c r="D20" s="1" t="s">
        <v>44</v>
      </c>
      <c r="F20" s="48"/>
      <c r="G20" s="1" t="s">
        <v>44</v>
      </c>
      <c r="K20" s="64"/>
    </row>
    <row r="21" ht="15" customHeight="1" spans="1:11" x14ac:dyDescent="0.25">
      <c r="A21" s="74"/>
      <c r="B21" s="74"/>
      <c r="C21" s="74"/>
      <c r="D21" s="75"/>
      <c r="E21" s="75"/>
      <c r="F21" s="75"/>
      <c r="G21" s="60"/>
      <c r="H21" s="60"/>
      <c r="I21" s="60"/>
      <c r="J21" s="60"/>
      <c r="K21" s="76"/>
    </row>
    <row r="22" ht="15" customHeight="1" spans="1:11" x14ac:dyDescent="0.25">
      <c r="A22" s="77" t="s">
        <v>60</v>
      </c>
      <c r="B22" s="77"/>
      <c r="C22" s="77"/>
      <c r="D22" s="78" t="s">
        <v>61</v>
      </c>
      <c r="E22" s="78"/>
      <c r="F22" s="78"/>
      <c r="G22" s="78" t="s">
        <v>62</v>
      </c>
      <c r="H22" s="78"/>
      <c r="I22" s="79" t="s">
        <v>63</v>
      </c>
      <c r="J22" s="80" t="s">
        <v>64</v>
      </c>
      <c r="K22" s="80"/>
    </row>
    <row r="23" ht="15" customHeight="1" spans="1:9" x14ac:dyDescent="0.25">
      <c r="A23" s="1" t="s">
        <v>44</v>
      </c>
      <c r="C23" s="48"/>
      <c r="F23" s="48"/>
      <c r="H23" s="48"/>
      <c r="I23" s="48"/>
    </row>
    <row r="24" ht="15" customHeight="1" spans="1:9" x14ac:dyDescent="0.25">
      <c r="A24" s="1" t="s">
        <v>44</v>
      </c>
      <c r="G24" s="81" t="s">
        <v>65</v>
      </c>
      <c r="H24" s="81"/>
      <c r="I24" s="81"/>
    </row>
    <row r="25" ht="15" customHeight="1" spans="1:11" x14ac:dyDescent="0.25">
      <c r="A25" s="82" t="s">
        <v>66</v>
      </c>
      <c r="C25" s="3"/>
      <c r="F25" s="3"/>
      <c r="G25" s="3"/>
      <c r="H25" s="3"/>
      <c r="I25" s="3"/>
      <c r="J25" s="3"/>
      <c r="K25" s="83"/>
    </row>
    <row r="26" ht="15" customHeight="1" spans="1:11" x14ac:dyDescent="0.25">
      <c r="A26" s="84" t="s">
        <v>67</v>
      </c>
      <c r="C26" s="3"/>
      <c r="F26" s="3"/>
      <c r="G26" s="3"/>
      <c r="H26" s="3"/>
      <c r="I26" s="3"/>
      <c r="J26" s="3"/>
      <c r="K26" s="85"/>
    </row>
    <row r="27" ht="15" customHeight="1" spans="1:11" x14ac:dyDescent="0.25">
      <c r="A27" s="86"/>
      <c r="D27" s="50" t="s">
        <v>68</v>
      </c>
      <c r="E27" s="50"/>
      <c r="F27" s="50"/>
      <c r="K27" s="85"/>
    </row>
    <row r="28" ht="15" customHeight="1" spans="1:11" x14ac:dyDescent="0.25">
      <c r="A28" s="86" t="s">
        <v>69</v>
      </c>
      <c r="K28" s="85"/>
    </row>
    <row r="29" ht="15" customHeight="1" spans="1:10" x14ac:dyDescent="0.25">
      <c r="A29" s="86" t="s">
        <v>70</v>
      </c>
      <c r="F29" s="3"/>
      <c r="G29" s="87"/>
      <c r="H29" s="88"/>
      <c r="I29" s="89"/>
      <c r="J29" s="90"/>
    </row>
    <row r="30" ht="15" customHeight="1" spans="1:10" x14ac:dyDescent="0.25">
      <c r="A30" s="86" t="s">
        <v>71</v>
      </c>
      <c r="B30" s="87"/>
      <c r="F30" s="3"/>
      <c r="G30" s="87"/>
      <c r="H30" s="88"/>
      <c r="I30" s="89"/>
      <c r="J30" s="90"/>
    </row>
    <row r="31" ht="15" customHeight="1" spans="1:10" x14ac:dyDescent="0.25">
      <c r="A31" s="86" t="s">
        <v>72</v>
      </c>
      <c r="B31" s="87"/>
      <c r="C31" s="3"/>
      <c r="D31" s="91" t="s">
        <v>32</v>
      </c>
      <c r="E31" s="91"/>
      <c r="F31" s="91"/>
      <c r="G31" s="92"/>
      <c r="H31" s="93"/>
      <c r="I31" s="93"/>
      <c r="J31" s="94">
        <f>=VLOOKUP("GRAND TOTAL :",BVT.INV!B:I,6,0)</f>
      </c>
    </row>
    <row r="32" ht="15" customHeight="1" spans="2:10" x14ac:dyDescent="0.25">
      <c r="B32" s="87"/>
      <c r="F32" s="3"/>
      <c r="G32" s="87"/>
      <c r="H32" s="88"/>
      <c r="I32" s="89"/>
      <c r="J32" s="95"/>
    </row>
    <row r="33" ht="15" customHeight="1" spans="2:10" x14ac:dyDescent="0.25">
      <c r="B33" s="87"/>
      <c r="F33" s="3"/>
      <c r="G33" s="87"/>
      <c r="H33" s="88"/>
      <c r="I33" s="89"/>
      <c r="J33" s="95"/>
    </row>
    <row r="34" ht="15" customHeight="1" spans="2:10" x14ac:dyDescent="0.25">
      <c r="B34" s="87"/>
      <c r="F34" s="3"/>
      <c r="G34" s="87"/>
      <c r="H34" s="88"/>
      <c r="I34" s="89"/>
      <c r="J34" s="95"/>
    </row>
    <row r="35" ht="15" customHeight="1" spans="2:10" x14ac:dyDescent="0.25">
      <c r="B35" s="87"/>
      <c r="F35" s="3"/>
      <c r="G35" s="87"/>
      <c r="H35" s="88"/>
      <c r="I35" s="89"/>
      <c r="J35" s="95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5" t="s">
        <v>73</v>
      </c>
      <c r="B40" s="65"/>
      <c r="C40" s="65"/>
      <c r="D40" s="65"/>
      <c r="E40" s="65"/>
      <c r="F40" s="65"/>
    </row>
    <row r="41" ht="15" customHeight="1" spans="1:11" x14ac:dyDescent="0.25">
      <c r="A41" s="65" t="s">
        <v>74</v>
      </c>
      <c r="B41" s="65"/>
      <c r="C41" s="65"/>
      <c r="H41" s="96" t="s">
        <v>75</v>
      </c>
      <c r="I41" s="60"/>
      <c r="J41" s="60"/>
      <c r="K41" s="60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7" customWidth="1"/>
    <col min="2" max="2" width="15.11" style="97" customWidth="1"/>
    <col min="3" max="3" width="26.44" style="97" customWidth="1"/>
    <col min="4" max="4" width="7.78" style="97" customWidth="1"/>
    <col min="5" max="5" width="9.67" style="97" customWidth="1"/>
    <col min="6" max="6" width="4.11" style="97" customWidth="1"/>
    <col min="7" max="7" width="11.33" style="97" customWidth="1"/>
    <col min="8" max="9" width="9" style="97" customWidth="1"/>
    <col min="10" max="10" width="2.44" style="97" customWidth="1"/>
    <col min="11" max="11" width="7.9" style="97" customWidth="1"/>
    <col min="12" max="12" width="6.11" style="97" customWidth="1"/>
    <col min="13" max="13" width="12.11" style="97" customWidth="1"/>
  </cols>
  <sheetData>
    <row r="1" ht="23.25" customHeight="1" spans="1:13" x14ac:dyDescent="0.25">
      <c r="A1" s="98" t="s">
        <v>76</v>
      </c>
      <c r="B1" s="98"/>
      <c r="C1" s="98"/>
      <c r="D1" s="98"/>
      <c r="E1" s="98"/>
      <c r="F1" s="98"/>
      <c r="G1" s="98"/>
      <c r="H1" s="98"/>
      <c r="I1" s="98"/>
      <c r="J1" s="99"/>
      <c r="K1" s="100"/>
      <c r="L1" s="101"/>
      <c r="M1" s="101"/>
    </row>
    <row r="2" ht="12" customHeight="1" spans="1:10" x14ac:dyDescent="0.25">
      <c r="A2" s="102"/>
      <c r="B2" s="102"/>
      <c r="C2" s="102"/>
      <c r="D2" s="102"/>
      <c r="E2" s="102"/>
      <c r="F2" s="102"/>
      <c r="G2" s="102"/>
      <c r="H2" s="103"/>
      <c r="I2" s="99"/>
      <c r="J2" s="99"/>
    </row>
    <row r="3" ht="12" customHeight="1" spans="1:13" x14ac:dyDescent="0.25">
      <c r="A3" s="104" t="s">
        <v>1</v>
      </c>
      <c r="B3" s="104" t="s">
        <v>2</v>
      </c>
      <c r="C3" s="104" t="s">
        <v>3</v>
      </c>
      <c r="D3" s="104" t="s">
        <v>4</v>
      </c>
      <c r="E3" s="104" t="s">
        <v>5</v>
      </c>
      <c r="F3" s="104" t="s">
        <v>6</v>
      </c>
      <c r="G3" s="104" t="s">
        <v>7</v>
      </c>
      <c r="H3" s="104" t="s">
        <v>8</v>
      </c>
      <c r="I3" s="104" t="s">
        <v>9</v>
      </c>
      <c r="J3" s="105"/>
      <c r="K3" s="106" t="s">
        <v>77</v>
      </c>
      <c r="L3" s="106" t="s">
        <v>10</v>
      </c>
      <c r="M3" s="106" t="s">
        <v>11</v>
      </c>
    </row>
    <row r="4" ht="12" customHeight="1" spans="1:13" x14ac:dyDescent="0.25">
      <c r="A4" s="107">
        <v>1</v>
      </c>
      <c r="B4" s="108" t="s">
        <v>12</v>
      </c>
      <c r="C4" s="108" t="s">
        <v>13</v>
      </c>
      <c r="D4" s="109">
        <v>0.01</v>
      </c>
      <c r="E4" s="110">
        <v>1</v>
      </c>
      <c r="F4" s="111" t="s">
        <v>14</v>
      </c>
      <c r="G4" s="109">
        <v>0.01</v>
      </c>
      <c r="H4" s="112" t="s">
        <v>15</v>
      </c>
      <c r="I4" s="113">
        <v>2.8</v>
      </c>
      <c r="J4" s="102" t="s">
        <v>16</v>
      </c>
      <c r="K4" s="97" t="s">
        <v>12</v>
      </c>
      <c r="L4" s="97" t="s">
        <v>12</v>
      </c>
      <c r="M4" s="97" t="s">
        <v>12</v>
      </c>
    </row>
    <row r="5" ht="12.75" customHeight="1" spans="1:11" x14ac:dyDescent="0.25">
      <c r="A5" s="114"/>
      <c r="B5" s="115" t="s">
        <v>17</v>
      </c>
      <c r="C5" s="115"/>
      <c r="D5" s="116"/>
      <c r="E5" s="117">
        <f>=SUM(E4:E4)</f>
      </c>
      <c r="F5" s="118"/>
      <c r="G5" s="119">
        <f>=SUM(G4:G4)</f>
      </c>
      <c r="H5" s="120"/>
      <c r="I5" s="121">
        <f>=SUM(I4:I4)</f>
      </c>
      <c r="J5" s="102" t="s">
        <v>16</v>
      </c>
      <c r="K5" s="122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78</v>
      </c>
      <c r="B1" s="2"/>
      <c r="C1" s="2"/>
      <c r="D1" s="2"/>
      <c r="E1" s="2"/>
      <c r="F1" s="2"/>
      <c r="G1" s="2"/>
      <c r="H1" s="28"/>
      <c r="I1" s="28" t="s">
        <v>39</v>
      </c>
    </row>
    <row r="2" ht="12.75" customHeight="1" spans="1:9" x14ac:dyDescent="0.25">
      <c r="A2" s="28"/>
      <c r="B2" s="7"/>
      <c r="C2" s="7"/>
      <c r="D2" s="7"/>
      <c r="E2" s="28"/>
      <c r="F2" s="28"/>
      <c r="G2" s="123"/>
      <c r="H2" s="28"/>
      <c r="I2" s="28"/>
    </row>
    <row r="3" ht="12.75" customHeight="1" spans="1:9" x14ac:dyDescent="0.25">
      <c r="A3" s="124" t="s">
        <v>79</v>
      </c>
      <c r="B3" s="125" t="s">
        <v>80</v>
      </c>
      <c r="C3" s="125" t="s">
        <v>81</v>
      </c>
      <c r="D3" s="124" t="s">
        <v>82</v>
      </c>
      <c r="E3" s="124" t="s">
        <v>23</v>
      </c>
      <c r="F3" s="124" t="s">
        <v>83</v>
      </c>
      <c r="G3" s="126"/>
      <c r="H3" s="12"/>
      <c r="I3" s="12"/>
    </row>
    <row r="4" ht="12.75" customHeight="1" spans="1:13" x14ac:dyDescent="0.25">
      <c r="A4" s="11">
        <v>1</v>
      </c>
      <c r="B4" s="6" t="s">
        <v>84</v>
      </c>
      <c r="C4" s="127" t="s">
        <v>85</v>
      </c>
      <c r="D4" s="128">
        <v>1</v>
      </c>
      <c r="E4" s="11"/>
      <c r="F4" s="129">
        <v>46094.625</v>
      </c>
      <c r="G4" s="130"/>
      <c r="H4" s="28"/>
      <c r="I4" s="28"/>
      <c r="J4" s="131"/>
      <c r="K4" s="131"/>
      <c r="L4" s="131"/>
      <c r="M4" s="131"/>
    </row>
    <row r="6" spans="1:9" x14ac:dyDescent="0.25">
      <c r="A6" s="132" t="s">
        <v>79</v>
      </c>
      <c r="B6" s="132" t="s">
        <v>86</v>
      </c>
      <c r="C6" s="132" t="s">
        <v>87</v>
      </c>
      <c r="D6" s="132" t="s">
        <v>4</v>
      </c>
      <c r="E6" s="132" t="s">
        <v>5</v>
      </c>
      <c r="F6" s="132" t="s">
        <v>6</v>
      </c>
      <c r="G6" s="132" t="s">
        <v>7</v>
      </c>
      <c r="H6" s="132" t="s">
        <v>8</v>
      </c>
      <c r="I6" s="132" t="s">
        <v>9</v>
      </c>
    </row>
    <row r="7" spans="1:13" x14ac:dyDescent="0.25">
      <c r="A7" s="28">
        <v>1</v>
      </c>
      <c r="B7" s="28" t="s">
        <v>12</v>
      </c>
      <c r="C7" s="133" t="s">
        <v>13</v>
      </c>
      <c r="D7" s="134">
        <v>0.01</v>
      </c>
      <c r="E7" s="134">
        <v>1</v>
      </c>
      <c r="F7" s="28" t="s">
        <v>14</v>
      </c>
      <c r="G7" s="134">
        <v>0.01</v>
      </c>
      <c r="H7" s="28" t="s">
        <v>15</v>
      </c>
      <c r="I7" s="134">
        <v>2.8</v>
      </c>
      <c r="J7" s="131" t="s">
        <v>16</v>
      </c>
      <c r="K7" s="131" t="s">
        <v>12</v>
      </c>
      <c r="L7" s="131" t="s">
        <v>12</v>
      </c>
      <c r="M7" s="131" t="s">
        <v>12</v>
      </c>
    </row>
    <row r="8" spans="1:13" x14ac:dyDescent="0.25">
      <c r="A8" s="135"/>
      <c r="B8" s="135" t="s">
        <v>17</v>
      </c>
      <c r="C8" s="135"/>
      <c r="D8" s="136"/>
      <c r="E8" s="137">
        <f>=SUM(E7:E7)</f>
      </c>
      <c r="F8" s="135"/>
      <c r="G8" s="137">
        <f>=SUM(G7:G7)</f>
      </c>
      <c r="H8" s="135"/>
      <c r="I8" s="135"/>
      <c r="J8" s="131"/>
      <c r="K8" s="131"/>
      <c r="L8" s="131"/>
      <c r="M8" s="131"/>
    </row>
    <row r="12" spans="5:7" x14ac:dyDescent="0.25">
      <c r="E12" s="3" t="s">
        <v>88</v>
      </c>
      <c r="G12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6" t="s">
        <v>89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ht="15" customHeight="1" spans="1:11" x14ac:dyDescent="0.25">
      <c r="A2" s="47" t="s">
        <v>90</v>
      </c>
      <c r="B2" s="47"/>
      <c r="C2" s="47"/>
      <c r="D2" s="54"/>
      <c r="E2" s="54"/>
      <c r="F2" s="56"/>
      <c r="G2" s="49" t="s">
        <v>36</v>
      </c>
      <c r="H2" s="47"/>
      <c r="I2" s="47"/>
      <c r="J2" s="54"/>
      <c r="K2" s="54"/>
    </row>
    <row r="3" ht="15" customHeight="1" spans="1:11" x14ac:dyDescent="0.25">
      <c r="A3" s="50" t="s">
        <v>37</v>
      </c>
      <c r="B3" s="50"/>
      <c r="C3" s="50"/>
      <c r="D3" s="50"/>
      <c r="E3" s="50"/>
      <c r="F3" s="48"/>
      <c r="G3" s="138"/>
      <c r="J3" s="51"/>
      <c r="K3" s="51"/>
    </row>
    <row r="4" ht="15" customHeight="1" spans="1:11" x14ac:dyDescent="0.25">
      <c r="A4" s="1" t="s">
        <v>38</v>
      </c>
      <c r="F4" s="48"/>
      <c r="G4" s="139" t="s">
        <v>39</v>
      </c>
      <c r="H4" s="60"/>
      <c r="I4" s="60"/>
      <c r="J4" s="51"/>
      <c r="K4" s="53">
        <v>46094.625</v>
      </c>
    </row>
    <row r="5" ht="15" customHeight="1" spans="1:10" x14ac:dyDescent="0.25">
      <c r="A5" s="1" t="s">
        <v>40</v>
      </c>
      <c r="F5" s="48"/>
      <c r="G5" s="140" t="s">
        <v>91</v>
      </c>
      <c r="H5" s="65"/>
      <c r="J5" s="54"/>
    </row>
    <row r="6" ht="15" customHeight="1" spans="1:11" x14ac:dyDescent="0.25">
      <c r="A6" s="1" t="s">
        <v>42</v>
      </c>
      <c r="G6" s="141"/>
      <c r="H6" s="142"/>
      <c r="I6" s="143"/>
      <c r="J6" s="55"/>
      <c r="K6" s="55"/>
    </row>
    <row r="7" ht="15" customHeight="1" spans="1:11" x14ac:dyDescent="0.25">
      <c r="A7" s="47" t="s">
        <v>43</v>
      </c>
      <c r="B7" s="47"/>
      <c r="C7" s="54"/>
      <c r="D7" s="54"/>
      <c r="E7" s="54"/>
      <c r="F7" s="54"/>
      <c r="G7" s="141"/>
      <c r="H7" s="142"/>
      <c r="I7" s="144"/>
      <c r="J7" s="58"/>
      <c r="K7" s="58"/>
    </row>
    <row r="8" ht="15" customHeight="1" spans="1:11" x14ac:dyDescent="0.25">
      <c r="A8" s="50" t="s">
        <v>45</v>
      </c>
      <c r="B8" s="50"/>
      <c r="C8" s="50"/>
      <c r="F8" s="48"/>
      <c r="G8" s="141"/>
      <c r="H8" s="142"/>
      <c r="I8" s="144"/>
      <c r="J8" s="58"/>
      <c r="K8" s="58"/>
    </row>
    <row r="9" ht="15" customHeight="1" spans="1:11" x14ac:dyDescent="0.25">
      <c r="A9" s="1" t="s">
        <v>47</v>
      </c>
      <c r="F9" s="48"/>
      <c r="G9" s="141"/>
      <c r="H9" s="142"/>
      <c r="I9" s="144"/>
      <c r="J9" s="58"/>
      <c r="K9" s="58"/>
    </row>
    <row r="10" ht="15" customHeight="1" spans="1:11" x14ac:dyDescent="0.25">
      <c r="A10" s="1" t="s">
        <v>48</v>
      </c>
      <c r="F10" s="48"/>
      <c r="G10" s="141"/>
      <c r="H10" s="142"/>
      <c r="I10" s="144"/>
      <c r="J10" s="58"/>
      <c r="K10" s="58"/>
    </row>
    <row r="11" ht="15" customHeight="1" spans="1:11" x14ac:dyDescent="0.25">
      <c r="A11" s="1" t="s">
        <v>49</v>
      </c>
      <c r="F11" s="48"/>
      <c r="G11" s="141"/>
      <c r="H11" s="142"/>
      <c r="I11" s="144"/>
      <c r="J11" s="64"/>
      <c r="K11" s="64"/>
    </row>
    <row r="12" ht="15" customHeight="1" spans="1:11" x14ac:dyDescent="0.25">
      <c r="A12" s="60" t="s">
        <v>51</v>
      </c>
      <c r="B12" s="62"/>
      <c r="C12" s="60"/>
      <c r="D12" s="60"/>
      <c r="E12" s="60"/>
      <c r="F12" s="63"/>
      <c r="G12" s="141"/>
      <c r="H12" s="142"/>
      <c r="I12" s="144"/>
      <c r="J12" s="64"/>
      <c r="K12" s="64"/>
    </row>
    <row r="13" ht="15" customHeight="1" spans="1:11" x14ac:dyDescent="0.25">
      <c r="A13" s="65" t="s">
        <v>52</v>
      </c>
      <c r="F13" s="48"/>
      <c r="G13" s="141"/>
      <c r="H13" s="142"/>
      <c r="I13" s="144"/>
      <c r="J13" s="64"/>
      <c r="K13" s="64"/>
    </row>
    <row r="14" ht="15" customHeight="1" spans="1:11" x14ac:dyDescent="0.25">
      <c r="A14" s="145" t="s">
        <v>53</v>
      </c>
      <c r="B14" s="145"/>
      <c r="C14" s="145"/>
      <c r="G14" s="141"/>
      <c r="H14" s="142"/>
      <c r="I14" s="144"/>
      <c r="J14" s="64"/>
      <c r="K14" s="64"/>
    </row>
    <row r="15" ht="15" customHeight="1" spans="1:11" x14ac:dyDescent="0.25">
      <c r="A15" s="60"/>
      <c r="B15" s="60"/>
      <c r="C15" s="60"/>
      <c r="D15" s="60"/>
      <c r="E15" s="60"/>
      <c r="F15" s="60"/>
      <c r="G15" s="141"/>
      <c r="H15" s="142"/>
      <c r="I15" s="144"/>
      <c r="J15" s="64"/>
      <c r="K15" s="64"/>
    </row>
    <row r="16" ht="15" customHeight="1" spans="1:11" x14ac:dyDescent="0.25">
      <c r="A16" s="47" t="s">
        <v>54</v>
      </c>
      <c r="B16" s="47"/>
      <c r="C16" s="48"/>
      <c r="D16" s="47" t="s">
        <v>55</v>
      </c>
      <c r="E16" s="47"/>
      <c r="F16" s="47"/>
      <c r="G16" s="141"/>
      <c r="H16" s="142"/>
      <c r="I16" s="144"/>
      <c r="J16" s="64"/>
      <c r="K16" s="64"/>
    </row>
    <row r="17" ht="15" customHeight="1" spans="1:11" x14ac:dyDescent="0.25">
      <c r="A17" s="138"/>
      <c r="C17" s="48"/>
      <c r="D17" s="138"/>
      <c r="E17" s="138"/>
      <c r="G17" s="141"/>
      <c r="H17" s="142"/>
      <c r="I17" s="144"/>
      <c r="J17" s="64"/>
      <c r="K17" s="64"/>
    </row>
    <row r="18" ht="15" customHeight="1" spans="1:11" x14ac:dyDescent="0.25">
      <c r="A18" s="72" t="s">
        <v>56</v>
      </c>
      <c r="B18" s="72"/>
      <c r="C18" s="72"/>
      <c r="D18" s="146" t="s">
        <v>57</v>
      </c>
      <c r="E18" s="146"/>
      <c r="F18" s="146"/>
      <c r="G18" s="141"/>
      <c r="H18" s="142"/>
      <c r="I18" s="144"/>
      <c r="J18" s="64"/>
      <c r="K18" s="64"/>
    </row>
    <row r="19" ht="15" customHeight="1" spans="1:11" x14ac:dyDescent="0.25">
      <c r="A19" s="47" t="s">
        <v>58</v>
      </c>
      <c r="B19" s="47"/>
      <c r="C19" s="48"/>
      <c r="D19" s="47" t="s">
        <v>59</v>
      </c>
      <c r="E19" s="47"/>
      <c r="F19" s="47"/>
      <c r="G19" s="141"/>
      <c r="H19" s="142"/>
      <c r="I19" s="144"/>
      <c r="J19" s="64"/>
      <c r="K19" s="64"/>
    </row>
    <row r="20" ht="15" customHeight="1" spans="3:11" x14ac:dyDescent="0.25">
      <c r="C20" s="48"/>
      <c r="D20" s="147" t="s">
        <v>44</v>
      </c>
      <c r="E20" s="147"/>
      <c r="G20" s="141"/>
      <c r="H20" s="142"/>
      <c r="I20" s="144"/>
      <c r="J20" s="64"/>
      <c r="K20" s="64"/>
    </row>
    <row r="21" ht="15" customHeight="1" spans="1:11" x14ac:dyDescent="0.25">
      <c r="A21" s="72"/>
      <c r="B21" s="72"/>
      <c r="C21" s="72"/>
      <c r="D21" s="75"/>
      <c r="E21" s="75"/>
      <c r="F21" s="75"/>
      <c r="G21" s="148"/>
      <c r="H21" s="60"/>
      <c r="I21" s="149"/>
      <c r="J21" s="76"/>
      <c r="K21" s="76"/>
    </row>
    <row r="22" ht="15" customHeight="1" spans="1:11" x14ac:dyDescent="0.25">
      <c r="A22" s="77" t="s">
        <v>92</v>
      </c>
      <c r="B22" s="77"/>
      <c r="C22" s="77"/>
      <c r="D22" s="78" t="s">
        <v>93</v>
      </c>
      <c r="E22" s="78"/>
      <c r="F22" s="78"/>
      <c r="G22" s="78" t="s">
        <v>94</v>
      </c>
      <c r="H22" s="78"/>
      <c r="I22" s="79" t="s">
        <v>95</v>
      </c>
      <c r="J22" s="79" t="s">
        <v>96</v>
      </c>
      <c r="K22" s="80" t="s">
        <v>97</v>
      </c>
    </row>
    <row r="23" ht="15" customHeight="1" spans="1:10" x14ac:dyDescent="0.25">
      <c r="A23" s="1" t="s">
        <v>44</v>
      </c>
      <c r="C23" s="48"/>
      <c r="G23" s="150"/>
      <c r="H23" s="48"/>
      <c r="I23" s="151" t="s">
        <v>9</v>
      </c>
      <c r="J23" s="151" t="s">
        <v>9</v>
      </c>
    </row>
    <row r="24" ht="15" customHeight="1" spans="1:7" x14ac:dyDescent="0.25">
      <c r="A24" s="1" t="s">
        <v>44</v>
      </c>
      <c r="G24" s="1" t="s">
        <v>98</v>
      </c>
    </row>
    <row r="25" ht="15" customHeight="1" spans="4:11" x14ac:dyDescent="0.25">
      <c r="D25" s="50" t="s">
        <v>99</v>
      </c>
      <c r="E25" s="50"/>
      <c r="G25" s="152">
        <f>=VLOOKUP("TOTAL",P!A:I,7,0)</f>
      </c>
      <c r="H25" s="152"/>
      <c r="I25" s="153">
        <f>='BVT.INV'!I5</f>
      </c>
      <c r="J25" s="154">
        <f>=I25*1.1</f>
      </c>
      <c r="K25" s="83">
        <f>=J25/166</f>
      </c>
    </row>
    <row r="26" ht="15" customHeight="1" spans="4:11" x14ac:dyDescent="0.25">
      <c r="D26" s="155"/>
      <c r="E26" s="155"/>
      <c r="I26" s="156"/>
      <c r="J26" s="85"/>
      <c r="K26" s="85"/>
    </row>
    <row r="27" ht="15" customHeight="1" spans="1:11" x14ac:dyDescent="0.25">
      <c r="A27" s="157" t="s">
        <v>66</v>
      </c>
      <c r="B27" s="157"/>
      <c r="D27" s="70"/>
      <c r="E27" s="70"/>
      <c r="F27" s="158"/>
      <c r="G27" s="70"/>
      <c r="I27" s="156"/>
      <c r="J27" s="85"/>
      <c r="K27" s="85"/>
    </row>
    <row r="28" ht="15" customHeight="1" spans="1:11" x14ac:dyDescent="0.25">
      <c r="A28" s="159" t="s">
        <v>67</v>
      </c>
      <c r="D28" s="50"/>
      <c r="E28" s="70"/>
      <c r="F28" s="158"/>
      <c r="G28" s="70"/>
      <c r="I28" s="156"/>
      <c r="J28" s="85"/>
      <c r="K28" s="85"/>
    </row>
    <row r="29" ht="15" customHeight="1" spans="1:11" x14ac:dyDescent="0.25">
      <c r="A29" s="160"/>
      <c r="D29" s="50" t="s">
        <v>68</v>
      </c>
      <c r="E29" s="50"/>
      <c r="F29" s="50"/>
      <c r="G29" s="70"/>
      <c r="I29" s="85"/>
      <c r="J29" s="85"/>
      <c r="K29" s="85"/>
    </row>
    <row r="30" ht="15" customHeight="1" spans="1:11" x14ac:dyDescent="0.25">
      <c r="A30" s="160" t="s">
        <v>69</v>
      </c>
      <c r="B30" s="160"/>
      <c r="G30" s="70"/>
      <c r="H30" s="88"/>
      <c r="I30" s="85"/>
      <c r="J30" s="154"/>
      <c r="K30" s="83"/>
    </row>
    <row r="31" ht="15" customHeight="1" spans="1:2" x14ac:dyDescent="0.25">
      <c r="A31" s="160" t="s">
        <v>70</v>
      </c>
      <c r="B31" s="161"/>
    </row>
    <row r="32" ht="15" customHeight="1" spans="1:10" x14ac:dyDescent="0.25">
      <c r="A32" s="160" t="s">
        <v>71</v>
      </c>
      <c r="B32" s="161"/>
      <c r="F32" s="160"/>
      <c r="G32" s="87"/>
      <c r="H32" s="88"/>
      <c r="J32" s="85"/>
    </row>
    <row r="33" ht="15" customHeight="1" spans="1:11" x14ac:dyDescent="0.25">
      <c r="A33" s="160" t="s">
        <v>72</v>
      </c>
      <c r="B33" s="161"/>
      <c r="D33" s="162" t="s">
        <v>32</v>
      </c>
      <c r="E33" s="163"/>
      <c r="F33" s="163"/>
      <c r="G33" s="164"/>
      <c r="H33" s="165"/>
      <c r="I33" s="163"/>
      <c r="J33" s="163"/>
      <c r="K33" s="163"/>
    </row>
    <row r="34" ht="15" customHeight="1" spans="6:10" x14ac:dyDescent="0.25">
      <c r="F34" s="50"/>
      <c r="J34" s="85"/>
    </row>
    <row r="35" ht="15" customHeight="1" spans="7:8" x14ac:dyDescent="0.25">
      <c r="G35" s="87"/>
      <c r="H35" s="88"/>
    </row>
    <row r="36" ht="15" customHeight="1" spans="6:10" x14ac:dyDescent="0.25">
      <c r="F36" s="50"/>
      <c r="G36" s="87"/>
      <c r="H36" s="88"/>
      <c r="J36" s="85"/>
    </row>
    <row r="37" ht="15" customHeight="1" x14ac:dyDescent="0.25"/>
    <row r="38" ht="15" customHeight="1" spans="4:7" x14ac:dyDescent="0.25">
      <c r="D38" s="166"/>
      <c r="E38" s="166"/>
      <c r="G38" s="160"/>
    </row>
    <row r="39" ht="15" customHeight="1" spans="4:7" x14ac:dyDescent="0.25">
      <c r="D39" s="166"/>
      <c r="E39" s="166"/>
      <c r="G39" s="160"/>
    </row>
    <row r="40" ht="15" customHeight="1" spans="4:7" x14ac:dyDescent="0.25">
      <c r="D40" s="166"/>
      <c r="E40" s="166"/>
      <c r="G40" s="160"/>
    </row>
    <row r="41" ht="15" customHeight="1" spans="4:7" x14ac:dyDescent="0.25">
      <c r="D41" s="166"/>
      <c r="E41" s="166"/>
      <c r="G41" s="160"/>
    </row>
    <row r="42" ht="15" customHeight="1" spans="4:7" x14ac:dyDescent="0.25">
      <c r="D42" s="166"/>
      <c r="E42" s="166"/>
      <c r="G42" s="160"/>
    </row>
    <row r="43" ht="15" customHeight="1" spans="4:7" x14ac:dyDescent="0.25">
      <c r="D43" s="166"/>
      <c r="E43" s="166"/>
      <c r="G43" s="160"/>
    </row>
    <row r="44" ht="15" customHeight="1" spans="4:7" x14ac:dyDescent="0.25">
      <c r="D44" s="166"/>
      <c r="E44" s="166"/>
      <c r="G44" s="160"/>
    </row>
    <row r="45" ht="15" customHeight="1" spans="4:7" x14ac:dyDescent="0.25">
      <c r="D45" s="166"/>
      <c r="E45" s="166"/>
      <c r="G45" s="160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5" t="s">
        <v>100</v>
      </c>
      <c r="B51" s="65"/>
      <c r="C51" s="65"/>
      <c r="D51" s="65"/>
      <c r="E51" s="65"/>
    </row>
    <row r="52" ht="15" customHeight="1" spans="1:11" x14ac:dyDescent="0.25">
      <c r="A52" s="65" t="s">
        <v>74</v>
      </c>
      <c r="B52" s="65"/>
      <c r="C52" s="65"/>
      <c r="H52" s="96" t="s">
        <v>101</v>
      </c>
      <c r="I52" s="60"/>
      <c r="J52" s="60"/>
      <c r="K52" s="60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7" t="s">
        <v>102</v>
      </c>
      <c r="B2" s="167"/>
      <c r="C2" s="167"/>
      <c r="D2" s="167"/>
      <c r="E2" s="167"/>
      <c r="F2" s="167"/>
      <c r="G2" s="167"/>
      <c r="H2" s="167"/>
      <c r="I2" s="167"/>
      <c r="J2" s="167"/>
    </row>
    <row r="3" spans="1:10" x14ac:dyDescent="0.25">
      <c r="A3" s="168" t="s">
        <v>19</v>
      </c>
      <c r="B3" s="168" t="s">
        <v>103</v>
      </c>
      <c r="C3" s="168" t="s">
        <v>20</v>
      </c>
      <c r="D3" s="168" t="s">
        <v>21</v>
      </c>
      <c r="E3" s="168" t="s">
        <v>22</v>
      </c>
      <c r="F3" s="168" t="s">
        <v>23</v>
      </c>
      <c r="G3" s="168" t="s">
        <v>24</v>
      </c>
      <c r="H3" s="168" t="s">
        <v>25</v>
      </c>
      <c r="I3" s="168" t="s">
        <v>26</v>
      </c>
      <c r="J3" s="168" t="s">
        <v>27</v>
      </c>
    </row>
    <row r="4" spans="1:14" x14ac:dyDescent="0.25">
      <c r="A4" s="169" t="s">
        <v>28</v>
      </c>
      <c r="B4" s="169" t="s">
        <v>104</v>
      </c>
      <c r="C4" s="169" t="s">
        <v>13</v>
      </c>
      <c r="D4" s="169" t="s">
        <v>29</v>
      </c>
      <c r="E4" s="169" t="s">
        <v>30</v>
      </c>
      <c r="F4" s="169" t="s">
        <v>14</v>
      </c>
      <c r="G4" s="170">
        <v>1</v>
      </c>
      <c r="H4" s="171">
        <v>1</v>
      </c>
      <c r="I4" s="169" t="s">
        <v>31</v>
      </c>
      <c r="J4" s="169" t="s">
        <v>12</v>
      </c>
      <c r="N4" t="s">
        <v>12</v>
      </c>
    </row>
    <row r="5" spans="1:14" x14ac:dyDescent="0.25">
      <c r="A5" s="172" t="s">
        <v>32</v>
      </c>
      <c r="B5" s="172"/>
      <c r="C5" s="172" t="s">
        <v>33</v>
      </c>
      <c r="D5" s="172"/>
      <c r="E5" s="172"/>
      <c r="F5" s="172"/>
      <c r="G5" s="173">
        <f>=SUM(G4:G4)</f>
      </c>
      <c r="H5" s="174">
        <f>=SUM(H4:H4)</f>
      </c>
      <c r="I5" s="172" t="s">
        <v>12</v>
      </c>
      <c r="J5" s="172" t="s">
        <v>12</v>
      </c>
    </row>
  </sheetData>
  <mergeCells count="1">
    <mergeCell ref="A2:J2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6" t="s">
        <v>105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ht="15" customHeight="1" spans="1:11" x14ac:dyDescent="0.25">
      <c r="A2" s="47" t="s">
        <v>35</v>
      </c>
      <c r="B2" s="47"/>
      <c r="C2" s="47"/>
      <c r="D2" s="54"/>
      <c r="E2" s="54"/>
      <c r="F2" s="56"/>
      <c r="G2" s="49" t="s">
        <v>36</v>
      </c>
      <c r="H2" s="47"/>
      <c r="I2" s="47"/>
      <c r="J2" s="54"/>
      <c r="K2" s="54"/>
    </row>
    <row r="3" ht="15" customHeight="1" spans="1:11" x14ac:dyDescent="0.25">
      <c r="A3" s="50" t="s">
        <v>37</v>
      </c>
      <c r="B3" s="50"/>
      <c r="C3" s="50"/>
      <c r="D3" s="50"/>
      <c r="E3" s="50"/>
      <c r="F3" s="48"/>
      <c r="G3" s="3"/>
      <c r="J3" s="3"/>
      <c r="K3" s="51"/>
    </row>
    <row r="4" ht="15" customHeight="1" spans="1:11" x14ac:dyDescent="0.25">
      <c r="A4" s="1" t="s">
        <v>38</v>
      </c>
      <c r="F4" s="48"/>
      <c r="G4" s="52" t="s">
        <v>39</v>
      </c>
      <c r="J4" s="53"/>
      <c r="K4" s="53">
        <v>46094.625</v>
      </c>
    </row>
    <row r="5" ht="15" customHeight="1" spans="1:9" x14ac:dyDescent="0.25">
      <c r="A5" s="1" t="s">
        <v>40</v>
      </c>
      <c r="F5" s="48"/>
      <c r="G5" s="49" t="s">
        <v>41</v>
      </c>
      <c r="H5" s="47"/>
      <c r="I5" s="54"/>
    </row>
    <row r="6" ht="15" customHeight="1" spans="1:11" x14ac:dyDescent="0.25">
      <c r="A6" s="1" t="s">
        <v>42</v>
      </c>
      <c r="F6" s="48"/>
      <c r="G6" s="3"/>
      <c r="H6" s="3"/>
      <c r="I6" s="3"/>
      <c r="J6" s="3"/>
      <c r="K6" s="55"/>
    </row>
    <row r="7" ht="15" customHeight="1" spans="1:11" x14ac:dyDescent="0.25">
      <c r="A7" s="47" t="s">
        <v>43</v>
      </c>
      <c r="B7" s="47"/>
      <c r="C7" s="54"/>
      <c r="D7" s="54"/>
      <c r="E7" s="54"/>
      <c r="F7" s="56"/>
      <c r="H7" s="50"/>
      <c r="I7" s="50"/>
      <c r="J7" s="57" t="s">
        <v>44</v>
      </c>
      <c r="K7" s="58"/>
    </row>
    <row r="8" ht="15" customHeight="1" spans="1:11" x14ac:dyDescent="0.25">
      <c r="A8" s="50" t="s">
        <v>45</v>
      </c>
      <c r="B8" s="50"/>
      <c r="C8" s="50"/>
      <c r="F8" s="48"/>
      <c r="G8" s="49" t="s">
        <v>46</v>
      </c>
      <c r="H8" s="47"/>
      <c r="I8" s="47"/>
      <c r="J8" s="54"/>
      <c r="K8" s="59"/>
    </row>
    <row r="9" ht="15" customHeight="1" spans="1:11" x14ac:dyDescent="0.25">
      <c r="A9" s="1" t="s">
        <v>47</v>
      </c>
      <c r="F9" s="48"/>
      <c r="G9" s="1" t="s">
        <v>44</v>
      </c>
      <c r="K9" s="58"/>
    </row>
    <row r="10" ht="15" customHeight="1" spans="1:11" x14ac:dyDescent="0.25">
      <c r="A10" s="1" t="s">
        <v>48</v>
      </c>
      <c r="F10" s="48"/>
      <c r="G10" s="60" t="s">
        <v>44</v>
      </c>
      <c r="H10" s="60"/>
      <c r="I10" s="60"/>
      <c r="J10" s="60"/>
      <c r="K10" s="58"/>
    </row>
    <row r="11" ht="15" customHeight="1" spans="1:11" x14ac:dyDescent="0.25">
      <c r="A11" s="1" t="s">
        <v>49</v>
      </c>
      <c r="F11" s="48"/>
      <c r="G11" s="49" t="s">
        <v>50</v>
      </c>
      <c r="H11" s="47"/>
      <c r="K11" s="61"/>
    </row>
    <row r="12" ht="15" customHeight="1" spans="1:11" x14ac:dyDescent="0.25">
      <c r="A12" s="60" t="s">
        <v>51</v>
      </c>
      <c r="B12" s="62"/>
      <c r="C12" s="60"/>
      <c r="D12" s="60"/>
      <c r="E12" s="60"/>
      <c r="F12" s="63"/>
      <c r="G12" s="3"/>
      <c r="K12" s="64"/>
    </row>
    <row r="13" ht="15" customHeight="1" spans="1:11" x14ac:dyDescent="0.25">
      <c r="A13" s="65" t="s">
        <v>52</v>
      </c>
      <c r="F13" s="48"/>
      <c r="G13" s="3"/>
      <c r="I13" s="66" t="s">
        <v>106</v>
      </c>
      <c r="J13" s="175">
        <f>=1500/0.01*J29</f>
      </c>
      <c r="K13" s="64"/>
    </row>
    <row r="14" ht="15" customHeight="1" spans="1:11" x14ac:dyDescent="0.25">
      <c r="A14" s="68" t="s">
        <v>53</v>
      </c>
      <c r="B14" s="68"/>
      <c r="F14" s="48"/>
      <c r="I14" s="66" t="s">
        <v>107</v>
      </c>
      <c r="J14" s="176">
        <f>=J29*1.1*0.026%</f>
      </c>
      <c r="K14" s="64"/>
    </row>
    <row r="15" ht="15" customHeight="1" spans="6:11" x14ac:dyDescent="0.25">
      <c r="F15" s="48"/>
      <c r="H15" s="50"/>
      <c r="I15" s="143" t="s">
        <v>108</v>
      </c>
      <c r="K15" s="64"/>
    </row>
    <row r="16" ht="15" customHeight="1" spans="1:11" x14ac:dyDescent="0.25">
      <c r="A16" s="47" t="s">
        <v>54</v>
      </c>
      <c r="B16" s="47"/>
      <c r="C16" s="56"/>
      <c r="D16" s="47" t="s">
        <v>55</v>
      </c>
      <c r="E16" s="47"/>
      <c r="F16" s="69"/>
      <c r="G16" s="3"/>
      <c r="H16" s="66" t="s">
        <v>109</v>
      </c>
      <c r="I16" s="70">
        <v>1</v>
      </c>
      <c r="J16" s="50" t="s">
        <v>110</v>
      </c>
      <c r="K16" s="64"/>
    </row>
    <row r="17" ht="15" customHeight="1" spans="4:11" x14ac:dyDescent="0.25">
      <c r="D17" s="71" t="s">
        <v>44</v>
      </c>
      <c r="E17" s="52"/>
      <c r="F17" s="48"/>
      <c r="H17" s="66" t="s">
        <v>111</v>
      </c>
      <c r="I17" s="177">
        <v>2.8</v>
      </c>
      <c r="J17" s="50" t="s">
        <v>112</v>
      </c>
      <c r="K17" s="64"/>
    </row>
    <row r="18" ht="15" customHeight="1" spans="1:11" x14ac:dyDescent="0.25">
      <c r="A18" s="72" t="s">
        <v>56</v>
      </c>
      <c r="B18" s="72"/>
      <c r="C18" s="72"/>
      <c r="D18" s="73" t="s">
        <v>57</v>
      </c>
      <c r="E18" s="73"/>
      <c r="F18" s="73"/>
      <c r="H18" s="66" t="s">
        <v>113</v>
      </c>
      <c r="I18" s="177">
        <v>3.08</v>
      </c>
      <c r="J18" s="50" t="s">
        <v>112</v>
      </c>
      <c r="K18" s="64"/>
    </row>
    <row r="19" ht="15" customHeight="1" spans="1:11" x14ac:dyDescent="0.25">
      <c r="A19" s="47" t="s">
        <v>58</v>
      </c>
      <c r="B19" s="47"/>
      <c r="C19" s="48"/>
      <c r="D19" s="47" t="s">
        <v>59</v>
      </c>
      <c r="E19" s="47"/>
      <c r="F19" s="69"/>
      <c r="K19" s="64"/>
    </row>
    <row r="20" ht="15" customHeight="1" spans="1:11" x14ac:dyDescent="0.25">
      <c r="A20" s="1" t="s">
        <v>44</v>
      </c>
      <c r="C20" s="48"/>
      <c r="D20" s="1" t="s">
        <v>44</v>
      </c>
      <c r="F20" s="48"/>
      <c r="G20" s="1" t="s">
        <v>44</v>
      </c>
      <c r="K20" s="64"/>
    </row>
    <row r="21" ht="15" customHeight="1" spans="1:11" x14ac:dyDescent="0.25">
      <c r="A21" s="74"/>
      <c r="B21" s="74"/>
      <c r="C21" s="74"/>
      <c r="D21" s="75"/>
      <c r="E21" s="75"/>
      <c r="F21" s="75"/>
      <c r="G21" s="60"/>
      <c r="H21" s="60"/>
      <c r="I21" s="60"/>
      <c r="J21" s="60"/>
      <c r="K21" s="76"/>
    </row>
    <row r="22" ht="15" customHeight="1" spans="1:11" x14ac:dyDescent="0.25">
      <c r="A22" s="77" t="s">
        <v>60</v>
      </c>
      <c r="B22" s="77"/>
      <c r="C22" s="77"/>
      <c r="D22" s="78" t="s">
        <v>61</v>
      </c>
      <c r="E22" s="78"/>
      <c r="F22" s="78"/>
      <c r="G22" s="78" t="s">
        <v>62</v>
      </c>
      <c r="H22" s="78"/>
      <c r="I22" s="79" t="s">
        <v>63</v>
      </c>
      <c r="J22" s="80" t="s">
        <v>64</v>
      </c>
      <c r="K22" s="80"/>
    </row>
    <row r="23" ht="15" customHeight="1" spans="1:9" x14ac:dyDescent="0.25">
      <c r="A23" s="1" t="s">
        <v>44</v>
      </c>
      <c r="C23" s="48"/>
      <c r="F23" s="48"/>
      <c r="H23" s="48"/>
      <c r="I23" s="48"/>
    </row>
    <row r="24" ht="15" customHeight="1" spans="1:9" x14ac:dyDescent="0.25">
      <c r="A24" s="1" t="s">
        <v>44</v>
      </c>
      <c r="G24" s="81" t="s">
        <v>12</v>
      </c>
      <c r="H24" s="81"/>
      <c r="I24" s="81"/>
    </row>
    <row r="25" ht="15" customHeight="1" spans="1:11" x14ac:dyDescent="0.25">
      <c r="A25" s="82"/>
      <c r="C25" s="3"/>
      <c r="F25" s="3"/>
      <c r="G25" s="3"/>
      <c r="H25" s="3"/>
      <c r="I25" s="3"/>
      <c r="J25" s="3"/>
      <c r="K25" s="83"/>
    </row>
    <row r="26" ht="15" customHeight="1" spans="1:11" x14ac:dyDescent="0.25">
      <c r="A26" s="84"/>
      <c r="C26" s="3"/>
      <c r="D26" s="159"/>
      <c r="E26" s="159"/>
      <c r="F26" s="159"/>
      <c r="G26" s="159"/>
      <c r="H26" s="159"/>
      <c r="I26" s="159"/>
      <c r="J26" s="159"/>
      <c r="K26" s="85"/>
    </row>
    <row r="27" ht="15" customHeight="1" spans="1:11" x14ac:dyDescent="0.25">
      <c r="A27" s="86"/>
      <c r="D27" s="28"/>
      <c r="E27" s="3"/>
      <c r="F27" s="178"/>
      <c r="G27" s="178"/>
      <c r="H27" s="179"/>
      <c r="I27" s="180"/>
      <c r="J27" s="181"/>
      <c r="K27" s="85"/>
    </row>
    <row r="28" ht="15" customHeight="1" spans="1:11" x14ac:dyDescent="0.25">
      <c r="A28" s="86"/>
      <c r="D28" s="28"/>
      <c r="E28" s="3"/>
      <c r="F28" s="178"/>
      <c r="G28" s="178"/>
      <c r="H28" s="179"/>
      <c r="I28" s="180"/>
      <c r="J28" s="181"/>
      <c r="K28" s="85"/>
    </row>
    <row r="29" ht="15" customHeight="1" spans="1:10" x14ac:dyDescent="0.25">
      <c r="A29" s="86"/>
      <c r="B29" s="87"/>
      <c r="C29" s="3"/>
      <c r="D29" s="162" t="s">
        <v>32</v>
      </c>
      <c r="E29" s="162"/>
      <c r="F29" s="162"/>
      <c r="G29" s="182"/>
      <c r="H29" s="183"/>
      <c r="I29" s="184"/>
      <c r="J29" s="185">
        <f>'STS.INVOICE'!G5</f>
      </c>
    </row>
    <row r="30" ht="15" customHeight="1" spans="2:10" x14ac:dyDescent="0.25">
      <c r="B30" s="87"/>
      <c r="F30" s="3"/>
      <c r="G30" s="87"/>
      <c r="H30" s="88"/>
      <c r="I30" s="89"/>
      <c r="J30" s="95"/>
    </row>
    <row r="31" ht="15" customHeight="1" spans="2:10" x14ac:dyDescent="0.25">
      <c r="B31" s="87"/>
      <c r="F31" s="161"/>
      <c r="G31" s="87"/>
      <c r="H31" s="88"/>
      <c r="I31" s="89"/>
      <c r="J31" s="90"/>
    </row>
    <row r="32" ht="15" customHeight="1" spans="2:10" x14ac:dyDescent="0.25">
      <c r="B32" s="87"/>
      <c r="F32" s="161"/>
      <c r="G32" s="87"/>
      <c r="H32" s="88"/>
      <c r="I32" s="89"/>
      <c r="J32" s="90"/>
    </row>
    <row r="33" ht="15" customHeight="1" spans="6:8" x14ac:dyDescent="0.25">
      <c r="F33" s="161"/>
      <c r="G33" s="87"/>
      <c r="H33" s="88"/>
    </row>
    <row r="34" ht="15" customHeight="1" spans="6:10" x14ac:dyDescent="0.25">
      <c r="F34" s="161"/>
      <c r="G34" s="87"/>
      <c r="H34" s="88"/>
      <c r="J34" s="85"/>
    </row>
    <row r="35" ht="15" customHeight="1" spans="6:6" x14ac:dyDescent="0.25">
      <c r="F35" s="161"/>
    </row>
    <row r="36" ht="15" customHeight="1" spans="4:7" x14ac:dyDescent="0.25">
      <c r="D36" s="166"/>
      <c r="E36" s="166"/>
      <c r="F36" s="161"/>
      <c r="G36" s="160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5" t="s">
        <v>73</v>
      </c>
      <c r="B42" s="65"/>
      <c r="C42" s="65"/>
      <c r="D42" s="65"/>
      <c r="E42" s="65"/>
      <c r="F42" s="65"/>
    </row>
    <row r="43" ht="15" customHeight="1" spans="1:11" x14ac:dyDescent="0.25">
      <c r="A43" s="65" t="s">
        <v>74</v>
      </c>
      <c r="B43" s="65"/>
      <c r="C43" s="65"/>
      <c r="H43" s="96" t="s">
        <v>75</v>
      </c>
      <c r="I43" s="60"/>
      <c r="J43" s="60"/>
      <c r="K43" s="60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